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AAAFC3523E70E6F0/Documents/"/>
    </mc:Choice>
  </mc:AlternateContent>
  <xr:revisionPtr revIDLastSave="0" documentId="14_{8CF2D5E7-C479-463F-AF0C-50448741ED0D}" xr6:coauthVersionLast="47" xr6:coauthVersionMax="47" xr10:uidLastSave="{00000000-0000-0000-0000-000000000000}"/>
  <bookViews>
    <workbookView xWindow="-108" yWindow="-108" windowWidth="23256" windowHeight="12456" activeTab="3" xr2:uid="{B3E993E8-D889-4863-B34B-DA94F71D1477}"/>
  </bookViews>
  <sheets>
    <sheet name="Data" sheetId="2" r:id="rId1"/>
    <sheet name="Kpi" sheetId="4" r:id="rId2"/>
    <sheet name="PIVOT TABLE" sheetId="3" r:id="rId3"/>
    <sheet name="Dashboard" sheetId="1" r:id="rId4"/>
  </sheets>
  <definedNames>
    <definedName name="ExternalData_1" localSheetId="0" hidden="1">Data!$A$1:$R$3489</definedName>
    <definedName name="Slicer_Category">#N/A</definedName>
    <definedName name="Slicer_Order_Status">#N/A</definedName>
    <definedName name="Slicer_Payment_Method">#N/A</definedName>
  </definedNames>
  <calcPr calcId="191029"/>
  <pivotCaches>
    <pivotCache cacheId="1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45" i="3" l="1"/>
  <c r="G45" i="3"/>
  <c r="G43" i="3"/>
  <c r="G4" i="4"/>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E45" i="3"/>
  <c r="C45" i="3"/>
  <c r="A4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14EC99-3671-4328-864B-38D52C105FFE}"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<sst xmlns="http://schemas.openxmlformats.org/spreadsheetml/2006/main" count="52397" uniqueCount="17892">
  <si>
    <t>Order ID</t>
  </si>
  <si>
    <t>Order Date</t>
  </si>
  <si>
    <t>Customer ID</t>
  </si>
  <si>
    <t>Customer Segment</t>
  </si>
  <si>
    <t>State</t>
  </si>
  <si>
    <t>City</t>
  </si>
  <si>
    <t>Category</t>
  </si>
  <si>
    <t>Product</t>
  </si>
  <si>
    <t>Quantity</t>
  </si>
  <si>
    <t>Unit Price</t>
  </si>
  <si>
    <t>Discount</t>
  </si>
  <si>
    <t>Cost</t>
  </si>
  <si>
    <t>Profit</t>
  </si>
  <si>
    <t>Payment Method</t>
  </si>
  <si>
    <t>Order Status</t>
  </si>
  <si>
    <t>Sales Channel</t>
  </si>
  <si>
    <t>Sales</t>
  </si>
  <si>
    <t>ORD100001</t>
  </si>
  <si>
    <t>24-01-2025</t>
  </si>
  <si>
    <t>CUST10346</t>
  </si>
  <si>
    <t>Home Office</t>
  </si>
  <si>
    <t>West Bengal</t>
  </si>
  <si>
    <t>Kolkata</t>
  </si>
  <si>
    <t>Electronics</t>
  </si>
  <si>
    <t>Tablet</t>
  </si>
  <si>
    <t>1</t>
  </si>
  <si>
    <t>73384.14</t>
  </si>
  <si>
    <t>46464.160000000003</t>
  </si>
  <si>
    <t>19581.57</t>
  </si>
  <si>
    <t>UPI</t>
  </si>
  <si>
    <t>Delivered</t>
  </si>
  <si>
    <t>Website</t>
  </si>
  <si>
    <t>ORD100002</t>
  </si>
  <si>
    <t>14-02-2025</t>
  </si>
  <si>
    <t>CUST11350</t>
  </si>
  <si>
    <t>Consumer</t>
  </si>
  <si>
    <t>Tamil Nadu</t>
  </si>
  <si>
    <t>Chennai</t>
  </si>
  <si>
    <t>Beauty</t>
  </si>
  <si>
    <t>Face Cream</t>
  </si>
  <si>
    <t>629.13</t>
  </si>
  <si>
    <t>500.53</t>
  </si>
  <si>
    <t>97.14</t>
  </si>
  <si>
    <t>Net Banking</t>
  </si>
  <si>
    <t>Marketplace</t>
  </si>
  <si>
    <t>ORD100003</t>
  </si>
  <si>
    <t>06-12-2025</t>
  </si>
  <si>
    <t>CUST10945</t>
  </si>
  <si>
    <t>Corporate</t>
  </si>
  <si>
    <t>Laptop</t>
  </si>
  <si>
    <t>2</t>
  </si>
  <si>
    <t>70372.100000000006</t>
  </si>
  <si>
    <t>92026.35</t>
  </si>
  <si>
    <t>41680.639999999999</t>
  </si>
  <si>
    <t>Cash on Delivery</t>
  </si>
  <si>
    <t>ORD100004</t>
  </si>
  <si>
    <t>09-03-2025</t>
  </si>
  <si>
    <t>CUST11244</t>
  </si>
  <si>
    <t>Karnataka</t>
  </si>
  <si>
    <t>Bengaluru</t>
  </si>
  <si>
    <t>Lipstick</t>
  </si>
  <si>
    <t>2055.4699999999998</t>
  </si>
  <si>
    <t>2567.42</t>
  </si>
  <si>
    <t>1132.43</t>
  </si>
  <si>
    <t>Credit Card</t>
  </si>
  <si>
    <t>Mobile App</t>
  </si>
  <si>
    <t>ORD100005</t>
  </si>
  <si>
    <t>30-04-2025</t>
  </si>
  <si>
    <t>CUST12252</t>
  </si>
  <si>
    <t>Gujarat</t>
  </si>
  <si>
    <t>Ahmedabad</t>
  </si>
  <si>
    <t>Hair Dryer</t>
  </si>
  <si>
    <t>1976.95</t>
  </si>
  <si>
    <t>1420</t>
  </si>
  <si>
    <t>359.26</t>
  </si>
  <si>
    <t>ORD100006</t>
  </si>
  <si>
    <t>18-09-2025</t>
  </si>
  <si>
    <t>CUST11836</t>
  </si>
  <si>
    <t>Maharashtra</t>
  </si>
  <si>
    <t>Nagpur</t>
  </si>
  <si>
    <t>Fashion</t>
  </si>
  <si>
    <t>Sneakers</t>
  </si>
  <si>
    <t>4</t>
  </si>
  <si>
    <t>4875.5200000000004</t>
  </si>
  <si>
    <t>12352.43</t>
  </si>
  <si>
    <t>7149.65</t>
  </si>
  <si>
    <t>ORD100007</t>
  </si>
  <si>
    <t>18-07-2025</t>
  </si>
  <si>
    <t>CUST10045</t>
  </si>
  <si>
    <t>Kerala</t>
  </si>
  <si>
    <t>Kozhikode</t>
  </si>
  <si>
    <t>Handbag</t>
  </si>
  <si>
    <t>3868.14</t>
  </si>
  <si>
    <t>4454.6400000000003</t>
  </si>
  <si>
    <t>3281.64</t>
  </si>
  <si>
    <t>Returned</t>
  </si>
  <si>
    <t>ORD100008</t>
  </si>
  <si>
    <t>17-04-2025</t>
  </si>
  <si>
    <t>CUST11909</t>
  </si>
  <si>
    <t>Trivandrum</t>
  </si>
  <si>
    <t>3</t>
  </si>
  <si>
    <t>3377.72</t>
  </si>
  <si>
    <t>7759.27</t>
  </si>
  <si>
    <t>2373.89</t>
  </si>
  <si>
    <t>ORD100009</t>
  </si>
  <si>
    <t>CUST12524</t>
  </si>
  <si>
    <t>Delhi</t>
  </si>
  <si>
    <t>Home &amp; Kitchen</t>
  </si>
  <si>
    <t>Vacuum Cleaner</t>
  </si>
  <si>
    <t>3576.14</t>
  </si>
  <si>
    <t>2779.52</t>
  </si>
  <si>
    <t>617.80999999999995</t>
  </si>
  <si>
    <t>Shipped</t>
  </si>
  <si>
    <t>ORD100010</t>
  </si>
  <si>
    <t>19-07-2025</t>
  </si>
  <si>
    <t>CUST12134</t>
  </si>
  <si>
    <t>Jacket</t>
  </si>
  <si>
    <t>5802.22</t>
  </si>
  <si>
    <t>6404.82</t>
  </si>
  <si>
    <t>3458.95</t>
  </si>
  <si>
    <t>ORD100011</t>
  </si>
  <si>
    <t>27-04-2025</t>
  </si>
  <si>
    <t>CUST10476</t>
  </si>
  <si>
    <t>Coimbatore</t>
  </si>
  <si>
    <t>43898.879999999997</t>
  </si>
  <si>
    <t>67207.600000000006</t>
  </si>
  <si>
    <t>16200.27</t>
  </si>
  <si>
    <t>ORD100012</t>
  </si>
  <si>
    <t>28-07-2025</t>
  </si>
  <si>
    <t>CUST10561</t>
  </si>
  <si>
    <t>Howrah</t>
  </si>
  <si>
    <t>Jeans</t>
  </si>
  <si>
    <t>6833.44</t>
  </si>
  <si>
    <t>8140.78</t>
  </si>
  <si>
    <t>4842.76</t>
  </si>
  <si>
    <t>unknown</t>
  </si>
  <si>
    <t>ORD100013</t>
  </si>
  <si>
    <t>11-04-2025</t>
  </si>
  <si>
    <t>CUST12477</t>
  </si>
  <si>
    <t>Vadodara</t>
  </si>
  <si>
    <t>60741.39</t>
  </si>
  <si>
    <t>72218.289999999994</t>
  </si>
  <si>
    <t>37116.21</t>
  </si>
  <si>
    <t>ORD100014</t>
  </si>
  <si>
    <t>08-05-2025</t>
  </si>
  <si>
    <t>CUST11452</t>
  </si>
  <si>
    <t>T-Shirt</t>
  </si>
  <si>
    <t>3769.13</t>
  </si>
  <si>
    <t>8694.16</t>
  </si>
  <si>
    <t>5628.53</t>
  </si>
  <si>
    <t>ORD100015</t>
  </si>
  <si>
    <t>12-08-2025</t>
  </si>
  <si>
    <t>CUST10648</t>
  </si>
  <si>
    <t>Madurai</t>
  </si>
  <si>
    <t>Sports</t>
  </si>
  <si>
    <t>Running Shoes</t>
  </si>
  <si>
    <t>1231.9100000000001</t>
  </si>
  <si>
    <t>758.34</t>
  </si>
  <si>
    <t>411.97</t>
  </si>
  <si>
    <t>Cancelled</t>
  </si>
  <si>
    <t>ORD100016</t>
  </si>
  <si>
    <t>03-02-2025</t>
  </si>
  <si>
    <t>CUST10332</t>
  </si>
  <si>
    <t>New Delhi</t>
  </si>
  <si>
    <t>8381.57</t>
  </si>
  <si>
    <t>5093.8</t>
  </si>
  <si>
    <t>2449.61</t>
  </si>
  <si>
    <t>ORD100018</t>
  </si>
  <si>
    <t>26-12-2025</t>
  </si>
  <si>
    <t>CUST10248</t>
  </si>
  <si>
    <t>5658.25</t>
  </si>
  <si>
    <t>3191.11</t>
  </si>
  <si>
    <t>1618.4</t>
  </si>
  <si>
    <t>Debit Card</t>
  </si>
  <si>
    <t>ORD100019</t>
  </si>
  <si>
    <t>17-01-2025</t>
  </si>
  <si>
    <t>CUST10495</t>
  </si>
  <si>
    <t>5279.61</t>
  </si>
  <si>
    <t>2909.72</t>
  </si>
  <si>
    <t>2105.91</t>
  </si>
  <si>
    <t>ORD100020</t>
  </si>
  <si>
    <t>10-06-2025</t>
  </si>
  <si>
    <t>CUST11892</t>
  </si>
  <si>
    <t>Smartwatch</t>
  </si>
  <si>
    <t>20655.03</t>
  </si>
  <si>
    <t>31759.02</t>
  </si>
  <si>
    <t>9551.0400000000009</t>
  </si>
  <si>
    <t>ORD100021</t>
  </si>
  <si>
    <t>21-09-2025</t>
  </si>
  <si>
    <t>CUST10406</t>
  </si>
  <si>
    <t>2052.1799999999998</t>
  </si>
  <si>
    <t>1648.15</t>
  </si>
  <si>
    <t>96.2</t>
  </si>
  <si>
    <t>ORD100022</t>
  </si>
  <si>
    <t>14-03-2025</t>
  </si>
  <si>
    <t>CUST10910</t>
  </si>
  <si>
    <t>Trichy</t>
  </si>
  <si>
    <t>2032.55</t>
  </si>
  <si>
    <t>2698.16</t>
  </si>
  <si>
    <t>757.18</t>
  </si>
  <si>
    <t>ORD100023</t>
  </si>
  <si>
    <t>13-02-2025</t>
  </si>
  <si>
    <t>CUST13251</t>
  </si>
  <si>
    <t>2881.19</t>
  </si>
  <si>
    <t>1629.19</t>
  </si>
  <si>
    <t>819.82</t>
  </si>
  <si>
    <t>ORD100024</t>
  </si>
  <si>
    <t>29-01-2025</t>
  </si>
  <si>
    <t>CUST11718</t>
  </si>
  <si>
    <t>1929.76</t>
  </si>
  <si>
    <t>3134.02</t>
  </si>
  <si>
    <t>339.55</t>
  </si>
  <si>
    <t>ORD100025</t>
  </si>
  <si>
    <t>24-06-2025</t>
  </si>
  <si>
    <t>CUST12063</t>
  </si>
  <si>
    <t>Telangana</t>
  </si>
  <si>
    <t>Warangal</t>
  </si>
  <si>
    <t>698.87</t>
  </si>
  <si>
    <t>567.11</t>
  </si>
  <si>
    <t>96.82</t>
  </si>
  <si>
    <t>ORD100026</t>
  </si>
  <si>
    <t>27-11-2025</t>
  </si>
  <si>
    <t>CUST12885</t>
  </si>
  <si>
    <t>Perfume</t>
  </si>
  <si>
    <t>5778.01</t>
  </si>
  <si>
    <t>3245.25</t>
  </si>
  <si>
    <t>1954.96</t>
  </si>
  <si>
    <t>ORD100027</t>
  </si>
  <si>
    <t>01-02-2025</t>
  </si>
  <si>
    <t>CUST13441</t>
  </si>
  <si>
    <t>Kochi</t>
  </si>
  <si>
    <t>2682.94</t>
  </si>
  <si>
    <t>3874.78</t>
  </si>
  <si>
    <t>1491.1</t>
  </si>
  <si>
    <t>ORD100028</t>
  </si>
  <si>
    <t>19-10-2025</t>
  </si>
  <si>
    <t>CUST10854</t>
  </si>
  <si>
    <t>Cricket Bat</t>
  </si>
  <si>
    <t>4917.6000000000004</t>
  </si>
  <si>
    <t>3888.68</t>
  </si>
  <si>
    <t>537.16</t>
  </si>
  <si>
    <t>ORD100029</t>
  </si>
  <si>
    <t>28-12-2025</t>
  </si>
  <si>
    <t>CUST10311</t>
  </si>
  <si>
    <t>1210.33</t>
  </si>
  <si>
    <t>2330.1</t>
  </si>
  <si>
    <t>937.79</t>
  </si>
  <si>
    <t>ORD100030</t>
  </si>
  <si>
    <t>20-10-2025</t>
  </si>
  <si>
    <t>CUST11056</t>
  </si>
  <si>
    <t>2787.59</t>
  </si>
  <si>
    <t>2048.17</t>
  </si>
  <si>
    <t>460.66</t>
  </si>
  <si>
    <t>ORD100031</t>
  </si>
  <si>
    <t>22-01-2025</t>
  </si>
  <si>
    <t>CUST10615</t>
  </si>
  <si>
    <t>Shampoo</t>
  </si>
  <si>
    <t>4126.1400000000003</t>
  </si>
  <si>
    <t>2651.36</t>
  </si>
  <si>
    <t>1474.78</t>
  </si>
  <si>
    <t>ORD100032</t>
  </si>
  <si>
    <t>01-01-2025</t>
  </si>
  <si>
    <t>CUST10083</t>
  </si>
  <si>
    <t>Smartphone</t>
  </si>
  <si>
    <t>21836.080000000002</t>
  </si>
  <si>
    <t>12176.52</t>
  </si>
  <si>
    <t>7475.95</t>
  </si>
  <si>
    <t>ORD100033</t>
  </si>
  <si>
    <t>15-12-2025</t>
  </si>
  <si>
    <t>CUST12940</t>
  </si>
  <si>
    <t>1174.75</t>
  </si>
  <si>
    <t>902.37</t>
  </si>
  <si>
    <t>154.91</t>
  </si>
  <si>
    <t>ORD100034</t>
  </si>
  <si>
    <t>28-01-2025</t>
  </si>
  <si>
    <t>CUST12340</t>
  </si>
  <si>
    <t>Hyderabad</t>
  </si>
  <si>
    <t>Coffee Maker</t>
  </si>
  <si>
    <t>13187.87</t>
  </si>
  <si>
    <t>16006.62</t>
  </si>
  <si>
    <t>10369.120000000001</t>
  </si>
  <si>
    <t>ORD100035</t>
  </si>
  <si>
    <t>30-03-2025</t>
  </si>
  <si>
    <t>CUST13415</t>
  </si>
  <si>
    <t>5507.77</t>
  </si>
  <si>
    <t>17839.07</t>
  </si>
  <si>
    <t>1988.9</t>
  </si>
  <si>
    <t>ORD100036</t>
  </si>
  <si>
    <t>06-09-2025</t>
  </si>
  <si>
    <t>CUST13135</t>
  </si>
  <si>
    <t>Mangalore</t>
  </si>
  <si>
    <t>2536.14</t>
  </si>
  <si>
    <t>3247.43</t>
  </si>
  <si>
    <t>1317.62</t>
  </si>
  <si>
    <t>ORD100037</t>
  </si>
  <si>
    <t>13-07-2025</t>
  </si>
  <si>
    <t>CUST12401</t>
  </si>
  <si>
    <t>2463.7199999999998</t>
  </si>
  <si>
    <t>7702.12</t>
  </si>
  <si>
    <t>674.53</t>
  </si>
  <si>
    <t>ORD100038</t>
  </si>
  <si>
    <t>30-05-2025</t>
  </si>
  <si>
    <t>CUST10237</t>
  </si>
  <si>
    <t>42171.24</t>
  </si>
  <si>
    <t>24419.24</t>
  </si>
  <si>
    <t>13534.88</t>
  </si>
  <si>
    <t>ORD100039</t>
  </si>
  <si>
    <t>17-02-2025</t>
  </si>
  <si>
    <t>CUST12118</t>
  </si>
  <si>
    <t>Yoga Mat</t>
  </si>
  <si>
    <t>11025.81</t>
  </si>
  <si>
    <t>7018.81</t>
  </si>
  <si>
    <t>3455.71</t>
  </si>
  <si>
    <t>ORD100040</t>
  </si>
  <si>
    <t>31-10-2025</t>
  </si>
  <si>
    <t>CUST13414</t>
  </si>
  <si>
    <t>1995.44</t>
  </si>
  <si>
    <t>2595.77</t>
  </si>
  <si>
    <t>1195.57</t>
  </si>
  <si>
    <t>ORD100041</t>
  </si>
  <si>
    <t>03-01-2025</t>
  </si>
  <si>
    <t>CUST11384</t>
  </si>
  <si>
    <t>1985.8</t>
  </si>
  <si>
    <t>1201.58</t>
  </si>
  <si>
    <t>684.93</t>
  </si>
  <si>
    <t>ORD100042</t>
  </si>
  <si>
    <t>27-03-2025</t>
  </si>
  <si>
    <t>CUST10794</t>
  </si>
  <si>
    <t>Surat</t>
  </si>
  <si>
    <t>10001.32</t>
  </si>
  <si>
    <t>13724.89</t>
  </si>
  <si>
    <t>6277.75</t>
  </si>
  <si>
    <t>ORD100043</t>
  </si>
  <si>
    <t>08-07-2025</t>
  </si>
  <si>
    <t>CUST12794</t>
  </si>
  <si>
    <t>1398.68</t>
  </si>
  <si>
    <t>806.1</t>
  </si>
  <si>
    <t>592.58000000000004</t>
  </si>
  <si>
    <t>ORD100044</t>
  </si>
  <si>
    <t>16-09-2025</t>
  </si>
  <si>
    <t>CUST12735</t>
  </si>
  <si>
    <t>Headphones</t>
  </si>
  <si>
    <t>61136.37</t>
  </si>
  <si>
    <t>44067.16</t>
  </si>
  <si>
    <t>7898.75</t>
  </si>
  <si>
    <t>ORD100046</t>
  </si>
  <si>
    <t>19-09-2025</t>
  </si>
  <si>
    <t>CUST12930</t>
  </si>
  <si>
    <t>8839.7800000000007</t>
  </si>
  <si>
    <t>5618.73</t>
  </si>
  <si>
    <t>3221.05</t>
  </si>
  <si>
    <t>ORD100047</t>
  </si>
  <si>
    <t>26-04-2025</t>
  </si>
  <si>
    <t>CUST11324</t>
  </si>
  <si>
    <t>2747.59</t>
  </si>
  <si>
    <t>1960.61</t>
  </si>
  <si>
    <t>786.98</t>
  </si>
  <si>
    <t>ORD100048</t>
  </si>
  <si>
    <t>22-07-2025</t>
  </si>
  <si>
    <t>CUST13056</t>
  </si>
  <si>
    <t>6985.5</t>
  </si>
  <si>
    <t>4854.3999999999996</t>
  </si>
  <si>
    <t>1781.82</t>
  </si>
  <si>
    <t>ORD100049</t>
  </si>
  <si>
    <t>CUST12551</t>
  </si>
  <si>
    <t>Football</t>
  </si>
  <si>
    <t>5623.75</t>
  </si>
  <si>
    <t>4257.03</t>
  </si>
  <si>
    <t>523.16</t>
  </si>
  <si>
    <t>ORD100050</t>
  </si>
  <si>
    <t>17-06-2025</t>
  </si>
  <si>
    <t>CUST11774</t>
  </si>
  <si>
    <t>29609.52</t>
  </si>
  <si>
    <t>19774.05</t>
  </si>
  <si>
    <t>5394.04</t>
  </si>
  <si>
    <t>ORD100051</t>
  </si>
  <si>
    <t>23-04-2025</t>
  </si>
  <si>
    <t>CUST12690</t>
  </si>
  <si>
    <t>Cookware Set</t>
  </si>
  <si>
    <t>12029.38</t>
  </si>
  <si>
    <t>7140.78</t>
  </si>
  <si>
    <t>4287.13</t>
  </si>
  <si>
    <t>ORD100052</t>
  </si>
  <si>
    <t>26-10-2025</t>
  </si>
  <si>
    <t>CUST11866</t>
  </si>
  <si>
    <t>12841.23</t>
  </si>
  <si>
    <t>10118.33</t>
  </si>
  <si>
    <t>1438.78</t>
  </si>
  <si>
    <t>ORD100053</t>
  </si>
  <si>
    <t>12-07-2025</t>
  </si>
  <si>
    <t>CUST12876</t>
  </si>
  <si>
    <t>52680.21</t>
  </si>
  <si>
    <t>106120.66</t>
  </si>
  <si>
    <t>28213.88</t>
  </si>
  <si>
    <t>ORD100054</t>
  </si>
  <si>
    <t>29-03-2025</t>
  </si>
  <si>
    <t>CUST12575</t>
  </si>
  <si>
    <t>59616.21</t>
  </si>
  <si>
    <t>40469.01</t>
  </si>
  <si>
    <t>16166.39</t>
  </si>
  <si>
    <t>ORD100056</t>
  </si>
  <si>
    <t>13-09-2025</t>
  </si>
  <si>
    <t>CUST12050</t>
  </si>
  <si>
    <t>4533.59</t>
  </si>
  <si>
    <t>13256.35</t>
  </si>
  <si>
    <t>4878.01</t>
  </si>
  <si>
    <t>ORD100059</t>
  </si>
  <si>
    <t>CUST13012</t>
  </si>
  <si>
    <t>12462.63</t>
  </si>
  <si>
    <t>6927.04</t>
  </si>
  <si>
    <t>4912.46</t>
  </si>
  <si>
    <t>ORD100060</t>
  </si>
  <si>
    <t>16-07-2025</t>
  </si>
  <si>
    <t>CUST11250</t>
  </si>
  <si>
    <t>Salem</t>
  </si>
  <si>
    <t>43205.19</t>
  </si>
  <si>
    <t>30096.97</t>
  </si>
  <si>
    <t>13108.22</t>
  </si>
  <si>
    <t>ORD100061</t>
  </si>
  <si>
    <t>15-04-2025</t>
  </si>
  <si>
    <t>CUST12180</t>
  </si>
  <si>
    <t>3146.32</t>
  </si>
  <si>
    <t>2070.4899999999998</t>
  </si>
  <si>
    <t>761.2</t>
  </si>
  <si>
    <t>ORD100062</t>
  </si>
  <si>
    <t>16-03-2025</t>
  </si>
  <si>
    <t>CUST12000</t>
  </si>
  <si>
    <t>6016.85</t>
  </si>
  <si>
    <t>3523.55</t>
  </si>
  <si>
    <t>1891.62</t>
  </si>
  <si>
    <t>ORD100063</t>
  </si>
  <si>
    <t>30-01-2025</t>
  </si>
  <si>
    <t>CUST12565</t>
  </si>
  <si>
    <t>38582.300000000003</t>
  </si>
  <si>
    <t>25262.04</t>
  </si>
  <si>
    <t>7532.92</t>
  </si>
  <si>
    <t>ORD100064</t>
  </si>
  <si>
    <t>28-09-2025</t>
  </si>
  <si>
    <t>CUST13153</t>
  </si>
  <si>
    <t>3822.41</t>
  </si>
  <si>
    <t>7704.43</t>
  </si>
  <si>
    <t>3189.44</t>
  </si>
  <si>
    <t>ORD100065</t>
  </si>
  <si>
    <t>19-11-2025</t>
  </si>
  <si>
    <t>CUST12123</t>
  </si>
  <si>
    <t>2495.12</t>
  </si>
  <si>
    <t>1769.78</t>
  </si>
  <si>
    <t>475.83</t>
  </si>
  <si>
    <t>ORD100066</t>
  </si>
  <si>
    <t>CUST13249</t>
  </si>
  <si>
    <t>39248.18</t>
  </si>
  <si>
    <t>29191.47</t>
  </si>
  <si>
    <t>6131.89</t>
  </si>
  <si>
    <t>ORD100067</t>
  </si>
  <si>
    <t>16-04-2025</t>
  </si>
  <si>
    <t>CUST10791</t>
  </si>
  <si>
    <t>1741.71</t>
  </si>
  <si>
    <t>1317.43</t>
  </si>
  <si>
    <t>424.28</t>
  </si>
  <si>
    <t>ORD100068</t>
  </si>
  <si>
    <t>14-10-2025</t>
  </si>
  <si>
    <t>CUST10400</t>
  </si>
  <si>
    <t>43540.959999999999</t>
  </si>
  <si>
    <t>33312.54</t>
  </si>
  <si>
    <t>3697.28</t>
  </si>
  <si>
    <t>ORD100069</t>
  </si>
  <si>
    <t>12-06-2025</t>
  </si>
  <si>
    <t>CUST12613</t>
  </si>
  <si>
    <t>Pune</t>
  </si>
  <si>
    <t>Air Fryer</t>
  </si>
  <si>
    <t>10700.8</t>
  </si>
  <si>
    <t>6566.48</t>
  </si>
  <si>
    <t>3599.28</t>
  </si>
  <si>
    <t>ORD100070</t>
  </si>
  <si>
    <t>04-10-2025</t>
  </si>
  <si>
    <t>CUST13305</t>
  </si>
  <si>
    <t>11146.18</t>
  </si>
  <si>
    <t>15322.57</t>
  </si>
  <si>
    <t>6969.79</t>
  </si>
  <si>
    <t>ORD100071</t>
  </si>
  <si>
    <t>CUST13298</t>
  </si>
  <si>
    <t>930.1</t>
  </si>
  <si>
    <t>745.92</t>
  </si>
  <si>
    <t>91.17</t>
  </si>
  <si>
    <t>ORD100073</t>
  </si>
  <si>
    <t>02-01-2025</t>
  </si>
  <si>
    <t>CUST12079</t>
  </si>
  <si>
    <t>2614.9</t>
  </si>
  <si>
    <t>2139.58</t>
  </si>
  <si>
    <t>475.32</t>
  </si>
  <si>
    <t>delivered</t>
  </si>
  <si>
    <t>ORD100074</t>
  </si>
  <si>
    <t>23-03-2025</t>
  </si>
  <si>
    <t>CUST10778</t>
  </si>
  <si>
    <t>10035.86</t>
  </si>
  <si>
    <t>13266.97</t>
  </si>
  <si>
    <t>3793.99</t>
  </si>
  <si>
    <t>ORD100075</t>
  </si>
  <si>
    <t>16-05-2025</t>
  </si>
  <si>
    <t>CUST12181</t>
  </si>
  <si>
    <t>3504.56</t>
  </si>
  <si>
    <t>2738.28</t>
  </si>
  <si>
    <t>240.6</t>
  </si>
  <si>
    <t>ORD100076</t>
  </si>
  <si>
    <t>26-03-2025</t>
  </si>
  <si>
    <t>CUST11157</t>
  </si>
  <si>
    <t>546.04999999999995</t>
  </si>
  <si>
    <t>323.95999999999998</t>
  </si>
  <si>
    <t>222.09</t>
  </si>
  <si>
    <t>ORD100077</t>
  </si>
  <si>
    <t>18-11-2025</t>
  </si>
  <si>
    <t>CUST12952</t>
  </si>
  <si>
    <t>2784.89</t>
  </si>
  <si>
    <t>4219.22</t>
  </si>
  <si>
    <t>1072.07</t>
  </si>
  <si>
    <t>ORD100078</t>
  </si>
  <si>
    <t>24-11-2025</t>
  </si>
  <si>
    <t>CUST13057</t>
  </si>
  <si>
    <t>9566.0499999999993</t>
  </si>
  <si>
    <t>6662.2</t>
  </si>
  <si>
    <t>990.64</t>
  </si>
  <si>
    <t>ORD100079</t>
  </si>
  <si>
    <t>14-07-2025</t>
  </si>
  <si>
    <t>CUST10153</t>
  </si>
  <si>
    <t>5719.66</t>
  </si>
  <si>
    <t>3657.98</t>
  </si>
  <si>
    <t>1489.71</t>
  </si>
  <si>
    <t>ORD100080</t>
  </si>
  <si>
    <t>02-08-2025</t>
  </si>
  <si>
    <t>CUST12230</t>
  </si>
  <si>
    <t>6572.13</t>
  </si>
  <si>
    <t>4896.1499999999996</t>
  </si>
  <si>
    <t>1018.77</t>
  </si>
  <si>
    <t>ORD100081</t>
  </si>
  <si>
    <t>10-12-2025</t>
  </si>
  <si>
    <t>CUST11825</t>
  </si>
  <si>
    <t>5609.89</t>
  </si>
  <si>
    <t>8663.33</t>
  </si>
  <si>
    <t>1995.46</t>
  </si>
  <si>
    <t>ORD100082</t>
  </si>
  <si>
    <t>05-12-2025</t>
  </si>
  <si>
    <t>CUST10335</t>
  </si>
  <si>
    <t>2962.49</t>
  </si>
  <si>
    <t>1995.81</t>
  </si>
  <si>
    <t>522.30999999999995</t>
  </si>
  <si>
    <t>ORD100083</t>
  </si>
  <si>
    <t>CUST11820</t>
  </si>
  <si>
    <t>11676.07</t>
  </si>
  <si>
    <t>27076.7</t>
  </si>
  <si>
    <t>2697.28</t>
  </si>
  <si>
    <t>ORD100084</t>
  </si>
  <si>
    <t>CUST10726</t>
  </si>
  <si>
    <t>1899.69</t>
  </si>
  <si>
    <t>2685.19</t>
  </si>
  <si>
    <t>1114.19</t>
  </si>
  <si>
    <t>ORD100085</t>
  </si>
  <si>
    <t>10-03-2025</t>
  </si>
  <si>
    <t>CUST10574</t>
  </si>
  <si>
    <t>6337.73</t>
  </si>
  <si>
    <t>4961.32</t>
  </si>
  <si>
    <t>1059.52</t>
  </si>
  <si>
    <t>ORD100086</t>
  </si>
  <si>
    <t>02-07-2025</t>
  </si>
  <si>
    <t>CUST12650</t>
  </si>
  <si>
    <t>3412.9</t>
  </si>
  <si>
    <t>7739.35</t>
  </si>
  <si>
    <t>1475.48</t>
  </si>
  <si>
    <t>ORD100087</t>
  </si>
  <si>
    <t>CUST12720</t>
  </si>
  <si>
    <t>14477.4</t>
  </si>
  <si>
    <t>17460.57</t>
  </si>
  <si>
    <t>7151.01</t>
  </si>
  <si>
    <t>ORD100088</t>
  </si>
  <si>
    <t>29-12-2025</t>
  </si>
  <si>
    <t>CUST10404</t>
  </si>
  <si>
    <t>4188.2299999999996</t>
  </si>
  <si>
    <t>2394.0300000000002</t>
  </si>
  <si>
    <t>1375.38</t>
  </si>
  <si>
    <t>ORD100089</t>
  </si>
  <si>
    <t>CUST11270</t>
  </si>
  <si>
    <t>45073.84</t>
  </si>
  <si>
    <t>74972.38</t>
  </si>
  <si>
    <t>46726.99</t>
  </si>
  <si>
    <t>ORD100090</t>
  </si>
  <si>
    <t>16-10-2025</t>
  </si>
  <si>
    <t>CUST10016</t>
  </si>
  <si>
    <t>71662.600000000006</t>
  </si>
  <si>
    <t>54716.15</t>
  </si>
  <si>
    <t>13363.32</t>
  </si>
  <si>
    <t>ORD100091</t>
  </si>
  <si>
    <t>CUST10024</t>
  </si>
  <si>
    <t>Mixer Grinder</t>
  </si>
  <si>
    <t>11603.7</t>
  </si>
  <si>
    <t>6933.9</t>
  </si>
  <si>
    <t>4669.8</t>
  </si>
  <si>
    <t>ORD100092</t>
  </si>
  <si>
    <t>29-04-2025</t>
  </si>
  <si>
    <t>CUST13464</t>
  </si>
  <si>
    <t>4051.71</t>
  </si>
  <si>
    <t>2402.5700000000002</t>
  </si>
  <si>
    <t>1041.3800000000001</t>
  </si>
  <si>
    <t>ORD100093</t>
  </si>
  <si>
    <t>19-03-2025</t>
  </si>
  <si>
    <t>CUST13383</t>
  </si>
  <si>
    <t>5520.45</t>
  </si>
  <si>
    <t>3694.34</t>
  </si>
  <si>
    <t>1826.11</t>
  </si>
  <si>
    <t>ORD100094</t>
  </si>
  <si>
    <t>CUST12364</t>
  </si>
  <si>
    <t>32720.99</t>
  </si>
  <si>
    <t>26280.46</t>
  </si>
  <si>
    <t>3168.43</t>
  </si>
  <si>
    <t>ORD100095</t>
  </si>
  <si>
    <t>CUST12292</t>
  </si>
  <si>
    <t>6813.41</t>
  </si>
  <si>
    <t>10300.41</t>
  </si>
  <si>
    <t>2645.07</t>
  </si>
  <si>
    <t>ORD100096</t>
  </si>
  <si>
    <t>25-09-2025</t>
  </si>
  <si>
    <t>CUST11536</t>
  </si>
  <si>
    <t>4961.9799999999996</t>
  </si>
  <si>
    <t>3287.99</t>
  </si>
  <si>
    <t>1673.99</t>
  </si>
  <si>
    <t>ORD100097</t>
  </si>
  <si>
    <t>CUST11127</t>
  </si>
  <si>
    <t>11724.05</t>
  </si>
  <si>
    <t>7111.2</t>
  </si>
  <si>
    <t>2854.24</t>
  </si>
  <si>
    <t>ORD100098</t>
  </si>
  <si>
    <t>21-10-2025</t>
  </si>
  <si>
    <t>CUST11297</t>
  </si>
  <si>
    <t>6824.99</t>
  </si>
  <si>
    <t>3843.9</t>
  </si>
  <si>
    <t>2981.09</t>
  </si>
  <si>
    <t>ORD100099</t>
  </si>
  <si>
    <t>CUST11517</t>
  </si>
  <si>
    <t>3053.33</t>
  </si>
  <si>
    <t>1847.82</t>
  </si>
  <si>
    <t>747.51</t>
  </si>
  <si>
    <t>ORD100101</t>
  </si>
  <si>
    <t>22-12-2025</t>
  </si>
  <si>
    <t>CUST12589</t>
  </si>
  <si>
    <t>1135.1500000000001</t>
  </si>
  <si>
    <t>856.59</t>
  </si>
  <si>
    <t>221.8</t>
  </si>
  <si>
    <t>ORD100102</t>
  </si>
  <si>
    <t>30-12-2025</t>
  </si>
  <si>
    <t>CUST12945</t>
  </si>
  <si>
    <t>15272.13</t>
  </si>
  <si>
    <t>37695.68</t>
  </si>
  <si>
    <t>23392.84</t>
  </si>
  <si>
    <t>ORD100103</t>
  </si>
  <si>
    <t>CUST13348</t>
  </si>
  <si>
    <t>4464.01</t>
  </si>
  <si>
    <t>3320.05</t>
  </si>
  <si>
    <t>697.56</t>
  </si>
  <si>
    <t>ORD100104</t>
  </si>
  <si>
    <t>01-11-2025</t>
  </si>
  <si>
    <t>CUST10606</t>
  </si>
  <si>
    <t>992.08</t>
  </si>
  <si>
    <t>697.57</t>
  </si>
  <si>
    <t>195.3</t>
  </si>
  <si>
    <t>ORD100105</t>
  </si>
  <si>
    <t>23-09-2025</t>
  </si>
  <si>
    <t>CUST13345</t>
  </si>
  <si>
    <t>11713.08</t>
  </si>
  <si>
    <t>25195.360000000001</t>
  </si>
  <si>
    <t>9943.8799999999992</t>
  </si>
  <si>
    <t>ORD100106</t>
  </si>
  <si>
    <t>20-01-2025</t>
  </si>
  <si>
    <t>CUST10165</t>
  </si>
  <si>
    <t>11913.02</t>
  </si>
  <si>
    <t>9122.5499999999993</t>
  </si>
  <si>
    <t>2790.47</t>
  </si>
  <si>
    <t>ORD100107</t>
  </si>
  <si>
    <t>24-04-2025</t>
  </si>
  <si>
    <t>CUST12898</t>
  </si>
  <si>
    <t>15004.21</t>
  </si>
  <si>
    <t>8886.25</t>
  </si>
  <si>
    <t>5367.75</t>
  </si>
  <si>
    <t>ORD100108</t>
  </si>
  <si>
    <t>16-08-2025</t>
  </si>
  <si>
    <t>CUST11301</t>
  </si>
  <si>
    <t>58225.88</t>
  </si>
  <si>
    <t>87818.94</t>
  </si>
  <si>
    <t>11165.06</t>
  </si>
  <si>
    <t>ORD100109</t>
  </si>
  <si>
    <t>CUST10085</t>
  </si>
  <si>
    <t>486</t>
  </si>
  <si>
    <t>366.33</t>
  </si>
  <si>
    <t>71.069999999999993</t>
  </si>
  <si>
    <t>ORD100110</t>
  </si>
  <si>
    <t>CUST11577</t>
  </si>
  <si>
    <t>4494.6499999999996</t>
  </si>
  <si>
    <t>2797.49</t>
  </si>
  <si>
    <t>1247.69</t>
  </si>
  <si>
    <t>ORD100111</t>
  </si>
  <si>
    <t>CUST12365</t>
  </si>
  <si>
    <t>46940.62</t>
  </si>
  <si>
    <t>91638.44</t>
  </si>
  <si>
    <t>35101.230000000003</t>
  </si>
  <si>
    <t>ORD100112</t>
  </si>
  <si>
    <t>15-02-2025</t>
  </si>
  <si>
    <t>CUST10409</t>
  </si>
  <si>
    <t>1139.6400000000001</t>
  </si>
  <si>
    <t>1384.48</t>
  </si>
  <si>
    <t>894.8</t>
  </si>
  <si>
    <t>ORD100113</t>
  </si>
  <si>
    <t>CUST10594</t>
  </si>
  <si>
    <t>998.03</t>
  </si>
  <si>
    <t>578.28</t>
  </si>
  <si>
    <t>270.05</t>
  </si>
  <si>
    <t>ORD100114</t>
  </si>
  <si>
    <t>06-03-2025</t>
  </si>
  <si>
    <t>CUST12358</t>
  </si>
  <si>
    <t>2275.3000000000002</t>
  </si>
  <si>
    <t>1321.68</t>
  </si>
  <si>
    <t>726.09</t>
  </si>
  <si>
    <t>ORD100115</t>
  </si>
  <si>
    <t>27-09-2025</t>
  </si>
  <si>
    <t>CUST10381</t>
  </si>
  <si>
    <t>50681.58</t>
  </si>
  <si>
    <t>35020.18</t>
  </si>
  <si>
    <t>15661.4</t>
  </si>
  <si>
    <t>ORD100116</t>
  </si>
  <si>
    <t>CUST11891</t>
  </si>
  <si>
    <t>3496.81</t>
  </si>
  <si>
    <t>5939.96</t>
  </si>
  <si>
    <t>3501.43</t>
  </si>
  <si>
    <t>ORD100117</t>
  </si>
  <si>
    <t>CUST13186</t>
  </si>
  <si>
    <t>Mumbai</t>
  </si>
  <si>
    <t>10275.030000000001</t>
  </si>
  <si>
    <t>7499.12</t>
  </si>
  <si>
    <t>1748.41</t>
  </si>
  <si>
    <t>ORD100118</t>
  </si>
  <si>
    <t>09-10-2025</t>
  </si>
  <si>
    <t>CUST11823</t>
  </si>
  <si>
    <t>6848.89</t>
  </si>
  <si>
    <t>4468.88</t>
  </si>
  <si>
    <t>2380.0100000000002</t>
  </si>
  <si>
    <t>ORD100119</t>
  </si>
  <si>
    <t>15-09-2025</t>
  </si>
  <si>
    <t>CUST12237</t>
  </si>
  <si>
    <t>42097.27</t>
  </si>
  <si>
    <t>28168.89</t>
  </si>
  <si>
    <t>11823.52</t>
  </si>
  <si>
    <t>ORD100120</t>
  </si>
  <si>
    <t>CUST12122</t>
  </si>
  <si>
    <t>5476.94</t>
  </si>
  <si>
    <t>3156.13</t>
  </si>
  <si>
    <t>1773.12</t>
  </si>
  <si>
    <t>ORD100121</t>
  </si>
  <si>
    <t>26-06-2025</t>
  </si>
  <si>
    <t>CUST10624</t>
  </si>
  <si>
    <t>50914.17</t>
  </si>
  <si>
    <t>33997.78</t>
  </si>
  <si>
    <t>9279.26</t>
  </si>
  <si>
    <t>ORD100123</t>
  </si>
  <si>
    <t>CUST10295</t>
  </si>
  <si>
    <t>5039.22</t>
  </si>
  <si>
    <t>4076.64</t>
  </si>
  <si>
    <t>458.66</t>
  </si>
  <si>
    <t>ORD100124</t>
  </si>
  <si>
    <t>30-06-2025</t>
  </si>
  <si>
    <t>CUST10022</t>
  </si>
  <si>
    <t>21227.75</t>
  </si>
  <si>
    <t>15691.45</t>
  </si>
  <si>
    <t>5536.3</t>
  </si>
  <si>
    <t>ORD100125</t>
  </si>
  <si>
    <t>CUST10345</t>
  </si>
  <si>
    <t>846.68</t>
  </si>
  <si>
    <t>1467.05</t>
  </si>
  <si>
    <t>691.98</t>
  </si>
  <si>
    <t>ORD100126</t>
  </si>
  <si>
    <t>CUST10265</t>
  </si>
  <si>
    <t>58178.57</t>
  </si>
  <si>
    <t>46560.69</t>
  </si>
  <si>
    <t>2891.09</t>
  </si>
  <si>
    <t>ORD100127</t>
  </si>
  <si>
    <t>18-01-2025</t>
  </si>
  <si>
    <t>CUST10124</t>
  </si>
  <si>
    <t>962.63</t>
  </si>
  <si>
    <t>771.96</t>
  </si>
  <si>
    <t>142.54</t>
  </si>
  <si>
    <t>ORD100128</t>
  </si>
  <si>
    <t>09-12-2025</t>
  </si>
  <si>
    <t>CUST12357</t>
  </si>
  <si>
    <t>2711.28</t>
  </si>
  <si>
    <t>1871.41</t>
  </si>
  <si>
    <t>433.18</t>
  </si>
  <si>
    <t>ORD100129</t>
  </si>
  <si>
    <t>23-07-2025</t>
  </si>
  <si>
    <t>CUST10032</t>
  </si>
  <si>
    <t>6980.13</t>
  </si>
  <si>
    <t>5158.66</t>
  </si>
  <si>
    <t>425.44</t>
  </si>
  <si>
    <t>ORD100130</t>
  </si>
  <si>
    <t>20-04-2025</t>
  </si>
  <si>
    <t>CUST11564</t>
  </si>
  <si>
    <t>848.07</t>
  </si>
  <si>
    <t>514.63</t>
  </si>
  <si>
    <t>248.63</t>
  </si>
  <si>
    <t>ORD100131</t>
  </si>
  <si>
    <t>25-04-2025</t>
  </si>
  <si>
    <t>CUST12948</t>
  </si>
  <si>
    <t>4942.43</t>
  </si>
  <si>
    <t>6946.71</t>
  </si>
  <si>
    <t>2938.15</t>
  </si>
  <si>
    <t>ORD100132</t>
  </si>
  <si>
    <t>03-05-2025</t>
  </si>
  <si>
    <t>CUST10287</t>
  </si>
  <si>
    <t>Mysuru</t>
  </si>
  <si>
    <t>65361.83</t>
  </si>
  <si>
    <t>37924.639999999999</t>
  </si>
  <si>
    <t>17632.919999999998</t>
  </si>
  <si>
    <t>ORD100133</t>
  </si>
  <si>
    <t>21-05-2025</t>
  </si>
  <si>
    <t>CUST10448</t>
  </si>
  <si>
    <t>4882.3999999999996</t>
  </si>
  <si>
    <t>3547.83</t>
  </si>
  <si>
    <t>602.21</t>
  </si>
  <si>
    <t>ORD100134</t>
  </si>
  <si>
    <t>CUST10470</t>
  </si>
  <si>
    <t>3055.67</t>
  </si>
  <si>
    <t>2123.17</t>
  </si>
  <si>
    <t>779.72</t>
  </si>
  <si>
    <t>ORD100135</t>
  </si>
  <si>
    <t>03-10-2025</t>
  </si>
  <si>
    <t>CUST11826</t>
  </si>
  <si>
    <t>4066.76</t>
  </si>
  <si>
    <t>5069.96</t>
  </si>
  <si>
    <t>2250.21</t>
  </si>
  <si>
    <t>ORD100136</t>
  </si>
  <si>
    <t>24-09-2025</t>
  </si>
  <si>
    <t>CUST12103</t>
  </si>
  <si>
    <t>5926.5</t>
  </si>
  <si>
    <t>4762.1899999999996</t>
  </si>
  <si>
    <t>571.66</t>
  </si>
  <si>
    <t>ORD100137</t>
  </si>
  <si>
    <t>CUST11822</t>
  </si>
  <si>
    <t>15144.33</t>
  </si>
  <si>
    <t>9624.6200000000008</t>
  </si>
  <si>
    <t>4005.28</t>
  </si>
  <si>
    <t>ORD100138</t>
  </si>
  <si>
    <t>11-02-2025</t>
  </si>
  <si>
    <t>CUST12093</t>
  </si>
  <si>
    <t>3186.71</t>
  </si>
  <si>
    <t>2559.1999999999998</t>
  </si>
  <si>
    <t>468.17</t>
  </si>
  <si>
    <t>ORD100139</t>
  </si>
  <si>
    <t>05-11-2025</t>
  </si>
  <si>
    <t>CUST10438</t>
  </si>
  <si>
    <t>1716.46</t>
  </si>
  <si>
    <t>2061.73</t>
  </si>
  <si>
    <t>1371.19</t>
  </si>
  <si>
    <t>ORD100140</t>
  </si>
  <si>
    <t>CUST11328</t>
  </si>
  <si>
    <t>73157.039999999994</t>
  </si>
  <si>
    <t>163614.66</t>
  </si>
  <si>
    <t>55856.46</t>
  </si>
  <si>
    <t>ORD100141</t>
  </si>
  <si>
    <t>02-02-2025</t>
  </si>
  <si>
    <t>CUST10596</t>
  </si>
  <si>
    <t>15683.84</t>
  </si>
  <si>
    <t>10566.92</t>
  </si>
  <si>
    <t>1980.15</t>
  </si>
  <si>
    <t>ORD100142</t>
  </si>
  <si>
    <t>17-12-2025</t>
  </si>
  <si>
    <t>CUST11193</t>
  </si>
  <si>
    <t>68375.23</t>
  </si>
  <si>
    <t>48332.86</t>
  </si>
  <si>
    <t>13204.85</t>
  </si>
  <si>
    <t>ORD100143</t>
  </si>
  <si>
    <t>13-05-2025</t>
  </si>
  <si>
    <t>CUST10354</t>
  </si>
  <si>
    <t>10062.17</t>
  </si>
  <si>
    <t>15491.76</t>
  </si>
  <si>
    <t>4632.58</t>
  </si>
  <si>
    <t>ORD100144</t>
  </si>
  <si>
    <t>CUST12730</t>
  </si>
  <si>
    <t>10011.18</t>
  </si>
  <si>
    <t>5748.85</t>
  </si>
  <si>
    <t>2760.65</t>
  </si>
  <si>
    <t>ORD100146</t>
  </si>
  <si>
    <t>26-05-2025</t>
  </si>
  <si>
    <t>CUST10273</t>
  </si>
  <si>
    <t>5359.65</t>
  </si>
  <si>
    <t>3418.25</t>
  </si>
  <si>
    <t>1405.43</t>
  </si>
  <si>
    <t>ORD100147</t>
  </si>
  <si>
    <t>15-01-2025</t>
  </si>
  <si>
    <t>CUST11712</t>
  </si>
  <si>
    <t>1729.36</t>
  </si>
  <si>
    <t>1395.17</t>
  </si>
  <si>
    <t>161.25</t>
  </si>
  <si>
    <t>ORD100148</t>
  </si>
  <si>
    <t>CUST10114</t>
  </si>
  <si>
    <t>45279.25</t>
  </si>
  <si>
    <t>50859.47</t>
  </si>
  <si>
    <t>35171.11</t>
  </si>
  <si>
    <t>ORD100149</t>
  </si>
  <si>
    <t>19-04-2025</t>
  </si>
  <si>
    <t>CUST10392</t>
  </si>
  <si>
    <t>44721.38</t>
  </si>
  <si>
    <t>30305.06</t>
  </si>
  <si>
    <t>12180.25</t>
  </si>
  <si>
    <t>ORD100150</t>
  </si>
  <si>
    <t>CUST12072</t>
  </si>
  <si>
    <t>14743.04</t>
  </si>
  <si>
    <t>9408.66</t>
  </si>
  <si>
    <t>4597.2299999999996</t>
  </si>
  <si>
    <t>ORD100151</t>
  </si>
  <si>
    <t>CUST11034</t>
  </si>
  <si>
    <t>58489.95</t>
  </si>
  <si>
    <t>41355.79</t>
  </si>
  <si>
    <t>8360.67</t>
  </si>
  <si>
    <t>ORD100152</t>
  </si>
  <si>
    <t>14-11-2025</t>
  </si>
  <si>
    <t>CUST10520</t>
  </si>
  <si>
    <t>5335.52</t>
  </si>
  <si>
    <t>3258.36</t>
  </si>
  <si>
    <t>1543.61</t>
  </si>
  <si>
    <t>ORD100153</t>
  </si>
  <si>
    <t>13-01-2025</t>
  </si>
  <si>
    <t>CUST13335</t>
  </si>
  <si>
    <t>1905.62</t>
  </si>
  <si>
    <t>2490.73</t>
  </si>
  <si>
    <t>748.82</t>
  </si>
  <si>
    <t>ORD100154</t>
  </si>
  <si>
    <t>10-08-2025</t>
  </si>
  <si>
    <t>CUST12975</t>
  </si>
  <si>
    <t>8225.51</t>
  </si>
  <si>
    <t>5776.97</t>
  </si>
  <si>
    <t>2448.54</t>
  </si>
  <si>
    <t>ORD100155</t>
  </si>
  <si>
    <t>27-02-2025</t>
  </si>
  <si>
    <t>CUST10442</t>
  </si>
  <si>
    <t>2794.88</t>
  </si>
  <si>
    <t>1642.18</t>
  </si>
  <si>
    <t>873.21</t>
  </si>
  <si>
    <t>ORD100156</t>
  </si>
  <si>
    <t>04-02-2025</t>
  </si>
  <si>
    <t>CUST13079</t>
  </si>
  <si>
    <t>2325.54</t>
  </si>
  <si>
    <t>1563.11</t>
  </si>
  <si>
    <t>529.88</t>
  </si>
  <si>
    <t>ORD100157</t>
  </si>
  <si>
    <t>11-05-2025</t>
  </si>
  <si>
    <t>CUST11039</t>
  </si>
  <si>
    <t>11275.28</t>
  </si>
  <si>
    <t>8371.2900000000009</t>
  </si>
  <si>
    <t>2903.99</t>
  </si>
  <si>
    <t>ORD100158</t>
  </si>
  <si>
    <t>06-08-2025</t>
  </si>
  <si>
    <t>CUST10293</t>
  </si>
  <si>
    <t>2262.36</t>
  </si>
  <si>
    <t>3109.03</t>
  </si>
  <si>
    <t>963.22</t>
  </si>
  <si>
    <t>ORD100159</t>
  </si>
  <si>
    <t>CUST13201</t>
  </si>
  <si>
    <t>50442.44</t>
  </si>
  <si>
    <t>29444.03</t>
  </si>
  <si>
    <t>20998.41</t>
  </si>
  <si>
    <t>ORD100160</t>
  </si>
  <si>
    <t>21-12-2025</t>
  </si>
  <si>
    <t>CUST12256</t>
  </si>
  <si>
    <t>9362.5300000000007</t>
  </si>
  <si>
    <t>18318.88</t>
  </si>
  <si>
    <t>6959.95</t>
  </si>
  <si>
    <t>ORD100162</t>
  </si>
  <si>
    <t>29-08-2025</t>
  </si>
  <si>
    <t>CUST13283</t>
  </si>
  <si>
    <t>4858.05</t>
  </si>
  <si>
    <t>3897</t>
  </si>
  <si>
    <t>961.05</t>
  </si>
  <si>
    <t>ORD100163</t>
  </si>
  <si>
    <t>CUST12771</t>
  </si>
  <si>
    <t>50630.879999999997</t>
  </si>
  <si>
    <t>34552.57</t>
  </si>
  <si>
    <t>13546.77</t>
  </si>
  <si>
    <t>ORD100164</t>
  </si>
  <si>
    <t>02-12-2025</t>
  </si>
  <si>
    <t>CUST11185</t>
  </si>
  <si>
    <t>29427.98</t>
  </si>
  <si>
    <t>38500.410000000003</t>
  </si>
  <si>
    <t>20355.55</t>
  </si>
  <si>
    <t>ORD100165</t>
  </si>
  <si>
    <t>CUST11352</t>
  </si>
  <si>
    <t>10488.97</t>
  </si>
  <si>
    <t>8505.99</t>
  </si>
  <si>
    <t>409.63</t>
  </si>
  <si>
    <t>ORD100166</t>
  </si>
  <si>
    <t>CUST11640</t>
  </si>
  <si>
    <t>5388.99</t>
  </si>
  <si>
    <t>3310.76</t>
  </si>
  <si>
    <t>1539.33</t>
  </si>
  <si>
    <t>ORD100167</t>
  </si>
  <si>
    <t>CUST12950</t>
  </si>
  <si>
    <t>5970.65</t>
  </si>
  <si>
    <t>4737.9799999999996</t>
  </si>
  <si>
    <t>38.54</t>
  </si>
  <si>
    <t>ORD100168</t>
  </si>
  <si>
    <t>11-12-2025</t>
  </si>
  <si>
    <t>CUST12042</t>
  </si>
  <si>
    <t>46084.53</t>
  </si>
  <si>
    <t>32500.9</t>
  </si>
  <si>
    <t>11279.4</t>
  </si>
  <si>
    <t>ORD100169</t>
  </si>
  <si>
    <t>25-11-2025</t>
  </si>
  <si>
    <t>CUST11798</t>
  </si>
  <si>
    <t>7709.15</t>
  </si>
  <si>
    <t>4888.28</t>
  </si>
  <si>
    <t>2435.41</t>
  </si>
  <si>
    <t>ORD100170</t>
  </si>
  <si>
    <t>25-01-2025</t>
  </si>
  <si>
    <t>CUST12675</t>
  </si>
  <si>
    <t>23759.17</t>
  </si>
  <si>
    <t>13889.25</t>
  </si>
  <si>
    <t>9869.92</t>
  </si>
  <si>
    <t>ORD100171</t>
  </si>
  <si>
    <t>18-03-2025</t>
  </si>
  <si>
    <t>CUST11160</t>
  </si>
  <si>
    <t>5883.03</t>
  </si>
  <si>
    <t>4424.17</t>
  </si>
  <si>
    <t>576.41</t>
  </si>
  <si>
    <t>ORD100172</t>
  </si>
  <si>
    <t>CUST12127</t>
  </si>
  <si>
    <t>1904.11</t>
  </si>
  <si>
    <t>5281.25</t>
  </si>
  <si>
    <t>1954.37</t>
  </si>
  <si>
    <t>ORD100173</t>
  </si>
  <si>
    <t>CUST10880</t>
  </si>
  <si>
    <t>4091.33</t>
  </si>
  <si>
    <t>5345.63</t>
  </si>
  <si>
    <t>2837.03</t>
  </si>
  <si>
    <t>ORD100174</t>
  </si>
  <si>
    <t>CUST11268</t>
  </si>
  <si>
    <t>3343.4</t>
  </si>
  <si>
    <t>1916.82</t>
  </si>
  <si>
    <t>1092.24</t>
  </si>
  <si>
    <t>ORD100175</t>
  </si>
  <si>
    <t>CUST11583</t>
  </si>
  <si>
    <t>4069.45</t>
  </si>
  <si>
    <t>2322.65</t>
  </si>
  <si>
    <t>1746.8</t>
  </si>
  <si>
    <t>ORD100177</t>
  </si>
  <si>
    <t>19-06-2025</t>
  </si>
  <si>
    <t>CUST10167</t>
  </si>
  <si>
    <t>72659.27</t>
  </si>
  <si>
    <t>95241.64</t>
  </si>
  <si>
    <t>35545.050000000003</t>
  </si>
  <si>
    <t>ORD100178</t>
  </si>
  <si>
    <t>19-08-2025</t>
  </si>
  <si>
    <t>CUST13240</t>
  </si>
  <si>
    <t>4130.8999999999996</t>
  </si>
  <si>
    <t>13303.93</t>
  </si>
  <si>
    <t>2393.4899999999998</t>
  </si>
  <si>
    <t>ORD100179</t>
  </si>
  <si>
    <t>17-10-2025</t>
  </si>
  <si>
    <t>CUST10656</t>
  </si>
  <si>
    <t>Fitness Band</t>
  </si>
  <si>
    <t>6968.96</t>
  </si>
  <si>
    <t>7895.06</t>
  </si>
  <si>
    <t>3255.28</t>
  </si>
  <si>
    <t>ORD100180</t>
  </si>
  <si>
    <t>CUST12660</t>
  </si>
  <si>
    <t>440.47</t>
  </si>
  <si>
    <t>306.42</t>
  </si>
  <si>
    <t>90</t>
  </si>
  <si>
    <t>ORD100181</t>
  </si>
  <si>
    <t>CUST11559</t>
  </si>
  <si>
    <t>17474.169999999998</t>
  </si>
  <si>
    <t>21956.240000000002</t>
  </si>
  <si>
    <t>9497.27</t>
  </si>
  <si>
    <t>ORD100182</t>
  </si>
  <si>
    <t>01-10-2025</t>
  </si>
  <si>
    <t>CUST10720</t>
  </si>
  <si>
    <t>3032.13</t>
  </si>
  <si>
    <t>1849.26</t>
  </si>
  <si>
    <t>879.66</t>
  </si>
  <si>
    <t>ORD100183</t>
  </si>
  <si>
    <t>CUST10851</t>
  </si>
  <si>
    <t>38655.97</t>
  </si>
  <si>
    <t>121216.76</t>
  </si>
  <si>
    <t>17944.73</t>
  </si>
  <si>
    <t>ORD100184</t>
  </si>
  <si>
    <t>18-02-2025</t>
  </si>
  <si>
    <t>CUST13462</t>
  </si>
  <si>
    <t>4695.53</t>
  </si>
  <si>
    <t>2852.51</t>
  </si>
  <si>
    <t>1608.24</t>
  </si>
  <si>
    <t>ORD100185</t>
  </si>
  <si>
    <t>03-12-2025</t>
  </si>
  <si>
    <t>CUST10852</t>
  </si>
  <si>
    <t>29723.73</t>
  </si>
  <si>
    <t>42771.55</t>
  </si>
  <si>
    <t>16675.91</t>
  </si>
  <si>
    <t>ORD100186</t>
  </si>
  <si>
    <t>CUST12251</t>
  </si>
  <si>
    <t>7886.02</t>
  </si>
  <si>
    <t>12542.51</t>
  </si>
  <si>
    <t>863.72</t>
  </si>
  <si>
    <t>ORD100187</t>
  </si>
  <si>
    <t>28-08-2025</t>
  </si>
  <si>
    <t>CUST13046</t>
  </si>
  <si>
    <t>922.88</t>
  </si>
  <si>
    <t>1954.1</t>
  </si>
  <si>
    <t>537.67999999999995</t>
  </si>
  <si>
    <t>ORD100188</t>
  </si>
  <si>
    <t>CUST10327</t>
  </si>
  <si>
    <t>ELECTRONICS</t>
  </si>
  <si>
    <t>9717.0400000000009</t>
  </si>
  <si>
    <t>13399.37</t>
  </si>
  <si>
    <t>4091.3</t>
  </si>
  <si>
    <t>ORD100189</t>
  </si>
  <si>
    <t>11-11-2025</t>
  </si>
  <si>
    <t>CUST11795</t>
  </si>
  <si>
    <t>3537.33</t>
  </si>
  <si>
    <t>2577.61</t>
  </si>
  <si>
    <t>605.99</t>
  </si>
  <si>
    <t>ORD100190</t>
  </si>
  <si>
    <t>29-11-2025</t>
  </si>
  <si>
    <t>CUST10227</t>
  </si>
  <si>
    <t>20807.86</t>
  </si>
  <si>
    <t>14553.6</t>
  </si>
  <si>
    <t>3133.08</t>
  </si>
  <si>
    <t>ORD100191</t>
  </si>
  <si>
    <t>28-03-2025</t>
  </si>
  <si>
    <t>CUST13047</t>
  </si>
  <si>
    <t>39777.25</t>
  </si>
  <si>
    <t>32546.59</t>
  </si>
  <si>
    <t>3252.93</t>
  </si>
  <si>
    <t>ORD100192</t>
  </si>
  <si>
    <t>CUST10348</t>
  </si>
  <si>
    <t>11208.68</t>
  </si>
  <si>
    <t>7139.12</t>
  </si>
  <si>
    <t>3509.13</t>
  </si>
  <si>
    <t>ORD100193</t>
  </si>
  <si>
    <t>CUST12540</t>
  </si>
  <si>
    <t>9815.09</t>
  </si>
  <si>
    <t>19527.96</t>
  </si>
  <si>
    <t>8445.0499999999993</t>
  </si>
  <si>
    <t>ORD100194</t>
  </si>
  <si>
    <t>12-11-2025</t>
  </si>
  <si>
    <t>CUST12446</t>
  </si>
  <si>
    <t>2450.8200000000002</t>
  </si>
  <si>
    <t>3953.86</t>
  </si>
  <si>
    <t>212.53</t>
  </si>
  <si>
    <t>ORD100195</t>
  </si>
  <si>
    <t>CUST10033</t>
  </si>
  <si>
    <t>17413.16</t>
  </si>
  <si>
    <t>41832.410000000003</t>
  </si>
  <si>
    <t>10407.07</t>
  </si>
  <si>
    <t>ORD100196</t>
  </si>
  <si>
    <t>04-08-2025</t>
  </si>
  <si>
    <t>CUST10039</t>
  </si>
  <si>
    <t>54140.02</t>
  </si>
  <si>
    <t>35085.86</t>
  </si>
  <si>
    <t>8226.16</t>
  </si>
  <si>
    <t>ORD100197</t>
  </si>
  <si>
    <t>CUST12612</t>
  </si>
  <si>
    <t>58667.09</t>
  </si>
  <si>
    <t>47385.26</t>
  </si>
  <si>
    <t>11281.83</t>
  </si>
  <si>
    <t>ORD100198</t>
  </si>
  <si>
    <t>CUST11475</t>
  </si>
  <si>
    <t>3848.36</t>
  </si>
  <si>
    <t>2201.1999999999998</t>
  </si>
  <si>
    <t>1647.16</t>
  </si>
  <si>
    <t>ORD100199</t>
  </si>
  <si>
    <t>08-10-2025</t>
  </si>
  <si>
    <t>CUST10028</t>
  </si>
  <si>
    <t>7511.17</t>
  </si>
  <si>
    <t>4230.6499999999996</t>
  </si>
  <si>
    <t>3280.52</t>
  </si>
  <si>
    <t>ORD100200</t>
  </si>
  <si>
    <t>CUST11977</t>
  </si>
  <si>
    <t>880.67</t>
  </si>
  <si>
    <t>1430.74</t>
  </si>
  <si>
    <t>330.6</t>
  </si>
  <si>
    <t>ORD100201</t>
  </si>
  <si>
    <t>CUST13179</t>
  </si>
  <si>
    <t>2556.1799999999998</t>
  </si>
  <si>
    <t>3722.82</t>
  </si>
  <si>
    <t>367.07</t>
  </si>
  <si>
    <t>ORD100202</t>
  </si>
  <si>
    <t>CUST11203</t>
  </si>
  <si>
    <t>878.07</t>
  </si>
  <si>
    <t>522</t>
  </si>
  <si>
    <t>268.26</t>
  </si>
  <si>
    <t>ORD100203</t>
  </si>
  <si>
    <t>26-09-2025</t>
  </si>
  <si>
    <t>CUST12217</t>
  </si>
  <si>
    <t>1349.38</t>
  </si>
  <si>
    <t>955.5</t>
  </si>
  <si>
    <t>326.41000000000003</t>
  </si>
  <si>
    <t>ORD100204</t>
  </si>
  <si>
    <t>08-11-2025</t>
  </si>
  <si>
    <t>CUST10556</t>
  </si>
  <si>
    <t>3285.25</t>
  </si>
  <si>
    <t>2067.9299999999998</t>
  </si>
  <si>
    <t>1053.06</t>
  </si>
  <si>
    <t>ORD100205</t>
  </si>
  <si>
    <t>09-11-2025</t>
  </si>
  <si>
    <t>CUST13357</t>
  </si>
  <si>
    <t>2326.92</t>
  </si>
  <si>
    <t>3759.92</t>
  </si>
  <si>
    <t>661.23</t>
  </si>
  <si>
    <t>ORD100206</t>
  </si>
  <si>
    <t>27-07-2025</t>
  </si>
  <si>
    <t>CUST11001</t>
  </si>
  <si>
    <t>47339.99</t>
  </si>
  <si>
    <t>36585.01</t>
  </si>
  <si>
    <t>3653.98</t>
  </si>
  <si>
    <t>ORD100207</t>
  </si>
  <si>
    <t>22-03-2025</t>
  </si>
  <si>
    <t>CUST12004</t>
  </si>
  <si>
    <t>64410.61</t>
  </si>
  <si>
    <t>149696.26999999999</t>
  </si>
  <si>
    <t>4889.1899999999996</t>
  </si>
  <si>
    <t>ORD100208</t>
  </si>
  <si>
    <t>CUST13019</t>
  </si>
  <si>
    <t>5384.36</t>
  </si>
  <si>
    <t>3868.88</t>
  </si>
  <si>
    <t>1246.26</t>
  </si>
  <si>
    <t>ORD100209</t>
  </si>
  <si>
    <t>06-10-2025</t>
  </si>
  <si>
    <t>CUST11914</t>
  </si>
  <si>
    <t>4544.59</t>
  </si>
  <si>
    <t>2946.45</t>
  </si>
  <si>
    <t>1143.68</t>
  </si>
  <si>
    <t>ORD100210</t>
  </si>
  <si>
    <t>14-12-2025</t>
  </si>
  <si>
    <t>CUST10863</t>
  </si>
  <si>
    <t>40725.980000000003</t>
  </si>
  <si>
    <t>62939.28</t>
  </si>
  <si>
    <t>18512.68</t>
  </si>
  <si>
    <t>ORD100211</t>
  </si>
  <si>
    <t>13-10-2025</t>
  </si>
  <si>
    <t>CUST11165</t>
  </si>
  <si>
    <t>6816.62</t>
  </si>
  <si>
    <t>4188.25</t>
  </si>
  <si>
    <t>2287.54</t>
  </si>
  <si>
    <t>ORD100213</t>
  </si>
  <si>
    <t>22-08-2025</t>
  </si>
  <si>
    <t>CUST10509</t>
  </si>
  <si>
    <t>1092.48</t>
  </si>
  <si>
    <t>2166.81</t>
  </si>
  <si>
    <t>619.01</t>
  </si>
  <si>
    <t>ORD100214</t>
  </si>
  <si>
    <t>01-06-2025</t>
  </si>
  <si>
    <t>CUST10426</t>
  </si>
  <si>
    <t>9343.9699999999993</t>
  </si>
  <si>
    <t>6241.98</t>
  </si>
  <si>
    <t>2634.79</t>
  </si>
  <si>
    <t>ORD100215</t>
  </si>
  <si>
    <t>22-05-2025</t>
  </si>
  <si>
    <t>CUST13181</t>
  </si>
  <si>
    <t>3972.71</t>
  </si>
  <si>
    <t>5854.73</t>
  </si>
  <si>
    <t>2090.69</t>
  </si>
  <si>
    <t>ORD100216</t>
  </si>
  <si>
    <t>CUST13403</t>
  </si>
  <si>
    <t>40586.160000000003</t>
  </si>
  <si>
    <t>31234.81</t>
  </si>
  <si>
    <t>3263.43</t>
  </si>
  <si>
    <t>ORD100217</t>
  </si>
  <si>
    <t>16-02-2025</t>
  </si>
  <si>
    <t>CUST12826</t>
  </si>
  <si>
    <t>17381.98</t>
  </si>
  <si>
    <t>11780.52</t>
  </si>
  <si>
    <t>5601.46</t>
  </si>
  <si>
    <t>ORD100218</t>
  </si>
  <si>
    <t>28-06-2025</t>
  </si>
  <si>
    <t>CUST10441</t>
  </si>
  <si>
    <t>4975.58</t>
  </si>
  <si>
    <t>5523.93</t>
  </si>
  <si>
    <t>3929.67</t>
  </si>
  <si>
    <t>ORD100219</t>
  </si>
  <si>
    <t>11-09-2025</t>
  </si>
  <si>
    <t>CUST12859</t>
  </si>
  <si>
    <t>1413.17</t>
  </si>
  <si>
    <t>814.83</t>
  </si>
  <si>
    <t>386.36</t>
  </si>
  <si>
    <t>ORD100220</t>
  </si>
  <si>
    <t>CUST10727</t>
  </si>
  <si>
    <t>4191.42</t>
  </si>
  <si>
    <t>6673.43</t>
  </si>
  <si>
    <t>1290.27</t>
  </si>
  <si>
    <t>ORD100221</t>
  </si>
  <si>
    <t>CUST10504</t>
  </si>
  <si>
    <t>3529.67</t>
  </si>
  <si>
    <t>2812.62</t>
  </si>
  <si>
    <t>187.6</t>
  </si>
  <si>
    <t>ORD100222</t>
  </si>
  <si>
    <t>16-01-2025</t>
  </si>
  <si>
    <t>CUST13354</t>
  </si>
  <si>
    <t>13278.76</t>
  </si>
  <si>
    <t>10755.46</t>
  </si>
  <si>
    <t>2523.3000000000002</t>
  </si>
  <si>
    <t>ORD100223</t>
  </si>
  <si>
    <t>CUST11303</t>
  </si>
  <si>
    <t>2660.77</t>
  </si>
  <si>
    <t>1792.72</t>
  </si>
  <si>
    <t>468.93</t>
  </si>
  <si>
    <t>ORD100224</t>
  </si>
  <si>
    <t>18-04-2025</t>
  </si>
  <si>
    <t>CUST12328</t>
  </si>
  <si>
    <t>74968.429999999993</t>
  </si>
  <si>
    <t>44631.23</t>
  </si>
  <si>
    <t>22840.36</t>
  </si>
  <si>
    <t>ORD100225</t>
  </si>
  <si>
    <t>05-08-2025</t>
  </si>
  <si>
    <t>CUST11944</t>
  </si>
  <si>
    <t>9758.2900000000009</t>
  </si>
  <si>
    <t>7896.02</t>
  </si>
  <si>
    <t>-89.39</t>
  </si>
  <si>
    <t>ORD100226</t>
  </si>
  <si>
    <t>04-12-2025</t>
  </si>
  <si>
    <t>CUST10015</t>
  </si>
  <si>
    <t>5221.93</t>
  </si>
  <si>
    <t>3132.61</t>
  </si>
  <si>
    <t>1567.13</t>
  </si>
  <si>
    <t>ORD100227</t>
  </si>
  <si>
    <t>CUST11473</t>
  </si>
  <si>
    <t>2034.57</t>
  </si>
  <si>
    <t>2823.52</t>
  </si>
  <si>
    <t>1245.6199999999999</t>
  </si>
  <si>
    <t>ORD100228</t>
  </si>
  <si>
    <t>20-11-2025</t>
  </si>
  <si>
    <t>CUST11333</t>
  </si>
  <si>
    <t>4736.3</t>
  </si>
  <si>
    <t>3280.39</t>
  </si>
  <si>
    <t>1219.0899999999999</t>
  </si>
  <si>
    <t>ORD100229</t>
  </si>
  <si>
    <t>22-02-2025</t>
  </si>
  <si>
    <t>CUST13205</t>
  </si>
  <si>
    <t>4894.78</t>
  </si>
  <si>
    <t>2922.38</t>
  </si>
  <si>
    <t>1482.92</t>
  </si>
  <si>
    <t>ORD100230</t>
  </si>
  <si>
    <t>22-06-2025</t>
  </si>
  <si>
    <t>CUST11890</t>
  </si>
  <si>
    <t>8673.9699999999993</t>
  </si>
  <si>
    <t>7032.13</t>
  </si>
  <si>
    <t>1208.1400000000001</t>
  </si>
  <si>
    <t>ORD100231</t>
  </si>
  <si>
    <t>02-05-2025</t>
  </si>
  <si>
    <t>CUST11368</t>
  </si>
  <si>
    <t>2350.56</t>
  </si>
  <si>
    <t>1375.77</t>
  </si>
  <si>
    <t>974.79</t>
  </si>
  <si>
    <t>ORD100232</t>
  </si>
  <si>
    <t>CUST13001</t>
  </si>
  <si>
    <t>5393.3</t>
  </si>
  <si>
    <t>4288.59</t>
  </si>
  <si>
    <t>835.05</t>
  </si>
  <si>
    <t>ORD100233</t>
  </si>
  <si>
    <t>17-11-2025</t>
  </si>
  <si>
    <t>CUST12240</t>
  </si>
  <si>
    <t>5607.64</t>
  </si>
  <si>
    <t>7445.94</t>
  </si>
  <si>
    <t>3208.58</t>
  </si>
  <si>
    <t>ORD100234</t>
  </si>
  <si>
    <t>CUST10137</t>
  </si>
  <si>
    <t>3874.81</t>
  </si>
  <si>
    <t>2905.52</t>
  </si>
  <si>
    <t>388.07</t>
  </si>
  <si>
    <t>ORD100235</t>
  </si>
  <si>
    <t>CUST12338</t>
  </si>
  <si>
    <t>5702.53</t>
  </si>
  <si>
    <t>4421.6899999999996</t>
  </si>
  <si>
    <t>710.59</t>
  </si>
  <si>
    <t>ORD100238</t>
  </si>
  <si>
    <t>CUST10586</t>
  </si>
  <si>
    <t>2425.27</t>
  </si>
  <si>
    <t>2866.85</t>
  </si>
  <si>
    <t>1498.64</t>
  </si>
  <si>
    <t>ORD100239</t>
  </si>
  <si>
    <t>01-12-2025</t>
  </si>
  <si>
    <t>CUST12860</t>
  </si>
  <si>
    <t>1129.32</t>
  </si>
  <si>
    <t>842.89</t>
  </si>
  <si>
    <t>173.5</t>
  </si>
  <si>
    <t>ORD100240</t>
  </si>
  <si>
    <t>29-10-2025</t>
  </si>
  <si>
    <t>CUST11841</t>
  </si>
  <si>
    <t>12751.12</t>
  </si>
  <si>
    <t>9474.44</t>
  </si>
  <si>
    <t>1364.01</t>
  </si>
  <si>
    <t>ORD100241</t>
  </si>
  <si>
    <t>CUST11238</t>
  </si>
  <si>
    <t>6016.9</t>
  </si>
  <si>
    <t>7475.26</t>
  </si>
  <si>
    <t>3956.85</t>
  </si>
  <si>
    <t>ORD100242</t>
  </si>
  <si>
    <t>14-09-2025</t>
  </si>
  <si>
    <t>CUST10385</t>
  </si>
  <si>
    <t>38976.76</t>
  </si>
  <si>
    <t>61876.11</t>
  </si>
  <si>
    <t>8282.06</t>
  </si>
  <si>
    <t>ORD100243</t>
  </si>
  <si>
    <t>13-08-2025</t>
  </si>
  <si>
    <t>CUST13496</t>
  </si>
  <si>
    <t>16317.71</t>
  </si>
  <si>
    <t>9992.17</t>
  </si>
  <si>
    <t>6325.54</t>
  </si>
  <si>
    <t>ORD100244</t>
  </si>
  <si>
    <t>CUST13044</t>
  </si>
  <si>
    <t>15812.79</t>
  </si>
  <si>
    <t>9830.07</t>
  </si>
  <si>
    <t>5192.08</t>
  </si>
  <si>
    <t>ORD100245</t>
  </si>
  <si>
    <t>12-01-2025</t>
  </si>
  <si>
    <t>CUST13396</t>
  </si>
  <si>
    <t>4255.21</t>
  </si>
  <si>
    <t>2543.5100000000002</t>
  </si>
  <si>
    <t>1286.18</t>
  </si>
  <si>
    <t>ORD100246</t>
  </si>
  <si>
    <t>25-05-2025</t>
  </si>
  <si>
    <t>CUST10013</t>
  </si>
  <si>
    <t>2764.71</t>
  </si>
  <si>
    <t>3045.37</t>
  </si>
  <si>
    <t>1931.11</t>
  </si>
  <si>
    <t>ORD100247</t>
  </si>
  <si>
    <t>31-08-2025</t>
  </si>
  <si>
    <t>CUST10312</t>
  </si>
  <si>
    <t>788.19</t>
  </si>
  <si>
    <t>578.57000000000005</t>
  </si>
  <si>
    <t>130.80000000000001</t>
  </si>
  <si>
    <t>ORD100248</t>
  </si>
  <si>
    <t>CUST13037</t>
  </si>
  <si>
    <t>5884.75</t>
  </si>
  <si>
    <t>9017.0400000000009</t>
  </si>
  <si>
    <t>1575.51</t>
  </si>
  <si>
    <t>ORD100249</t>
  </si>
  <si>
    <t>CUST13288</t>
  </si>
  <si>
    <t>5011.6099999999997</t>
  </si>
  <si>
    <t>4031.06</t>
  </si>
  <si>
    <t>729.97</t>
  </si>
  <si>
    <t>ORD100250</t>
  </si>
  <si>
    <t>08-08-2025</t>
  </si>
  <si>
    <t>CUST10538</t>
  </si>
  <si>
    <t>7854.72</t>
  </si>
  <si>
    <t>10571.71</t>
  </si>
  <si>
    <t>3566.79</t>
  </si>
  <si>
    <t>ORD100251</t>
  </si>
  <si>
    <t>01-04-2025</t>
  </si>
  <si>
    <t>CUST10515</t>
  </si>
  <si>
    <t>10791.53</t>
  </si>
  <si>
    <t>32126.17</t>
  </si>
  <si>
    <t>6723.34</t>
  </si>
  <si>
    <t>ORD100252</t>
  </si>
  <si>
    <t>11-08-2025</t>
  </si>
  <si>
    <t>CUST12296</t>
  </si>
  <si>
    <t>15647.55</t>
  </si>
  <si>
    <t>10169.08</t>
  </si>
  <si>
    <t>3131.34</t>
  </si>
  <si>
    <t>ORD100253</t>
  </si>
  <si>
    <t>25-03-2025</t>
  </si>
  <si>
    <t>CUST12869</t>
  </si>
  <si>
    <t>6815.14</t>
  </si>
  <si>
    <t>4776.78</t>
  </si>
  <si>
    <t>2038.36</t>
  </si>
  <si>
    <t>ORD100254</t>
  </si>
  <si>
    <t>05-04-2025</t>
  </si>
  <si>
    <t>CUST11992</t>
  </si>
  <si>
    <t>4774.33</t>
  </si>
  <si>
    <t>2880</t>
  </si>
  <si>
    <t>1178.18</t>
  </si>
  <si>
    <t>ORD100255</t>
  </si>
  <si>
    <t>27-05-2025</t>
  </si>
  <si>
    <t>CUST13416</t>
  </si>
  <si>
    <t>2190.1999999999998</t>
  </si>
  <si>
    <t>1286.6500000000001</t>
  </si>
  <si>
    <t>684.53</t>
  </si>
  <si>
    <t>ORD100256</t>
  </si>
  <si>
    <t>CUST10885</t>
  </si>
  <si>
    <t>2832.49</t>
  </si>
  <si>
    <t>4024.36</t>
  </si>
  <si>
    <t>790.87</t>
  </si>
  <si>
    <t>ORD100257</t>
  </si>
  <si>
    <t>CUST10895</t>
  </si>
  <si>
    <t>28898.33</t>
  </si>
  <si>
    <t>62826.879999999997</t>
  </si>
  <si>
    <t>23868.11</t>
  </si>
  <si>
    <t>ORD100258</t>
  </si>
  <si>
    <t>CUST10551</t>
  </si>
  <si>
    <t>6663.39</t>
  </si>
  <si>
    <t>4313.43</t>
  </si>
  <si>
    <t>1683.62</t>
  </si>
  <si>
    <t>ORD100259</t>
  </si>
  <si>
    <t>CUST11976</t>
  </si>
  <si>
    <t>2884.91</t>
  </si>
  <si>
    <t>4350.24</t>
  </si>
  <si>
    <t>1131.0899999999999</t>
  </si>
  <si>
    <t>ORD100261</t>
  </si>
  <si>
    <t>31-05-2025</t>
  </si>
  <si>
    <t>CUST10469</t>
  </si>
  <si>
    <t>2850.04</t>
  </si>
  <si>
    <t>3849.8</t>
  </si>
  <si>
    <t>995.27</t>
  </si>
  <si>
    <t>ORD100262</t>
  </si>
  <si>
    <t>CUST10525</t>
  </si>
  <si>
    <t>6646.47</t>
  </si>
  <si>
    <t>4356.17</t>
  </si>
  <si>
    <t>1293.33</t>
  </si>
  <si>
    <t>ORD100263</t>
  </si>
  <si>
    <t>29-05-2025</t>
  </si>
  <si>
    <t>CUST11483</t>
  </si>
  <si>
    <t>10637.69</t>
  </si>
  <si>
    <t>6788.74</t>
  </si>
  <si>
    <t>2785.18</t>
  </si>
  <si>
    <t>ORD100264</t>
  </si>
  <si>
    <t>07-12-2025</t>
  </si>
  <si>
    <t>CUST12444</t>
  </si>
  <si>
    <t>16370.36</t>
  </si>
  <si>
    <t>20016.21</t>
  </si>
  <si>
    <t>7813.4</t>
  </si>
  <si>
    <t>ORD100265</t>
  </si>
  <si>
    <t>23-06-2025</t>
  </si>
  <si>
    <t>CUST11357</t>
  </si>
  <si>
    <t>930.48</t>
  </si>
  <si>
    <t>1350.67</t>
  </si>
  <si>
    <t>324.19</t>
  </si>
  <si>
    <t>ORD100266</t>
  </si>
  <si>
    <t>12-03-2025</t>
  </si>
  <si>
    <t>CUST11713</t>
  </si>
  <si>
    <t>60550.400000000001</t>
  </si>
  <si>
    <t>43476.47</t>
  </si>
  <si>
    <t>17073.93</t>
  </si>
  <si>
    <t>ORD100267</t>
  </si>
  <si>
    <t>28-05-2025</t>
  </si>
  <si>
    <t>CUST12238</t>
  </si>
  <si>
    <t>1335.93</t>
  </si>
  <si>
    <t>924.12</t>
  </si>
  <si>
    <t>345.01</t>
  </si>
  <si>
    <t>ORD100268</t>
  </si>
  <si>
    <t>17-09-2025</t>
  </si>
  <si>
    <t>CUST13408</t>
  </si>
  <si>
    <t>58672.42</t>
  </si>
  <si>
    <t>39870.14</t>
  </si>
  <si>
    <t>15868.66</t>
  </si>
  <si>
    <t>ORD100269</t>
  </si>
  <si>
    <t>CUST12253</t>
  </si>
  <si>
    <t>17108.43</t>
  </si>
  <si>
    <t>30944.3</t>
  </si>
  <si>
    <t>20380.990000000002</t>
  </si>
  <si>
    <t>ORD100270</t>
  </si>
  <si>
    <t>CUST10937</t>
  </si>
  <si>
    <t>16205.95</t>
  </si>
  <si>
    <t>9587.7800000000007</t>
  </si>
  <si>
    <t>5807.87</t>
  </si>
  <si>
    <t>ORD100271</t>
  </si>
  <si>
    <t>CUST12640</t>
  </si>
  <si>
    <t>24877.74</t>
  </si>
  <si>
    <t>17511.330000000002</t>
  </si>
  <si>
    <t>6122.52</t>
  </si>
  <si>
    <t>ORD100272</t>
  </si>
  <si>
    <t>CUST11000</t>
  </si>
  <si>
    <t>17921.060000000001</t>
  </si>
  <si>
    <t>23165.48</t>
  </si>
  <si>
    <t>7300.32</t>
  </si>
  <si>
    <t>ORD100273</t>
  </si>
  <si>
    <t>CUST11125</t>
  </si>
  <si>
    <t>6064.15</t>
  </si>
  <si>
    <t>8916.1</t>
  </si>
  <si>
    <t>786.54</t>
  </si>
  <si>
    <t>ORD100274</t>
  </si>
  <si>
    <t>09-09-2025</t>
  </si>
  <si>
    <t>CUST12507</t>
  </si>
  <si>
    <t>6916.27</t>
  </si>
  <si>
    <t>16939.96</t>
  </si>
  <si>
    <t>1733.97</t>
  </si>
  <si>
    <t>ORD100275</t>
  </si>
  <si>
    <t>CUST13149</t>
  </si>
  <si>
    <t>3722.26</t>
  </si>
  <si>
    <t>2168.6799999999998</t>
  </si>
  <si>
    <t>995.24</t>
  </si>
  <si>
    <t>ORD100276</t>
  </si>
  <si>
    <t>CUST13110</t>
  </si>
  <si>
    <t>1138.4100000000001</t>
  </si>
  <si>
    <t>1901.95</t>
  </si>
  <si>
    <t>1342.52</t>
  </si>
  <si>
    <t>ORD100277</t>
  </si>
  <si>
    <t>20-09-2025</t>
  </si>
  <si>
    <t>CUST11889</t>
  </si>
  <si>
    <t>11219.52</t>
  </si>
  <si>
    <t>26743.64</t>
  </si>
  <si>
    <t>5231.99</t>
  </si>
  <si>
    <t>ORD100278</t>
  </si>
  <si>
    <t>CUST10805</t>
  </si>
  <si>
    <t>2103.67</t>
  </si>
  <si>
    <t>1692.78</t>
  </si>
  <si>
    <t>305.70999999999998</t>
  </si>
  <si>
    <t>ORD100279</t>
  </si>
  <si>
    <t>CUST11061</t>
  </si>
  <si>
    <t>58332.61</t>
  </si>
  <si>
    <t>86942.95</t>
  </si>
  <si>
    <t>18055.75</t>
  </si>
  <si>
    <t>ORD100280</t>
  </si>
  <si>
    <t>CUST10435</t>
  </si>
  <si>
    <t>53953.37</t>
  </si>
  <si>
    <t>40752.339999999997</t>
  </si>
  <si>
    <t>10503.36</t>
  </si>
  <si>
    <t>ORD100281</t>
  </si>
  <si>
    <t>CUST13119</t>
  </si>
  <si>
    <t>17734.939999999999</t>
  </si>
  <si>
    <t>11783.05</t>
  </si>
  <si>
    <t>2404.9</t>
  </si>
  <si>
    <t>ORD100283</t>
  </si>
  <si>
    <t>CUST12633</t>
  </si>
  <si>
    <t>7185.8</t>
  </si>
  <si>
    <t>15334.07</t>
  </si>
  <si>
    <t>2989.72</t>
  </si>
  <si>
    <t>ORD100284</t>
  </si>
  <si>
    <t>CUST11460</t>
  </si>
  <si>
    <t>4787.83</t>
  </si>
  <si>
    <t>3599.95</t>
  </si>
  <si>
    <t>709.1</t>
  </si>
  <si>
    <t>ORD100285</t>
  </si>
  <si>
    <t>CUST10765</t>
  </si>
  <si>
    <t>2570.63</t>
  </si>
  <si>
    <t>2862.58</t>
  </si>
  <si>
    <t>2021.62</t>
  </si>
  <si>
    <t>ORD100286</t>
  </si>
  <si>
    <t>CUST10709</t>
  </si>
  <si>
    <t>11059.52</t>
  </si>
  <si>
    <t>7015.96</t>
  </si>
  <si>
    <t>2384.63</t>
  </si>
  <si>
    <t>ORD100287</t>
  </si>
  <si>
    <t>12-09-2025</t>
  </si>
  <si>
    <t>CUST12138</t>
  </si>
  <si>
    <t>8165.48</t>
  </si>
  <si>
    <t>13141.2</t>
  </si>
  <si>
    <t>3189.76</t>
  </si>
  <si>
    <t>ORD100288</t>
  </si>
  <si>
    <t>CUST11470</t>
  </si>
  <si>
    <t>11032.98</t>
  </si>
  <si>
    <t>6295.34</t>
  </si>
  <si>
    <t>3082.69</t>
  </si>
  <si>
    <t>ORD100289</t>
  </si>
  <si>
    <t>26-11-2025</t>
  </si>
  <si>
    <t>CUST11447</t>
  </si>
  <si>
    <t>2553.87</t>
  </si>
  <si>
    <t>4030.7</t>
  </si>
  <si>
    <t>821.65</t>
  </si>
  <si>
    <t>ORD100290</t>
  </si>
  <si>
    <t>15-08-2025</t>
  </si>
  <si>
    <t>CUST12475</t>
  </si>
  <si>
    <t>1562.77</t>
  </si>
  <si>
    <t>1060.26</t>
  </si>
  <si>
    <t>502.51</t>
  </si>
  <si>
    <t>ORD100291</t>
  </si>
  <si>
    <t>CUST12099</t>
  </si>
  <si>
    <t>52080.55</t>
  </si>
  <si>
    <t>103477.57</t>
  </si>
  <si>
    <t>29327.83</t>
  </si>
  <si>
    <t>ORD100292</t>
  </si>
  <si>
    <t>CUST11950</t>
  </si>
  <si>
    <t>419.76</t>
  </si>
  <si>
    <t>514.03</t>
  </si>
  <si>
    <t>325.49</t>
  </si>
  <si>
    <t>ORD100293</t>
  </si>
  <si>
    <t>CUST13098</t>
  </si>
  <si>
    <t>3325.79</t>
  </si>
  <si>
    <t>2220.5500000000002</t>
  </si>
  <si>
    <t>772.66</t>
  </si>
  <si>
    <t>ORD100294</t>
  </si>
  <si>
    <t>CUST12848</t>
  </si>
  <si>
    <t>14855.19</t>
  </si>
  <si>
    <t>21413.11</t>
  </si>
  <si>
    <t>3840.71</t>
  </si>
  <si>
    <t>ORD100295</t>
  </si>
  <si>
    <t>CUST10822</t>
  </si>
  <si>
    <t>3629.65</t>
  </si>
  <si>
    <t>8728.6</t>
  </si>
  <si>
    <t>1615.9</t>
  </si>
  <si>
    <t>ORD100296</t>
  </si>
  <si>
    <t>18-08-2025</t>
  </si>
  <si>
    <t>CUST11519</t>
  </si>
  <si>
    <t>11312.27</t>
  </si>
  <si>
    <t>6520.99</t>
  </si>
  <si>
    <t>3660.05</t>
  </si>
  <si>
    <t>ORD100297</t>
  </si>
  <si>
    <t>22-04-2025</t>
  </si>
  <si>
    <t>CUST11789</t>
  </si>
  <si>
    <t>5787.79</t>
  </si>
  <si>
    <t>8192.39</t>
  </si>
  <si>
    <t>2225.63</t>
  </si>
  <si>
    <t>ORD100298</t>
  </si>
  <si>
    <t>CUST11835</t>
  </si>
  <si>
    <t>32444.92</t>
  </si>
  <si>
    <t>69183.48</t>
  </si>
  <si>
    <t>28151.279999999999</t>
  </si>
  <si>
    <t>ORD100299</t>
  </si>
  <si>
    <t>02-11-2025</t>
  </si>
  <si>
    <t>CUST11808</t>
  </si>
  <si>
    <t>39064.080000000002</t>
  </si>
  <si>
    <t>49475.65</t>
  </si>
  <si>
    <t>20839.689999999999</t>
  </si>
  <si>
    <t>ORD100300</t>
  </si>
  <si>
    <t>26-08-2025</t>
  </si>
  <si>
    <t>CUST13206</t>
  </si>
  <si>
    <t>41731.199999999997</t>
  </si>
  <si>
    <t>29143.86</t>
  </si>
  <si>
    <t>8414.2199999999993</t>
  </si>
  <si>
    <t>ORD100301</t>
  </si>
  <si>
    <t>CUST10613</t>
  </si>
  <si>
    <t>4757.13</t>
  </si>
  <si>
    <t>2910.05</t>
  </si>
  <si>
    <t>1847.08</t>
  </si>
  <si>
    <t>ORD100302</t>
  </si>
  <si>
    <t>08-09-2025</t>
  </si>
  <si>
    <t>CUST12504</t>
  </si>
  <si>
    <t>2991.59</t>
  </si>
  <si>
    <t>1829.31</t>
  </si>
  <si>
    <t>863.12</t>
  </si>
  <si>
    <t>ORD100303</t>
  </si>
  <si>
    <t>CUST12144</t>
  </si>
  <si>
    <t>37489.43</t>
  </si>
  <si>
    <t>21599.85</t>
  </si>
  <si>
    <t>8391.69</t>
  </si>
  <si>
    <t>ORD100304</t>
  </si>
  <si>
    <t>16-06-2025</t>
  </si>
  <si>
    <t>CUST12609</t>
  </si>
  <si>
    <t>10413.08</t>
  </si>
  <si>
    <t>6134.89</t>
  </si>
  <si>
    <t>3757.54</t>
  </si>
  <si>
    <t>ORD100305</t>
  </si>
  <si>
    <t>10-11-2025</t>
  </si>
  <si>
    <t>CUST10017</t>
  </si>
  <si>
    <t>828.91</t>
  </si>
  <si>
    <t>633.91999999999996</t>
  </si>
  <si>
    <t>153.54</t>
  </si>
  <si>
    <t>ORD100306</t>
  </si>
  <si>
    <t>CUST13450</t>
  </si>
  <si>
    <t>5018.41</t>
  </si>
  <si>
    <t>3888.9</t>
  </si>
  <si>
    <t>627.66999999999996</t>
  </si>
  <si>
    <t>ORD100307</t>
  </si>
  <si>
    <t>CUST11549</t>
  </si>
  <si>
    <t>49816.6</t>
  </si>
  <si>
    <t>63579.23</t>
  </si>
  <si>
    <t>31072.31</t>
  </si>
  <si>
    <t>ORD100308</t>
  </si>
  <si>
    <t>CUST10529</t>
  </si>
  <si>
    <t>5311.35</t>
  </si>
  <si>
    <t>3865.24</t>
  </si>
  <si>
    <t>1446.11</t>
  </si>
  <si>
    <t>ORD100309</t>
  </si>
  <si>
    <t>CUST11049</t>
  </si>
  <si>
    <t>36463.47</t>
  </si>
  <si>
    <t>73986.53</t>
  </si>
  <si>
    <t>24464.84</t>
  </si>
  <si>
    <t>ORD100310</t>
  </si>
  <si>
    <t>03-08-2025</t>
  </si>
  <si>
    <t>CUST11229</t>
  </si>
  <si>
    <t>14132.33</t>
  </si>
  <si>
    <t>10296.41</t>
  </si>
  <si>
    <t>1716.07</t>
  </si>
  <si>
    <t>SHIPPED</t>
  </si>
  <si>
    <t>ORD100311</t>
  </si>
  <si>
    <t>CUST11036</t>
  </si>
  <si>
    <t>39579.980000000003</t>
  </si>
  <si>
    <t>93772.21</t>
  </si>
  <si>
    <t>13093.74</t>
  </si>
  <si>
    <t>ORD100312</t>
  </si>
  <si>
    <t>25-12-2025</t>
  </si>
  <si>
    <t>CUST12076</t>
  </si>
  <si>
    <t>5907.73</t>
  </si>
  <si>
    <t>8191.88</t>
  </si>
  <si>
    <t>3623.58</t>
  </si>
  <si>
    <t>ORD100313</t>
  </si>
  <si>
    <t>06-11-2025</t>
  </si>
  <si>
    <t>CUST11009</t>
  </si>
  <si>
    <t>28147.67</t>
  </si>
  <si>
    <t>19967.55</t>
  </si>
  <si>
    <t>3957.97</t>
  </si>
  <si>
    <t>ORD100315</t>
  </si>
  <si>
    <t>05-05-2025</t>
  </si>
  <si>
    <t>CUST13141</t>
  </si>
  <si>
    <t>11198.21</t>
  </si>
  <si>
    <t>14331.92</t>
  </si>
  <si>
    <t>8064.5</t>
  </si>
  <si>
    <t>ORD100316</t>
  </si>
  <si>
    <t>CUST11880</t>
  </si>
  <si>
    <t>5882.79</t>
  </si>
  <si>
    <t>3694.73</t>
  </si>
  <si>
    <t>1011.5</t>
  </si>
  <si>
    <t>ORD100317</t>
  </si>
  <si>
    <t>CUST12605</t>
  </si>
  <si>
    <t>74773.149999999994</t>
  </si>
  <si>
    <t>228464.02</t>
  </si>
  <si>
    <t>40719.32</t>
  </si>
  <si>
    <t>ORD100318</t>
  </si>
  <si>
    <t>CUST11728</t>
  </si>
  <si>
    <t>1454.74</t>
  </si>
  <si>
    <t>1164.26</t>
  </si>
  <si>
    <t>145.01</t>
  </si>
  <si>
    <t>ORD100319</t>
  </si>
  <si>
    <t>05-10-2025</t>
  </si>
  <si>
    <t>CUST13200</t>
  </si>
  <si>
    <t>9155.68</t>
  </si>
  <si>
    <t>5654.28</t>
  </si>
  <si>
    <t>2585.83</t>
  </si>
  <si>
    <t>ORD100321</t>
  </si>
  <si>
    <t>04-03-2025</t>
  </si>
  <si>
    <t>CUST11245</t>
  </si>
  <si>
    <t>3140.56</t>
  </si>
  <si>
    <t>4381.6000000000004</t>
  </si>
  <si>
    <t>1271.4100000000001</t>
  </si>
  <si>
    <t>ORD100322</t>
  </si>
  <si>
    <t>CUST10914</t>
  </si>
  <si>
    <t>6529.84</t>
  </si>
  <si>
    <t>4570</t>
  </si>
  <si>
    <t>1959.84</t>
  </si>
  <si>
    <t>ORD100323</t>
  </si>
  <si>
    <t>31-12-2025</t>
  </si>
  <si>
    <t>CUST12416</t>
  </si>
  <si>
    <t>10490.91</t>
  </si>
  <si>
    <t>8349</t>
  </si>
  <si>
    <t>1092.82</t>
  </si>
  <si>
    <t>ORD100324</t>
  </si>
  <si>
    <t>CUST10322</t>
  </si>
  <si>
    <t>57050.87</t>
  </si>
  <si>
    <t>38727.15</t>
  </si>
  <si>
    <t>9766.09</t>
  </si>
  <si>
    <t>ORD100325</t>
  </si>
  <si>
    <t>CUST12636</t>
  </si>
  <si>
    <t>2060.73</t>
  </si>
  <si>
    <t>5462.06</t>
  </si>
  <si>
    <t>1956.57</t>
  </si>
  <si>
    <t>ORD100326</t>
  </si>
  <si>
    <t>CUST12226</t>
  </si>
  <si>
    <t>4300.37</t>
  </si>
  <si>
    <t>10204.42</t>
  </si>
  <si>
    <t>2051.63</t>
  </si>
  <si>
    <t>ORD100327</t>
  </si>
  <si>
    <t>01-08-2025</t>
  </si>
  <si>
    <t>CUST11972</t>
  </si>
  <si>
    <t>3423.86</t>
  </si>
  <si>
    <t>5493.56</t>
  </si>
  <si>
    <t>-15.38</t>
  </si>
  <si>
    <t>ORD100328</t>
  </si>
  <si>
    <t>22-10-2025</t>
  </si>
  <si>
    <t>CUST12514</t>
  </si>
  <si>
    <t>6805.1</t>
  </si>
  <si>
    <t>4033.73</t>
  </si>
  <si>
    <t>1410.35</t>
  </si>
  <si>
    <t>ORD100329</t>
  </si>
  <si>
    <t>CUST12592</t>
  </si>
  <si>
    <t>9360.33</t>
  </si>
  <si>
    <t>24389.360000000001</t>
  </si>
  <si>
    <t>7435.76</t>
  </si>
  <si>
    <t>ORD100330</t>
  </si>
  <si>
    <t>CUST10475</t>
  </si>
  <si>
    <t>40828.03</t>
  </si>
  <si>
    <t>25733.75</t>
  </si>
  <si>
    <t>13052.88</t>
  </si>
  <si>
    <t>ORD100331</t>
  </si>
  <si>
    <t>18-06-2025</t>
  </si>
  <si>
    <t>CUST11448</t>
  </si>
  <si>
    <t>22987.32</t>
  </si>
  <si>
    <t>13955.44</t>
  </si>
  <si>
    <t>9031.8799999999992</t>
  </si>
  <si>
    <t>ORD100333</t>
  </si>
  <si>
    <t>CUST12266</t>
  </si>
  <si>
    <t>3781.08</t>
  </si>
  <si>
    <t>2247.12</t>
  </si>
  <si>
    <t>1155.8499999999999</t>
  </si>
  <si>
    <t>ORD100334</t>
  </si>
  <si>
    <t>CUST10535</t>
  </si>
  <si>
    <t>3059.67</t>
  </si>
  <si>
    <t>4693.8900000000003</t>
  </si>
  <si>
    <t>813.52</t>
  </si>
  <si>
    <t>ORD100335</t>
  </si>
  <si>
    <t>06-01-2025</t>
  </si>
  <si>
    <t>CUST13417</t>
  </si>
  <si>
    <t>18339.740000000002</t>
  </si>
  <si>
    <t>12729.01</t>
  </si>
  <si>
    <t>4693.74</t>
  </si>
  <si>
    <t>ORD100336</t>
  </si>
  <si>
    <t>CUST13105</t>
  </si>
  <si>
    <t>4730.37</t>
  </si>
  <si>
    <t>6786.09</t>
  </si>
  <si>
    <t>2201.61</t>
  </si>
  <si>
    <t>ORD100337</t>
  </si>
  <si>
    <t>CUST13491</t>
  </si>
  <si>
    <t>6627.64</t>
  </si>
  <si>
    <t>5034.96</t>
  </si>
  <si>
    <t>267.14999999999998</t>
  </si>
  <si>
    <t>ORD100338</t>
  </si>
  <si>
    <t>CUST12486</t>
  </si>
  <si>
    <t>9331.9599999999991</t>
  </si>
  <si>
    <t>7137</t>
  </si>
  <si>
    <t>1261.76</t>
  </si>
  <si>
    <t>ORD100339</t>
  </si>
  <si>
    <t>CUST13131</t>
  </si>
  <si>
    <t>70797.759999999995</t>
  </si>
  <si>
    <t>56161.61</t>
  </si>
  <si>
    <t>11096.26</t>
  </si>
  <si>
    <t>ORD100340</t>
  </si>
  <si>
    <t>08-04-2025</t>
  </si>
  <si>
    <t>CUST13111</t>
  </si>
  <si>
    <t>14825.67</t>
  </si>
  <si>
    <t>11715.16</t>
  </si>
  <si>
    <t>3110.51</t>
  </si>
  <si>
    <t>ORD100342</t>
  </si>
  <si>
    <t>CUST10283</t>
  </si>
  <si>
    <t>18946.3</t>
  </si>
  <si>
    <t>36215.61</t>
  </si>
  <si>
    <t>14939.4</t>
  </si>
  <si>
    <t>ORD100343</t>
  </si>
  <si>
    <t>15-03-2025</t>
  </si>
  <si>
    <t>CUST11217</t>
  </si>
  <si>
    <t>7165.45</t>
  </si>
  <si>
    <t>10984.37</t>
  </si>
  <si>
    <t>1196.8900000000001</t>
  </si>
  <si>
    <t>ORD100344</t>
  </si>
  <si>
    <t>25-07-2025</t>
  </si>
  <si>
    <t>CUST11608</t>
  </si>
  <si>
    <t>6866.97</t>
  </si>
  <si>
    <t>16662.96</t>
  </si>
  <si>
    <t>1877.86</t>
  </si>
  <si>
    <t>ORD100345</t>
  </si>
  <si>
    <t>CUST10829</t>
  </si>
  <si>
    <t>4948.2299999999996</t>
  </si>
  <si>
    <t>3289.01</t>
  </si>
  <si>
    <t>1411.81</t>
  </si>
  <si>
    <t>ORD100346</t>
  </si>
  <si>
    <t>CUST10605</t>
  </si>
  <si>
    <t>3719.8</t>
  </si>
  <si>
    <t>2692.84</t>
  </si>
  <si>
    <t>1026.96</t>
  </si>
  <si>
    <t>ORD100347</t>
  </si>
  <si>
    <t>23-05-2025</t>
  </si>
  <si>
    <t>CUST10109</t>
  </si>
  <si>
    <t>8588.58</t>
  </si>
  <si>
    <t>22436.16</t>
  </si>
  <si>
    <t>6765.01</t>
  </si>
  <si>
    <t>ORD100348</t>
  </si>
  <si>
    <t>14-08-2025</t>
  </si>
  <si>
    <t>CUST10300</t>
  </si>
  <si>
    <t>18539.64</t>
  </si>
  <si>
    <t>12953.1</t>
  </si>
  <si>
    <t>4659.5600000000004</t>
  </si>
  <si>
    <t>ORD100349</t>
  </si>
  <si>
    <t>04-01-2025</t>
  </si>
  <si>
    <t>CUST12212</t>
  </si>
  <si>
    <t>4839.38</t>
  </si>
  <si>
    <t>3543.62</t>
  </si>
  <si>
    <t>1295.76</t>
  </si>
  <si>
    <t>ORD100350</t>
  </si>
  <si>
    <t>CUST10026</t>
  </si>
  <si>
    <t>3298.33</t>
  </si>
  <si>
    <t>3632.29</t>
  </si>
  <si>
    <t>2964.37</t>
  </si>
  <si>
    <t>ORD100351</t>
  </si>
  <si>
    <t>CUST10256</t>
  </si>
  <si>
    <t>15966.83</t>
  </si>
  <si>
    <t>10720.2</t>
  </si>
  <si>
    <t>2053.2600000000002</t>
  </si>
  <si>
    <t>ORD100352</t>
  </si>
  <si>
    <t>CUST10493</t>
  </si>
  <si>
    <t>1579.37</t>
  </si>
  <si>
    <t>1061.17</t>
  </si>
  <si>
    <t>360.26</t>
  </si>
  <si>
    <t>ORD100354</t>
  </si>
  <si>
    <t>CUST11802</t>
  </si>
  <si>
    <t>74630.53</t>
  </si>
  <si>
    <t>47898.31</t>
  </si>
  <si>
    <t>19269.169999999998</t>
  </si>
  <si>
    <t>ORD100355</t>
  </si>
  <si>
    <t>CUST11331</t>
  </si>
  <si>
    <t>5553.44</t>
  </si>
  <si>
    <t>7101.83</t>
  </si>
  <si>
    <t>4005.05</t>
  </si>
  <si>
    <t>ORD100356</t>
  </si>
  <si>
    <t>CUST10568</t>
  </si>
  <si>
    <t>6433.01</t>
  </si>
  <si>
    <t>10313.25</t>
  </si>
  <si>
    <t>1909.47</t>
  </si>
  <si>
    <t>ORD100357</t>
  </si>
  <si>
    <t>17-05-2025</t>
  </si>
  <si>
    <t>CUST11722</t>
  </si>
  <si>
    <t>8426.02</t>
  </si>
  <si>
    <t>5549.67</t>
  </si>
  <si>
    <t>2455.0500000000002</t>
  </si>
  <si>
    <t>ORD100358</t>
  </si>
  <si>
    <t>15-10-2025</t>
  </si>
  <si>
    <t>CUST10926</t>
  </si>
  <si>
    <t>56765.23</t>
  </si>
  <si>
    <t>132678.51</t>
  </si>
  <si>
    <t>37617.18</t>
  </si>
  <si>
    <t>ORD100359</t>
  </si>
  <si>
    <t>CUST10868</t>
  </si>
  <si>
    <t>45821.95</t>
  </si>
  <si>
    <t>34785.040000000001</t>
  </si>
  <si>
    <t>8745.81</t>
  </si>
  <si>
    <t>ORD100361</t>
  </si>
  <si>
    <t>CUST11154</t>
  </si>
  <si>
    <t>7280.82</t>
  </si>
  <si>
    <t>16508.73</t>
  </si>
  <si>
    <t>11158.39</t>
  </si>
  <si>
    <t>ORD100362</t>
  </si>
  <si>
    <t>CUST11394</t>
  </si>
  <si>
    <t>33827.64</t>
  </si>
  <si>
    <t>54234.67</t>
  </si>
  <si>
    <t>3272.32</t>
  </si>
  <si>
    <t>ORD100363</t>
  </si>
  <si>
    <t>CUST12606</t>
  </si>
  <si>
    <t>2200.81</t>
  </si>
  <si>
    <t>3424.06</t>
  </si>
  <si>
    <t>757.48</t>
  </si>
  <si>
    <t>ORD100364</t>
  </si>
  <si>
    <t>CUST12440</t>
  </si>
  <si>
    <t>2015.49</t>
  </si>
  <si>
    <t>1593.5</t>
  </si>
  <si>
    <t>119.67</t>
  </si>
  <si>
    <t>ORD100365</t>
  </si>
  <si>
    <t>CUST11748</t>
  </si>
  <si>
    <t>16457.88</t>
  </si>
  <si>
    <t>21849.08</t>
  </si>
  <si>
    <t>9420.89</t>
  </si>
  <si>
    <t>ORD100366</t>
  </si>
  <si>
    <t>CUST13352</t>
  </si>
  <si>
    <t>2404.67</t>
  </si>
  <si>
    <t>1859.58</t>
  </si>
  <si>
    <t>304.62</t>
  </si>
  <si>
    <t>ORD100367</t>
  </si>
  <si>
    <t>CUST11606</t>
  </si>
  <si>
    <t>55940.67</t>
  </si>
  <si>
    <t>34340.57</t>
  </si>
  <si>
    <t>10411.969999999999</t>
  </si>
  <si>
    <t>ORD100368</t>
  </si>
  <si>
    <t>CUST12545</t>
  </si>
  <si>
    <t>10307.61</t>
  </si>
  <si>
    <t>6905.42</t>
  </si>
  <si>
    <t>2886.81</t>
  </si>
  <si>
    <t>ORD100371</t>
  </si>
  <si>
    <t>CUST11019</t>
  </si>
  <si>
    <t>3480.13</t>
  </si>
  <si>
    <t>7684.32</t>
  </si>
  <si>
    <t>4844.1499999999996</t>
  </si>
  <si>
    <t>ORD100372</t>
  </si>
  <si>
    <t>CUST11289</t>
  </si>
  <si>
    <t>33822.74</t>
  </si>
  <si>
    <t>48553.77</t>
  </si>
  <si>
    <t>8944.89</t>
  </si>
  <si>
    <t>ORD100373</t>
  </si>
  <si>
    <t>28-10-2025</t>
  </si>
  <si>
    <t>CUST11294</t>
  </si>
  <si>
    <t>3629.85</t>
  </si>
  <si>
    <t>2175.5</t>
  </si>
  <si>
    <t>1091.3599999999999</t>
  </si>
  <si>
    <t>ORD100374</t>
  </si>
  <si>
    <t>CUST13172</t>
  </si>
  <si>
    <t>6929.42</t>
  </si>
  <si>
    <t>5285.08</t>
  </si>
  <si>
    <t>951.4</t>
  </si>
  <si>
    <t>ORD100375</t>
  </si>
  <si>
    <t>CUST10883</t>
  </si>
  <si>
    <t>3059.22</t>
  </si>
  <si>
    <t>1794.64</t>
  </si>
  <si>
    <t>958.66</t>
  </si>
  <si>
    <t>ORD100376</t>
  </si>
  <si>
    <t>15-06-2025</t>
  </si>
  <si>
    <t>CUST11853</t>
  </si>
  <si>
    <t>11685.62</t>
  </si>
  <si>
    <t>12857.01</t>
  </si>
  <si>
    <t>9345.67</t>
  </si>
  <si>
    <t>ORD100377</t>
  </si>
  <si>
    <t>CUST12043</t>
  </si>
  <si>
    <t>5892.5</t>
  </si>
  <si>
    <t>9081.36</t>
  </si>
  <si>
    <t>2114.39</t>
  </si>
  <si>
    <t>ORD100378</t>
  </si>
  <si>
    <t>CUST13499</t>
  </si>
  <si>
    <t>18317.259999999998</t>
  </si>
  <si>
    <t>11986.17</t>
  </si>
  <si>
    <t>5415.23</t>
  </si>
  <si>
    <t>ORD100379</t>
  </si>
  <si>
    <t>CUST12322</t>
  </si>
  <si>
    <t>4706.12</t>
  </si>
  <si>
    <t>6667.9</t>
  </si>
  <si>
    <t>2744.34</t>
  </si>
  <si>
    <t>ORD100380</t>
  </si>
  <si>
    <t>04-05-2025</t>
  </si>
  <si>
    <t>CUST11725</t>
  </si>
  <si>
    <t>2798.75</t>
  </si>
  <si>
    <t>8689.7000000000007</t>
  </si>
  <si>
    <t>2505.3000000000002</t>
  </si>
  <si>
    <t>ORD100382</t>
  </si>
  <si>
    <t>21-04-2025</t>
  </si>
  <si>
    <t>CUST12586</t>
  </si>
  <si>
    <t>2214.6999999999998</t>
  </si>
  <si>
    <t>1288.82</t>
  </si>
  <si>
    <t>704.41</t>
  </si>
  <si>
    <t>ORD100383</t>
  </si>
  <si>
    <t>10-04-2025</t>
  </si>
  <si>
    <t>CUST11575</t>
  </si>
  <si>
    <t>1982.88</t>
  </si>
  <si>
    <t>4790.8999999999996</t>
  </si>
  <si>
    <t>3140.62</t>
  </si>
  <si>
    <t>ORD100384</t>
  </si>
  <si>
    <t>CUST12335</t>
  </si>
  <si>
    <t>2364.96</t>
  </si>
  <si>
    <t>1499.8</t>
  </si>
  <si>
    <t>746.91</t>
  </si>
  <si>
    <t>ORD100385</t>
  </si>
  <si>
    <t>21-08-2025</t>
  </si>
  <si>
    <t>CUST10286</t>
  </si>
  <si>
    <t>5760.55</t>
  </si>
  <si>
    <t>3567.72</t>
  </si>
  <si>
    <t>1616.78</t>
  </si>
  <si>
    <t>ORD100386</t>
  </si>
  <si>
    <t>CUST10338</t>
  </si>
  <si>
    <t>67307.05</t>
  </si>
  <si>
    <t>95084.58</t>
  </si>
  <si>
    <t>26068.11</t>
  </si>
  <si>
    <t>ORD100387</t>
  </si>
  <si>
    <t>CUST10115</t>
  </si>
  <si>
    <t>3245.6</t>
  </si>
  <si>
    <t>2054.02</t>
  </si>
  <si>
    <t>704.74</t>
  </si>
  <si>
    <t>ORD100388</t>
  </si>
  <si>
    <t>CUST12630</t>
  </si>
  <si>
    <t>1967.18</t>
  </si>
  <si>
    <t>1196.25</t>
  </si>
  <si>
    <t>770.93</t>
  </si>
  <si>
    <t>ORD100389</t>
  </si>
  <si>
    <t>26-02-2025</t>
  </si>
  <si>
    <t>CUST12377</t>
  </si>
  <si>
    <t>2527.6</t>
  </si>
  <si>
    <t>5753.25</t>
  </si>
  <si>
    <t>2840.59</t>
  </si>
  <si>
    <t>ORD100390</t>
  </si>
  <si>
    <t>09-08-2025</t>
  </si>
  <si>
    <t>CUST11753</t>
  </si>
  <si>
    <t>3878.41</t>
  </si>
  <si>
    <t>2985.88</t>
  </si>
  <si>
    <t>504.69</t>
  </si>
  <si>
    <t>ORD100391</t>
  </si>
  <si>
    <t>10-02-2025</t>
  </si>
  <si>
    <t>CUST12349</t>
  </si>
  <si>
    <t>10413.719999999999</t>
  </si>
  <si>
    <t>14521.3</t>
  </si>
  <si>
    <t>6306.14</t>
  </si>
  <si>
    <t>ORD100392</t>
  </si>
  <si>
    <t>01-09-2025</t>
  </si>
  <si>
    <t>CUST11342</t>
  </si>
  <si>
    <t>6741.17</t>
  </si>
  <si>
    <t>5168.1000000000004</t>
  </si>
  <si>
    <t>1573.07</t>
  </si>
  <si>
    <t>ORD100393</t>
  </si>
  <si>
    <t>29-06-2025</t>
  </si>
  <si>
    <t>CUST10773</t>
  </si>
  <si>
    <t>4426.25</t>
  </si>
  <si>
    <t>9330.26</t>
  </si>
  <si>
    <t>2620.62</t>
  </si>
  <si>
    <t>ORD100394</t>
  </si>
  <si>
    <t>21-06-2025</t>
  </si>
  <si>
    <t>CUST11257</t>
  </si>
  <si>
    <t>3652.72</t>
  </si>
  <si>
    <t>5641.86</t>
  </si>
  <si>
    <t>567.76</t>
  </si>
  <si>
    <t>ORD100395</t>
  </si>
  <si>
    <t>CUST10019</t>
  </si>
  <si>
    <t>6845.82</t>
  </si>
  <si>
    <t>5440.93</t>
  </si>
  <si>
    <t>720.31</t>
  </si>
  <si>
    <t>ORD100396</t>
  </si>
  <si>
    <t>24-05-2025</t>
  </si>
  <si>
    <t>CUST12844</t>
  </si>
  <si>
    <t>9530.27</t>
  </si>
  <si>
    <t>19123.240000000002</t>
  </si>
  <si>
    <t>3749.41</t>
  </si>
  <si>
    <t>ORD100397</t>
  </si>
  <si>
    <t>31-03-2025</t>
  </si>
  <si>
    <t>CUST10869</t>
  </si>
  <si>
    <t>4460.1899999999996</t>
  </si>
  <si>
    <t>3164.49</t>
  </si>
  <si>
    <t>1295.7</t>
  </si>
  <si>
    <t>ORD100398</t>
  </si>
  <si>
    <t>CUST12646</t>
  </si>
  <si>
    <t>2544.5700000000002</t>
  </si>
  <si>
    <t>5467.52</t>
  </si>
  <si>
    <t>1784.5</t>
  </si>
  <si>
    <t>ORD100399</t>
  </si>
  <si>
    <t>CUST12799</t>
  </si>
  <si>
    <t>16136.54</t>
  </si>
  <si>
    <t>23631.34</t>
  </si>
  <si>
    <t>8641.74</t>
  </si>
  <si>
    <t>ORD100400</t>
  </si>
  <si>
    <t>CUST11800</t>
  </si>
  <si>
    <t>3339.56</t>
  </si>
  <si>
    <t>1909.93</t>
  </si>
  <si>
    <t>1262.6500000000001</t>
  </si>
  <si>
    <t>ORD100402</t>
  </si>
  <si>
    <t>CUST12808</t>
  </si>
  <si>
    <t>4564.93</t>
  </si>
  <si>
    <t>2947.56</t>
  </si>
  <si>
    <t>932.63</t>
  </si>
  <si>
    <t>ORD100403</t>
  </si>
  <si>
    <t>08-12-2025</t>
  </si>
  <si>
    <t>CUST12107</t>
  </si>
  <si>
    <t>945.48</t>
  </si>
  <si>
    <t>2575.5500000000002</t>
  </si>
  <si>
    <t>1017.27</t>
  </si>
  <si>
    <t>ORD100404</t>
  </si>
  <si>
    <t>CUST10675</t>
  </si>
  <si>
    <t>8225.27</t>
  </si>
  <si>
    <t>12714.27</t>
  </si>
  <si>
    <t>1268.69</t>
  </si>
  <si>
    <t>ORD100405</t>
  </si>
  <si>
    <t>12-10-2025</t>
  </si>
  <si>
    <t>CUST11696</t>
  </si>
  <si>
    <t>6989.93</t>
  </si>
  <si>
    <t>16905.95</t>
  </si>
  <si>
    <t>1966.86</t>
  </si>
  <si>
    <t>ORD100406</t>
  </si>
  <si>
    <t>04-06-2025</t>
  </si>
  <si>
    <t>CUST11472</t>
  </si>
  <si>
    <t>9409.09</t>
  </si>
  <si>
    <t>7327.55</t>
  </si>
  <si>
    <t>1611.09</t>
  </si>
  <si>
    <t>ORD100407</t>
  </si>
  <si>
    <t>CUST12736</t>
  </si>
  <si>
    <t>5109.05</t>
  </si>
  <si>
    <t>3917.83</t>
  </si>
  <si>
    <t>680.32</t>
  </si>
  <si>
    <t>ORD100408</t>
  </si>
  <si>
    <t>CUST12766</t>
  </si>
  <si>
    <t>6061.79</t>
  </si>
  <si>
    <t>4245</t>
  </si>
  <si>
    <t>1210.6099999999999</t>
  </si>
  <si>
    <t>ORD100409</t>
  </si>
  <si>
    <t>CUST10861</t>
  </si>
  <si>
    <t>14022.19</t>
  </si>
  <si>
    <t>20392.490000000002</t>
  </si>
  <si>
    <t>6249.67</t>
  </si>
  <si>
    <t>ORD100410</t>
  </si>
  <si>
    <t>20-03-2025</t>
  </si>
  <si>
    <t>CUST11044</t>
  </si>
  <si>
    <t>5911.62</t>
  </si>
  <si>
    <t>8947.08</t>
  </si>
  <si>
    <t>1693.84</t>
  </si>
  <si>
    <t>ORD100411</t>
  </si>
  <si>
    <t>CUST11985</t>
  </si>
  <si>
    <t>2383.83</t>
  </si>
  <si>
    <t>2984.84</t>
  </si>
  <si>
    <t>1067.67</t>
  </si>
  <si>
    <t>ORD100412</t>
  </si>
  <si>
    <t>02-10-2025</t>
  </si>
  <si>
    <t>CUST11018</t>
  </si>
  <si>
    <t>2159.59</t>
  </si>
  <si>
    <t>2952.59</t>
  </si>
  <si>
    <t>934.67</t>
  </si>
  <si>
    <t>ORD100413</t>
  </si>
  <si>
    <t>11-07-2025</t>
  </si>
  <si>
    <t>CUST10130</t>
  </si>
  <si>
    <t>68091.539999999994</t>
  </si>
  <si>
    <t>89213.86</t>
  </si>
  <si>
    <t>26541.759999999998</t>
  </si>
  <si>
    <t>ORD100414</t>
  </si>
  <si>
    <t>CUST12881</t>
  </si>
  <si>
    <t>3776.57</t>
  </si>
  <si>
    <t>2504.1799999999998</t>
  </si>
  <si>
    <t>1083.56</t>
  </si>
  <si>
    <t>ORD100415</t>
  </si>
  <si>
    <t>13-06-2025</t>
  </si>
  <si>
    <t>CUST13412</t>
  </si>
  <si>
    <t>33089.17</t>
  </si>
  <si>
    <t>49115.25</t>
  </si>
  <si>
    <t>13754.17</t>
  </si>
  <si>
    <t>ORD100416</t>
  </si>
  <si>
    <t>CUST12304</t>
  </si>
  <si>
    <t>5663.69</t>
  </si>
  <si>
    <t>3995.17</t>
  </si>
  <si>
    <t>1102.1500000000001</t>
  </si>
  <si>
    <t>ORD100417</t>
  </si>
  <si>
    <t>CUST13059</t>
  </si>
  <si>
    <t>3041.4</t>
  </si>
  <si>
    <t>4900.88</t>
  </si>
  <si>
    <t>1181.92</t>
  </si>
  <si>
    <t>ORD100419</t>
  </si>
  <si>
    <t>CUST10340</t>
  </si>
  <si>
    <t>330.21</t>
  </si>
  <si>
    <t>183.22</t>
  </si>
  <si>
    <t>113.97</t>
  </si>
  <si>
    <t>ORD100420</t>
  </si>
  <si>
    <t>21-03-2025</t>
  </si>
  <si>
    <t>CUST13246</t>
  </si>
  <si>
    <t>5828</t>
  </si>
  <si>
    <t>4190.12</t>
  </si>
  <si>
    <t>1346.48</t>
  </si>
  <si>
    <t>ORD100421</t>
  </si>
  <si>
    <t>14-05-2025</t>
  </si>
  <si>
    <t>CUST11694</t>
  </si>
  <si>
    <t>2028.81</t>
  </si>
  <si>
    <t>1478.16</t>
  </si>
  <si>
    <t>246.33</t>
  </si>
  <si>
    <t>ORD100423</t>
  </si>
  <si>
    <t>21-07-2025</t>
  </si>
  <si>
    <t>CUST12919</t>
  </si>
  <si>
    <t>1443.16</t>
  </si>
  <si>
    <t>2315.16</t>
  </si>
  <si>
    <t>282.52999999999997</t>
  </si>
  <si>
    <t>ORD100424</t>
  </si>
  <si>
    <t>CUST10425</t>
  </si>
  <si>
    <t>5660.17</t>
  </si>
  <si>
    <t>8229.8799999999992</t>
  </si>
  <si>
    <t>3090.46</t>
  </si>
  <si>
    <t>ORD100425</t>
  </si>
  <si>
    <t>27-10-2025</t>
  </si>
  <si>
    <t>CUST12023</t>
  </si>
  <si>
    <t>1979.04</t>
  </si>
  <si>
    <t>1545.95</t>
  </si>
  <si>
    <t>334.14</t>
  </si>
  <si>
    <t>ORD100426</t>
  </si>
  <si>
    <t>CUST10761</t>
  </si>
  <si>
    <t>2484.48</t>
  </si>
  <si>
    <t>1802.17</t>
  </si>
  <si>
    <t>558.09</t>
  </si>
  <si>
    <t>ORD100427</t>
  </si>
  <si>
    <t>CUST11140</t>
  </si>
  <si>
    <t>1332.14</t>
  </si>
  <si>
    <t>889.93</t>
  </si>
  <si>
    <t>242.39</t>
  </si>
  <si>
    <t>ORD100428</t>
  </si>
  <si>
    <t>27-12-2025</t>
  </si>
  <si>
    <t>CUST10270</t>
  </si>
  <si>
    <t>1041.58</t>
  </si>
  <si>
    <t>729.19</t>
  </si>
  <si>
    <t>312.39</t>
  </si>
  <si>
    <t>ORD100429</t>
  </si>
  <si>
    <t>02-04-2025</t>
  </si>
  <si>
    <t>CUST11862</t>
  </si>
  <si>
    <t>2456.6</t>
  </si>
  <si>
    <t>1794.49</t>
  </si>
  <si>
    <t>416.45</t>
  </si>
  <si>
    <t>ORD100430</t>
  </si>
  <si>
    <t>CUST11060</t>
  </si>
  <si>
    <t>1696.79</t>
  </si>
  <si>
    <t>1302.26</t>
  </si>
  <si>
    <t>394.53</t>
  </si>
  <si>
    <t>ORD100431</t>
  </si>
  <si>
    <t>10-07-2025</t>
  </si>
  <si>
    <t>CUST12052</t>
  </si>
  <si>
    <t>911.04</t>
  </si>
  <si>
    <t>1297.3699999999999</t>
  </si>
  <si>
    <t>342.5</t>
  </si>
  <si>
    <t>ORD100432</t>
  </si>
  <si>
    <t>18-05-2025</t>
  </si>
  <si>
    <t>CUST11551</t>
  </si>
  <si>
    <t>1485.21</t>
  </si>
  <si>
    <t>1067.21</t>
  </si>
  <si>
    <t>418</t>
  </si>
  <si>
    <t>ORD100433</t>
  </si>
  <si>
    <t>24-02-2025</t>
  </si>
  <si>
    <t>CUST10965</t>
  </si>
  <si>
    <t>12219.83</t>
  </si>
  <si>
    <t>9432.93</t>
  </si>
  <si>
    <t>953.93</t>
  </si>
  <si>
    <t>ORD100434</t>
  </si>
  <si>
    <t>CUST11582</t>
  </si>
  <si>
    <t>2210.4</t>
  </si>
  <si>
    <t>2911.5</t>
  </si>
  <si>
    <t>625.14</t>
  </si>
  <si>
    <t>ORD100435</t>
  </si>
  <si>
    <t>04-07-2025</t>
  </si>
  <si>
    <t>CUST13191</t>
  </si>
  <si>
    <t>11408.18</t>
  </si>
  <si>
    <t>7593.64</t>
  </si>
  <si>
    <t>2103.31</t>
  </si>
  <si>
    <t>ORD100438</t>
  </si>
  <si>
    <t>08-06-2025</t>
  </si>
  <si>
    <t>CUST10207</t>
  </si>
  <si>
    <t>8588.7800000000007</t>
  </si>
  <si>
    <t>5265.17</t>
  </si>
  <si>
    <t>2894.17</t>
  </si>
  <si>
    <t>ORD100439</t>
  </si>
  <si>
    <t>CUST10490</t>
  </si>
  <si>
    <t>14156.99</t>
  </si>
  <si>
    <t>9526.7199999999993</t>
  </si>
  <si>
    <t>3922.42</t>
  </si>
  <si>
    <t>ORD100440</t>
  </si>
  <si>
    <t>CUST10892</t>
  </si>
  <si>
    <t>20234.53</t>
  </si>
  <si>
    <t>30268.11</t>
  </si>
  <si>
    <t>10200.950000000001</t>
  </si>
  <si>
    <t>ORD100441</t>
  </si>
  <si>
    <t>CUST10625</t>
  </si>
  <si>
    <t>60224.92</t>
  </si>
  <si>
    <t>75105.289999999994</t>
  </si>
  <si>
    <t>33299.57</t>
  </si>
  <si>
    <t>ORD100442</t>
  </si>
  <si>
    <t>07-02-2025</t>
  </si>
  <si>
    <t>CUST10524</t>
  </si>
  <si>
    <t>2711.72</t>
  </si>
  <si>
    <t>4306.42</t>
  </si>
  <si>
    <t>1117.02</t>
  </si>
  <si>
    <t>ORD100443</t>
  </si>
  <si>
    <t>CUST12922</t>
  </si>
  <si>
    <t>59866.85</t>
  </si>
  <si>
    <t>88457.59</t>
  </si>
  <si>
    <t>19302.740000000002</t>
  </si>
  <si>
    <t>ORD100446</t>
  </si>
  <si>
    <t>23-02-2025</t>
  </si>
  <si>
    <t>CUST11427</t>
  </si>
  <si>
    <t>59251.76</t>
  </si>
  <si>
    <t>43060.24</t>
  </si>
  <si>
    <t>7303.76</t>
  </si>
  <si>
    <t>ORD100447</t>
  </si>
  <si>
    <t>15-07-2025</t>
  </si>
  <si>
    <t>CUST13477</t>
  </si>
  <si>
    <t>10501.13</t>
  </si>
  <si>
    <t>7822.34</t>
  </si>
  <si>
    <t>2678.79</t>
  </si>
  <si>
    <t>ORD100448</t>
  </si>
  <si>
    <t>CUST12075</t>
  </si>
  <si>
    <t>8768.17</t>
  </si>
  <si>
    <t>6397.9</t>
  </si>
  <si>
    <t>1493.45</t>
  </si>
  <si>
    <t>ORD100449</t>
  </si>
  <si>
    <t>CUST13187</t>
  </si>
  <si>
    <t>30468.95</t>
  </si>
  <si>
    <t>23180.35</t>
  </si>
  <si>
    <t>4241.71</t>
  </si>
  <si>
    <t>ORD100451</t>
  </si>
  <si>
    <t>10-10-2025</t>
  </si>
  <si>
    <t>CUST12333</t>
  </si>
  <si>
    <t>14566.96</t>
  </si>
  <si>
    <t>30327.06</t>
  </si>
  <si>
    <t>13373.82</t>
  </si>
  <si>
    <t>ORD100452</t>
  </si>
  <si>
    <t>25-10-2025</t>
  </si>
  <si>
    <t>CUST12289</t>
  </si>
  <si>
    <t>501.52</t>
  </si>
  <si>
    <t>717.3</t>
  </si>
  <si>
    <t>285.74</t>
  </si>
  <si>
    <t>ORD100453</t>
  </si>
  <si>
    <t>CUST12812</t>
  </si>
  <si>
    <t>8085.89</t>
  </si>
  <si>
    <t>6231.17</t>
  </si>
  <si>
    <t>1046.1300000000001</t>
  </si>
  <si>
    <t>ORD100454</t>
  </si>
  <si>
    <t>CUST11053</t>
  </si>
  <si>
    <t>6079.69</t>
  </si>
  <si>
    <t>11128.35</t>
  </si>
  <si>
    <t>5286.81</t>
  </si>
  <si>
    <t>ORD100455</t>
  </si>
  <si>
    <t>CUST12663</t>
  </si>
  <si>
    <t>2374.96</t>
  </si>
  <si>
    <t>1332.97</t>
  </si>
  <si>
    <t>1041.99</t>
  </si>
  <si>
    <t>ORD100456</t>
  </si>
  <si>
    <t>CUST10849</t>
  </si>
  <si>
    <t>59180.49</t>
  </si>
  <si>
    <t>46067.91</t>
  </si>
  <si>
    <t>7194.53</t>
  </si>
  <si>
    <t>ORD100457</t>
  </si>
  <si>
    <t>31-01-2025</t>
  </si>
  <si>
    <t>CUST11022</t>
  </si>
  <si>
    <t>4334.7700000000004</t>
  </si>
  <si>
    <t>6363.23</t>
  </si>
  <si>
    <t>1439.36</t>
  </si>
  <si>
    <t>ORD100458</t>
  </si>
  <si>
    <t>CUST11920</t>
  </si>
  <si>
    <t>5002.8100000000004</t>
  </si>
  <si>
    <t>3201.98</t>
  </si>
  <si>
    <t>1800.83</t>
  </si>
  <si>
    <t>ORD100460</t>
  </si>
  <si>
    <t>CUST12685</t>
  </si>
  <si>
    <t>2222.56</t>
  </si>
  <si>
    <t>1272.8599999999999</t>
  </si>
  <si>
    <t>949.7</t>
  </si>
  <si>
    <t>ORD100461</t>
  </si>
  <si>
    <t>CUST10728</t>
  </si>
  <si>
    <t>9351.57</t>
  </si>
  <si>
    <t>7445.51</t>
  </si>
  <si>
    <t>503.32</t>
  </si>
  <si>
    <t>ORD100462</t>
  </si>
  <si>
    <t>CUST11387</t>
  </si>
  <si>
    <t>8796.59</t>
  </si>
  <si>
    <t>5323.57</t>
  </si>
  <si>
    <t>3033.19</t>
  </si>
  <si>
    <t>ORD100463</t>
  </si>
  <si>
    <t>CUST10992</t>
  </si>
  <si>
    <t>23376.26</t>
  </si>
  <si>
    <t>34052.71</t>
  </si>
  <si>
    <t>10362.18</t>
  </si>
  <si>
    <t>ORD100464</t>
  </si>
  <si>
    <t>CUST13444</t>
  </si>
  <si>
    <t>9989.06</t>
  </si>
  <si>
    <t>15746.72</t>
  </si>
  <si>
    <t>2233.59</t>
  </si>
  <si>
    <t>ORD100465</t>
  </si>
  <si>
    <t>CUST11106</t>
  </si>
  <si>
    <t>33716.11</t>
  </si>
  <si>
    <t>19733.2</t>
  </si>
  <si>
    <t>10611.3</t>
  </si>
  <si>
    <t>ORD100466</t>
  </si>
  <si>
    <t>CUST10497</t>
  </si>
  <si>
    <t>677.98</t>
  </si>
  <si>
    <t>390.27</t>
  </si>
  <si>
    <t>253.81</t>
  </si>
  <si>
    <t>ORD100467</t>
  </si>
  <si>
    <t>CUST12611</t>
  </si>
  <si>
    <t>2438.66</t>
  </si>
  <si>
    <t>3365.93</t>
  </si>
  <si>
    <t>1267.52</t>
  </si>
  <si>
    <t>ORD100468</t>
  </si>
  <si>
    <t>25-02-2025</t>
  </si>
  <si>
    <t>CUST10185</t>
  </si>
  <si>
    <t>64617.78</t>
  </si>
  <si>
    <t>45728.46</t>
  </si>
  <si>
    <t>18889.32</t>
  </si>
  <si>
    <t>ORD100469</t>
  </si>
  <si>
    <t>CUST10200</t>
  </si>
  <si>
    <t>63600.94</t>
  </si>
  <si>
    <t>71043.78</t>
  </si>
  <si>
    <t>37077.82</t>
  </si>
  <si>
    <t>ORD100470</t>
  </si>
  <si>
    <t>CUST10308</t>
  </si>
  <si>
    <t>19600.53</t>
  </si>
  <si>
    <t>30768.37</t>
  </si>
  <si>
    <t>4512.58</t>
  </si>
  <si>
    <t>ORD100471</t>
  </si>
  <si>
    <t>CUST11121</t>
  </si>
  <si>
    <t>70319.8</t>
  </si>
  <si>
    <t>172610.24</t>
  </si>
  <si>
    <t>17253.22</t>
  </si>
  <si>
    <t>ORD100473</t>
  </si>
  <si>
    <t>CUST10199</t>
  </si>
  <si>
    <t>5783.69</t>
  </si>
  <si>
    <t>3731.72</t>
  </si>
  <si>
    <t>1184.42</t>
  </si>
  <si>
    <t>ORD100474</t>
  </si>
  <si>
    <t>CUST12463</t>
  </si>
  <si>
    <t>17153.71</t>
  </si>
  <si>
    <t>13953.73</t>
  </si>
  <si>
    <t>626.91999999999996</t>
  </si>
  <si>
    <t>ORD100475</t>
  </si>
  <si>
    <t>05-06-2025</t>
  </si>
  <si>
    <t>CUST12115</t>
  </si>
  <si>
    <t>13466.59</t>
  </si>
  <si>
    <t>19549.89</t>
  </si>
  <si>
    <t>6036.63</t>
  </si>
  <si>
    <t>ORD100476</t>
  </si>
  <si>
    <t>07-04-2025</t>
  </si>
  <si>
    <t>CUST10030</t>
  </si>
  <si>
    <t>10825.58</t>
  </si>
  <si>
    <t>13440.57</t>
  </si>
  <si>
    <t>8210.59</t>
  </si>
  <si>
    <t>ORD100477</t>
  </si>
  <si>
    <t>20-12-2025</t>
  </si>
  <si>
    <t>CUST10591</t>
  </si>
  <si>
    <t>9041.1</t>
  </si>
  <si>
    <t>5559.41</t>
  </si>
  <si>
    <t>2577.58</t>
  </si>
  <si>
    <t>ORD100478</t>
  </si>
  <si>
    <t>CUST12166</t>
  </si>
  <si>
    <t>9655.67</t>
  </si>
  <si>
    <t>5958.82</t>
  </si>
  <si>
    <t>2248.5</t>
  </si>
  <si>
    <t>ORD100480</t>
  </si>
  <si>
    <t>30-09-2025</t>
  </si>
  <si>
    <t>CUST10208</t>
  </si>
  <si>
    <t>6555.84</t>
  </si>
  <si>
    <t>3683.15</t>
  </si>
  <si>
    <t>2544.9</t>
  </si>
  <si>
    <t>ORD100481</t>
  </si>
  <si>
    <t>CUST12918</t>
  </si>
  <si>
    <t>2111.9499999999998</t>
  </si>
  <si>
    <t>2449.84</t>
  </si>
  <si>
    <t>1140.47</t>
  </si>
  <si>
    <t>ORD100482</t>
  </si>
  <si>
    <t>CUST11750</t>
  </si>
  <si>
    <t>home &amp; kitchen</t>
  </si>
  <si>
    <t>4709</t>
  </si>
  <si>
    <t>2771.91</t>
  </si>
  <si>
    <t>995.29</t>
  </si>
  <si>
    <t>ORD100483</t>
  </si>
  <si>
    <t>25-06-2025</t>
  </si>
  <si>
    <t>CUST13386</t>
  </si>
  <si>
    <t>3879.93</t>
  </si>
  <si>
    <t>2670.26</t>
  </si>
  <si>
    <t>821.68</t>
  </si>
  <si>
    <t>ORD100484</t>
  </si>
  <si>
    <t>CUST12080</t>
  </si>
  <si>
    <t>69917.960000000006</t>
  </si>
  <si>
    <t>54476.47</t>
  </si>
  <si>
    <t>11945.59</t>
  </si>
  <si>
    <t>ORD100485</t>
  </si>
  <si>
    <t>CUST11161</t>
  </si>
  <si>
    <t>289.27999999999997</t>
  </si>
  <si>
    <t>167.86</t>
  </si>
  <si>
    <t>92.49</t>
  </si>
  <si>
    <t>ORD100486</t>
  </si>
  <si>
    <t>21-01-2025</t>
  </si>
  <si>
    <t>CUST13424</t>
  </si>
  <si>
    <t>2681.99</t>
  </si>
  <si>
    <t>3401.2</t>
  </si>
  <si>
    <t>1426.38</t>
  </si>
  <si>
    <t>ORD100487</t>
  </si>
  <si>
    <t>10-09-2025</t>
  </si>
  <si>
    <t>CUST12959</t>
  </si>
  <si>
    <t>56377.75</t>
  </si>
  <si>
    <t>33148.82</t>
  </si>
  <si>
    <t>14772.27</t>
  </si>
  <si>
    <t>ORD100488</t>
  </si>
  <si>
    <t>CUST11102</t>
  </si>
  <si>
    <t>13247.78</t>
  </si>
  <si>
    <t>7550.98</t>
  </si>
  <si>
    <t>3709.63</t>
  </si>
  <si>
    <t>ORD100489</t>
  </si>
  <si>
    <t>CUST13269</t>
  </si>
  <si>
    <t>1152.53</t>
  </si>
  <si>
    <t>709.87</t>
  </si>
  <si>
    <t>212.15</t>
  </si>
  <si>
    <t>ORD100490</t>
  </si>
  <si>
    <t>CUST12301</t>
  </si>
  <si>
    <t>5217.05</t>
  </si>
  <si>
    <t>16802</t>
  </si>
  <si>
    <t>3022.79</t>
  </si>
  <si>
    <t>ORD100491</t>
  </si>
  <si>
    <t>CUST11388</t>
  </si>
  <si>
    <t>4308.83</t>
  </si>
  <si>
    <t>10695.95</t>
  </si>
  <si>
    <t>5677.6</t>
  </si>
  <si>
    <t>ORD100492</t>
  </si>
  <si>
    <t>CUST12481</t>
  </si>
  <si>
    <t>13117.77</t>
  </si>
  <si>
    <t>9498.69</t>
  </si>
  <si>
    <t>1651.41</t>
  </si>
  <si>
    <t>ORD100493</t>
  </si>
  <si>
    <t>CUST13140</t>
  </si>
  <si>
    <t>1652.34</t>
  </si>
  <si>
    <t>4790.55</t>
  </si>
  <si>
    <t>1818.81</t>
  </si>
  <si>
    <t>ORD100494</t>
  </si>
  <si>
    <t>CUST12488</t>
  </si>
  <si>
    <t>6207.43</t>
  </si>
  <si>
    <t>10928.18</t>
  </si>
  <si>
    <t>6763</t>
  </si>
  <si>
    <t>ORD100495</t>
  </si>
  <si>
    <t>09-04-2025</t>
  </si>
  <si>
    <t>CUST10967</t>
  </si>
  <si>
    <t>2739.42</t>
  </si>
  <si>
    <t>1705.51</t>
  </si>
  <si>
    <t>1033.9100000000001</t>
  </si>
  <si>
    <t>ORD100496</t>
  </si>
  <si>
    <t>CUST10231</t>
  </si>
  <si>
    <t>4677.6099999999997</t>
  </si>
  <si>
    <t>7800.04</t>
  </si>
  <si>
    <t>4127.87</t>
  </si>
  <si>
    <t>ORD100497</t>
  </si>
  <si>
    <t>CUST13095</t>
  </si>
  <si>
    <t>4605.0600000000004</t>
  </si>
  <si>
    <t>2587.88</t>
  </si>
  <si>
    <t>1786.93</t>
  </si>
  <si>
    <t>ORD100498</t>
  </si>
  <si>
    <t>CUST11005</t>
  </si>
  <si>
    <t>65979.95</t>
  </si>
  <si>
    <t>50053.23</t>
  </si>
  <si>
    <t>9328.73</t>
  </si>
  <si>
    <t>ORD100499</t>
  </si>
  <si>
    <t>06-07-2025</t>
  </si>
  <si>
    <t>CUST13018</t>
  </si>
  <si>
    <t>41731.440000000002</t>
  </si>
  <si>
    <t>52976.21</t>
  </si>
  <si>
    <t>22140.38</t>
  </si>
  <si>
    <t>ORD100500</t>
  </si>
  <si>
    <t>21-02-2025</t>
  </si>
  <si>
    <t>CUST13267</t>
  </si>
  <si>
    <t>11851.18</t>
  </si>
  <si>
    <t>20116.87</t>
  </si>
  <si>
    <t>13658.99</t>
  </si>
  <si>
    <t>ORD100501</t>
  </si>
  <si>
    <t>CUST11651</t>
  </si>
  <si>
    <t>1135.01</t>
  </si>
  <si>
    <t>1783.88</t>
  </si>
  <si>
    <t>259.14</t>
  </si>
  <si>
    <t>ORD100503</t>
  </si>
  <si>
    <t>13-04-2025</t>
  </si>
  <si>
    <t>CUST10108</t>
  </si>
  <si>
    <t>5468.77</t>
  </si>
  <si>
    <t>3548.88</t>
  </si>
  <si>
    <t>1373.01</t>
  </si>
  <si>
    <t>ORD100504</t>
  </si>
  <si>
    <t>09-05-2025</t>
  </si>
  <si>
    <t>CUST12998</t>
  </si>
  <si>
    <t>2512.38</t>
  </si>
  <si>
    <t>3738.23</t>
  </si>
  <si>
    <t>1035.29</t>
  </si>
  <si>
    <t>ORD100506</t>
  </si>
  <si>
    <t>CUST13138</t>
  </si>
  <si>
    <t>44040.68</t>
  </si>
  <si>
    <t>24300.46</t>
  </si>
  <si>
    <t>19740.22</t>
  </si>
  <si>
    <t>ORD100507</t>
  </si>
  <si>
    <t>29-09-2025</t>
  </si>
  <si>
    <t>CUST11216</t>
  </si>
  <si>
    <t>2571.38</t>
  </si>
  <si>
    <t>1445.42</t>
  </si>
  <si>
    <t>868.82</t>
  </si>
  <si>
    <t>ORD100508</t>
  </si>
  <si>
    <t>23-11-2025</t>
  </si>
  <si>
    <t>CUST12344</t>
  </si>
  <si>
    <t>7427.03</t>
  </si>
  <si>
    <t>9372.25</t>
  </si>
  <si>
    <t>3996.4</t>
  </si>
  <si>
    <t>ORD100509</t>
  </si>
  <si>
    <t>CUST13045</t>
  </si>
  <si>
    <t>19645.810000000001</t>
  </si>
  <si>
    <t>45139.59</t>
  </si>
  <si>
    <t>7904.1</t>
  </si>
  <si>
    <t>ORD100510</t>
  </si>
  <si>
    <t>CUST12379</t>
  </si>
  <si>
    <t>39770.480000000003</t>
  </si>
  <si>
    <t>48945.82</t>
  </si>
  <si>
    <t>26618.09</t>
  </si>
  <si>
    <t>ORD100511</t>
  </si>
  <si>
    <t>CUST10350</t>
  </si>
  <si>
    <t>74252.58</t>
  </si>
  <si>
    <t>125986.78</t>
  </si>
  <si>
    <t>85633.07</t>
  </si>
  <si>
    <t>ORD100512</t>
  </si>
  <si>
    <t>11-03-2025</t>
  </si>
  <si>
    <t>CUST10301</t>
  </si>
  <si>
    <t>24961.84</t>
  </si>
  <si>
    <t>54902</t>
  </si>
  <si>
    <t>19983.52</t>
  </si>
  <si>
    <t>ORD100513</t>
  </si>
  <si>
    <t>CUST12632</t>
  </si>
  <si>
    <t>2284.0700000000002</t>
  </si>
  <si>
    <t>1790.31</t>
  </si>
  <si>
    <t>151.15</t>
  </si>
  <si>
    <t>ORD100514</t>
  </si>
  <si>
    <t>CUST10800</t>
  </si>
  <si>
    <t>16673.05</t>
  </si>
  <si>
    <t>10744.98</t>
  </si>
  <si>
    <t>5928.07</t>
  </si>
  <si>
    <t>ORD100515</t>
  </si>
  <si>
    <t>CUST11547</t>
  </si>
  <si>
    <t>6861.31</t>
  </si>
  <si>
    <t>5147.62</t>
  </si>
  <si>
    <t>1713.69</t>
  </si>
  <si>
    <t>ORD100516</t>
  </si>
  <si>
    <t>08-01-2025</t>
  </si>
  <si>
    <t>CUST12661</t>
  </si>
  <si>
    <t>5322.15</t>
  </si>
  <si>
    <t>3307.54</t>
  </si>
  <si>
    <t>1482.39</t>
  </si>
  <si>
    <t>ORD100517</t>
  </si>
  <si>
    <t>20-06-2025</t>
  </si>
  <si>
    <t>CUST11442</t>
  </si>
  <si>
    <t>622.77</t>
  </si>
  <si>
    <t>490.03</t>
  </si>
  <si>
    <t>39.32</t>
  </si>
  <si>
    <t>upi</t>
  </si>
  <si>
    <t>ORD100518</t>
  </si>
  <si>
    <t>11-01-2025</t>
  </si>
  <si>
    <t>CUST10772</t>
  </si>
  <si>
    <t>20503.189999999999</t>
  </si>
  <si>
    <t>16333.07</t>
  </si>
  <si>
    <t>1094.6400000000001</t>
  </si>
  <si>
    <t>ORD100519</t>
  </si>
  <si>
    <t>CUST11969</t>
  </si>
  <si>
    <t>4485.87</t>
  </si>
  <si>
    <t>2788.66</t>
  </si>
  <si>
    <t>1697.21</t>
  </si>
  <si>
    <t>ORD100520</t>
  </si>
  <si>
    <t>24-07-2025</t>
  </si>
  <si>
    <t>CUST10961</t>
  </si>
  <si>
    <t>14018.8</t>
  </si>
  <si>
    <t>21444.57</t>
  </si>
  <si>
    <t>5191.1499999999996</t>
  </si>
  <si>
    <t>ORD100521</t>
  </si>
  <si>
    <t>CUST12120</t>
  </si>
  <si>
    <t>21639.41</t>
  </si>
  <si>
    <t>52656.04</t>
  </si>
  <si>
    <t>16590.07</t>
  </si>
  <si>
    <t>ORD100522</t>
  </si>
  <si>
    <t>CUST11225</t>
  </si>
  <si>
    <t>1962.42</t>
  </si>
  <si>
    <t>1336.03</t>
  </si>
  <si>
    <t>430.15</t>
  </si>
  <si>
    <t>ORD100523</t>
  </si>
  <si>
    <t>19-12-2025</t>
  </si>
  <si>
    <t>CUST11307</t>
  </si>
  <si>
    <t>8495</t>
  </si>
  <si>
    <t>11827.42</t>
  </si>
  <si>
    <t>3463.58</t>
  </si>
  <si>
    <t>ORD100524</t>
  </si>
  <si>
    <t>09-06-2025</t>
  </si>
  <si>
    <t>CUST10696</t>
  </si>
  <si>
    <t>52044.69</t>
  </si>
  <si>
    <t>31100.82</t>
  </si>
  <si>
    <t>15739.4</t>
  </si>
  <si>
    <t>ORD100525</t>
  </si>
  <si>
    <t>CUST10890</t>
  </si>
  <si>
    <t>9501.11</t>
  </si>
  <si>
    <t>11038.82</t>
  </si>
  <si>
    <t>7963.4</t>
  </si>
  <si>
    <t>ORD100526</t>
  </si>
  <si>
    <t>CUST12572</t>
  </si>
  <si>
    <t>5895.33</t>
  </si>
  <si>
    <t>4746.08</t>
  </si>
  <si>
    <t>264.95</t>
  </si>
  <si>
    <t>ORD100527</t>
  </si>
  <si>
    <t>CUST10776</t>
  </si>
  <si>
    <t>4552.7</t>
  </si>
  <si>
    <t>3124.1</t>
  </si>
  <si>
    <t>973.33</t>
  </si>
  <si>
    <t>ORD100528</t>
  </si>
  <si>
    <t>CUST11082</t>
  </si>
  <si>
    <t>3130.44</t>
  </si>
  <si>
    <t>6002.08</t>
  </si>
  <si>
    <t>2450.11</t>
  </si>
  <si>
    <t>ORD100529</t>
  </si>
  <si>
    <t>03-09-2025</t>
  </si>
  <si>
    <t>CUST12670</t>
  </si>
  <si>
    <t>15041.39</t>
  </si>
  <si>
    <t>24321.439999999999</t>
  </si>
  <si>
    <t>5761.34</t>
  </si>
  <si>
    <t>ORD100530</t>
  </si>
  <si>
    <t>CUST12392</t>
  </si>
  <si>
    <t>38760.86</t>
  </si>
  <si>
    <t>23235.07</t>
  </si>
  <si>
    <t>9711.66</t>
  </si>
  <si>
    <t>ORD100531</t>
  </si>
  <si>
    <t>CUST10840</t>
  </si>
  <si>
    <t>13049.65</t>
  </si>
  <si>
    <t>10236.26</t>
  </si>
  <si>
    <t>2160.91</t>
  </si>
  <si>
    <t>ORD100533</t>
  </si>
  <si>
    <t>20-05-2025</t>
  </si>
  <si>
    <t>CUST10952</t>
  </si>
  <si>
    <t>3982.95</t>
  </si>
  <si>
    <t>6427.73</t>
  </si>
  <si>
    <t>1538.17</t>
  </si>
  <si>
    <t>ORD100534</t>
  </si>
  <si>
    <t>CUST11334</t>
  </si>
  <si>
    <t>49161.35</t>
  </si>
  <si>
    <t>75046.460000000006</t>
  </si>
  <si>
    <t>13443.97</t>
  </si>
  <si>
    <t>ORD100536</t>
  </si>
  <si>
    <t>CUST10168</t>
  </si>
  <si>
    <t>49154.44</t>
  </si>
  <si>
    <t>61927.75</t>
  </si>
  <si>
    <t>26550.240000000002</t>
  </si>
  <si>
    <t>ORD100537</t>
  </si>
  <si>
    <t>CUST11198</t>
  </si>
  <si>
    <t>3449.83</t>
  </si>
  <si>
    <t>1946.68</t>
  </si>
  <si>
    <t>1503.15</t>
  </si>
  <si>
    <t>ORD100538</t>
  </si>
  <si>
    <t>CUST12803</t>
  </si>
  <si>
    <t>6697.11</t>
  </si>
  <si>
    <t>4829.71</t>
  </si>
  <si>
    <t>1867.4</t>
  </si>
  <si>
    <t>ORD100539</t>
  </si>
  <si>
    <t>CUST13442</t>
  </si>
  <si>
    <t>3175.37</t>
  </si>
  <si>
    <t>2535.5100000000002</t>
  </si>
  <si>
    <t>481.09</t>
  </si>
  <si>
    <t>ORD100540</t>
  </si>
  <si>
    <t>CUST12371</t>
  </si>
  <si>
    <t>650.98</t>
  </si>
  <si>
    <t>731.48</t>
  </si>
  <si>
    <t>440.28</t>
  </si>
  <si>
    <t>ORD100541</t>
  </si>
  <si>
    <t>CUST11762</t>
  </si>
  <si>
    <t>1122.81</t>
  </si>
  <si>
    <t>711.86</t>
  </si>
  <si>
    <t>410.95</t>
  </si>
  <si>
    <t>ORD100542</t>
  </si>
  <si>
    <t>CUST11555</t>
  </si>
  <si>
    <t>11516.64</t>
  </si>
  <si>
    <t>13876.26</t>
  </si>
  <si>
    <t>9157.02</t>
  </si>
  <si>
    <t>ORD100543</t>
  </si>
  <si>
    <t>05-01-2025</t>
  </si>
  <si>
    <t>CUST10630</t>
  </si>
  <si>
    <t>3951.96</t>
  </si>
  <si>
    <t>8515.24</t>
  </si>
  <si>
    <t>3340.64</t>
  </si>
  <si>
    <t>ORD100544</t>
  </si>
  <si>
    <t>06-02-2025</t>
  </si>
  <si>
    <t>CUST12474</t>
  </si>
  <si>
    <t>12143.8</t>
  </si>
  <si>
    <t>6923.93</t>
  </si>
  <si>
    <t>5219.87</t>
  </si>
  <si>
    <t>ORD100545</t>
  </si>
  <si>
    <t>CUST10131</t>
  </si>
  <si>
    <t>2881.89</t>
  </si>
  <si>
    <t>3270.92</t>
  </si>
  <si>
    <t>1628.29</t>
  </si>
  <si>
    <t>ORD100546</t>
  </si>
  <si>
    <t>14-04-2025</t>
  </si>
  <si>
    <t>CUST12874</t>
  </si>
  <si>
    <t>57637.72</t>
  </si>
  <si>
    <t>131497.26</t>
  </si>
  <si>
    <t>32770.239999999998</t>
  </si>
  <si>
    <t>ORD100547</t>
  </si>
  <si>
    <t>CUST11466</t>
  </si>
  <si>
    <t>10454.51</t>
  </si>
  <si>
    <t>8320.85</t>
  </si>
  <si>
    <t>2133.66</t>
  </si>
  <si>
    <t>ORD100548</t>
  </si>
  <si>
    <t>CUST11057</t>
  </si>
  <si>
    <t>1229.4100000000001</t>
  </si>
  <si>
    <t>887.28</t>
  </si>
  <si>
    <t>280.66000000000003</t>
  </si>
  <si>
    <t>ORD100549</t>
  </si>
  <si>
    <t>CUST11848</t>
  </si>
  <si>
    <t>4326.24</t>
  </si>
  <si>
    <t>5332.95</t>
  </si>
  <si>
    <t>3319.53</t>
  </si>
  <si>
    <t>ORD100550</t>
  </si>
  <si>
    <t>CUST12879</t>
  </si>
  <si>
    <t>10063.790000000001</t>
  </si>
  <si>
    <t>6283.41</t>
  </si>
  <si>
    <t>2270.81</t>
  </si>
  <si>
    <t>ORD100551</t>
  </si>
  <si>
    <t>CUST11067</t>
  </si>
  <si>
    <t>11191.67</t>
  </si>
  <si>
    <t>6883.4</t>
  </si>
  <si>
    <t>3189.1</t>
  </si>
  <si>
    <t>ORD100552</t>
  </si>
  <si>
    <t>CUST13122</t>
  </si>
  <si>
    <t>35728.879999999997</t>
  </si>
  <si>
    <t>83093.240000000005</t>
  </si>
  <si>
    <t>24093.4</t>
  </si>
  <si>
    <t>ORD100553</t>
  </si>
  <si>
    <t>CUST11114</t>
  </si>
  <si>
    <t>1964.46</t>
  </si>
  <si>
    <t>1551.27</t>
  </si>
  <si>
    <t>216.74</t>
  </si>
  <si>
    <t>ORD100554</t>
  </si>
  <si>
    <t>CUST10417</t>
  </si>
  <si>
    <t>1251.1400000000001</t>
  </si>
  <si>
    <t>942.92</t>
  </si>
  <si>
    <t>183.11</t>
  </si>
  <si>
    <t>ORD100555</t>
  </si>
  <si>
    <t>CUST11865</t>
  </si>
  <si>
    <t>71101.929999999993</t>
  </si>
  <si>
    <t>142567.39000000001</t>
  </si>
  <si>
    <t>49407.82</t>
  </si>
  <si>
    <t>ORD100556</t>
  </si>
  <si>
    <t>CUST10647</t>
  </si>
  <si>
    <t>8650.68</t>
  </si>
  <si>
    <t>16039.94</t>
  </si>
  <si>
    <t>8614.5</t>
  </si>
  <si>
    <t>ORD100558</t>
  </si>
  <si>
    <t>24-03-2025</t>
  </si>
  <si>
    <t>CUST11958</t>
  </si>
  <si>
    <t>5478.47</t>
  </si>
  <si>
    <t>3246.22</t>
  </si>
  <si>
    <t>2232.25</t>
  </si>
  <si>
    <t>ORD100559</t>
  </si>
  <si>
    <t>CUST12639</t>
  </si>
  <si>
    <t>502.1</t>
  </si>
  <si>
    <t>369.47</t>
  </si>
  <si>
    <t>82.42</t>
  </si>
  <si>
    <t>ORD100561</t>
  </si>
  <si>
    <t>14-01-2025</t>
  </si>
  <si>
    <t>CUST10163</t>
  </si>
  <si>
    <t>38172.79</t>
  </si>
  <si>
    <t>111478.39999999999</t>
  </si>
  <si>
    <t>25943.64</t>
  </si>
  <si>
    <t>ORD100565</t>
  </si>
  <si>
    <t>21-11-2025</t>
  </si>
  <si>
    <t>CUST11635</t>
  </si>
  <si>
    <t>13824.68</t>
  </si>
  <si>
    <t>11286.87</t>
  </si>
  <si>
    <t>2537.81</t>
  </si>
  <si>
    <t>ORD100566</t>
  </si>
  <si>
    <t>CUST13007</t>
  </si>
  <si>
    <t>27558.44</t>
  </si>
  <si>
    <t>18574.419999999998</t>
  </si>
  <si>
    <t>4850.25</t>
  </si>
  <si>
    <t>ORD100567</t>
  </si>
  <si>
    <t>CUST10020</t>
  </si>
  <si>
    <t>3118.87</t>
  </si>
  <si>
    <t>2442.9499999999998</t>
  </si>
  <si>
    <t>52.15</t>
  </si>
  <si>
    <t>ORD100568</t>
  </si>
  <si>
    <t>20-07-2025</t>
  </si>
  <si>
    <t>CUST11545</t>
  </si>
  <si>
    <t>6663.85</t>
  </si>
  <si>
    <t>4776.33</t>
  </si>
  <si>
    <t>1221.1300000000001</t>
  </si>
  <si>
    <t>ORD100571</t>
  </si>
  <si>
    <t>CUST10668</t>
  </si>
  <si>
    <t>459.26</t>
  </si>
  <si>
    <t>255.95</t>
  </si>
  <si>
    <t>157.38</t>
  </si>
  <si>
    <t>ORD100572</t>
  </si>
  <si>
    <t>16-12-2025</t>
  </si>
  <si>
    <t>CUST13436</t>
  </si>
  <si>
    <t>3480</t>
  </si>
  <si>
    <t>2019.81</t>
  </si>
  <si>
    <t>1112.19</t>
  </si>
  <si>
    <t>ORD100573</t>
  </si>
  <si>
    <t>CUST11875</t>
  </si>
  <si>
    <t>1654.12</t>
  </si>
  <si>
    <t>916.98</t>
  </si>
  <si>
    <t>654.42999999999995</t>
  </si>
  <si>
    <t>ORD100574</t>
  </si>
  <si>
    <t>CUST11263</t>
  </si>
  <si>
    <t>11091.26</t>
  </si>
  <si>
    <t>26407.52</t>
  </si>
  <si>
    <t>3538.88</t>
  </si>
  <si>
    <t>ORD100575</t>
  </si>
  <si>
    <t>CUST11747</t>
  </si>
  <si>
    <t>2551.91</t>
  </si>
  <si>
    <t>1976.01</t>
  </si>
  <si>
    <t>575.9</t>
  </si>
  <si>
    <t>ORD100576</t>
  </si>
  <si>
    <t>CUST10588</t>
  </si>
  <si>
    <t>5640.92</t>
  </si>
  <si>
    <t>4596.55</t>
  </si>
  <si>
    <t>1044.3699999999999</t>
  </si>
  <si>
    <t>ORD100578</t>
  </si>
  <si>
    <t>CUST11392</t>
  </si>
  <si>
    <t>5263.97</t>
  </si>
  <si>
    <t>3683.49</t>
  </si>
  <si>
    <t>1317.28</t>
  </si>
  <si>
    <t>ORD100579</t>
  </si>
  <si>
    <t>CUST13472</t>
  </si>
  <si>
    <t>72499.41</t>
  </si>
  <si>
    <t>41836.69</t>
  </si>
  <si>
    <t>30662.720000000001</t>
  </si>
  <si>
    <t>ORD100580</t>
  </si>
  <si>
    <t>CUST10223</t>
  </si>
  <si>
    <t>5589.59</t>
  </si>
  <si>
    <t>7530.78</t>
  </si>
  <si>
    <t>3648.4</t>
  </si>
  <si>
    <t>ORD100583</t>
  </si>
  <si>
    <t>CUST12775</t>
  </si>
  <si>
    <t>30292.45</t>
  </si>
  <si>
    <t>70890.789999999994</t>
  </si>
  <si>
    <t>38162.03</t>
  </si>
  <si>
    <t>ORD100584</t>
  </si>
  <si>
    <t>03-07-2025</t>
  </si>
  <si>
    <t>CUST13319</t>
  </si>
  <si>
    <t>2480.96</t>
  </si>
  <si>
    <t>1569.94</t>
  </si>
  <si>
    <t>911.02</t>
  </si>
  <si>
    <t>ORD100585</t>
  </si>
  <si>
    <t>CUST10122</t>
  </si>
  <si>
    <t>6963</t>
  </si>
  <si>
    <t>5161.82</t>
  </si>
  <si>
    <t>408.58</t>
  </si>
  <si>
    <t>ORD100586</t>
  </si>
  <si>
    <t>CUST10633</t>
  </si>
  <si>
    <t>7650.08</t>
  </si>
  <si>
    <t>12251.08</t>
  </si>
  <si>
    <t>-10.95</t>
  </si>
  <si>
    <t>ORD100587</t>
  </si>
  <si>
    <t>CUST12090</t>
  </si>
  <si>
    <t>1262.2</t>
  </si>
  <si>
    <t>992.92</t>
  </si>
  <si>
    <t>143.06</t>
  </si>
  <si>
    <t>ORD100588</t>
  </si>
  <si>
    <t>CUST11574</t>
  </si>
  <si>
    <t>45228.7</t>
  </si>
  <si>
    <t>93413.13</t>
  </si>
  <si>
    <t>21920.05</t>
  </si>
  <si>
    <t>ORD100590</t>
  </si>
  <si>
    <t>CUST12326</t>
  </si>
  <si>
    <t>4955.6899999999996</t>
  </si>
  <si>
    <t>12437.3</t>
  </si>
  <si>
    <t>6394.32</t>
  </si>
  <si>
    <t>ORD100591</t>
  </si>
  <si>
    <t>CUST13160</t>
  </si>
  <si>
    <t>9397.5</t>
  </si>
  <si>
    <t>12968.92</t>
  </si>
  <si>
    <t>3946.58</t>
  </si>
  <si>
    <t>ORD100592</t>
  </si>
  <si>
    <t>CUST13276</t>
  </si>
  <si>
    <t>68201.66</t>
  </si>
  <si>
    <t>41923.49</t>
  </si>
  <si>
    <t>19458</t>
  </si>
  <si>
    <t>ORD100593</t>
  </si>
  <si>
    <t>12-04-2025</t>
  </si>
  <si>
    <t>CUST12528</t>
  </si>
  <si>
    <t>41529.29</t>
  </si>
  <si>
    <t>32741.43</t>
  </si>
  <si>
    <t>4634.93</t>
  </si>
  <si>
    <t>ORD100594</t>
  </si>
  <si>
    <t>15-11-2025</t>
  </si>
  <si>
    <t>CUST11881</t>
  </si>
  <si>
    <t>6409.98</t>
  </si>
  <si>
    <t>3744.56</t>
  </si>
  <si>
    <t>2024.42</t>
  </si>
  <si>
    <t>ORD100595</t>
  </si>
  <si>
    <t>10-05-2025</t>
  </si>
  <si>
    <t>CUST11842</t>
  </si>
  <si>
    <t>5103.59</t>
  </si>
  <si>
    <t>9178.92</t>
  </si>
  <si>
    <t>4600.7700000000004</t>
  </si>
  <si>
    <t>ORD100596</t>
  </si>
  <si>
    <t>CUST13028</t>
  </si>
  <si>
    <t>20497.79</t>
  </si>
  <si>
    <t>24592.240000000002</t>
  </si>
  <si>
    <t>14353.56</t>
  </si>
  <si>
    <t>ORD100600</t>
  </si>
  <si>
    <t>CUST10782</t>
  </si>
  <si>
    <t>2908.86</t>
  </si>
  <si>
    <t>5173.51</t>
  </si>
  <si>
    <t>2680.41</t>
  </si>
  <si>
    <t>ORD100602</t>
  </si>
  <si>
    <t>CUST12627</t>
  </si>
  <si>
    <t>1388.86</t>
  </si>
  <si>
    <t>1057.51</t>
  </si>
  <si>
    <t>192.46</t>
  </si>
  <si>
    <t>ORD100603</t>
  </si>
  <si>
    <t>CUST11523</t>
  </si>
  <si>
    <t>371.64</t>
  </si>
  <si>
    <t>542.36</t>
  </si>
  <si>
    <t>126.59</t>
  </si>
  <si>
    <t>ORD100604</t>
  </si>
  <si>
    <t>CUST10260</t>
  </si>
  <si>
    <t>7786.19</t>
  </si>
  <si>
    <t>5232.5600000000004</t>
  </si>
  <si>
    <t>1775.01</t>
  </si>
  <si>
    <t>ORD100607</t>
  </si>
  <si>
    <t>30-08-2025</t>
  </si>
  <si>
    <t>CUST11226</t>
  </si>
  <si>
    <t>3953.78</t>
  </si>
  <si>
    <t>5914.83</t>
  </si>
  <si>
    <t>1597.35</t>
  </si>
  <si>
    <t>ORD100608</t>
  </si>
  <si>
    <t>CUST12187</t>
  </si>
  <si>
    <t>13297.95</t>
  </si>
  <si>
    <t>7339.22</t>
  </si>
  <si>
    <t>4628.9399999999996</t>
  </si>
  <si>
    <t>ORD100609</t>
  </si>
  <si>
    <t>CUST12053</t>
  </si>
  <si>
    <t>17142.009999999998</t>
  </si>
  <si>
    <t>12560.98</t>
  </si>
  <si>
    <t>2009.73</t>
  </si>
  <si>
    <t>ORD100611</t>
  </si>
  <si>
    <t>CUST11010</t>
  </si>
  <si>
    <t>7602.4</t>
  </si>
  <si>
    <t>5028.76</t>
  </si>
  <si>
    <t>1433.28</t>
  </si>
  <si>
    <t>ORD100613</t>
  </si>
  <si>
    <t>CUST12550</t>
  </si>
  <si>
    <t>1688.21</t>
  </si>
  <si>
    <t>1035.23</t>
  </si>
  <si>
    <t>652.98</t>
  </si>
  <si>
    <t>ORD100614</t>
  </si>
  <si>
    <t>13-12-2025</t>
  </si>
  <si>
    <t>CUST13102</t>
  </si>
  <si>
    <t>3643.01</t>
  </si>
  <si>
    <t>5124.9399999999996</t>
  </si>
  <si>
    <t>2161.08</t>
  </si>
  <si>
    <t>ORD100615</t>
  </si>
  <si>
    <t>CUST12091</t>
  </si>
  <si>
    <t>4054.09</t>
  </si>
  <si>
    <t>4525.5600000000004</t>
  </si>
  <si>
    <t>3177.21</t>
  </si>
  <si>
    <t>ORD100616</t>
  </si>
  <si>
    <t>CUST12246</t>
  </si>
  <si>
    <t>17452.34</t>
  </si>
  <si>
    <t>13565.02</t>
  </si>
  <si>
    <t>3887.32</t>
  </si>
  <si>
    <t>ORD100617</t>
  </si>
  <si>
    <t>CUST11511</t>
  </si>
  <si>
    <t>13596.98</t>
  </si>
  <si>
    <t>43976.67</t>
  </si>
  <si>
    <t>7691.85</t>
  </si>
  <si>
    <t>ORD100618</t>
  </si>
  <si>
    <t>24-12-2025</t>
  </si>
  <si>
    <t>CUST10371</t>
  </si>
  <si>
    <t>61053.06</t>
  </si>
  <si>
    <t>46236.22</t>
  </si>
  <si>
    <t>14816.84</t>
  </si>
  <si>
    <t>ORD100619</t>
  </si>
  <si>
    <t>23-10-2025</t>
  </si>
  <si>
    <t>CUST12585</t>
  </si>
  <si>
    <t>2109.31</t>
  </si>
  <si>
    <t>2793.71</t>
  </si>
  <si>
    <t>1424.91</t>
  </si>
  <si>
    <t>ORD100620</t>
  </si>
  <si>
    <t>CUST10601</t>
  </si>
  <si>
    <t>11877.3</t>
  </si>
  <si>
    <t>17561.240000000002</t>
  </si>
  <si>
    <t>6193.36</t>
  </si>
  <si>
    <t>ORD100622</t>
  </si>
  <si>
    <t>CUST10639</t>
  </si>
  <si>
    <t>16259.34</t>
  </si>
  <si>
    <t>21820.59</t>
  </si>
  <si>
    <t>7446.22</t>
  </si>
  <si>
    <t>ORD100623</t>
  </si>
  <si>
    <t>CUST11145</t>
  </si>
  <si>
    <t>11752.7</t>
  </si>
  <si>
    <t>6909.78</t>
  </si>
  <si>
    <t>3667.65</t>
  </si>
  <si>
    <t>ORD100624</t>
  </si>
  <si>
    <t>CUST10182</t>
  </si>
  <si>
    <t>16578.43</t>
  </si>
  <si>
    <t>20628.580000000002</t>
  </si>
  <si>
    <t>9212.59</t>
  </si>
  <si>
    <t>ORD100625</t>
  </si>
  <si>
    <t>CUST11017</t>
  </si>
  <si>
    <t>26648.65</t>
  </si>
  <si>
    <t>37381.519999999997</t>
  </si>
  <si>
    <t>13250.92</t>
  </si>
  <si>
    <t>ORD100626</t>
  </si>
  <si>
    <t>CUST10958</t>
  </si>
  <si>
    <t>2097</t>
  </si>
  <si>
    <t>3431.54</t>
  </si>
  <si>
    <t>133.36000000000001</t>
  </si>
  <si>
    <t>ORD100627</t>
  </si>
  <si>
    <t>CUST12772</t>
  </si>
  <si>
    <t>6381.01</t>
  </si>
  <si>
    <t>14719.77</t>
  </si>
  <si>
    <t>9528.07</t>
  </si>
  <si>
    <t>ORD100628</t>
  </si>
  <si>
    <t>CUST11091</t>
  </si>
  <si>
    <t>16240.68</t>
  </si>
  <si>
    <t>13169.43</t>
  </si>
  <si>
    <t>3071.25</t>
  </si>
  <si>
    <t>ORD100630</t>
  </si>
  <si>
    <t>CUST12430</t>
  </si>
  <si>
    <t>3671.93</t>
  </si>
  <si>
    <t>2345.79</t>
  </si>
  <si>
    <t>775.35</t>
  </si>
  <si>
    <t>ORD100631</t>
  </si>
  <si>
    <t>CUST10714</t>
  </si>
  <si>
    <t>8121.35</t>
  </si>
  <si>
    <t>4751.16</t>
  </si>
  <si>
    <t>2558.06</t>
  </si>
  <si>
    <t>ORD100632</t>
  </si>
  <si>
    <t>CUST12215</t>
  </si>
  <si>
    <t>4431.5200000000004</t>
  </si>
  <si>
    <t>6539.09</t>
  </si>
  <si>
    <t>994.49</t>
  </si>
  <si>
    <t>ORD100633</t>
  </si>
  <si>
    <t>CUST11337</t>
  </si>
  <si>
    <t>7206.44</t>
  </si>
  <si>
    <t>4261.5</t>
  </si>
  <si>
    <t>2944.94</t>
  </si>
  <si>
    <t>ORD100634</t>
  </si>
  <si>
    <t>10-01-2025</t>
  </si>
  <si>
    <t>CUST10416</t>
  </si>
  <si>
    <t>54432.06</t>
  </si>
  <si>
    <t>96789.41</t>
  </si>
  <si>
    <t>50177.15</t>
  </si>
  <si>
    <t>ORD100635</t>
  </si>
  <si>
    <t>CUST10187</t>
  </si>
  <si>
    <t>5782.18</t>
  </si>
  <si>
    <t>3677.01</t>
  </si>
  <si>
    <t>1237.8399999999999</t>
  </si>
  <si>
    <t>ORD100636</t>
  </si>
  <si>
    <t>14-06-2025</t>
  </si>
  <si>
    <t>CUST10100</t>
  </si>
  <si>
    <t>1340.74</t>
  </si>
  <si>
    <t>2493</t>
  </si>
  <si>
    <t>925.89</t>
  </si>
  <si>
    <t>ORD100637</t>
  </si>
  <si>
    <t>CUST11952</t>
  </si>
  <si>
    <t>8960.2900000000009</t>
  </si>
  <si>
    <t>6377.14</t>
  </si>
  <si>
    <t>1687.12</t>
  </si>
  <si>
    <t>ORD100638</t>
  </si>
  <si>
    <t>CUST10917</t>
  </si>
  <si>
    <t>2577.2199999999998</t>
  </si>
  <si>
    <t>5531.35</t>
  </si>
  <si>
    <t>1427.14</t>
  </si>
  <si>
    <t>ORD100639</t>
  </si>
  <si>
    <t>CUST13446</t>
  </si>
  <si>
    <t>11907.01</t>
  </si>
  <si>
    <t>7609.66</t>
  </si>
  <si>
    <t>3106.65</t>
  </si>
  <si>
    <t>ORD100640</t>
  </si>
  <si>
    <t>02-03-2025</t>
  </si>
  <si>
    <t>CUST13451</t>
  </si>
  <si>
    <t>5462.83</t>
  </si>
  <si>
    <t>4362.1400000000003</t>
  </si>
  <si>
    <t>554.41</t>
  </si>
  <si>
    <t>ORD100641</t>
  </si>
  <si>
    <t>CUST12797</t>
  </si>
  <si>
    <t>4023.91</t>
  </si>
  <si>
    <t>12929.54</t>
  </si>
  <si>
    <t>1556.54</t>
  </si>
  <si>
    <t>ORD100642</t>
  </si>
  <si>
    <t>CUST13488</t>
  </si>
  <si>
    <t>70336.06</t>
  </si>
  <si>
    <t>49562.720000000001</t>
  </si>
  <si>
    <t>13739.73</t>
  </si>
  <si>
    <t>ORD100643</t>
  </si>
  <si>
    <t>CUST10661</t>
  </si>
  <si>
    <t>3750.49</t>
  </si>
  <si>
    <t>2697.76</t>
  </si>
  <si>
    <t>677.68</t>
  </si>
  <si>
    <t>ORD100644</t>
  </si>
  <si>
    <t>22-11-2025</t>
  </si>
  <si>
    <t>CUST13330</t>
  </si>
  <si>
    <t>6009.5</t>
  </si>
  <si>
    <t>4165.97</t>
  </si>
  <si>
    <t>1242.58</t>
  </si>
  <si>
    <t>ORD100645</t>
  </si>
  <si>
    <t>CUST11159</t>
  </si>
  <si>
    <t>3978.74</t>
  </si>
  <si>
    <t>4416.78</t>
  </si>
  <si>
    <t>2744.95</t>
  </si>
  <si>
    <t>ORD100646</t>
  </si>
  <si>
    <t>CUST13178</t>
  </si>
  <si>
    <t>3573.51</t>
  </si>
  <si>
    <t>2052.67</t>
  </si>
  <si>
    <t>1163.49</t>
  </si>
  <si>
    <t>ORD100647</t>
  </si>
  <si>
    <t>CUST10330</t>
  </si>
  <si>
    <t>7151.24</t>
  </si>
  <si>
    <t>4381.3900000000003</t>
  </si>
  <si>
    <t>1339.6</t>
  </si>
  <si>
    <t>ORD100649</t>
  </si>
  <si>
    <t>CUST13259</t>
  </si>
  <si>
    <t>38884.089999999997</t>
  </si>
  <si>
    <t>46179.08</t>
  </si>
  <si>
    <t>23812.28</t>
  </si>
  <si>
    <t>ORD100650</t>
  </si>
  <si>
    <t>08-02-2025</t>
  </si>
  <si>
    <t>CUST10197</t>
  </si>
  <si>
    <t>32770.959999999999</t>
  </si>
  <si>
    <t>22268.15</t>
  </si>
  <si>
    <t>7225.71</t>
  </si>
  <si>
    <t>ORD100651</t>
  </si>
  <si>
    <t>19-01-2025</t>
  </si>
  <si>
    <t>CUST11398</t>
  </si>
  <si>
    <t>1333.66</t>
  </si>
  <si>
    <t>1692.62</t>
  </si>
  <si>
    <t>707.97</t>
  </si>
  <si>
    <t>ORD100653</t>
  </si>
  <si>
    <t>CUST11434</t>
  </si>
  <si>
    <t>33781.300000000003</t>
  </si>
  <si>
    <t>91558.5</t>
  </si>
  <si>
    <t>36810.44</t>
  </si>
  <si>
    <t>ORD100654</t>
  </si>
  <si>
    <t>01-05-2025</t>
  </si>
  <si>
    <t>CUST10577</t>
  </si>
  <si>
    <t>5974.68</t>
  </si>
  <si>
    <t>4361.1499999999996</t>
  </si>
  <si>
    <t>1016.06</t>
  </si>
  <si>
    <t>ORD100655</t>
  </si>
  <si>
    <t>26-07-2025</t>
  </si>
  <si>
    <t>CUST11723</t>
  </si>
  <si>
    <t>2836.83</t>
  </si>
  <si>
    <t>2190.35</t>
  </si>
  <si>
    <t>220.96</t>
  </si>
  <si>
    <t>ORD100656</t>
  </si>
  <si>
    <t>CUST12503</t>
  </si>
  <si>
    <t>4424.63</t>
  </si>
  <si>
    <t>7151.37</t>
  </si>
  <si>
    <t>1255.43</t>
  </si>
  <si>
    <t>ORD100659</t>
  </si>
  <si>
    <t>CUST13185</t>
  </si>
  <si>
    <t>33735.94</t>
  </si>
  <si>
    <t>18964.080000000002</t>
  </si>
  <si>
    <t>9711.4699999999993</t>
  </si>
  <si>
    <t>ORD100661</t>
  </si>
  <si>
    <t>CUST13274</t>
  </si>
  <si>
    <t>47649.5</t>
  </si>
  <si>
    <t>61808.79</t>
  </si>
  <si>
    <t>28725.26</t>
  </si>
  <si>
    <t>ORD100662</t>
  </si>
  <si>
    <t>CUST10263</t>
  </si>
  <si>
    <t>17074.650000000001</t>
  </si>
  <si>
    <t>11258.17</t>
  </si>
  <si>
    <t>4109.0200000000004</t>
  </si>
  <si>
    <t>ORD100663</t>
  </si>
  <si>
    <t>CUST12779</t>
  </si>
  <si>
    <t>6916.84</t>
  </si>
  <si>
    <t>4138.84</t>
  </si>
  <si>
    <t>2432.16</t>
  </si>
  <si>
    <t>ORD100664</t>
  </si>
  <si>
    <t>CUST13350</t>
  </si>
  <si>
    <t>2553.83</t>
  </si>
  <si>
    <t>1489.35</t>
  </si>
  <si>
    <t>1064.48</t>
  </si>
  <si>
    <t>ORD100665</t>
  </si>
  <si>
    <t>09-07-2025</t>
  </si>
  <si>
    <t>CUST12924</t>
  </si>
  <si>
    <t>610.79</t>
  </si>
  <si>
    <t>723.39</t>
  </si>
  <si>
    <t>437.11</t>
  </si>
  <si>
    <t>ORD100666</t>
  </si>
  <si>
    <t>CUST10075</t>
  </si>
  <si>
    <t>6168.51</t>
  </si>
  <si>
    <t>19689.810000000001</t>
  </si>
  <si>
    <t>3750.53</t>
  </si>
  <si>
    <t>ORD100667</t>
  </si>
  <si>
    <t>CUST10266</t>
  </si>
  <si>
    <t>1937.33</t>
  </si>
  <si>
    <t>1112.6099999999999</t>
  </si>
  <si>
    <t>727.85</t>
  </si>
  <si>
    <t>ORD100668</t>
  </si>
  <si>
    <t>CUST11107</t>
  </si>
  <si>
    <t>65757.460000000006</t>
  </si>
  <si>
    <t>93217.97</t>
  </si>
  <si>
    <t>31721.200000000001</t>
  </si>
  <si>
    <t>ORD100669</t>
  </si>
  <si>
    <t>CUST12067</t>
  </si>
  <si>
    <t>7383.26</t>
  </si>
  <si>
    <t>14565.44</t>
  </si>
  <si>
    <t>6476.85</t>
  </si>
  <si>
    <t>ORD100671</t>
  </si>
  <si>
    <t>CUST11553</t>
  </si>
  <si>
    <t>56105.43</t>
  </si>
  <si>
    <t>45053.21</t>
  </si>
  <si>
    <t>-168.87</t>
  </si>
  <si>
    <t>ORD100672</t>
  </si>
  <si>
    <t>CUST12250</t>
  </si>
  <si>
    <t>41838.68</t>
  </si>
  <si>
    <t>51235.92</t>
  </si>
  <si>
    <t>24073.7</t>
  </si>
  <si>
    <t>ORD100673</t>
  </si>
  <si>
    <t>CUST13025</t>
  </si>
  <si>
    <t>41524.519999999997</t>
  </si>
  <si>
    <t>23640.77</t>
  </si>
  <si>
    <t>13731.3</t>
  </si>
  <si>
    <t>ORD100674</t>
  </si>
  <si>
    <t>CUST13372</t>
  </si>
  <si>
    <t>5906.24</t>
  </si>
  <si>
    <t>14257.39</t>
  </si>
  <si>
    <t>1689.46</t>
  </si>
  <si>
    <t>ORD100675</t>
  </si>
  <si>
    <t>CUST13324</t>
  </si>
  <si>
    <t>43886.13</t>
  </si>
  <si>
    <t>32345.56</t>
  </si>
  <si>
    <t>9346.26</t>
  </si>
  <si>
    <t>ORD100676</t>
  </si>
  <si>
    <t>CUST11630</t>
  </si>
  <si>
    <t>4377.5</t>
  </si>
  <si>
    <t>3011.07</t>
  </si>
  <si>
    <t>928.68</t>
  </si>
  <si>
    <t>ORD100677</t>
  </si>
  <si>
    <t>CUST12419</t>
  </si>
  <si>
    <t>971.01</t>
  </si>
  <si>
    <t>1226.69</t>
  </si>
  <si>
    <t>715.33</t>
  </si>
  <si>
    <t>ORD100678</t>
  </si>
  <si>
    <t>CUST10076</t>
  </si>
  <si>
    <t>3420.52</t>
  </si>
  <si>
    <t>2419.64</t>
  </si>
  <si>
    <t>487.8</t>
  </si>
  <si>
    <t>ORD100680</t>
  </si>
  <si>
    <t>CUST13165</t>
  </si>
  <si>
    <t>6463.19</t>
  </si>
  <si>
    <t>4134.37</t>
  </si>
  <si>
    <t>1682.5</t>
  </si>
  <si>
    <t>ORD100681</t>
  </si>
  <si>
    <t>07-07-2025</t>
  </si>
  <si>
    <t>CUST13062</t>
  </si>
  <si>
    <t>40301.919999999998</t>
  </si>
  <si>
    <t>25183.19</t>
  </si>
  <si>
    <t>9073.44</t>
  </si>
  <si>
    <t>ORD100683</t>
  </si>
  <si>
    <t>12-02-2025</t>
  </si>
  <si>
    <t>CUST12644</t>
  </si>
  <si>
    <t>12029.16</t>
  </si>
  <si>
    <t>8057.75</t>
  </si>
  <si>
    <t>3369.95</t>
  </si>
  <si>
    <t>ORD100685</t>
  </si>
  <si>
    <t>CUST11335</t>
  </si>
  <si>
    <t>7274.72</t>
  </si>
  <si>
    <t>16253.08</t>
  </si>
  <si>
    <t>3388.66</t>
  </si>
  <si>
    <t>ORD100687</t>
  </si>
  <si>
    <t>CUST13292</t>
  </si>
  <si>
    <t>6851.08</t>
  </si>
  <si>
    <t>4031.51</t>
  </si>
  <si>
    <t>1791.91</t>
  </si>
  <si>
    <t>ORD100688</t>
  </si>
  <si>
    <t>CUST12567</t>
  </si>
  <si>
    <t>8038.33</t>
  </si>
  <si>
    <t>15030.27</t>
  </si>
  <si>
    <t>6673.22</t>
  </si>
  <si>
    <t>ORD100689</t>
  </si>
  <si>
    <t>CUST12737</t>
  </si>
  <si>
    <t>15785.31</t>
  </si>
  <si>
    <t>27618.58</t>
  </si>
  <si>
    <t>17369.55</t>
  </si>
  <si>
    <t>ORD100690</t>
  </si>
  <si>
    <t>09-02-2025</t>
  </si>
  <si>
    <t>CUST12414</t>
  </si>
  <si>
    <t>28103.96</t>
  </si>
  <si>
    <t>55516.69</t>
  </si>
  <si>
    <t>24579.599999999999</t>
  </si>
  <si>
    <t>ORD100691</t>
  </si>
  <si>
    <t>CUST12526</t>
  </si>
  <si>
    <t>451.04</t>
  </si>
  <si>
    <t>1423.9</t>
  </si>
  <si>
    <t>290.05</t>
  </si>
  <si>
    <t>ORD100692</t>
  </si>
  <si>
    <t>CUST11389</t>
  </si>
  <si>
    <t>34074.46</t>
  </si>
  <si>
    <t>27767.42</t>
  </si>
  <si>
    <t>4603.32</t>
  </si>
  <si>
    <t>ORD100694</t>
  </si>
  <si>
    <t>CUST11541</t>
  </si>
  <si>
    <t>14815.08</t>
  </si>
  <si>
    <t>16544.25</t>
  </si>
  <si>
    <t>10122.89</t>
  </si>
  <si>
    <t>ORD100695</t>
  </si>
  <si>
    <t>02-06-2025</t>
  </si>
  <si>
    <t>CUST12556</t>
  </si>
  <si>
    <t>4190.88</t>
  </si>
  <si>
    <t>2443.4899999999998</t>
  </si>
  <si>
    <t>1118.76</t>
  </si>
  <si>
    <t>ORD100696</t>
  </si>
  <si>
    <t>CUST11136</t>
  </si>
  <si>
    <t>17221.02</t>
  </si>
  <si>
    <t>10058.629999999999</t>
  </si>
  <si>
    <t>5440.29</t>
  </si>
  <si>
    <t>ORD100697</t>
  </si>
  <si>
    <t>CUST11560</t>
  </si>
  <si>
    <t>1757.05</t>
  </si>
  <si>
    <t>3764.81</t>
  </si>
  <si>
    <t>1242.78</t>
  </si>
  <si>
    <t>ORD100698</t>
  </si>
  <si>
    <t>CUST12886</t>
  </si>
  <si>
    <t>4302.1000000000004</t>
  </si>
  <si>
    <t>2554.3000000000002</t>
  </si>
  <si>
    <t>1317.59</t>
  </si>
  <si>
    <t>ORD100699</t>
  </si>
  <si>
    <t>CUST11316</t>
  </si>
  <si>
    <t>3685.42</t>
  </si>
  <si>
    <t>5300.53</t>
  </si>
  <si>
    <t>2070.31</t>
  </si>
  <si>
    <t>ORD100701</t>
  </si>
  <si>
    <t>CUST12899</t>
  </si>
  <si>
    <t>48689.09</t>
  </si>
  <si>
    <t>32295.69</t>
  </si>
  <si>
    <t>9090.0400000000009</t>
  </si>
  <si>
    <t>ORD100702</t>
  </si>
  <si>
    <t>CUST11921</t>
  </si>
  <si>
    <t>1814.17</t>
  </si>
  <si>
    <t>2358.29</t>
  </si>
  <si>
    <t>907.22</t>
  </si>
  <si>
    <t>ORD100703</t>
  </si>
  <si>
    <t>CUST10950</t>
  </si>
  <si>
    <t>3414.62</t>
  </si>
  <si>
    <t>2095.94</t>
  </si>
  <si>
    <t>1318.68</t>
  </si>
  <si>
    <t>ORD100704</t>
  </si>
  <si>
    <t>CUST10973</t>
  </si>
  <si>
    <t>68602.720000000001</t>
  </si>
  <si>
    <t>117117.9</t>
  </si>
  <si>
    <t>57819.040000000001</t>
  </si>
  <si>
    <t>ORD100705</t>
  </si>
  <si>
    <t>CUST12903</t>
  </si>
  <si>
    <t>13642.19</t>
  </si>
  <si>
    <t>8356.14</t>
  </si>
  <si>
    <t>5286.05</t>
  </si>
  <si>
    <t>ORD100706</t>
  </si>
  <si>
    <t>CUST12316</t>
  </si>
  <si>
    <t>5595.13</t>
  </si>
  <si>
    <t>3493.56</t>
  </si>
  <si>
    <t>1542.06</t>
  </si>
  <si>
    <t>ORD100707</t>
  </si>
  <si>
    <t>CUST10659</t>
  </si>
  <si>
    <t>2251.1999999999998</t>
  </si>
  <si>
    <t>3203.09</t>
  </si>
  <si>
    <t>623.95000000000005</t>
  </si>
  <si>
    <t>ORD100708</t>
  </si>
  <si>
    <t>01-07-2025</t>
  </si>
  <si>
    <t>CUST10925</t>
  </si>
  <si>
    <t>699.24</t>
  </si>
  <si>
    <t>1102.52</t>
  </si>
  <si>
    <t>295.95999999999998</t>
  </si>
  <si>
    <t>ORD100709</t>
  </si>
  <si>
    <t>26-01-2025</t>
  </si>
  <si>
    <t>CUST10259</t>
  </si>
  <si>
    <t>1092.18</t>
  </si>
  <si>
    <t>889.46</t>
  </si>
  <si>
    <t>148.11000000000001</t>
  </si>
  <si>
    <t>ORD100710</t>
  </si>
  <si>
    <t>CUST11619</t>
  </si>
  <si>
    <t>3919.54</t>
  </si>
  <si>
    <t>4553.84</t>
  </si>
  <si>
    <t>2109.38</t>
  </si>
  <si>
    <t>ORD100711</t>
  </si>
  <si>
    <t>CUST11743</t>
  </si>
  <si>
    <t>25027.81</t>
  </si>
  <si>
    <t>36407.760000000002</t>
  </si>
  <si>
    <t>13647.86</t>
  </si>
  <si>
    <t>ORD100712</t>
  </si>
  <si>
    <t>CUST11711</t>
  </si>
  <si>
    <t>4154.37</t>
  </si>
  <si>
    <t>9173.18</t>
  </si>
  <si>
    <t>7444.3</t>
  </si>
  <si>
    <t>ORD100714</t>
  </si>
  <si>
    <t>CUST10690</t>
  </si>
  <si>
    <t>6825.95</t>
  </si>
  <si>
    <t>5193.3900000000003</t>
  </si>
  <si>
    <t>1291.26</t>
  </si>
  <si>
    <t>ORD100715</t>
  </si>
  <si>
    <t>CUST11512</t>
  </si>
  <si>
    <t>7144.24</t>
  </si>
  <si>
    <t>5733.61</t>
  </si>
  <si>
    <t>1053.42</t>
  </si>
  <si>
    <t>ORD100717</t>
  </si>
  <si>
    <t>CUST12936</t>
  </si>
  <si>
    <t>2357.23</t>
  </si>
  <si>
    <t>5611.87</t>
  </si>
  <si>
    <t>399.07</t>
  </si>
  <si>
    <t>ORD100718</t>
  </si>
  <si>
    <t>CUST10743</t>
  </si>
  <si>
    <t>32047.13</t>
  </si>
  <si>
    <t>26094.42</t>
  </si>
  <si>
    <t>2748</t>
  </si>
  <si>
    <t>ORD100720</t>
  </si>
  <si>
    <t>28-04-2025</t>
  </si>
  <si>
    <t>CUST13435</t>
  </si>
  <si>
    <t>28458</t>
  </si>
  <si>
    <t>50360.12</t>
  </si>
  <si>
    <t>22207.78</t>
  </si>
  <si>
    <t>ORD100721</t>
  </si>
  <si>
    <t>CUST11933</t>
  </si>
  <si>
    <t>4648.12</t>
  </si>
  <si>
    <t>3306.43</t>
  </si>
  <si>
    <t>1341.69</t>
  </si>
  <si>
    <t>ORD100722</t>
  </si>
  <si>
    <t>CUST12542</t>
  </si>
  <si>
    <t>1354.53</t>
  </si>
  <si>
    <t>2507.5</t>
  </si>
  <si>
    <t>1149.73</t>
  </si>
  <si>
    <t>ORD100723</t>
  </si>
  <si>
    <t>27-06-2025</t>
  </si>
  <si>
    <t>CUST11515</t>
  </si>
  <si>
    <t>7680.9</t>
  </si>
  <si>
    <t>9052.82</t>
  </si>
  <si>
    <t>4004.71</t>
  </si>
  <si>
    <t>ORD100725</t>
  </si>
  <si>
    <t>CUST11734</t>
  </si>
  <si>
    <t>70749.240000000005</t>
  </si>
  <si>
    <t>112418.14</t>
  </si>
  <si>
    <t>14930.49</t>
  </si>
  <si>
    <t>ORD100729</t>
  </si>
  <si>
    <t>CUST11047</t>
  </si>
  <si>
    <t>11679.05</t>
  </si>
  <si>
    <t>8594.2900000000009</t>
  </si>
  <si>
    <t>1332.9</t>
  </si>
  <si>
    <t>ORD100730</t>
  </si>
  <si>
    <t>CUST11768</t>
  </si>
  <si>
    <t>10233.950000000001</t>
  </si>
  <si>
    <t>11472.48</t>
  </si>
  <si>
    <t>7972.02</t>
  </si>
  <si>
    <t>ORD100731</t>
  </si>
  <si>
    <t>CUST10054</t>
  </si>
  <si>
    <t>36103.49</t>
  </si>
  <si>
    <t>23607.9</t>
  </si>
  <si>
    <t>10690.42</t>
  </si>
  <si>
    <t>ORD100733</t>
  </si>
  <si>
    <t>CUST11522</t>
  </si>
  <si>
    <t>4741.62</t>
  </si>
  <si>
    <t>11834.93</t>
  </si>
  <si>
    <t>4286.58</t>
  </si>
  <si>
    <t>ORD100735</t>
  </si>
  <si>
    <t>13-03-2025</t>
  </si>
  <si>
    <t>CUST10877</t>
  </si>
  <si>
    <t>3338.87</t>
  </si>
  <si>
    <t>2314.17</t>
  </si>
  <si>
    <t>690.81</t>
  </si>
  <si>
    <t>ORD100736</t>
  </si>
  <si>
    <t>CUST12642</t>
  </si>
  <si>
    <t>37280.769999999997</t>
  </si>
  <si>
    <t>27633.74</t>
  </si>
  <si>
    <t>9647.0300000000007</t>
  </si>
  <si>
    <t>ORD100737</t>
  </si>
  <si>
    <t>CUST13170</t>
  </si>
  <si>
    <t>66489.84</t>
  </si>
  <si>
    <t>81702.240000000005</t>
  </si>
  <si>
    <t>44628.46</t>
  </si>
  <si>
    <t>cash on delivery</t>
  </si>
  <si>
    <t>ORD100739</t>
  </si>
  <si>
    <t>CUST11732</t>
  </si>
  <si>
    <t>15329.22</t>
  </si>
  <si>
    <t>20590.02</t>
  </si>
  <si>
    <t>5469.65</t>
  </si>
  <si>
    <t>ORD100741</t>
  </si>
  <si>
    <t>CUST10834</t>
  </si>
  <si>
    <t>14117.17</t>
  </si>
  <si>
    <t>31879.5</t>
  </si>
  <si>
    <t>6236.86</t>
  </si>
  <si>
    <t>ORD100742</t>
  </si>
  <si>
    <t>30-11-2025</t>
  </si>
  <si>
    <t>CUST12399</t>
  </si>
  <si>
    <t>2980.67</t>
  </si>
  <si>
    <t>1897.05</t>
  </si>
  <si>
    <t>934.59</t>
  </si>
  <si>
    <t>ORD100743</t>
  </si>
  <si>
    <t>CUST10986</t>
  </si>
  <si>
    <t>2296.19</t>
  </si>
  <si>
    <t>6963.98</t>
  </si>
  <si>
    <t>1302.3</t>
  </si>
  <si>
    <t>ORD100744</t>
  </si>
  <si>
    <t>30-10-2025</t>
  </si>
  <si>
    <t>CUST12305</t>
  </si>
  <si>
    <t>5753.15</t>
  </si>
  <si>
    <t>4394.88</t>
  </si>
  <si>
    <t>1070.6099999999999</t>
  </si>
  <si>
    <t>ORD100745</t>
  </si>
  <si>
    <t>CUST11885</t>
  </si>
  <si>
    <t>2445.2199999999998</t>
  </si>
  <si>
    <t>1643.17</t>
  </si>
  <si>
    <t>557.53</t>
  </si>
  <si>
    <t>ORD100747</t>
  </si>
  <si>
    <t>05-03-2025</t>
  </si>
  <si>
    <t>CUST13082</t>
  </si>
  <si>
    <t>53346.13</t>
  </si>
  <si>
    <t>30323.88</t>
  </si>
  <si>
    <t>23022.25</t>
  </si>
  <si>
    <t>ORD100749</t>
  </si>
  <si>
    <t>18-10-2025</t>
  </si>
  <si>
    <t>CUST10477</t>
  </si>
  <si>
    <t>53942.45</t>
  </si>
  <si>
    <t>31764.27</t>
  </si>
  <si>
    <t>19481.060000000001</t>
  </si>
  <si>
    <t>ORD100750</t>
  </si>
  <si>
    <t>CUST12135</t>
  </si>
  <si>
    <t>71969</t>
  </si>
  <si>
    <t>56867.74</t>
  </si>
  <si>
    <t>707.46</t>
  </si>
  <si>
    <t>ORD100751</t>
  </si>
  <si>
    <t>CUST11437</t>
  </si>
  <si>
    <t>34667.54</t>
  </si>
  <si>
    <t>106650.34</t>
  </si>
  <si>
    <t>18152.8</t>
  </si>
  <si>
    <t>ORD100752</t>
  </si>
  <si>
    <t>CUST11948</t>
  </si>
  <si>
    <t>7813.84</t>
  </si>
  <si>
    <t>17316.18</t>
  </si>
  <si>
    <t>6125.34</t>
  </si>
  <si>
    <t>ORD100753</t>
  </si>
  <si>
    <t>CUST12658</t>
  </si>
  <si>
    <t>6656.31</t>
  </si>
  <si>
    <t>9054.9</t>
  </si>
  <si>
    <t>2260.83</t>
  </si>
  <si>
    <t>ORD100754</t>
  </si>
  <si>
    <t>CUST11255</t>
  </si>
  <si>
    <t>6293.36</t>
  </si>
  <si>
    <t>7446.78</t>
  </si>
  <si>
    <t>4510.6000000000004</t>
  </si>
  <si>
    <t>ORD100755</t>
  </si>
  <si>
    <t>CUST11488</t>
  </si>
  <si>
    <t>8356.5300000000007</t>
  </si>
  <si>
    <t>9853.18</t>
  </si>
  <si>
    <t>5188.57</t>
  </si>
  <si>
    <t>ORD100756</t>
  </si>
  <si>
    <t>CUST10689</t>
  </si>
  <si>
    <t>2337.0300000000002</t>
  </si>
  <si>
    <t>3799.35</t>
  </si>
  <si>
    <t>173.6</t>
  </si>
  <si>
    <t>ORD100757</t>
  </si>
  <si>
    <t>CUST11843</t>
  </si>
  <si>
    <t>72614.429999999993</t>
  </si>
  <si>
    <t>52896.52</t>
  </si>
  <si>
    <t>16087.19</t>
  </si>
  <si>
    <t>ORD100759</t>
  </si>
  <si>
    <t>CUST11621</t>
  </si>
  <si>
    <t>8123.44</t>
  </si>
  <si>
    <t>5360.55</t>
  </si>
  <si>
    <t>1138.2</t>
  </si>
  <si>
    <t>ORD100760</t>
  </si>
  <si>
    <t>CUST11569</t>
  </si>
  <si>
    <t>17677.71</t>
  </si>
  <si>
    <t>11413.82</t>
  </si>
  <si>
    <t>4496.12</t>
  </si>
  <si>
    <t>ORD100761</t>
  </si>
  <si>
    <t>06-06-2025</t>
  </si>
  <si>
    <t>CUST13463</t>
  </si>
  <si>
    <t>13009.97</t>
  </si>
  <si>
    <t>8465.9500000000007</t>
  </si>
  <si>
    <t>2592.52</t>
  </si>
  <si>
    <t>ORD100762</t>
  </si>
  <si>
    <t>CUST10325</t>
  </si>
  <si>
    <t>4659.3999999999996</t>
  </si>
  <si>
    <t>2810.3</t>
  </si>
  <si>
    <t>1383.16</t>
  </si>
  <si>
    <t>ORD100763</t>
  </si>
  <si>
    <t>CUST11219</t>
  </si>
  <si>
    <t>3064.69</t>
  </si>
  <si>
    <t>2224.75</t>
  </si>
  <si>
    <t>533.47</t>
  </si>
  <si>
    <t>ORD100764</t>
  </si>
  <si>
    <t>CUST10567</t>
  </si>
  <si>
    <t>9938.2900000000009</t>
  </si>
  <si>
    <t>7020.2</t>
  </si>
  <si>
    <t>1924.26</t>
  </si>
  <si>
    <t>ORD100765</t>
  </si>
  <si>
    <t>CUST10907</t>
  </si>
  <si>
    <t>1274.8699999999999</t>
  </si>
  <si>
    <t>3177.62</t>
  </si>
  <si>
    <t>1666.89</t>
  </si>
  <si>
    <t>ORD100766</t>
  </si>
  <si>
    <t>CUST11420</t>
  </si>
  <si>
    <t>4753.45</t>
  </si>
  <si>
    <t>10615.02</t>
  </si>
  <si>
    <t>2219.29</t>
  </si>
  <si>
    <t>ORD100767</t>
  </si>
  <si>
    <t>CUST10461</t>
  </si>
  <si>
    <t>18079.82</t>
  </si>
  <si>
    <t>10843.16</t>
  </si>
  <si>
    <t>3620.7</t>
  </si>
  <si>
    <t>ORD100768</t>
  </si>
  <si>
    <t>CUST12608</t>
  </si>
  <si>
    <t>42048.97</t>
  </si>
  <si>
    <t>33170.910000000003</t>
  </si>
  <si>
    <t>4673.16</t>
  </si>
  <si>
    <t>ORD100769</t>
  </si>
  <si>
    <t>CUST12455</t>
  </si>
  <si>
    <t>3475.43</t>
  </si>
  <si>
    <t>2031.54</t>
  </si>
  <si>
    <t>1443.89</t>
  </si>
  <si>
    <t>ORD100771</t>
  </si>
  <si>
    <t>CUST12169</t>
  </si>
  <si>
    <t>10961.2</t>
  </si>
  <si>
    <t>22805.17</t>
  </si>
  <si>
    <t>10078.43</t>
  </si>
  <si>
    <t>ORD100773</t>
  </si>
  <si>
    <t>CUST13107</t>
  </si>
  <si>
    <t>4088.33</t>
  </si>
  <si>
    <t>2890.5</t>
  </si>
  <si>
    <t>584.58000000000004</t>
  </si>
  <si>
    <t>ORD100774</t>
  </si>
  <si>
    <t>CUST11059</t>
  </si>
  <si>
    <t>6831.78</t>
  </si>
  <si>
    <t>5054.13</t>
  </si>
  <si>
    <t>1777.65</t>
  </si>
  <si>
    <t>ORD100775</t>
  </si>
  <si>
    <t>27-08-2025</t>
  </si>
  <si>
    <t>CUST12223</t>
  </si>
  <si>
    <t>61443.09</t>
  </si>
  <si>
    <t>38040.49</t>
  </si>
  <si>
    <t>23402.6</t>
  </si>
  <si>
    <t>ORD100776</t>
  </si>
  <si>
    <t>CUST11298</t>
  </si>
  <si>
    <t>16368.99</t>
  </si>
  <si>
    <t>26818.87</t>
  </si>
  <si>
    <t>5919.11</t>
  </si>
  <si>
    <t>ORD100777</t>
  </si>
  <si>
    <t>CUST12678</t>
  </si>
  <si>
    <t>10913.87</t>
  </si>
  <si>
    <t>7310.17</t>
  </si>
  <si>
    <t>1966.62</t>
  </si>
  <si>
    <t>ORD100778</t>
  </si>
  <si>
    <t>CUST11913</t>
  </si>
  <si>
    <t>1246.6600000000001</t>
  </si>
  <si>
    <t>2668.23</t>
  </si>
  <si>
    <t>1071.75</t>
  </si>
  <si>
    <t>ORD100780</t>
  </si>
  <si>
    <t>12-12-2025</t>
  </si>
  <si>
    <t>CUST11786</t>
  </si>
  <si>
    <t>7145.51</t>
  </si>
  <si>
    <t>10368.200000000001</t>
  </si>
  <si>
    <t>2493.7199999999998</t>
  </si>
  <si>
    <t>ORD100782</t>
  </si>
  <si>
    <t>CUST11818</t>
  </si>
  <si>
    <t>68988</t>
  </si>
  <si>
    <t>156109.22</t>
  </si>
  <si>
    <t>40506.58</t>
  </si>
  <si>
    <t>ORD100783</t>
  </si>
  <si>
    <t>CUST10830</t>
  </si>
  <si>
    <t>5715.73</t>
  </si>
  <si>
    <t>3773.93</t>
  </si>
  <si>
    <t>1941.8</t>
  </si>
  <si>
    <t>ORD100784</t>
  </si>
  <si>
    <t>CUST12353</t>
  </si>
  <si>
    <t>5489.88</t>
  </si>
  <si>
    <t>10409.89</t>
  </si>
  <si>
    <t>4412.79</t>
  </si>
  <si>
    <t>ORD100785</t>
  </si>
  <si>
    <t>CUST10572</t>
  </si>
  <si>
    <t>10344.31</t>
  </si>
  <si>
    <t>26252.01</t>
  </si>
  <si>
    <t>15125.23</t>
  </si>
  <si>
    <t>ORD100786</t>
  </si>
  <si>
    <t>CUST13368</t>
  </si>
  <si>
    <t>7795.48</t>
  </si>
  <si>
    <t>4908.7700000000004</t>
  </si>
  <si>
    <t>2886.71</t>
  </si>
  <si>
    <t>ORD100787</t>
  </si>
  <si>
    <t>17-03-2025</t>
  </si>
  <si>
    <t>CUST13291</t>
  </si>
  <si>
    <t>4048.59</t>
  </si>
  <si>
    <t>3086.1</t>
  </si>
  <si>
    <t>760.06</t>
  </si>
  <si>
    <t>ORD100790</t>
  </si>
  <si>
    <t>07-05-2025</t>
  </si>
  <si>
    <t>CUST13146</t>
  </si>
  <si>
    <t>35860.42</t>
  </si>
  <si>
    <t>48310.13</t>
  </si>
  <si>
    <t>19824.669999999998</t>
  </si>
  <si>
    <t>ORD100791</t>
  </si>
  <si>
    <t>CUST13405</t>
  </si>
  <si>
    <t>10355.200000000001</t>
  </si>
  <si>
    <t>7126.24</t>
  </si>
  <si>
    <t>3228.96</t>
  </si>
  <si>
    <t>ORD100793</t>
  </si>
  <si>
    <t>07-10-2025</t>
  </si>
  <si>
    <t>CUST11637</t>
  </si>
  <si>
    <t>2642.85</t>
  </si>
  <si>
    <t>1521.31</t>
  </si>
  <si>
    <t>989.4</t>
  </si>
  <si>
    <t>ORD100795</t>
  </si>
  <si>
    <t>05-07-2025</t>
  </si>
  <si>
    <t>CUST11666</t>
  </si>
  <si>
    <t>68046.52</t>
  </si>
  <si>
    <t>114372.36</t>
  </si>
  <si>
    <t>89767.2</t>
  </si>
  <si>
    <t>ORD100796</t>
  </si>
  <si>
    <t>CUST13032</t>
  </si>
  <si>
    <t>2987.59</t>
  </si>
  <si>
    <t>2254.31</t>
  </si>
  <si>
    <t>434.52</t>
  </si>
  <si>
    <t>returned</t>
  </si>
  <si>
    <t>ORD100799</t>
  </si>
  <si>
    <t>CUST11616</t>
  </si>
  <si>
    <t>4371.42</t>
  </si>
  <si>
    <t>11658.08</t>
  </si>
  <si>
    <t>4953.32</t>
  </si>
  <si>
    <t>ORD100800</t>
  </si>
  <si>
    <t>17-08-2025</t>
  </si>
  <si>
    <t>CUST10533</t>
  </si>
  <si>
    <t>1829.38</t>
  </si>
  <si>
    <t>1276.42</t>
  </si>
  <si>
    <t>370.02</t>
  </si>
  <si>
    <t>ORD100802</t>
  </si>
  <si>
    <t>CUST12502</t>
  </si>
  <si>
    <t>15238.56</t>
  </si>
  <si>
    <t>9046.2999999999993</t>
  </si>
  <si>
    <t>3144.55</t>
  </si>
  <si>
    <t>ORD100803</t>
  </si>
  <si>
    <t>CUST10889</t>
  </si>
  <si>
    <t>10622.59</t>
  </si>
  <si>
    <t>33048.51</t>
  </si>
  <si>
    <t>5192.8100000000004</t>
  </si>
  <si>
    <t>ORD100804</t>
  </si>
  <si>
    <t>30-07-2025</t>
  </si>
  <si>
    <t>CUST12600</t>
  </si>
  <si>
    <t>16774.87</t>
  </si>
  <si>
    <t>12279.33</t>
  </si>
  <si>
    <t>1140.57</t>
  </si>
  <si>
    <t>ORD100805</t>
  </si>
  <si>
    <t>CUST12066</t>
  </si>
  <si>
    <t>8698.31</t>
  </si>
  <si>
    <t>11411.76</t>
  </si>
  <si>
    <t>3375.37</t>
  </si>
  <si>
    <t>ORD100806</t>
  </si>
  <si>
    <t>23-12-2025</t>
  </si>
  <si>
    <t>CUST13268</t>
  </si>
  <si>
    <t>828.52</t>
  </si>
  <si>
    <t>639.36</t>
  </si>
  <si>
    <t>106.31</t>
  </si>
  <si>
    <t>ORD100807</t>
  </si>
  <si>
    <t>CUST11362</t>
  </si>
  <si>
    <t>27330.14</t>
  </si>
  <si>
    <t>17576.95</t>
  </si>
  <si>
    <t>8386.68</t>
  </si>
  <si>
    <t>ORD100808</t>
  </si>
  <si>
    <t>CUST10009</t>
  </si>
  <si>
    <t>2165.8200000000002</t>
  </si>
  <si>
    <t>2667.37</t>
  </si>
  <si>
    <t>1014.52</t>
  </si>
  <si>
    <t>ORD100810</t>
  </si>
  <si>
    <t>CUST10285</t>
  </si>
  <si>
    <t>964.93</t>
  </si>
  <si>
    <t>787.25</t>
  </si>
  <si>
    <t>129.43</t>
  </si>
  <si>
    <t>ORD100811</t>
  </si>
  <si>
    <t>07-03-2025</t>
  </si>
  <si>
    <t>CUST12389</t>
  </si>
  <si>
    <t>9866</t>
  </si>
  <si>
    <t>6844.64</t>
  </si>
  <si>
    <t>2528.06</t>
  </si>
  <si>
    <t>ORD100812</t>
  </si>
  <si>
    <t>07-09-2025</t>
  </si>
  <si>
    <t>CUST11476</t>
  </si>
  <si>
    <t>13538.99</t>
  </si>
  <si>
    <t>19912.57</t>
  </si>
  <si>
    <t>3103.71</t>
  </si>
  <si>
    <t>ORD100813</t>
  </si>
  <si>
    <t>07-06-2025</t>
  </si>
  <si>
    <t>CUST13148</t>
  </si>
  <si>
    <t>49858.31</t>
  </si>
  <si>
    <t>30315.31</t>
  </si>
  <si>
    <t>19543</t>
  </si>
  <si>
    <t>ORD100815</t>
  </si>
  <si>
    <t>CUST12209</t>
  </si>
  <si>
    <t>352.28</t>
  </si>
  <si>
    <t>224.02</t>
  </si>
  <si>
    <t>93.03</t>
  </si>
  <si>
    <t>ORD100816</t>
  </si>
  <si>
    <t>CUST12562</t>
  </si>
  <si>
    <t>5839.08</t>
  </si>
  <si>
    <t>4318.74</t>
  </si>
  <si>
    <t>936.43</t>
  </si>
  <si>
    <t>ORD100817</t>
  </si>
  <si>
    <t>CUST13036</t>
  </si>
  <si>
    <t>1226.04</t>
  </si>
  <si>
    <t>901.77</t>
  </si>
  <si>
    <t>201.67</t>
  </si>
  <si>
    <t>ORD100818</t>
  </si>
  <si>
    <t>CUST13128</t>
  </si>
  <si>
    <t>825.48</t>
  </si>
  <si>
    <t>647.57000000000005</t>
  </si>
  <si>
    <t>54.09</t>
  </si>
  <si>
    <t>ORD100819</t>
  </si>
  <si>
    <t>CUST12621</t>
  </si>
  <si>
    <t>5809.26</t>
  </si>
  <si>
    <t>3646.64</t>
  </si>
  <si>
    <t>1581.69</t>
  </si>
  <si>
    <t>ORD100820</t>
  </si>
  <si>
    <t>CUST13329</t>
  </si>
  <si>
    <t>16264.6</t>
  </si>
  <si>
    <t>35994.14</t>
  </si>
  <si>
    <t>12799.66</t>
  </si>
  <si>
    <t>ORD100821</t>
  </si>
  <si>
    <t>CUST11490</t>
  </si>
  <si>
    <t>7980.33</t>
  </si>
  <si>
    <t>5967.04</t>
  </si>
  <si>
    <t>1215.26</t>
  </si>
  <si>
    <t>ORD100822</t>
  </si>
  <si>
    <t>CUST11155</t>
  </si>
  <si>
    <t>9167.09</t>
  </si>
  <si>
    <t>5408.6</t>
  </si>
  <si>
    <t>3300.14</t>
  </si>
  <si>
    <t>ORD100823</t>
  </si>
  <si>
    <t>CUST13400</t>
  </si>
  <si>
    <t>1839.96</t>
  </si>
  <si>
    <t>1468.49</t>
  </si>
  <si>
    <t>371.47</t>
  </si>
  <si>
    <t>ORD100824</t>
  </si>
  <si>
    <t>CUST11749</t>
  </si>
  <si>
    <t>54929.07</t>
  </si>
  <si>
    <t>141228.75</t>
  </si>
  <si>
    <t>67501.72</t>
  </si>
  <si>
    <t>ORD100826</t>
  </si>
  <si>
    <t>CUST11441</t>
  </si>
  <si>
    <t>1262.55</t>
  </si>
  <si>
    <t>2675.11</t>
  </si>
  <si>
    <t>1112.54</t>
  </si>
  <si>
    <t>ORD100827</t>
  </si>
  <si>
    <t>CUST10570</t>
  </si>
  <si>
    <t>4100.3599999999997</t>
  </si>
  <si>
    <t>2319.09</t>
  </si>
  <si>
    <t>1166.22</t>
  </si>
  <si>
    <t>ORD100828</t>
  </si>
  <si>
    <t>03-04-2025</t>
  </si>
  <si>
    <t>CUST11287</t>
  </si>
  <si>
    <t>421.92</t>
  </si>
  <si>
    <t>254.62</t>
  </si>
  <si>
    <t>167.3</t>
  </si>
  <si>
    <t>ORD100829</t>
  </si>
  <si>
    <t>CUST11755</t>
  </si>
  <si>
    <t>28646.22</t>
  </si>
  <si>
    <t>20824.900000000001</t>
  </si>
  <si>
    <t>4956.7</t>
  </si>
  <si>
    <t>ORD100830</t>
  </si>
  <si>
    <t>CUST12407</t>
  </si>
  <si>
    <t>5236.74</t>
  </si>
  <si>
    <t>4032.72</t>
  </si>
  <si>
    <t>680.35</t>
  </si>
  <si>
    <t>ORD100832</t>
  </si>
  <si>
    <t>CUST10440</t>
  </si>
  <si>
    <t>4333.5200000000004</t>
  </si>
  <si>
    <t>2760.25</t>
  </si>
  <si>
    <t>1139.92</t>
  </si>
  <si>
    <t>Credit card</t>
  </si>
  <si>
    <t>ORD100833</t>
  </si>
  <si>
    <t>CUST10006</t>
  </si>
  <si>
    <t>10001.290000000001</t>
  </si>
  <si>
    <t>22222.01</t>
  </si>
  <si>
    <t>4781.47</t>
  </si>
  <si>
    <t>ORD100835</t>
  </si>
  <si>
    <t>CUST11163</t>
  </si>
  <si>
    <t>5506.99</t>
  </si>
  <si>
    <t>6624.79</t>
  </si>
  <si>
    <t>3287.79</t>
  </si>
  <si>
    <t>ORD100836</t>
  </si>
  <si>
    <t>CUST12935</t>
  </si>
  <si>
    <t>17668.04</t>
  </si>
  <si>
    <t>10465.39</t>
  </si>
  <si>
    <t>5435.85</t>
  </si>
  <si>
    <t>ORD100837</t>
  </si>
  <si>
    <t>CUST13222</t>
  </si>
  <si>
    <t>66778.91</t>
  </si>
  <si>
    <t>78304.649999999994</t>
  </si>
  <si>
    <t>28541.61</t>
  </si>
  <si>
    <t>ORD100838</t>
  </si>
  <si>
    <t>CUST12345</t>
  </si>
  <si>
    <t>2101.66</t>
  </si>
  <si>
    <t>2871.99</t>
  </si>
  <si>
    <t>1121.1600000000001</t>
  </si>
  <si>
    <t>ORD100839</t>
  </si>
  <si>
    <t>CUST10581</t>
  </si>
  <si>
    <t>4655.2700000000004</t>
  </si>
  <si>
    <t>7289.92</t>
  </si>
  <si>
    <t>1089.57</t>
  </si>
  <si>
    <t>ORD100841</t>
  </si>
  <si>
    <t>CUST11112</t>
  </si>
  <si>
    <t>1039.3800000000001</t>
  </si>
  <si>
    <t>1719.93</t>
  </si>
  <si>
    <t>930.49</t>
  </si>
  <si>
    <t>ORD100842</t>
  </si>
  <si>
    <t>CUST10151</t>
  </si>
  <si>
    <t>55363.72</t>
  </si>
  <si>
    <t>68974.399999999994</t>
  </si>
  <si>
    <t>19607.55</t>
  </si>
  <si>
    <t>ORD100843</t>
  </si>
  <si>
    <t>CUST12285</t>
  </si>
  <si>
    <t>6404.05</t>
  </si>
  <si>
    <t>4661.17</t>
  </si>
  <si>
    <t>782.27</t>
  </si>
  <si>
    <t>ORD100844</t>
  </si>
  <si>
    <t>CUST10769</t>
  </si>
  <si>
    <t>14734.45</t>
  </si>
  <si>
    <t>9698.0300000000007</t>
  </si>
  <si>
    <t>3562.97</t>
  </si>
  <si>
    <t>ORD100845</t>
  </si>
  <si>
    <t>CUST12490</t>
  </si>
  <si>
    <t>9881.7999999999993</t>
  </si>
  <si>
    <t>7929.5</t>
  </si>
  <si>
    <t>1952.3</t>
  </si>
  <si>
    <t>ORD100846</t>
  </si>
  <si>
    <t>CUST10375</t>
  </si>
  <si>
    <t>17327.27</t>
  </si>
  <si>
    <t>13063.61</t>
  </si>
  <si>
    <t>2530.9299999999998</t>
  </si>
  <si>
    <t>ORD100847</t>
  </si>
  <si>
    <t>CUST12827</t>
  </si>
  <si>
    <t>1041.94</t>
  </si>
  <si>
    <t>1594.47</t>
  </si>
  <si>
    <t>281.02</t>
  </si>
  <si>
    <t>ORD100848</t>
  </si>
  <si>
    <t>CUST12406</t>
  </si>
  <si>
    <t>11479.08</t>
  </si>
  <si>
    <t>8015.73</t>
  </si>
  <si>
    <t>2315.44</t>
  </si>
  <si>
    <t>ORD100849</t>
  </si>
  <si>
    <t>CUST13096</t>
  </si>
  <si>
    <t>5689.21</t>
  </si>
  <si>
    <t>3765.34</t>
  </si>
  <si>
    <t>1354.95</t>
  </si>
  <si>
    <t>ORD100850</t>
  </si>
  <si>
    <t>CUST10132</t>
  </si>
  <si>
    <t>8939.27</t>
  </si>
  <si>
    <t>5280.71</t>
  </si>
  <si>
    <t>3211.6</t>
  </si>
  <si>
    <t>ORD100851</t>
  </si>
  <si>
    <t>CUST12992</t>
  </si>
  <si>
    <t>1994.22</t>
  </si>
  <si>
    <t>6023.92</t>
  </si>
  <si>
    <t>1155.27</t>
  </si>
  <si>
    <t>ORD100852</t>
  </si>
  <si>
    <t>CUST12204</t>
  </si>
  <si>
    <t>2165.34</t>
  </si>
  <si>
    <t>1491.59</t>
  </si>
  <si>
    <t>673.75</t>
  </si>
  <si>
    <t>ORD100853</t>
  </si>
  <si>
    <t>CUST11478</t>
  </si>
  <si>
    <t>4647.6099999999997</t>
  </si>
  <si>
    <t>12688.33</t>
  </si>
  <si>
    <t>4043.07</t>
  </si>
  <si>
    <t>ORD100855</t>
  </si>
  <si>
    <t>CUST10074</t>
  </si>
  <si>
    <t>7436.58</t>
  </si>
  <si>
    <t>18710.900000000001</t>
  </si>
  <si>
    <t>8060.79</t>
  </si>
  <si>
    <t>ORD100857</t>
  </si>
  <si>
    <t>CUST11521</t>
  </si>
  <si>
    <t>3128.26</t>
  </si>
  <si>
    <t>2556.19</t>
  </si>
  <si>
    <t>572.07000000000005</t>
  </si>
  <si>
    <t>ORD100858</t>
  </si>
  <si>
    <t>CUST12960</t>
  </si>
  <si>
    <t>3216.29</t>
  </si>
  <si>
    <t>5199.3100000000004</t>
  </si>
  <si>
    <t>590.01</t>
  </si>
  <si>
    <t>ORD100859</t>
  </si>
  <si>
    <t>CUST11646</t>
  </si>
  <si>
    <t>25176.65</t>
  </si>
  <si>
    <t>18596.490000000002</t>
  </si>
  <si>
    <t>6580.16</t>
  </si>
  <si>
    <t>ORD100860</t>
  </si>
  <si>
    <t>CUST11120</t>
  </si>
  <si>
    <t>8611.75</t>
  </si>
  <si>
    <t>14399.06</t>
  </si>
  <si>
    <t>11436.19</t>
  </si>
  <si>
    <t>ORD100861</t>
  </si>
  <si>
    <t>CUST13454</t>
  </si>
  <si>
    <t>12182.97</t>
  </si>
  <si>
    <t>9742.99</t>
  </si>
  <si>
    <t>1830.83</t>
  </si>
  <si>
    <t>ORD100865</t>
  </si>
  <si>
    <t>03-11-2025</t>
  </si>
  <si>
    <t>CUST13460</t>
  </si>
  <si>
    <t>5061.57</t>
  </si>
  <si>
    <t>5642.09</t>
  </si>
  <si>
    <t>3468.74</t>
  </si>
  <si>
    <t>ORD100866</t>
  </si>
  <si>
    <t>CUST10261</t>
  </si>
  <si>
    <t>1711.16</t>
  </si>
  <si>
    <t>1057.97</t>
  </si>
  <si>
    <t>653.19000000000005</t>
  </si>
  <si>
    <t>ORD100868</t>
  </si>
  <si>
    <t>CUST10832</t>
  </si>
  <si>
    <t>3018.31</t>
  </si>
  <si>
    <t>2424.4899999999998</t>
  </si>
  <si>
    <t>593.82000000000005</t>
  </si>
  <si>
    <t>ORD100870</t>
  </si>
  <si>
    <t>CUST11293</t>
  </si>
  <si>
    <t>9511.56</t>
  </si>
  <si>
    <t>14215.27</t>
  </si>
  <si>
    <t>3856.69</t>
  </si>
  <si>
    <t>ORD100871</t>
  </si>
  <si>
    <t>07-08-2025</t>
  </si>
  <si>
    <t>CUST13421</t>
  </si>
  <si>
    <t>3841.14</t>
  </si>
  <si>
    <t>2302.39</t>
  </si>
  <si>
    <t>1538.75</t>
  </si>
  <si>
    <t>ORD100873</t>
  </si>
  <si>
    <t>CUST11870</t>
  </si>
  <si>
    <t>19475.55</t>
  </si>
  <si>
    <t>15807.86</t>
  </si>
  <si>
    <t>1720.14</t>
  </si>
  <si>
    <t>ORD100875</t>
  </si>
  <si>
    <t>CUST13494</t>
  </si>
  <si>
    <t>1461.88</t>
  </si>
  <si>
    <t>1730.52</t>
  </si>
  <si>
    <t>754.68</t>
  </si>
  <si>
    <t>ORD100876</t>
  </si>
  <si>
    <t>CUST10908</t>
  </si>
  <si>
    <t>1047.5999999999999</t>
  </si>
  <si>
    <t>845.39</t>
  </si>
  <si>
    <t>-7.31</t>
  </si>
  <si>
    <t>ORD100877</t>
  </si>
  <si>
    <t>CUST11425</t>
  </si>
  <si>
    <t>15436.89</t>
  </si>
  <si>
    <t>19374.189999999999</t>
  </si>
  <si>
    <t>6868.52</t>
  </si>
  <si>
    <t>ORD100878</t>
  </si>
  <si>
    <t>CUST12031</t>
  </si>
  <si>
    <t>4877.3599999999997</t>
  </si>
  <si>
    <t>11616.48</t>
  </si>
  <si>
    <t>5942.02</t>
  </si>
  <si>
    <t>ORD100879</t>
  </si>
  <si>
    <t>CUST12934</t>
  </si>
  <si>
    <t>53663.94</t>
  </si>
  <si>
    <t>35743.25</t>
  </si>
  <si>
    <t>9871.1</t>
  </si>
  <si>
    <t>ORD100880</t>
  </si>
  <si>
    <t>20-08-2025</t>
  </si>
  <si>
    <t>CUST11514</t>
  </si>
  <si>
    <t>501.68</t>
  </si>
  <si>
    <t>1074.71</t>
  </si>
  <si>
    <t>279.83</t>
  </si>
  <si>
    <t>ORD100881</t>
  </si>
  <si>
    <t>CUST10060</t>
  </si>
  <si>
    <t>29826.3</t>
  </si>
  <si>
    <t>21244.15</t>
  </si>
  <si>
    <t>5599.52</t>
  </si>
  <si>
    <t>ORD100882</t>
  </si>
  <si>
    <t>CUST10902</t>
  </si>
  <si>
    <t>3889.4</t>
  </si>
  <si>
    <t>2420.88</t>
  </si>
  <si>
    <t>1468.52</t>
  </si>
  <si>
    <t>ORD100883</t>
  </si>
  <si>
    <t>CUST11979</t>
  </si>
  <si>
    <t>6612.97</t>
  </si>
  <si>
    <t>5377.16</t>
  </si>
  <si>
    <t>905.16</t>
  </si>
  <si>
    <t>ORD100884</t>
  </si>
  <si>
    <t>19-02-2025</t>
  </si>
  <si>
    <t>CUST12598</t>
  </si>
  <si>
    <t>17127.84</t>
  </si>
  <si>
    <t>12399.28</t>
  </si>
  <si>
    <t>1302.99</t>
  </si>
  <si>
    <t>ORD100885</t>
  </si>
  <si>
    <t>CUST10898</t>
  </si>
  <si>
    <t>3302.87</t>
  </si>
  <si>
    <t>2514.88</t>
  </si>
  <si>
    <t>622.85</t>
  </si>
  <si>
    <t>ORD100886</t>
  </si>
  <si>
    <t>CUST10882</t>
  </si>
  <si>
    <t>4297.83</t>
  </si>
  <si>
    <t>5212.28</t>
  </si>
  <si>
    <t>2523.81</t>
  </si>
  <si>
    <t>ORD100887</t>
  </si>
  <si>
    <t>CUST13492</t>
  </si>
  <si>
    <t>10693.86</t>
  </si>
  <si>
    <t>8348.2000000000007</t>
  </si>
  <si>
    <t>1810.97</t>
  </si>
  <si>
    <t>ORD100888</t>
  </si>
  <si>
    <t>CUST12665</t>
  </si>
  <si>
    <t>1246.5999999999999</t>
  </si>
  <si>
    <t>880.36</t>
  </si>
  <si>
    <t>366.24</t>
  </si>
  <si>
    <t>ORD100889</t>
  </si>
  <si>
    <t>CUST11882</t>
  </si>
  <si>
    <t>1960.95</t>
  </si>
  <si>
    <t>1306.8699999999999</t>
  </si>
  <si>
    <t>556.03</t>
  </si>
  <si>
    <t>ORD100893</t>
  </si>
  <si>
    <t>CUST12698</t>
  </si>
  <si>
    <t>1656.48</t>
  </si>
  <si>
    <t>2320.7399999999998</t>
  </si>
  <si>
    <t>826.57</t>
  </si>
  <si>
    <t>ORD100894</t>
  </si>
  <si>
    <t>CUST10413</t>
  </si>
  <si>
    <t>6780.2</t>
  </si>
  <si>
    <t>5126.34</t>
  </si>
  <si>
    <t>975.84</t>
  </si>
  <si>
    <t>ORD100895</t>
  </si>
  <si>
    <t>CUST13207</t>
  </si>
  <si>
    <t>6469.19</t>
  </si>
  <si>
    <t>3778.93</t>
  </si>
  <si>
    <t>1396.42</t>
  </si>
  <si>
    <t>ORD100898</t>
  </si>
  <si>
    <t>CUST11012</t>
  </si>
  <si>
    <t>3179.04</t>
  </si>
  <si>
    <t>2463.66</t>
  </si>
  <si>
    <t>556.42999999999995</t>
  </si>
  <si>
    <t>ORD100899</t>
  </si>
  <si>
    <t>CUST12452</t>
  </si>
  <si>
    <t>4350.6400000000003</t>
  </si>
  <si>
    <t>10493.24</t>
  </si>
  <si>
    <t>5169.0600000000004</t>
  </si>
  <si>
    <t>ORD100900</t>
  </si>
  <si>
    <t>CUST12409</t>
  </si>
  <si>
    <t>32902.03</t>
  </si>
  <si>
    <t>21351.42</t>
  </si>
  <si>
    <t>8260.41</t>
  </si>
  <si>
    <t>ORD100901</t>
  </si>
  <si>
    <t>CUST12745</t>
  </si>
  <si>
    <t>70873.48</t>
  </si>
  <si>
    <t>93512.92</t>
  </si>
  <si>
    <t>26972</t>
  </si>
  <si>
    <t>ORD100904</t>
  </si>
  <si>
    <t>CUST10725</t>
  </si>
  <si>
    <t>17632.580000000002</t>
  </si>
  <si>
    <t>11562.31</t>
  </si>
  <si>
    <t>3425.38</t>
  </si>
  <si>
    <t>ORD100905</t>
  </si>
  <si>
    <t>CUST11652</t>
  </si>
  <si>
    <t>16913.38</t>
  </si>
  <si>
    <t>42633.19</t>
  </si>
  <si>
    <t>18254.98</t>
  </si>
  <si>
    <t>ORD100906</t>
  </si>
  <si>
    <t>CUST13017</t>
  </si>
  <si>
    <t>4588.3599999999997</t>
  </si>
  <si>
    <t>9832.2199999999993</t>
  </si>
  <si>
    <t>2556.35</t>
  </si>
  <si>
    <t>ORD100907</t>
  </si>
  <si>
    <t>27-01-2025</t>
  </si>
  <si>
    <t>CUST12829</t>
  </si>
  <si>
    <t>24633.56</t>
  </si>
  <si>
    <t>39550.44</t>
  </si>
  <si>
    <t>4789.97</t>
  </si>
  <si>
    <t>ORD100908</t>
  </si>
  <si>
    <t>CUST12165</t>
  </si>
  <si>
    <t>5051.45</t>
  </si>
  <si>
    <t>2880.36</t>
  </si>
  <si>
    <t>1665.94</t>
  </si>
  <si>
    <t>ORD100909</t>
  </si>
  <si>
    <t>CUST12870</t>
  </si>
  <si>
    <t>6021.54</t>
  </si>
  <si>
    <t>7303.91</t>
  </si>
  <si>
    <t>4137.0200000000004</t>
  </si>
  <si>
    <t>ORD100910</t>
  </si>
  <si>
    <t>CUST13151</t>
  </si>
  <si>
    <t>37330.6</t>
  </si>
  <si>
    <t>27665.99</t>
  </si>
  <si>
    <t>5931.55</t>
  </si>
  <si>
    <t>ORD100911</t>
  </si>
  <si>
    <t>28-11-2025</t>
  </si>
  <si>
    <t>CUST10903</t>
  </si>
  <si>
    <t>7488.48</t>
  </si>
  <si>
    <t>5374.49</t>
  </si>
  <si>
    <t>990.72</t>
  </si>
  <si>
    <t>ORD100912</t>
  </si>
  <si>
    <t>CUST11925</t>
  </si>
  <si>
    <t>28727.07</t>
  </si>
  <si>
    <t>23291.86</t>
  </si>
  <si>
    <t>1126.1500000000001</t>
  </si>
  <si>
    <t>ORD100913</t>
  </si>
  <si>
    <t>CUST10314</t>
  </si>
  <si>
    <t>6921.9</t>
  </si>
  <si>
    <t>12522.4</t>
  </si>
  <si>
    <t>5128.4399999999996</t>
  </si>
  <si>
    <t>ORD100915</t>
  </si>
  <si>
    <t>CUST12092</t>
  </si>
  <si>
    <t>6171.63</t>
  </si>
  <si>
    <t>13612.55</t>
  </si>
  <si>
    <t>3976.6</t>
  </si>
  <si>
    <t>ORD100916</t>
  </si>
  <si>
    <t>CUST13297</t>
  </si>
  <si>
    <t>287.12</t>
  </si>
  <si>
    <t>228.37</t>
  </si>
  <si>
    <t>44.39</t>
  </si>
  <si>
    <t>ORD100917</t>
  </si>
  <si>
    <t>CUST13401</t>
  </si>
  <si>
    <t>23806.76</t>
  </si>
  <si>
    <t>52898.95</t>
  </si>
  <si>
    <t>11379.3</t>
  </si>
  <si>
    <t>ORD100918</t>
  </si>
  <si>
    <t>CUST10807</t>
  </si>
  <si>
    <t>51042.73</t>
  </si>
  <si>
    <t>62974.879999999997</t>
  </si>
  <si>
    <t>23797.759999999998</t>
  </si>
  <si>
    <t>ORD100919</t>
  </si>
  <si>
    <t>25-08-2025</t>
  </si>
  <si>
    <t>CUST11797</t>
  </si>
  <si>
    <t>22910.44</t>
  </si>
  <si>
    <t>45307.97</t>
  </si>
  <si>
    <t>23423.35</t>
  </si>
  <si>
    <t>ORD100920</t>
  </si>
  <si>
    <t>CUST10104</t>
  </si>
  <si>
    <t>11538.58</t>
  </si>
  <si>
    <t>20274.650000000001</t>
  </si>
  <si>
    <t>12610.3</t>
  </si>
  <si>
    <t>ORD100921</t>
  </si>
  <si>
    <t>CUST12239</t>
  </si>
  <si>
    <t>16459.12</t>
  </si>
  <si>
    <t>34706.07</t>
  </si>
  <si>
    <t>7264.69</t>
  </si>
  <si>
    <t>ORD100922</t>
  </si>
  <si>
    <t>CUST11904</t>
  </si>
  <si>
    <t>12030.66</t>
  </si>
  <si>
    <t>7649.51</t>
  </si>
  <si>
    <t>1975.02</t>
  </si>
  <si>
    <t>ORD100923</t>
  </si>
  <si>
    <t>CUST12560</t>
  </si>
  <si>
    <t>1350.97</t>
  </si>
  <si>
    <t>1715.5</t>
  </si>
  <si>
    <t>581.15</t>
  </si>
  <si>
    <t>ORD100924</t>
  </si>
  <si>
    <t>CUST11831</t>
  </si>
  <si>
    <t>5244.51</t>
  </si>
  <si>
    <t>2993.86</t>
  </si>
  <si>
    <t>1463.97</t>
  </si>
  <si>
    <t>ORD100925</t>
  </si>
  <si>
    <t>05-02-2025</t>
  </si>
  <si>
    <t>CUST13229</t>
  </si>
  <si>
    <t>13066.54</t>
  </si>
  <si>
    <t>21251.57</t>
  </si>
  <si>
    <t>2268.1999999999998</t>
  </si>
  <si>
    <t>ORD100926</t>
  </si>
  <si>
    <t>CUST13192</t>
  </si>
  <si>
    <t>6702.58</t>
  </si>
  <si>
    <t>4232.33</t>
  </si>
  <si>
    <t>1129.73</t>
  </si>
  <si>
    <t>ORD100931</t>
  </si>
  <si>
    <t>CUST12438</t>
  </si>
  <si>
    <t>7213.93</t>
  </si>
  <si>
    <t>4040.72</t>
  </si>
  <si>
    <t>2451.8200000000002</t>
  </si>
  <si>
    <t>ORD100932</t>
  </si>
  <si>
    <t>CUST13137</t>
  </si>
  <si>
    <t>63145.15</t>
  </si>
  <si>
    <t>84693.2</t>
  </si>
  <si>
    <t>28968.07</t>
  </si>
  <si>
    <t>ORD100933</t>
  </si>
  <si>
    <t>24-10-2025</t>
  </si>
  <si>
    <t>CUST10582</t>
  </si>
  <si>
    <t>69166.44</t>
  </si>
  <si>
    <t>117061.71</t>
  </si>
  <si>
    <t>69687.679999999993</t>
  </si>
  <si>
    <t>ORD100934</t>
  </si>
  <si>
    <t>CUST12571</t>
  </si>
  <si>
    <t>58765.98</t>
  </si>
  <si>
    <t>37307.99</t>
  </si>
  <si>
    <t>9704.7900000000009</t>
  </si>
  <si>
    <t>ORD100935</t>
  </si>
  <si>
    <t>12-05-2025</t>
  </si>
  <si>
    <t>CUST10824</t>
  </si>
  <si>
    <t>3692.21</t>
  </si>
  <si>
    <t>2208.85</t>
  </si>
  <si>
    <t>1114.1400000000001</t>
  </si>
  <si>
    <t>ORD100936</t>
  </si>
  <si>
    <t>CUST12786</t>
  </si>
  <si>
    <t>9328.31</t>
  </si>
  <si>
    <t>20636.57</t>
  </si>
  <si>
    <t>5949.11</t>
  </si>
  <si>
    <t>ORD100937</t>
  </si>
  <si>
    <t>CUST11128</t>
  </si>
  <si>
    <t>7630.94</t>
  </si>
  <si>
    <t>11868.29</t>
  </si>
  <si>
    <t>ORD100938</t>
  </si>
  <si>
    <t>CUST11247</t>
  </si>
  <si>
    <t>12526.88</t>
  </si>
  <si>
    <t>7244.02</t>
  </si>
  <si>
    <t>4656.5200000000004</t>
  </si>
  <si>
    <t>ORD100940</t>
  </si>
  <si>
    <t>CUST10349</t>
  </si>
  <si>
    <t>2161.87</t>
  </si>
  <si>
    <t>2458.4</t>
  </si>
  <si>
    <t>1649.15</t>
  </si>
  <si>
    <t>ORD100941</t>
  </si>
  <si>
    <t>11-06-2025</t>
  </si>
  <si>
    <t>CUST12482</t>
  </si>
  <si>
    <t>6111.1</t>
  </si>
  <si>
    <t>3998.77</t>
  </si>
  <si>
    <t>1806.77</t>
  </si>
  <si>
    <t>ORD100942</t>
  </si>
  <si>
    <t>CUST13476</t>
  </si>
  <si>
    <t>2163.48</t>
  </si>
  <si>
    <t>1297.73</t>
  </si>
  <si>
    <t>865.75</t>
  </si>
  <si>
    <t>ORD100944</t>
  </si>
  <si>
    <t>CUST13313</t>
  </si>
  <si>
    <t>3101.22</t>
  </si>
  <si>
    <t>2437.4499999999998</t>
  </si>
  <si>
    <t>43.53</t>
  </si>
  <si>
    <t>ORD100945</t>
  </si>
  <si>
    <t>CUST10637</t>
  </si>
  <si>
    <t>3420.8</t>
  </si>
  <si>
    <t>2339.7199999999998</t>
  </si>
  <si>
    <t>739</t>
  </si>
  <si>
    <t>ORD100947</t>
  </si>
  <si>
    <t>CUST12484</t>
  </si>
  <si>
    <t>10828.05</t>
  </si>
  <si>
    <t>5985.01</t>
  </si>
  <si>
    <t>3218.83</t>
  </si>
  <si>
    <t>ORD100948</t>
  </si>
  <si>
    <t>CUST11650</t>
  </si>
  <si>
    <t>48189.52</t>
  </si>
  <si>
    <t>55924.97</t>
  </si>
  <si>
    <t>30816.17</t>
  </si>
  <si>
    <t>ORD100949</t>
  </si>
  <si>
    <t>CUST10755</t>
  </si>
  <si>
    <t>592.89</t>
  </si>
  <si>
    <t>392.15</t>
  </si>
  <si>
    <t>111.81</t>
  </si>
  <si>
    <t>ORD100950</t>
  </si>
  <si>
    <t>CUST10382</t>
  </si>
  <si>
    <t>65746.600000000006</t>
  </si>
  <si>
    <t>48513.69</t>
  </si>
  <si>
    <t>10658.25</t>
  </si>
  <si>
    <t>ORD100952</t>
  </si>
  <si>
    <t>23-01-2025</t>
  </si>
  <si>
    <t>CUST12962</t>
  </si>
  <si>
    <t>1818.48</t>
  </si>
  <si>
    <t>2075.98</t>
  </si>
  <si>
    <t>1015.44</t>
  </si>
  <si>
    <t>ORD100953</t>
  </si>
  <si>
    <t>CUST10119</t>
  </si>
  <si>
    <t>14348.92</t>
  </si>
  <si>
    <t>17010.86</t>
  </si>
  <si>
    <t>8817.2000000000007</t>
  </si>
  <si>
    <t>ORD100954</t>
  </si>
  <si>
    <t>CUST12905</t>
  </si>
  <si>
    <t>5725.25</t>
  </si>
  <si>
    <t>3879.05</t>
  </si>
  <si>
    <t>987.41</t>
  </si>
  <si>
    <t>ORD100955</t>
  </si>
  <si>
    <t>CUST11249</t>
  </si>
  <si>
    <t>15008.74</t>
  </si>
  <si>
    <t>10412.950000000001</t>
  </si>
  <si>
    <t>4595.79</t>
  </si>
  <si>
    <t>ORD100956</t>
  </si>
  <si>
    <t>CUST13277</t>
  </si>
  <si>
    <t>59664.22</t>
  </si>
  <si>
    <t>47221.17</t>
  </si>
  <si>
    <t>12443.05</t>
  </si>
  <si>
    <t>ORD100957</t>
  </si>
  <si>
    <t>CUST11372</t>
  </si>
  <si>
    <t>1971.9</t>
  </si>
  <si>
    <t>3004.64</t>
  </si>
  <si>
    <t>347.59</t>
  </si>
  <si>
    <t>ORD100958</t>
  </si>
  <si>
    <t>CUST10730</t>
  </si>
  <si>
    <t>60492.83</t>
  </si>
  <si>
    <t>44002.76</t>
  </si>
  <si>
    <t>13465.43</t>
  </si>
  <si>
    <t>ORD100961</t>
  </si>
  <si>
    <t>CUST12645</t>
  </si>
  <si>
    <t>4467.2299999999996</t>
  </si>
  <si>
    <t>8780.69</t>
  </si>
  <si>
    <t>4621</t>
  </si>
  <si>
    <t>ORD100962</t>
  </si>
  <si>
    <t>20-02-2025</t>
  </si>
  <si>
    <t>CUST11959</t>
  </si>
  <si>
    <t>5002.99</t>
  </si>
  <si>
    <t>2952.62</t>
  </si>
  <si>
    <t>2050.37</t>
  </si>
  <si>
    <t>ORD100963</t>
  </si>
  <si>
    <t>CUST10229</t>
  </si>
  <si>
    <t>68397.259999999995</t>
  </si>
  <si>
    <t>50411.97</t>
  </si>
  <si>
    <t>11145.56</t>
  </si>
  <si>
    <t>ORD100964</t>
  </si>
  <si>
    <t>CUST12781</t>
  </si>
  <si>
    <t>8242.49</t>
  </si>
  <si>
    <t>13335.79</t>
  </si>
  <si>
    <t>3149.19</t>
  </si>
  <si>
    <t>ORD100965</t>
  </si>
  <si>
    <t>CUST10881</t>
  </si>
  <si>
    <t>72509.929999999993</t>
  </si>
  <si>
    <t>111527.38</t>
  </si>
  <si>
    <t>26241.49</t>
  </si>
  <si>
    <t>ORD100966</t>
  </si>
  <si>
    <t>CUST11906</t>
  </si>
  <si>
    <t>64692.84</t>
  </si>
  <si>
    <t>44922.62</t>
  </si>
  <si>
    <t>16535.580000000002</t>
  </si>
  <si>
    <t>ORD100967</t>
  </si>
  <si>
    <t>CUST13270</t>
  </si>
  <si>
    <t>13059.24</t>
  </si>
  <si>
    <t>37627.01</t>
  </si>
  <si>
    <t>6774.41</t>
  </si>
  <si>
    <t>ORD100968</t>
  </si>
  <si>
    <t>CUST13065</t>
  </si>
  <si>
    <t>54858.39</t>
  </si>
  <si>
    <t>44177.89</t>
  </si>
  <si>
    <t>5194.66</t>
  </si>
  <si>
    <t>ORD100969</t>
  </si>
  <si>
    <t>CUST10980</t>
  </si>
  <si>
    <t>16717.599999999999</t>
  </si>
  <si>
    <t>11849.16</t>
  </si>
  <si>
    <t>2360.8000000000002</t>
  </si>
  <si>
    <t>ORD100970</t>
  </si>
  <si>
    <t>07-11-2025</t>
  </si>
  <si>
    <t>CUST10324</t>
  </si>
  <si>
    <t>1320.78</t>
  </si>
  <si>
    <t>1051.26</t>
  </si>
  <si>
    <t>269.52</t>
  </si>
  <si>
    <t>ORD100972</t>
  </si>
  <si>
    <t>02-09-2025</t>
  </si>
  <si>
    <t>CUST13419</t>
  </si>
  <si>
    <t>7362.89</t>
  </si>
  <si>
    <t>4085.42</t>
  </si>
  <si>
    <t>2173.04</t>
  </si>
  <si>
    <t>ORD100975</t>
  </si>
  <si>
    <t>CUST10614</t>
  </si>
  <si>
    <t>5077.01</t>
  </si>
  <si>
    <t>6032.72</t>
  </si>
  <si>
    <t>2090.5</t>
  </si>
  <si>
    <t>ORD100977</t>
  </si>
  <si>
    <t>CUST11675</t>
  </si>
  <si>
    <t>4977.2</t>
  </si>
  <si>
    <t>10395.25</t>
  </si>
  <si>
    <t>4536.3500000000004</t>
  </si>
  <si>
    <t>ORD100978</t>
  </si>
  <si>
    <t>CUST11200</t>
  </si>
  <si>
    <t>19660.52</t>
  </si>
  <si>
    <t>22355.97</t>
  </si>
  <si>
    <t>13032.97</t>
  </si>
  <si>
    <t>ORD100979</t>
  </si>
  <si>
    <t>CUST10704</t>
  </si>
  <si>
    <t>56287.43</t>
  </si>
  <si>
    <t>34520.26</t>
  </si>
  <si>
    <t>16138.43</t>
  </si>
  <si>
    <t>ORD100980</t>
  </si>
  <si>
    <t>CUST10658</t>
  </si>
  <si>
    <t>1020.34</t>
  </si>
  <si>
    <t>735.78</t>
  </si>
  <si>
    <t>182.53</t>
  </si>
  <si>
    <t>ORD100981</t>
  </si>
  <si>
    <t>08-03-2025</t>
  </si>
  <si>
    <t>CUST12942</t>
  </si>
  <si>
    <t>13175.93</t>
  </si>
  <si>
    <t>22038.42</t>
  </si>
  <si>
    <t>13536.59</t>
  </si>
  <si>
    <t>ORD100982</t>
  </si>
  <si>
    <t>CUST11343</t>
  </si>
  <si>
    <t>1878.54</t>
  </si>
  <si>
    <t>2648.07</t>
  </si>
  <si>
    <t>545.45000000000005</t>
  </si>
  <si>
    <t>ORD100983</t>
  </si>
  <si>
    <t>CUST10058</t>
  </si>
  <si>
    <t>33851.43</t>
  </si>
  <si>
    <t>21547.43</t>
  </si>
  <si>
    <t>5533.71</t>
  </si>
  <si>
    <t>ORD100984</t>
  </si>
  <si>
    <t>CUST12084</t>
  </si>
  <si>
    <t>10649.84</t>
  </si>
  <si>
    <t>16911.52</t>
  </si>
  <si>
    <t>128.22</t>
  </si>
  <si>
    <t>ORD100985</t>
  </si>
  <si>
    <t>CUST12629</t>
  </si>
  <si>
    <t>5675.68</t>
  </si>
  <si>
    <t>3401.5</t>
  </si>
  <si>
    <t>1706.61</t>
  </si>
  <si>
    <t>ORD100986</t>
  </si>
  <si>
    <t>CUST10818</t>
  </si>
  <si>
    <t>16790.57</t>
  </si>
  <si>
    <t>13662.56</t>
  </si>
  <si>
    <t>3128.01</t>
  </si>
  <si>
    <t>ORD100987</t>
  </si>
  <si>
    <t>CUST12906</t>
  </si>
  <si>
    <t>3160.01</t>
  </si>
  <si>
    <t>4433.51</t>
  </si>
  <si>
    <t>1886.51</t>
  </si>
  <si>
    <t>ORD100989</t>
  </si>
  <si>
    <t>CUST13474</t>
  </si>
  <si>
    <t>64381.919999999998</t>
  </si>
  <si>
    <t>73243.83</t>
  </si>
  <si>
    <t>42643.63</t>
  </si>
  <si>
    <t>ORD100990</t>
  </si>
  <si>
    <t>CUST10450</t>
  </si>
  <si>
    <t>10459.49</t>
  </si>
  <si>
    <t>7724.48</t>
  </si>
  <si>
    <t>1689.06</t>
  </si>
  <si>
    <t>ORD100991</t>
  </si>
  <si>
    <t>CUST11799</t>
  </si>
  <si>
    <t>62582.18</t>
  </si>
  <si>
    <t>71701.78</t>
  </si>
  <si>
    <t>47204.36</t>
  </si>
  <si>
    <t>ORD100992</t>
  </si>
  <si>
    <t>CUST11360</t>
  </si>
  <si>
    <t>1177.08</t>
  </si>
  <si>
    <t>779.25</t>
  </si>
  <si>
    <t>280.12</t>
  </si>
  <si>
    <t>ORD100994</t>
  </si>
  <si>
    <t>CUST12739</t>
  </si>
  <si>
    <t>20488.09</t>
  </si>
  <si>
    <t>14514.71</t>
  </si>
  <si>
    <t>2900.17</t>
  </si>
  <si>
    <t>ORD100995</t>
  </si>
  <si>
    <t>CUST12752</t>
  </si>
  <si>
    <t>1391.96</t>
  </si>
  <si>
    <t>1029.57</t>
  </si>
  <si>
    <t>362.39</t>
  </si>
  <si>
    <t>ORD100996</t>
  </si>
  <si>
    <t>CUST10789</t>
  </si>
  <si>
    <t>2459.83</t>
  </si>
  <si>
    <t>3671.32</t>
  </si>
  <si>
    <t>510.39</t>
  </si>
  <si>
    <t>ORD100998</t>
  </si>
  <si>
    <t>CUST11745</t>
  </si>
  <si>
    <t>12424.68</t>
  </si>
  <si>
    <t>39967.550000000003</t>
  </si>
  <si>
    <t>7246.23</t>
  </si>
  <si>
    <t>ORD100999</t>
  </si>
  <si>
    <t>CUST10626</t>
  </si>
  <si>
    <t>4644.57</t>
  </si>
  <si>
    <t>3701.03</t>
  </si>
  <si>
    <t>943.54</t>
  </si>
  <si>
    <t>ORD101000</t>
  </si>
  <si>
    <t>04-04-2025</t>
  </si>
  <si>
    <t>CUST12360</t>
  </si>
  <si>
    <t>5416.46</t>
  </si>
  <si>
    <t>4171.71</t>
  </si>
  <si>
    <t>1244.75</t>
  </si>
  <si>
    <t>ORD101001</t>
  </si>
  <si>
    <t>CUST12956</t>
  </si>
  <si>
    <t>36022.959999999999</t>
  </si>
  <si>
    <t>51164.34</t>
  </si>
  <si>
    <t>20881.580000000002</t>
  </si>
  <si>
    <t>ORD101003</t>
  </si>
  <si>
    <t>CUST11445</t>
  </si>
  <si>
    <t>4346.6099999999997</t>
  </si>
  <si>
    <t>2929.25</t>
  </si>
  <si>
    <t>982.7</t>
  </si>
  <si>
    <t>ORD101005</t>
  </si>
  <si>
    <t>CUST11716</t>
  </si>
  <si>
    <t>4970.6400000000003</t>
  </si>
  <si>
    <t>14329.09</t>
  </si>
  <si>
    <t>5553.47</t>
  </si>
  <si>
    <t>ORD101006</t>
  </si>
  <si>
    <t>CUST12789</t>
  </si>
  <si>
    <t>3181.72</t>
  </si>
  <si>
    <t>1842.43</t>
  </si>
  <si>
    <t>1021.12</t>
  </si>
  <si>
    <t>ORD101008</t>
  </si>
  <si>
    <t>CUST12269</t>
  </si>
  <si>
    <t>21463.89</t>
  </si>
  <si>
    <t>48013.39</t>
  </si>
  <si>
    <t>33549.39</t>
  </si>
  <si>
    <t>ORD101009</t>
  </si>
  <si>
    <t>05-09-2025</t>
  </si>
  <si>
    <t>CUST10303</t>
  </si>
  <si>
    <t>3327.7</t>
  </si>
  <si>
    <t>7208.5</t>
  </si>
  <si>
    <t>1776.29</t>
  </si>
  <si>
    <t>ORD101011</t>
  </si>
  <si>
    <t>CUST12506</t>
  </si>
  <si>
    <t>5516.78</t>
  </si>
  <si>
    <t>4157.13</t>
  </si>
  <si>
    <t>532.13</t>
  </si>
  <si>
    <t>ORD101013</t>
  </si>
  <si>
    <t>CUST11288</t>
  </si>
  <si>
    <t>electronics</t>
  </si>
  <si>
    <t>28343.4</t>
  </si>
  <si>
    <t>16042.15</t>
  </si>
  <si>
    <t>9466.91</t>
  </si>
  <si>
    <t>ORD101015</t>
  </si>
  <si>
    <t>CUST10040</t>
  </si>
  <si>
    <t>16597.46</t>
  </si>
  <si>
    <t>19945.82</t>
  </si>
  <si>
    <t>9929.61</t>
  </si>
  <si>
    <t>ORD101016</t>
  </si>
  <si>
    <t>CUST10073</t>
  </si>
  <si>
    <t>12516.29</t>
  </si>
  <si>
    <t>8716.02</t>
  </si>
  <si>
    <t>3174.46</t>
  </si>
  <si>
    <t>ORD101017</t>
  </si>
  <si>
    <t>CUST12791</t>
  </si>
  <si>
    <t>2455.6</t>
  </si>
  <si>
    <t>3816.56</t>
  </si>
  <si>
    <t>603.52</t>
  </si>
  <si>
    <t>ORD101018</t>
  </si>
  <si>
    <t>CUST11212</t>
  </si>
  <si>
    <t>13473.9</t>
  </si>
  <si>
    <t>9934.2000000000007</t>
  </si>
  <si>
    <t>1518.61</t>
  </si>
  <si>
    <t>ORD101019</t>
  </si>
  <si>
    <t>CUST10724</t>
  </si>
  <si>
    <t>5743.75</t>
  </si>
  <si>
    <t>8682.65</t>
  </si>
  <si>
    <t>2804.85</t>
  </si>
  <si>
    <t>ORD101021</t>
  </si>
  <si>
    <t>23-08-2025</t>
  </si>
  <si>
    <t>CUST10499</t>
  </si>
  <si>
    <t>52553.18</t>
  </si>
  <si>
    <t>30091.69</t>
  </si>
  <si>
    <t>22461.49</t>
  </si>
  <si>
    <t>ORD101022</t>
  </si>
  <si>
    <t>CUST10697</t>
  </si>
  <si>
    <t>3063.16</t>
  </si>
  <si>
    <t>2212.21</t>
  </si>
  <si>
    <t>697.79</t>
  </si>
  <si>
    <t>ORD101024</t>
  </si>
  <si>
    <t>CUST12136</t>
  </si>
  <si>
    <t>32095.57</t>
  </si>
  <si>
    <t>22045.06</t>
  </si>
  <si>
    <t>5236.17</t>
  </si>
  <si>
    <t>ORD101025</t>
  </si>
  <si>
    <t>15-05-2025</t>
  </si>
  <si>
    <t>CUST11304</t>
  </si>
  <si>
    <t>69070.75</t>
  </si>
  <si>
    <t>47609.7</t>
  </si>
  <si>
    <t>11100.44</t>
  </si>
  <si>
    <t>ORD101026</t>
  </si>
  <si>
    <t>CUST12069</t>
  </si>
  <si>
    <t>7653</t>
  </si>
  <si>
    <t>16856.28</t>
  </si>
  <si>
    <t>4954.7700000000004</t>
  </si>
  <si>
    <t>ORD101028</t>
  </si>
  <si>
    <t>CUST13215</t>
  </si>
  <si>
    <t>34063.21</t>
  </si>
  <si>
    <t>25524.880000000001</t>
  </si>
  <si>
    <t>5132.01</t>
  </si>
  <si>
    <t>ORD101030</t>
  </si>
  <si>
    <t>CUST12403</t>
  </si>
  <si>
    <t>2960.1</t>
  </si>
  <si>
    <t>2197.06</t>
  </si>
  <si>
    <t>615.04</t>
  </si>
  <si>
    <t>ORD101031</t>
  </si>
  <si>
    <t>CUST10171</t>
  </si>
  <si>
    <t>21998.04</t>
  </si>
  <si>
    <t>16081.54</t>
  </si>
  <si>
    <t>4816.6000000000004</t>
  </si>
  <si>
    <t>ORD101032</t>
  </si>
  <si>
    <t>CUST10488</t>
  </si>
  <si>
    <t>5668.42</t>
  </si>
  <si>
    <t>3548.95</t>
  </si>
  <si>
    <t>1269.21</t>
  </si>
  <si>
    <t>ORD101034</t>
  </si>
  <si>
    <t>CUST11221</t>
  </si>
  <si>
    <t>52972.03</t>
  </si>
  <si>
    <t>37096.97</t>
  </si>
  <si>
    <t>13226.46</t>
  </si>
  <si>
    <t>ORD101035</t>
  </si>
  <si>
    <t>CUST11386</t>
  </si>
  <si>
    <t>36979.54</t>
  </si>
  <si>
    <t>23677.97</t>
  </si>
  <si>
    <t>5905.66</t>
  </si>
  <si>
    <t>ORD101036</t>
  </si>
  <si>
    <t>CUST11215</t>
  </si>
  <si>
    <t>1017.05</t>
  </si>
  <si>
    <t>598.17999999999995</t>
  </si>
  <si>
    <t>368.02</t>
  </si>
  <si>
    <t>ORD101037</t>
  </si>
  <si>
    <t>CUST12270</t>
  </si>
  <si>
    <t>21780.19</t>
  </si>
  <si>
    <t>46173.95</t>
  </si>
  <si>
    <t>9365.5300000000007</t>
  </si>
  <si>
    <t>ORD101038</t>
  </si>
  <si>
    <t>CUST12740</t>
  </si>
  <si>
    <t>9118.26</t>
  </si>
  <si>
    <t>6723.75</t>
  </si>
  <si>
    <t>570.86</t>
  </si>
  <si>
    <t>ORD101040</t>
  </si>
  <si>
    <t>CUST11424</t>
  </si>
  <si>
    <t>6074.9</t>
  </si>
  <si>
    <t>4420.8500000000004</t>
  </si>
  <si>
    <t>1654.05</t>
  </si>
  <si>
    <t>ORD101041</t>
  </si>
  <si>
    <t>CUST11620</t>
  </si>
  <si>
    <t>18664.12</t>
  </si>
  <si>
    <t>10674.03</t>
  </si>
  <si>
    <t>7056.88</t>
  </si>
  <si>
    <t>ORD101042</t>
  </si>
  <si>
    <t>CUST10147</t>
  </si>
  <si>
    <t>10641.65</t>
  </si>
  <si>
    <t>6851.54</t>
  </si>
  <si>
    <t>3258.03</t>
  </si>
  <si>
    <t>ORD101043</t>
  </si>
  <si>
    <t>CUST11801</t>
  </si>
  <si>
    <t>1258.8800000000001</t>
  </si>
  <si>
    <t>999.81</t>
  </si>
  <si>
    <t>133.18</t>
  </si>
  <si>
    <t>ORD101044</t>
  </si>
  <si>
    <t>CUST12051</t>
  </si>
  <si>
    <t>57623.11</t>
  </si>
  <si>
    <t>35970.400000000001</t>
  </si>
  <si>
    <t>21652.71</t>
  </si>
  <si>
    <t>ORD101045</t>
  </si>
  <si>
    <t>CUST12986</t>
  </si>
  <si>
    <t>6571.29</t>
  </si>
  <si>
    <t>4706.1899999999996</t>
  </si>
  <si>
    <t>1865.1</t>
  </si>
  <si>
    <t>ORD101046</t>
  </si>
  <si>
    <t>CUST12666</t>
  </si>
  <si>
    <t>49115.78</t>
  </si>
  <si>
    <t>27626.59</t>
  </si>
  <si>
    <t>21489.19</t>
  </si>
  <si>
    <t>ORD101048</t>
  </si>
  <si>
    <t>CUST11552</t>
  </si>
  <si>
    <t>6635.87</t>
  </si>
  <si>
    <t>4194.78</t>
  </si>
  <si>
    <t>2109.3000000000002</t>
  </si>
  <si>
    <t>ORD101050</t>
  </si>
  <si>
    <t>CUST11655</t>
  </si>
  <si>
    <t>834.81</t>
  </si>
  <si>
    <t>555.64</t>
  </si>
  <si>
    <t>153.94999999999999</t>
  </si>
  <si>
    <t>ORD101051</t>
  </si>
  <si>
    <t>CUST12937</t>
  </si>
  <si>
    <t>574.69000000000005</t>
  </si>
  <si>
    <t>346.74</t>
  </si>
  <si>
    <t>227.95</t>
  </si>
  <si>
    <t>ORD101052</t>
  </si>
  <si>
    <t>CUST12896</t>
  </si>
  <si>
    <t>5998.81</t>
  </si>
  <si>
    <t>3365.97</t>
  </si>
  <si>
    <t>2632.84</t>
  </si>
  <si>
    <t>ORD101054</t>
  </si>
  <si>
    <t>CUST11672</t>
  </si>
  <si>
    <t>2525.7600000000002</t>
  </si>
  <si>
    <t>3753.52</t>
  </si>
  <si>
    <t>792.85</t>
  </si>
  <si>
    <t>ORD101056</t>
  </si>
  <si>
    <t>CUST10510</t>
  </si>
  <si>
    <t>2488.98</t>
  </si>
  <si>
    <t>4996.34</t>
  </si>
  <si>
    <t>2097.25</t>
  </si>
  <si>
    <t>ORD101058</t>
  </si>
  <si>
    <t>CUST10088</t>
  </si>
  <si>
    <t>4426.13</t>
  </si>
  <si>
    <t>2536.83</t>
  </si>
  <si>
    <t>1446.69</t>
  </si>
  <si>
    <t>ORD101059</t>
  </si>
  <si>
    <t>CUST12196</t>
  </si>
  <si>
    <t>6003.86</t>
  </si>
  <si>
    <t>8865.9500000000007</t>
  </si>
  <si>
    <t>2541.38</t>
  </si>
  <si>
    <t>ORD101060</t>
  </si>
  <si>
    <t>CUST10359</t>
  </si>
  <si>
    <t>2999.5</t>
  </si>
  <si>
    <t>2344.96</t>
  </si>
  <si>
    <t>204.61</t>
  </si>
  <si>
    <t>ORD101061</t>
  </si>
  <si>
    <t>CUST10855</t>
  </si>
  <si>
    <t>41932.239999999998</t>
  </si>
  <si>
    <t>63332.34</t>
  </si>
  <si>
    <t>7952.47</t>
  </si>
  <si>
    <t>ORD101063</t>
  </si>
  <si>
    <t>CUST12317</t>
  </si>
  <si>
    <t>2578.33</t>
  </si>
  <si>
    <t>1619.5</t>
  </si>
  <si>
    <t>701</t>
  </si>
  <si>
    <t>ORD101065</t>
  </si>
  <si>
    <t>CUST11345</t>
  </si>
  <si>
    <t>4782.3999999999996</t>
  </si>
  <si>
    <t>5625.51</t>
  </si>
  <si>
    <t>3939.29</t>
  </si>
  <si>
    <t>ORD101066</t>
  </si>
  <si>
    <t>CUST13136</t>
  </si>
  <si>
    <t>63161.760000000002</t>
  </si>
  <si>
    <t>43506.02</t>
  </si>
  <si>
    <t>19655.740000000002</t>
  </si>
  <si>
    <t>ORD101069</t>
  </si>
  <si>
    <t>CUST12682</t>
  </si>
  <si>
    <t>14799.83</t>
  </si>
  <si>
    <t>9278.58</t>
  </si>
  <si>
    <t>4041.27</t>
  </si>
  <si>
    <t>ORD101070</t>
  </si>
  <si>
    <t>CUST12711</t>
  </si>
  <si>
    <t>64887.11</t>
  </si>
  <si>
    <t>96869.66</t>
  </si>
  <si>
    <t>19927.14</t>
  </si>
  <si>
    <t>ORD101071</t>
  </si>
  <si>
    <t>CUST11178</t>
  </si>
  <si>
    <t>72821.67</t>
  </si>
  <si>
    <t>51850.17</t>
  </si>
  <si>
    <t>13689.33</t>
  </si>
  <si>
    <t>ORD101072</t>
  </si>
  <si>
    <t>CUST12356</t>
  </si>
  <si>
    <t>1546.13</t>
  </si>
  <si>
    <t>3042.93</t>
  </si>
  <si>
    <t>1595.46</t>
  </si>
  <si>
    <t>ORD101073</t>
  </si>
  <si>
    <t>CUST12222</t>
  </si>
  <si>
    <t>2167.56</t>
  </si>
  <si>
    <t>1651.08</t>
  </si>
  <si>
    <t>82.97</t>
  </si>
  <si>
    <t>ORD101074</t>
  </si>
  <si>
    <t>CUST10471</t>
  </si>
  <si>
    <t>11639.4</t>
  </si>
  <si>
    <t>7140.96</t>
  </si>
  <si>
    <t>3334.5</t>
  </si>
  <si>
    <t>ORD101075</t>
  </si>
  <si>
    <t>CUST11974</t>
  </si>
  <si>
    <t>5207.45</t>
  </si>
  <si>
    <t>9713.41</t>
  </si>
  <si>
    <t>4346.71</t>
  </si>
  <si>
    <t>ORD101077</t>
  </si>
  <si>
    <t>CUST13336</t>
  </si>
  <si>
    <t>12689.24</t>
  </si>
  <si>
    <t>7601.96</t>
  </si>
  <si>
    <t>3183.89</t>
  </si>
  <si>
    <t>ORD101078</t>
  </si>
  <si>
    <t>CUST11980</t>
  </si>
  <si>
    <t>42288.55</t>
  </si>
  <si>
    <t>33140.18</t>
  </si>
  <si>
    <t>2805.09</t>
  </si>
  <si>
    <t>ORD101079</t>
  </si>
  <si>
    <t>CUST12527</t>
  </si>
  <si>
    <t>10631.16</t>
  </si>
  <si>
    <t>8647.9599999999991</t>
  </si>
  <si>
    <t>920.08</t>
  </si>
  <si>
    <t>ORD101080</t>
  </si>
  <si>
    <t>CUST11527</t>
  </si>
  <si>
    <t>47611.12</t>
  </si>
  <si>
    <t>67678.87</t>
  </si>
  <si>
    <t>27543.37</t>
  </si>
  <si>
    <t>ORD101082</t>
  </si>
  <si>
    <t>CUST10955</t>
  </si>
  <si>
    <t>3607.62</t>
  </si>
  <si>
    <t>2522.25</t>
  </si>
  <si>
    <t>724.61</t>
  </si>
  <si>
    <t>ORD101083</t>
  </si>
  <si>
    <t>CUST10920</t>
  </si>
  <si>
    <t>3323.27</t>
  </si>
  <si>
    <t>4127.49</t>
  </si>
  <si>
    <t>1522.07</t>
  </si>
  <si>
    <t>ORD101084</t>
  </si>
  <si>
    <t>CUST11940</t>
  </si>
  <si>
    <t>2912.19</t>
  </si>
  <si>
    <t>1942.22</t>
  </si>
  <si>
    <t>824.36</t>
  </si>
  <si>
    <t>ORD101085</t>
  </si>
  <si>
    <t>CUST12001</t>
  </si>
  <si>
    <t>44787.73</t>
  </si>
  <si>
    <t>32926.03</t>
  </si>
  <si>
    <t>11861.7</t>
  </si>
  <si>
    <t>ORD101086</t>
  </si>
  <si>
    <t>CUST12026</t>
  </si>
  <si>
    <t>4829.78</t>
  </si>
  <si>
    <t>3867.85</t>
  </si>
  <si>
    <t>237.46</t>
  </si>
  <si>
    <t>ORD101087</t>
  </si>
  <si>
    <t>CUST12704</t>
  </si>
  <si>
    <t>45535.96</t>
  </si>
  <si>
    <t>36075.57</t>
  </si>
  <si>
    <t>4906.79</t>
  </si>
  <si>
    <t>ORD101088</t>
  </si>
  <si>
    <t>CUST11131</t>
  </si>
  <si>
    <t>329</t>
  </si>
  <si>
    <t>251.15</t>
  </si>
  <si>
    <t>61.4</t>
  </si>
  <si>
    <t>ORD101089</t>
  </si>
  <si>
    <t>CUST10599</t>
  </si>
  <si>
    <t>5953.72</t>
  </si>
  <si>
    <t>12775.36</t>
  </si>
  <si>
    <t>4192.74</t>
  </si>
  <si>
    <t>ORD101090</t>
  </si>
  <si>
    <t>CUST12088</t>
  </si>
  <si>
    <t>2166.39</t>
  </si>
  <si>
    <t>1596.2</t>
  </si>
  <si>
    <t>136.91</t>
  </si>
  <si>
    <t>ORD101092</t>
  </si>
  <si>
    <t>CUST13049</t>
  </si>
  <si>
    <t>66106.880000000005</t>
  </si>
  <si>
    <t>41858.160000000003</t>
  </si>
  <si>
    <t>20943.38</t>
  </si>
  <si>
    <t>ORD101095</t>
  </si>
  <si>
    <t>CUST12295</t>
  </si>
  <si>
    <t>2439.59</t>
  </si>
  <si>
    <t>3036.81</t>
  </si>
  <si>
    <t>866.53</t>
  </si>
  <si>
    <t>ORD101097</t>
  </si>
  <si>
    <t>CUST12087</t>
  </si>
  <si>
    <t>8494.34</t>
  </si>
  <si>
    <t>5509.92</t>
  </si>
  <si>
    <t>2559.6999999999998</t>
  </si>
  <si>
    <t>ORD101098</t>
  </si>
  <si>
    <t>CUST10957</t>
  </si>
  <si>
    <t>1205.17</t>
  </si>
  <si>
    <t>2105.46</t>
  </si>
  <si>
    <t>1329.27</t>
  </si>
  <si>
    <t>ORD101100</t>
  </si>
  <si>
    <t>CUST10309</t>
  </si>
  <si>
    <t>1078.51</t>
  </si>
  <si>
    <t>1446.62</t>
  </si>
  <si>
    <t>494.7</t>
  </si>
  <si>
    <t>ORD101103</t>
  </si>
  <si>
    <t>CUST10511</t>
  </si>
  <si>
    <t>5090.2</t>
  </si>
  <si>
    <t>4004.39</t>
  </si>
  <si>
    <t>576.79</t>
  </si>
  <si>
    <t>ORD101105</t>
  </si>
  <si>
    <t>CUST13331</t>
  </si>
  <si>
    <t>1842.94</t>
  </si>
  <si>
    <t>3672.81</t>
  </si>
  <si>
    <t>1303.1300000000001</t>
  </si>
  <si>
    <t>ORD101107</t>
  </si>
  <si>
    <t>CUST11241</t>
  </si>
  <si>
    <t>2973.9</t>
  </si>
  <si>
    <t>2128.27</t>
  </si>
  <si>
    <t>548.24</t>
  </si>
  <si>
    <t>ORD101111</t>
  </si>
  <si>
    <t>CUST10356</t>
  </si>
  <si>
    <t>24361</t>
  </si>
  <si>
    <t>51100.25</t>
  </si>
  <si>
    <t>14674.45</t>
  </si>
  <si>
    <t>ORD101114</t>
  </si>
  <si>
    <t>CUST11997</t>
  </si>
  <si>
    <t>32675.29</t>
  </si>
  <si>
    <t>37255.83</t>
  </si>
  <si>
    <t>21559.69</t>
  </si>
  <si>
    <t>ORD101115</t>
  </si>
  <si>
    <t>CUST11457</t>
  </si>
  <si>
    <t>26527.759999999998</t>
  </si>
  <si>
    <t>14907.85</t>
  </si>
  <si>
    <t>10293.52</t>
  </si>
  <si>
    <t>ORD101116</t>
  </si>
  <si>
    <t>CUST12020</t>
  </si>
  <si>
    <t>14115.99</t>
  </si>
  <si>
    <t>15706.26</t>
  </si>
  <si>
    <t>11114.12</t>
  </si>
  <si>
    <t>ORD101117</t>
  </si>
  <si>
    <t>CUST11405</t>
  </si>
  <si>
    <t>967.01</t>
  </si>
  <si>
    <t>606.69000000000005</t>
  </si>
  <si>
    <t>263.62</t>
  </si>
  <si>
    <t>ORD101118</t>
  </si>
  <si>
    <t>CUST12336</t>
  </si>
  <si>
    <t>9237.7999999999993</t>
  </si>
  <si>
    <t>11968</t>
  </si>
  <si>
    <t>3736.26</t>
  </si>
  <si>
    <t>ORD101119</t>
  </si>
  <si>
    <t>CUST12620</t>
  </si>
  <si>
    <t>4659.51</t>
  </si>
  <si>
    <t>3239.32</t>
  </si>
  <si>
    <t>721.26</t>
  </si>
  <si>
    <t>ORD101120</t>
  </si>
  <si>
    <t>CUST10487</t>
  </si>
  <si>
    <t>4556.32</t>
  </si>
  <si>
    <t>7327.15</t>
  </si>
  <si>
    <t>1785.49</t>
  </si>
  <si>
    <t>ORD101121</t>
  </si>
  <si>
    <t>CUST10555</t>
  </si>
  <si>
    <t>6468.54</t>
  </si>
  <si>
    <t>4412.0600000000004</t>
  </si>
  <si>
    <t>762.77</t>
  </si>
  <si>
    <t>ORD101122</t>
  </si>
  <si>
    <t>CUST11804</t>
  </si>
  <si>
    <t>2075.96</t>
  </si>
  <si>
    <t>1498.4</t>
  </si>
  <si>
    <t>369.96</t>
  </si>
  <si>
    <t>ORD101123</t>
  </si>
  <si>
    <t>CUST11661</t>
  </si>
  <si>
    <t>1052.9000000000001</t>
  </si>
  <si>
    <t>584.72</t>
  </si>
  <si>
    <t>468.18</t>
  </si>
  <si>
    <t>ORD101124</t>
  </si>
  <si>
    <t>CUST12394</t>
  </si>
  <si>
    <t>34991.15</t>
  </si>
  <si>
    <t>25716.13</t>
  </si>
  <si>
    <t>5775.91</t>
  </si>
  <si>
    <t>ORD101125</t>
  </si>
  <si>
    <t>CUST11812</t>
  </si>
  <si>
    <t>49037.49</t>
  </si>
  <si>
    <t>63286.43</t>
  </si>
  <si>
    <t>34788.550000000003</t>
  </si>
  <si>
    <t>ORD101126</t>
  </si>
  <si>
    <t>CUST10517</t>
  </si>
  <si>
    <t>3002.45</t>
  </si>
  <si>
    <t>2420.6999999999998</t>
  </si>
  <si>
    <t>131.38</t>
  </si>
  <si>
    <t>ORD101127</t>
  </si>
  <si>
    <t>CUST11686</t>
  </si>
  <si>
    <t>9341.9500000000007</t>
  </si>
  <si>
    <t>7490.41</t>
  </si>
  <si>
    <t>917.35</t>
  </si>
  <si>
    <t>ORD101128</t>
  </si>
  <si>
    <t>CUST10991</t>
  </si>
  <si>
    <t>41302.79</t>
  </si>
  <si>
    <t>94686.79</t>
  </si>
  <si>
    <t>16830.740000000002</t>
  </si>
  <si>
    <t>ORD101130</t>
  </si>
  <si>
    <t>CUST12553</t>
  </si>
  <si>
    <t>8720.24</t>
  </si>
  <si>
    <t>6501.81</t>
  </si>
  <si>
    <t>910.39</t>
  </si>
  <si>
    <t>ORD101131</t>
  </si>
  <si>
    <t>CUST11407</t>
  </si>
  <si>
    <t>9007.09</t>
  </si>
  <si>
    <t>5991.93</t>
  </si>
  <si>
    <t>3015.16</t>
  </si>
  <si>
    <t>ORD101132</t>
  </si>
  <si>
    <t>CUST10750</t>
  </si>
  <si>
    <t>71695.600000000006</t>
  </si>
  <si>
    <t>46006.559999999998</t>
  </si>
  <si>
    <t>14934.7</t>
  </si>
  <si>
    <t>ORD101134</t>
  </si>
  <si>
    <t>CUST12036</t>
  </si>
  <si>
    <t>6604.43</t>
  </si>
  <si>
    <t>3812.19</t>
  </si>
  <si>
    <t>1471.35</t>
  </si>
  <si>
    <t>ORD101135</t>
  </si>
  <si>
    <t>CUST11254</t>
  </si>
  <si>
    <t>57190.22</t>
  </si>
  <si>
    <t>35408.410000000003</t>
  </si>
  <si>
    <t>16062.79</t>
  </si>
  <si>
    <t>ORD101137</t>
  </si>
  <si>
    <t>CUST10288</t>
  </si>
  <si>
    <t>14053.8</t>
  </si>
  <si>
    <t>20491.36</t>
  </si>
  <si>
    <t>3400.1</t>
  </si>
  <si>
    <t>ORD101138</t>
  </si>
  <si>
    <t>CUST10262</t>
  </si>
  <si>
    <t>24661.78</t>
  </si>
  <si>
    <t>48559.5</t>
  </si>
  <si>
    <t>18027.310000000001</t>
  </si>
  <si>
    <t>ORD101140</t>
  </si>
  <si>
    <t>CUST11509</t>
  </si>
  <si>
    <t>5599.14</t>
  </si>
  <si>
    <t>4273.83</t>
  </si>
  <si>
    <t>1325.31</t>
  </si>
  <si>
    <t>ORD101141</t>
  </si>
  <si>
    <t>CUST13433</t>
  </si>
  <si>
    <t>73823.360000000001</t>
  </si>
  <si>
    <t>48539.73</t>
  </si>
  <si>
    <t>21592.46</t>
  </si>
  <si>
    <t>ORD101142</t>
  </si>
  <si>
    <t>CUST10272</t>
  </si>
  <si>
    <t>58349.88</t>
  </si>
  <si>
    <t>149452.38</t>
  </si>
  <si>
    <t>72277.16</t>
  </si>
  <si>
    <t>ORD101143</t>
  </si>
  <si>
    <t>CUST13130</t>
  </si>
  <si>
    <t>16858.03</t>
  </si>
  <si>
    <t>13350</t>
  </si>
  <si>
    <t>3508.03</t>
  </si>
  <si>
    <t>ORD101146</t>
  </si>
  <si>
    <t>CUST12185</t>
  </si>
  <si>
    <t>1112.71</t>
  </si>
  <si>
    <t>1745.17</t>
  </si>
  <si>
    <t>146.44</t>
  </si>
  <si>
    <t>ORD101147</t>
  </si>
  <si>
    <t>CUST12448</t>
  </si>
  <si>
    <t>6683.32</t>
  </si>
  <si>
    <t>7448.71</t>
  </si>
  <si>
    <t>3244.6</t>
  </si>
  <si>
    <t>ORD101148</t>
  </si>
  <si>
    <t>CUST12625</t>
  </si>
  <si>
    <t>1170.77</t>
  </si>
  <si>
    <t>774.21</t>
  </si>
  <si>
    <t>338.02</t>
  </si>
  <si>
    <t>ORD101149</t>
  </si>
  <si>
    <t>CUST11397</t>
  </si>
  <si>
    <t>6168.24</t>
  </si>
  <si>
    <t>4214.93</t>
  </si>
  <si>
    <t>1953.31</t>
  </si>
  <si>
    <t>ORD101150</t>
  </si>
  <si>
    <t>CUST12957</t>
  </si>
  <si>
    <t>2081.13</t>
  </si>
  <si>
    <t>2408.29</t>
  </si>
  <si>
    <t>1545.86</t>
  </si>
  <si>
    <t>ORD101152</t>
  </si>
  <si>
    <t>CUST11994</t>
  </si>
  <si>
    <t>724.5</t>
  </si>
  <si>
    <t>415.65</t>
  </si>
  <si>
    <t>200.17</t>
  </si>
  <si>
    <t>ORD101153</t>
  </si>
  <si>
    <t>CUST13343</t>
  </si>
  <si>
    <t>5733.66</t>
  </si>
  <si>
    <t>3298.81</t>
  </si>
  <si>
    <t>1861.48</t>
  </si>
  <si>
    <t>ORD101154</t>
  </si>
  <si>
    <t>CUST10676</t>
  </si>
  <si>
    <t>3433.54</t>
  </si>
  <si>
    <t>7626.53</t>
  </si>
  <si>
    <t>613.97</t>
  </si>
  <si>
    <t>ORD101155</t>
  </si>
  <si>
    <t>CUST10494</t>
  </si>
  <si>
    <t>2918.27</t>
  </si>
  <si>
    <t>1654.61</t>
  </si>
  <si>
    <t>971.83</t>
  </si>
  <si>
    <t>ORD101156</t>
  </si>
  <si>
    <t>CUST11833</t>
  </si>
  <si>
    <t>59825.47</t>
  </si>
  <si>
    <t>38102.300000000003</t>
  </si>
  <si>
    <t>12749.35</t>
  </si>
  <si>
    <t>ORD101157</t>
  </si>
  <si>
    <t>CUST10713</t>
  </si>
  <si>
    <t>9845.11</t>
  </si>
  <si>
    <t>5819.57</t>
  </si>
  <si>
    <t>3041.03</t>
  </si>
  <si>
    <t>ORD101158</t>
  </si>
  <si>
    <t>CUST12867</t>
  </si>
  <si>
    <t>7187.6</t>
  </si>
  <si>
    <t>4851.12</t>
  </si>
  <si>
    <t>2336.48</t>
  </si>
  <si>
    <t>ORD101159</t>
  </si>
  <si>
    <t>CUST11327</t>
  </si>
  <si>
    <t>8096.04</t>
  </si>
  <si>
    <t>13076.45</t>
  </si>
  <si>
    <t>2306.0300000000002</t>
  </si>
  <si>
    <t>ORD101162</t>
  </si>
  <si>
    <t>CUST12825</t>
  </si>
  <si>
    <t>1792.77</t>
  </si>
  <si>
    <t>3603.2</t>
  </si>
  <si>
    <t>1237.28</t>
  </si>
  <si>
    <t>ORD101163</t>
  </si>
  <si>
    <t>06-04-2025</t>
  </si>
  <si>
    <t>CUST12469</t>
  </si>
  <si>
    <t>6198.61</t>
  </si>
  <si>
    <t>8081.69</t>
  </si>
  <si>
    <t>3075.81</t>
  </si>
  <si>
    <t>ORD101164</t>
  </si>
  <si>
    <t>CUST12194</t>
  </si>
  <si>
    <t>2780.95</t>
  </si>
  <si>
    <t>3586.26</t>
  </si>
  <si>
    <t>1697.54</t>
  </si>
  <si>
    <t>ORD101165</t>
  </si>
  <si>
    <t>CUST11243</t>
  </si>
  <si>
    <t>1094.4100000000001</t>
  </si>
  <si>
    <t>635.70000000000005</t>
  </si>
  <si>
    <t>403.99</t>
  </si>
  <si>
    <t>ORD101166</t>
  </si>
  <si>
    <t>CUST10010</t>
  </si>
  <si>
    <t>19099.560000000001</t>
  </si>
  <si>
    <t>12271.57</t>
  </si>
  <si>
    <t>5873.01</t>
  </si>
  <si>
    <t>ORD101169</t>
  </si>
  <si>
    <t>CUST13264</t>
  </si>
  <si>
    <t>821.09</t>
  </si>
  <si>
    <t>555.79</t>
  </si>
  <si>
    <t>183.19</t>
  </si>
  <si>
    <t>ORD101170</t>
  </si>
  <si>
    <t>CUST13038</t>
  </si>
  <si>
    <t>7828.11</t>
  </si>
  <si>
    <t>11590.58</t>
  </si>
  <si>
    <t>3282.83</t>
  </si>
  <si>
    <t>ORD101171</t>
  </si>
  <si>
    <t>CUST11648</t>
  </si>
  <si>
    <t>477.76</t>
  </si>
  <si>
    <t>368.35</t>
  </si>
  <si>
    <t>37.75</t>
  </si>
  <si>
    <t>ORD101175</t>
  </si>
  <si>
    <t>CUST12046</t>
  </si>
  <si>
    <t>51312.03</t>
  </si>
  <si>
    <t>41791.629999999997</t>
  </si>
  <si>
    <t>4389.2</t>
  </si>
  <si>
    <t>ORD101176</t>
  </si>
  <si>
    <t>CUST12268</t>
  </si>
  <si>
    <t>5949.09</t>
  </si>
  <si>
    <t>8355.98</t>
  </si>
  <si>
    <t>2947.29</t>
  </si>
  <si>
    <t>ORD101177</t>
  </si>
  <si>
    <t>CUST12734</t>
  </si>
  <si>
    <t>28517.55</t>
  </si>
  <si>
    <t>18864.03</t>
  </si>
  <si>
    <t>6801.77</t>
  </si>
  <si>
    <t>ORD101178</t>
  </si>
  <si>
    <t>CUST12374</t>
  </si>
  <si>
    <t>2494.36</t>
  </si>
  <si>
    <t>1476.01</t>
  </si>
  <si>
    <t>519.48</t>
  </si>
  <si>
    <t>ORD101179</t>
  </si>
  <si>
    <t>CUST10906</t>
  </si>
  <si>
    <t>3617.19</t>
  </si>
  <si>
    <t>2521.6799999999998</t>
  </si>
  <si>
    <t>733.79</t>
  </si>
  <si>
    <t>ORD101181</t>
  </si>
  <si>
    <t>CUST12454</t>
  </si>
  <si>
    <t>20246.099999999999</t>
  </si>
  <si>
    <t>14887.74</t>
  </si>
  <si>
    <t>3333.75</t>
  </si>
  <si>
    <t>ORD101182</t>
  </si>
  <si>
    <t>CUST11680</t>
  </si>
  <si>
    <t>11162.95</t>
  </si>
  <si>
    <t>16999.96</t>
  </si>
  <si>
    <t>4209.6400000000003</t>
  </si>
  <si>
    <t>ORD101183</t>
  </si>
  <si>
    <t>CUST10862</t>
  </si>
  <si>
    <t>17017.77</t>
  </si>
  <si>
    <t>9814.5</t>
  </si>
  <si>
    <t>4650.6000000000004</t>
  </si>
  <si>
    <t>ORD101185</t>
  </si>
  <si>
    <t>CUST12817</t>
  </si>
  <si>
    <t>6272.19</t>
  </si>
  <si>
    <t>15406.32</t>
  </si>
  <si>
    <t>-353.06</t>
  </si>
  <si>
    <t>ORD101187</t>
  </si>
  <si>
    <t>CUST13437</t>
  </si>
  <si>
    <t>61623.53</t>
  </si>
  <si>
    <t>45145.4</t>
  </si>
  <si>
    <t>13396.95</t>
  </si>
  <si>
    <t>ORD101188</t>
  </si>
  <si>
    <t>CUST11119</t>
  </si>
  <si>
    <t>6995.62</t>
  </si>
  <si>
    <t>20707.16</t>
  </si>
  <si>
    <t>1678.82</t>
  </si>
  <si>
    <t>ORD101189</t>
  </si>
  <si>
    <t>CUST12990</t>
  </si>
  <si>
    <t>71502.559999999998</t>
  </si>
  <si>
    <t>110212.7</t>
  </si>
  <si>
    <t>32792.42</t>
  </si>
  <si>
    <t>ORD101190</t>
  </si>
  <si>
    <t>CUST13456</t>
  </si>
  <si>
    <t>545.86</t>
  </si>
  <si>
    <t>791.04</t>
  </si>
  <si>
    <t>136.91999999999999</t>
  </si>
  <si>
    <t>ORD101192</t>
  </si>
  <si>
    <t>CUST13397</t>
  </si>
  <si>
    <t>718.54</t>
  </si>
  <si>
    <t>420.51</t>
  </si>
  <si>
    <t>190.25</t>
  </si>
  <si>
    <t>ORD101194</t>
  </si>
  <si>
    <t>19-05-2025</t>
  </si>
  <si>
    <t>CUST10160</t>
  </si>
  <si>
    <t>6685.81</t>
  </si>
  <si>
    <t>10239.629999999999</t>
  </si>
  <si>
    <t>457.67</t>
  </si>
  <si>
    <t>ORD101195</t>
  </si>
  <si>
    <t>CUST11783</t>
  </si>
  <si>
    <t>50080.57</t>
  </si>
  <si>
    <t>38824.160000000003</t>
  </si>
  <si>
    <t>6248.35</t>
  </si>
  <si>
    <t>ORD101196</t>
  </si>
  <si>
    <t>CUST11275</t>
  </si>
  <si>
    <t>68366.52</t>
  </si>
  <si>
    <t>40571.96</t>
  </si>
  <si>
    <t>17539.580000000002</t>
  </si>
  <si>
    <t>ORD101197</t>
  </si>
  <si>
    <t>CUST11643</t>
  </si>
  <si>
    <t>9819.74</t>
  </si>
  <si>
    <t>6232.44</t>
  </si>
  <si>
    <t>2605.33</t>
  </si>
  <si>
    <t>ORD101198</t>
  </si>
  <si>
    <t>CUST12748</t>
  </si>
  <si>
    <t>8802.86</t>
  </si>
  <si>
    <t>6824.29</t>
  </si>
  <si>
    <t>1538.43</t>
  </si>
  <si>
    <t>ORD101200</t>
  </si>
  <si>
    <t>CUST13071</t>
  </si>
  <si>
    <t>5016.33</t>
  </si>
  <si>
    <t>2869.65</t>
  </si>
  <si>
    <t>1394.23</t>
  </si>
  <si>
    <t>ORD101201</t>
  </si>
  <si>
    <t>CUST11151</t>
  </si>
  <si>
    <t>1196.07</t>
  </si>
  <si>
    <t>2791.62</t>
  </si>
  <si>
    <t>1275.02</t>
  </si>
  <si>
    <t>ORD101202</t>
  </si>
  <si>
    <t>CUST10267</t>
  </si>
  <si>
    <t>3616.66</t>
  </si>
  <si>
    <t>2776.07</t>
  </si>
  <si>
    <t>840.59</t>
  </si>
  <si>
    <t>ORD101204</t>
  </si>
  <si>
    <t>CUST12261</t>
  </si>
  <si>
    <t>4131.25</t>
  </si>
  <si>
    <t>5886.04</t>
  </si>
  <si>
    <t>2376.46</t>
  </si>
  <si>
    <t>ORD101207</t>
  </si>
  <si>
    <t>CUST10733</t>
  </si>
  <si>
    <t>1025.51</t>
  </si>
  <si>
    <t>836.22</t>
  </si>
  <si>
    <t>86.74</t>
  </si>
  <si>
    <t>ORD101208</t>
  </si>
  <si>
    <t>CUST10102</t>
  </si>
  <si>
    <t>3016.36</t>
  </si>
  <si>
    <t>1714.95</t>
  </si>
  <si>
    <t>999.77</t>
  </si>
  <si>
    <t>ORD101209</t>
  </si>
  <si>
    <t>CUST12062</t>
  </si>
  <si>
    <t>23569.88</t>
  </si>
  <si>
    <t>13979.33</t>
  </si>
  <si>
    <t>7233.56</t>
  </si>
  <si>
    <t>ORD101210</t>
  </si>
  <si>
    <t>CUST11192</t>
  </si>
  <si>
    <t>9847.35</t>
  </si>
  <si>
    <t>6446.85</t>
  </si>
  <si>
    <t>1431.03</t>
  </si>
  <si>
    <t>ORD101211</t>
  </si>
  <si>
    <t>06-05-2025</t>
  </si>
  <si>
    <t>CUST10763</t>
  </si>
  <si>
    <t>5725.65</t>
  </si>
  <si>
    <t>3560.2</t>
  </si>
  <si>
    <t>1306.5999999999999</t>
  </si>
  <si>
    <t>ORD101212</t>
  </si>
  <si>
    <t>CUST12146</t>
  </si>
  <si>
    <t>4044.06</t>
  </si>
  <si>
    <t>3184.5</t>
  </si>
  <si>
    <t>859.56</t>
  </si>
  <si>
    <t>ORD101213</t>
  </si>
  <si>
    <t>CUST11058</t>
  </si>
  <si>
    <t>2357.91</t>
  </si>
  <si>
    <t>1473.93</t>
  </si>
  <si>
    <t>883.98</t>
  </si>
  <si>
    <t>ORD101215</t>
  </si>
  <si>
    <t>CUST12129</t>
  </si>
  <si>
    <t>6323.28</t>
  </si>
  <si>
    <t>3991.03</t>
  </si>
  <si>
    <t>1383.76</t>
  </si>
  <si>
    <t>ORD101216</t>
  </si>
  <si>
    <t>CUST12554</t>
  </si>
  <si>
    <t>5790.38</t>
  </si>
  <si>
    <t>13955.46</t>
  </si>
  <si>
    <t>2547.12</t>
  </si>
  <si>
    <t>ORD101217</t>
  </si>
  <si>
    <t>CUST10598</t>
  </si>
  <si>
    <t>6022.21</t>
  </si>
  <si>
    <t>4112.84</t>
  </si>
  <si>
    <t>1909.37</t>
  </si>
  <si>
    <t>ORD101218</t>
  </si>
  <si>
    <t>CUST12570</t>
  </si>
  <si>
    <t>994.63</t>
  </si>
  <si>
    <t>1663.81</t>
  </si>
  <si>
    <t>872.5</t>
  </si>
  <si>
    <t>ORD101221</t>
  </si>
  <si>
    <t>CUST12074</t>
  </si>
  <si>
    <t>1982.27</t>
  </si>
  <si>
    <t>1265.8499999999999</t>
  </si>
  <si>
    <t>419.08</t>
  </si>
  <si>
    <t>ORD101222</t>
  </si>
  <si>
    <t>CUST10329</t>
  </si>
  <si>
    <t>9542.7900000000009</t>
  </si>
  <si>
    <t>11280.6</t>
  </si>
  <si>
    <t>ORD101223</t>
  </si>
  <si>
    <t>CUST11657</t>
  </si>
  <si>
    <t>3814.46</t>
  </si>
  <si>
    <t>2772.06</t>
  </si>
  <si>
    <t>1042.4000000000001</t>
  </si>
  <si>
    <t>ORD101224</t>
  </si>
  <si>
    <t>CUST10439</t>
  </si>
  <si>
    <t>13517.59</t>
  </si>
  <si>
    <t>24607.09</t>
  </si>
  <si>
    <t>11890.4</t>
  </si>
  <si>
    <t>ORD101225</t>
  </si>
  <si>
    <t>CUST10278</t>
  </si>
  <si>
    <t>61948.21</t>
  </si>
  <si>
    <t>43250.55</t>
  </si>
  <si>
    <t>9405.43</t>
  </si>
  <si>
    <t>ORD101226</t>
  </si>
  <si>
    <t>CUST13453</t>
  </si>
  <si>
    <t>2757.58</t>
  </si>
  <si>
    <t>348.3</t>
  </si>
  <si>
    <t>ORD101228</t>
  </si>
  <si>
    <t>CUST12032</t>
  </si>
  <si>
    <t>4596.46</t>
  </si>
  <si>
    <t>3496.03</t>
  </si>
  <si>
    <t>640.78</t>
  </si>
  <si>
    <t>ORD101229</t>
  </si>
  <si>
    <t>CUST12318</t>
  </si>
  <si>
    <t>4658.29</t>
  </si>
  <si>
    <t>3806.17</t>
  </si>
  <si>
    <t>619.21</t>
  </si>
  <si>
    <t>ORD101230</t>
  </si>
  <si>
    <t>CUST10196</t>
  </si>
  <si>
    <t>53125.22</t>
  </si>
  <si>
    <t>67129.98</t>
  </si>
  <si>
    <t>23182.89</t>
  </si>
  <si>
    <t>ORD101231</t>
  </si>
  <si>
    <t>CUST11572</t>
  </si>
  <si>
    <t>1162.47</t>
  </si>
  <si>
    <t>725.78</t>
  </si>
  <si>
    <t>262.32</t>
  </si>
  <si>
    <t>ORD101233</t>
  </si>
  <si>
    <t>CUST12729</t>
  </si>
  <si>
    <t>17733.16</t>
  </si>
  <si>
    <t>41862.879999999997</t>
  </si>
  <si>
    <t>29069.759999999998</t>
  </si>
  <si>
    <t>ORD101234</t>
  </si>
  <si>
    <t>CUST10305</t>
  </si>
  <si>
    <t>4238.79</t>
  </si>
  <si>
    <t>12626.08</t>
  </si>
  <si>
    <t>1785.81</t>
  </si>
  <si>
    <t>ORD101235</t>
  </si>
  <si>
    <t>CUST10067</t>
  </si>
  <si>
    <t>5746.33</t>
  </si>
  <si>
    <t>3812.94</t>
  </si>
  <si>
    <t>1358.76</t>
  </si>
  <si>
    <t>ORD101236</t>
  </si>
  <si>
    <t>CUST12769</t>
  </si>
  <si>
    <t>13927.35</t>
  </si>
  <si>
    <t>10259.31</t>
  </si>
  <si>
    <t>2971.67</t>
  </si>
  <si>
    <t>ORD101237</t>
  </si>
  <si>
    <t>CUST13337</t>
  </si>
  <si>
    <t>2494.77</t>
  </si>
  <si>
    <t>1693.62</t>
  </si>
  <si>
    <t>676.41</t>
  </si>
  <si>
    <t>ORD101238</t>
  </si>
  <si>
    <t>CUST11614</t>
  </si>
  <si>
    <t>1718.35</t>
  </si>
  <si>
    <t>1149.2</t>
  </si>
  <si>
    <t>483.23</t>
  </si>
  <si>
    <t>ORD101239</t>
  </si>
  <si>
    <t>CUST11220</t>
  </si>
  <si>
    <t>15889.95</t>
  </si>
  <si>
    <t>9970.27</t>
  </si>
  <si>
    <t>5125.18</t>
  </si>
  <si>
    <t>ORD101240</t>
  </si>
  <si>
    <t>CUST10154</t>
  </si>
  <si>
    <t>62309.9</t>
  </si>
  <si>
    <t>160106.45000000001</t>
  </si>
  <si>
    <t>51747.21</t>
  </si>
  <si>
    <t>ORD101242</t>
  </si>
  <si>
    <t>CUST12717</t>
  </si>
  <si>
    <t>3719.6</t>
  </si>
  <si>
    <t>2320.36</t>
  </si>
  <si>
    <t>1213.26</t>
  </si>
  <si>
    <t>ORD101243</t>
  </si>
  <si>
    <t>CUST13004</t>
  </si>
  <si>
    <t>14669.92</t>
  </si>
  <si>
    <t>22625.23</t>
  </si>
  <si>
    <t>6714.61</t>
  </si>
  <si>
    <t>ORD101244</t>
  </si>
  <si>
    <t>16-11-2025</t>
  </si>
  <si>
    <t>CUST12634</t>
  </si>
  <si>
    <t>8047.05</t>
  </si>
  <si>
    <t>5409.81</t>
  </si>
  <si>
    <t>1832.53</t>
  </si>
  <si>
    <t>ORD101245</t>
  </si>
  <si>
    <t>CUST12649</t>
  </si>
  <si>
    <t>5748.62</t>
  </si>
  <si>
    <t>4510.8</t>
  </si>
  <si>
    <t>662.96</t>
  </si>
  <si>
    <t>ORD101247</t>
  </si>
  <si>
    <t>CUST11526</t>
  </si>
  <si>
    <t>47431.42</t>
  </si>
  <si>
    <t>32620.71</t>
  </si>
  <si>
    <t>12439.14</t>
  </si>
  <si>
    <t>ORD101248</t>
  </si>
  <si>
    <t>CUST10357</t>
  </si>
  <si>
    <t>68390.789999999994</t>
  </si>
  <si>
    <t>40469.43</t>
  </si>
  <si>
    <t>17662.740000000002</t>
  </si>
  <si>
    <t>ORD101249</t>
  </si>
  <si>
    <t>CUST12235</t>
  </si>
  <si>
    <t>1723.74</t>
  </si>
  <si>
    <t>1034.18</t>
  </si>
  <si>
    <t>517.19000000000005</t>
  </si>
  <si>
    <t>ORD101251</t>
  </si>
  <si>
    <t>CUST10548</t>
  </si>
  <si>
    <t>10557.11</t>
  </si>
  <si>
    <t>7462.69</t>
  </si>
  <si>
    <t>3094.42</t>
  </si>
  <si>
    <t>ORD101252</t>
  </si>
  <si>
    <t>CUST10240</t>
  </si>
  <si>
    <t>3026.32</t>
  </si>
  <si>
    <t>2480.2199999999998</t>
  </si>
  <si>
    <t>243.47</t>
  </si>
  <si>
    <t>ORD101253</t>
  </si>
  <si>
    <t>CUST10328</t>
  </si>
  <si>
    <t>6127.2</t>
  </si>
  <si>
    <t>10303.370000000001</t>
  </si>
  <si>
    <t>5320.99</t>
  </si>
  <si>
    <t>ORD101254</t>
  </si>
  <si>
    <t>CUST11563</t>
  </si>
  <si>
    <t>2985.92</t>
  </si>
  <si>
    <t>2090.9899999999998</t>
  </si>
  <si>
    <t>894.93</t>
  </si>
  <si>
    <t>ORD101255</t>
  </si>
  <si>
    <t>CUST10718</t>
  </si>
  <si>
    <t>2429.94</t>
  </si>
  <si>
    <t>3093.87</t>
  </si>
  <si>
    <t>794.03</t>
  </si>
  <si>
    <t>ORD101256</t>
  </si>
  <si>
    <t>CUST12303</t>
  </si>
  <si>
    <t>18931.439999999999</t>
  </si>
  <si>
    <t>14308.84</t>
  </si>
  <si>
    <t>2729.46</t>
  </si>
  <si>
    <t>ORD101257</t>
  </si>
  <si>
    <t>CUST10836</t>
  </si>
  <si>
    <t>8794.43</t>
  </si>
  <si>
    <t>10414.82</t>
  </si>
  <si>
    <t>7174.04</t>
  </si>
  <si>
    <t>ORD101259</t>
  </si>
  <si>
    <t>CUST13432</t>
  </si>
  <si>
    <t>61373.82</t>
  </si>
  <si>
    <t>104172.7</t>
  </si>
  <si>
    <t>79948.759999999995</t>
  </si>
  <si>
    <t>ORD101261</t>
  </si>
  <si>
    <t>CUST11634</t>
  </si>
  <si>
    <t>3962.18</t>
  </si>
  <si>
    <t>2190.2600000000002</t>
  </si>
  <si>
    <t>1771.92</t>
  </si>
  <si>
    <t>ORD101262</t>
  </si>
  <si>
    <t>CUST11886</t>
  </si>
  <si>
    <t>2275.5300000000002</t>
  </si>
  <si>
    <t>1828.01</t>
  </si>
  <si>
    <t>219.97</t>
  </si>
  <si>
    <t>ORD101264</t>
  </si>
  <si>
    <t>CUST11592</t>
  </si>
  <si>
    <t>458.45</t>
  </si>
  <si>
    <t>699.58</t>
  </si>
  <si>
    <t>125.63</t>
  </si>
  <si>
    <t>ORD101267</t>
  </si>
  <si>
    <t>CUST10571</t>
  </si>
  <si>
    <t>2092</t>
  </si>
  <si>
    <t>1511.2</t>
  </si>
  <si>
    <t>580.79999999999995</t>
  </si>
  <si>
    <t>ORD101268</t>
  </si>
  <si>
    <t>11-10-2025</t>
  </si>
  <si>
    <t>CUST11796</t>
  </si>
  <si>
    <t>64261.35</t>
  </si>
  <si>
    <t>42683.86</t>
  </si>
  <si>
    <t>15151.36</t>
  </si>
  <si>
    <t>ORD101269</t>
  </si>
  <si>
    <t>CUST10333</t>
  </si>
  <si>
    <t>2508.23</t>
  </si>
  <si>
    <t>1779.85</t>
  </si>
  <si>
    <t>477.56</t>
  </si>
  <si>
    <t>ORD101271</t>
  </si>
  <si>
    <t>CUST12544</t>
  </si>
  <si>
    <t>10496.8</t>
  </si>
  <si>
    <t>7192.19</t>
  </si>
  <si>
    <t>1730.09</t>
  </si>
  <si>
    <t>ORD101274</t>
  </si>
  <si>
    <t>CUST12548</t>
  </si>
  <si>
    <t>5373.89</t>
  </si>
  <si>
    <t>3042.14</t>
  </si>
  <si>
    <t>2331.75</t>
  </si>
  <si>
    <t>ORD101275</t>
  </si>
  <si>
    <t>CUST11186</t>
  </si>
  <si>
    <t>427.68</t>
  </si>
  <si>
    <t>865.73</t>
  </si>
  <si>
    <t>353.16</t>
  </si>
  <si>
    <t>ORD101276</t>
  </si>
  <si>
    <t>CUST13239</t>
  </si>
  <si>
    <t>4250.41</t>
  </si>
  <si>
    <t>2550.42</t>
  </si>
  <si>
    <t>1062.43</t>
  </si>
  <si>
    <t>ORD101277</t>
  </si>
  <si>
    <t>CUST10740</t>
  </si>
  <si>
    <t>28990.880000000001</t>
  </si>
  <si>
    <t>17511.61</t>
  </si>
  <si>
    <t>8580.18</t>
  </si>
  <si>
    <t>ORD101281</t>
  </si>
  <si>
    <t>CUST13299</t>
  </si>
  <si>
    <t>1603.59</t>
  </si>
  <si>
    <t>1305.3399999999999</t>
  </si>
  <si>
    <t>57.71</t>
  </si>
  <si>
    <t>ORD101286</t>
  </si>
  <si>
    <t>CUST12398</t>
  </si>
  <si>
    <t>6858.53</t>
  </si>
  <si>
    <t>9508.11</t>
  </si>
  <si>
    <t>2151.39</t>
  </si>
  <si>
    <t>ORD101288</t>
  </si>
  <si>
    <t>CUST11558</t>
  </si>
  <si>
    <t>5083.3100000000004</t>
  </si>
  <si>
    <t>9661.3700000000008</t>
  </si>
  <si>
    <t>2538.5700000000002</t>
  </si>
  <si>
    <t>ORD101290</t>
  </si>
  <si>
    <t>CUST11013</t>
  </si>
  <si>
    <t>5154.3</t>
  </si>
  <si>
    <t>3281.21</t>
  </si>
  <si>
    <t>1099.95</t>
  </si>
  <si>
    <t>ORD101291</t>
  </si>
  <si>
    <t>CUST12760</t>
  </si>
  <si>
    <t>4607.3100000000004</t>
  </si>
  <si>
    <t>3687</t>
  </si>
  <si>
    <t>920.31</t>
  </si>
  <si>
    <t>ORD101292</t>
  </si>
  <si>
    <t>CUST11636</t>
  </si>
  <si>
    <t>14410.34</t>
  </si>
  <si>
    <t>45425.65</t>
  </si>
  <si>
    <t>9333.64</t>
  </si>
  <si>
    <t>ORD101293</t>
  </si>
  <si>
    <t>CUST13093</t>
  </si>
  <si>
    <t>11676.44</t>
  </si>
  <si>
    <t>8977.36</t>
  </si>
  <si>
    <t>947.61</t>
  </si>
  <si>
    <t>ORD101294</t>
  </si>
  <si>
    <t>CUST12790</t>
  </si>
  <si>
    <t>3542.96</t>
  </si>
  <si>
    <t>4470.38</t>
  </si>
  <si>
    <t>1906.95</t>
  </si>
  <si>
    <t>ORD101296</t>
  </si>
  <si>
    <t>CUST13294</t>
  </si>
  <si>
    <t>24650.04</t>
  </si>
  <si>
    <t>32909.82</t>
  </si>
  <si>
    <t>16390.259999999998</t>
  </si>
  <si>
    <t>ORD101297</t>
  </si>
  <si>
    <t>CUST11665</t>
  </si>
  <si>
    <t>4504.09</t>
  </si>
  <si>
    <t>2998.91</t>
  </si>
  <si>
    <t>829.57</t>
  </si>
  <si>
    <t>ORD101298</t>
  </si>
  <si>
    <t>CUST13198</t>
  </si>
  <si>
    <t>8031.63</t>
  </si>
  <si>
    <t>10902.8</t>
  </si>
  <si>
    <t>5160.46</t>
  </si>
  <si>
    <t>ORD101299</t>
  </si>
  <si>
    <t>CUST10228</t>
  </si>
  <si>
    <t>53446.68</t>
  </si>
  <si>
    <t>66416.3</t>
  </si>
  <si>
    <t>29787.72</t>
  </si>
  <si>
    <t>ORD101300</t>
  </si>
  <si>
    <t>CUST11273</t>
  </si>
  <si>
    <t>4385.5200000000004</t>
  </si>
  <si>
    <t>5805.43</t>
  </si>
  <si>
    <t>2527.06</t>
  </si>
  <si>
    <t>ORD101301</t>
  </si>
  <si>
    <t>CUST12111</t>
  </si>
  <si>
    <t>16273.12</t>
  </si>
  <si>
    <t>25892.14</t>
  </si>
  <si>
    <t>5026.79</t>
  </si>
  <si>
    <t>ORD101302</t>
  </si>
  <si>
    <t>CUST12547</t>
  </si>
  <si>
    <t>39684.120000000003</t>
  </si>
  <si>
    <t>24493.31</t>
  </si>
  <si>
    <t>15190.81</t>
  </si>
  <si>
    <t>ORD101303</t>
  </si>
  <si>
    <t>CUST12172</t>
  </si>
  <si>
    <t>5126.6000000000004</t>
  </si>
  <si>
    <t>3564.33</t>
  </si>
  <si>
    <t>793.28</t>
  </si>
  <si>
    <t>ORD101304</t>
  </si>
  <si>
    <t>CUST10657</t>
  </si>
  <si>
    <t>9468.49</t>
  </si>
  <si>
    <t>20029.830000000002</t>
  </si>
  <si>
    <t>5535.09</t>
  </si>
  <si>
    <t>ORD101305</t>
  </si>
  <si>
    <t>CUST12754</t>
  </si>
  <si>
    <t>11477.42</t>
  </si>
  <si>
    <t>14929.9</t>
  </si>
  <si>
    <t>8024.94</t>
  </si>
  <si>
    <t>ORD101306</t>
  </si>
  <si>
    <t>CUST11588</t>
  </si>
  <si>
    <t>26999.06</t>
  </si>
  <si>
    <t>32344.74</t>
  </si>
  <si>
    <t>16253.57</t>
  </si>
  <si>
    <t>ORD101307</t>
  </si>
  <si>
    <t>CUST12927</t>
  </si>
  <si>
    <t>2134.4</t>
  </si>
  <si>
    <t>2856.81</t>
  </si>
  <si>
    <t>771.67</t>
  </si>
  <si>
    <t>ORD101308</t>
  </si>
  <si>
    <t>CUST11687</t>
  </si>
  <si>
    <t>54795.62</t>
  </si>
  <si>
    <t>122213.32</t>
  </si>
  <si>
    <t>9296.17</t>
  </si>
  <si>
    <t>ORD101309</t>
  </si>
  <si>
    <t>CUST10506</t>
  </si>
  <si>
    <t>42498.080000000002</t>
  </si>
  <si>
    <t>34465.160000000003</t>
  </si>
  <si>
    <t>8032.92</t>
  </si>
  <si>
    <t>ORD101310</t>
  </si>
  <si>
    <t>CUST11938</t>
  </si>
  <si>
    <t>16617.830000000002</t>
  </si>
  <si>
    <t>31771.17</t>
  </si>
  <si>
    <t>18082.32</t>
  </si>
  <si>
    <t>ORD101311</t>
  </si>
  <si>
    <t>CUST13287</t>
  </si>
  <si>
    <t>3573</t>
  </si>
  <si>
    <t>2075.81</t>
  </si>
  <si>
    <t>1139.8900000000001</t>
  </si>
  <si>
    <t>ORD101312</t>
  </si>
  <si>
    <t>CUST12707</t>
  </si>
  <si>
    <t>4284.55</t>
  </si>
  <si>
    <t>4938.55</t>
  </si>
  <si>
    <t>2345.19</t>
  </si>
  <si>
    <t>ORD101313</t>
  </si>
  <si>
    <t>CUST11115</t>
  </si>
  <si>
    <t>12724.11</t>
  </si>
  <si>
    <t>6998.96</t>
  </si>
  <si>
    <t>5088.9399999999996</t>
  </si>
  <si>
    <t>ORD101319</t>
  </si>
  <si>
    <t>CUST12597</t>
  </si>
  <si>
    <t>25283.06</t>
  </si>
  <si>
    <t>18393.96</t>
  </si>
  <si>
    <t>5624.95</t>
  </si>
  <si>
    <t>ORD101321</t>
  </si>
  <si>
    <t>CUST10663</t>
  </si>
  <si>
    <t>5141.79</t>
  </si>
  <si>
    <t>4207.99</t>
  </si>
  <si>
    <t>933.8</t>
  </si>
  <si>
    <t>ORD101323</t>
  </si>
  <si>
    <t>CUST11678</t>
  </si>
  <si>
    <t>3516.71</t>
  </si>
  <si>
    <t>4785.87</t>
  </si>
  <si>
    <t>1544.21</t>
  </si>
  <si>
    <t>ORD101326</t>
  </si>
  <si>
    <t>CUST12249</t>
  </si>
  <si>
    <t>2456.56</t>
  </si>
  <si>
    <t>3535.49</t>
  </si>
  <si>
    <t>395.01</t>
  </si>
  <si>
    <t>ORD101327</t>
  </si>
  <si>
    <t>CUST10144</t>
  </si>
  <si>
    <t>2791.57</t>
  </si>
  <si>
    <t>1688.44</t>
  </si>
  <si>
    <t>963.55</t>
  </si>
  <si>
    <t>ORD101328</t>
  </si>
  <si>
    <t>CUST12908</t>
  </si>
  <si>
    <t>41814.58</t>
  </si>
  <si>
    <t>29639.19</t>
  </si>
  <si>
    <t>7993.93</t>
  </si>
  <si>
    <t>ORD101329</t>
  </si>
  <si>
    <t>CUST11936</t>
  </si>
  <si>
    <t>14515.83</t>
  </si>
  <si>
    <t>9145.7800000000007</t>
  </si>
  <si>
    <t>3192.68</t>
  </si>
  <si>
    <t>ORD101330</t>
  </si>
  <si>
    <t>CUST11284</t>
  </si>
  <si>
    <t>59635.53</t>
  </si>
  <si>
    <t>36929.89</t>
  </si>
  <si>
    <t>22705.64</t>
  </si>
  <si>
    <t>ORD101331</t>
  </si>
  <si>
    <t>CUST11525</t>
  </si>
  <si>
    <t>2712.19</t>
  </si>
  <si>
    <t>7801.92</t>
  </si>
  <si>
    <t>3046.84</t>
  </si>
  <si>
    <t>ORD101332</t>
  </si>
  <si>
    <t>22-09-2025</t>
  </si>
  <si>
    <t>CUST10735</t>
  </si>
  <si>
    <t>6729.32</t>
  </si>
  <si>
    <t>5299.23</t>
  </si>
  <si>
    <t>1430.09</t>
  </si>
  <si>
    <t>ORD101333</t>
  </si>
  <si>
    <t>CUST13457</t>
  </si>
  <si>
    <t>63786.46</t>
  </si>
  <si>
    <t>35293.54</t>
  </si>
  <si>
    <t>25303.599999999999</t>
  </si>
  <si>
    <t>ORD101334</t>
  </si>
  <si>
    <t>CUST11793</t>
  </si>
  <si>
    <t>15198.35</t>
  </si>
  <si>
    <t>12237.15</t>
  </si>
  <si>
    <t>1441.37</t>
  </si>
  <si>
    <t>ORD101335</t>
  </si>
  <si>
    <t>CUST12912</t>
  </si>
  <si>
    <t>487.99</t>
  </si>
  <si>
    <t>320.56</t>
  </si>
  <si>
    <t>94.23</t>
  </si>
  <si>
    <t>ORD101339</t>
  </si>
  <si>
    <t>CUST11026</t>
  </si>
  <si>
    <t>8540.5499999999993</t>
  </si>
  <si>
    <t>5443.19</t>
  </si>
  <si>
    <t>1816.28</t>
  </si>
  <si>
    <t>ORD101340</t>
  </si>
  <si>
    <t>CUST13223</t>
  </si>
  <si>
    <t>16569.36</t>
  </si>
  <si>
    <t>11432.55</t>
  </si>
  <si>
    <t>4308.34</t>
  </si>
  <si>
    <t>ORD101341</t>
  </si>
  <si>
    <t>CUST11956</t>
  </si>
  <si>
    <t>4399.72</t>
  </si>
  <si>
    <t>2618.41</t>
  </si>
  <si>
    <t>1121.3499999999999</t>
  </si>
  <si>
    <t>ORD101343</t>
  </si>
  <si>
    <t>CUST11015</t>
  </si>
  <si>
    <t>14898.5</t>
  </si>
  <si>
    <t>21624.92</t>
  </si>
  <si>
    <t>3702.53</t>
  </si>
  <si>
    <t>ORD101344</t>
  </si>
  <si>
    <t>CUST11173</t>
  </si>
  <si>
    <t>4059.82</t>
  </si>
  <si>
    <t>3188.48</t>
  </si>
  <si>
    <t>465.36</t>
  </si>
  <si>
    <t>ORD101345</t>
  </si>
  <si>
    <t>CUST13278</t>
  </si>
  <si>
    <t>6659.39</t>
  </si>
  <si>
    <t>10873.1</t>
  </si>
  <si>
    <t>447.86</t>
  </si>
  <si>
    <t>ORD101346</t>
  </si>
  <si>
    <t>CUST10754</t>
  </si>
  <si>
    <t>4721.4799999999996</t>
  </si>
  <si>
    <t>6170.45</t>
  </si>
  <si>
    <t>1856.07</t>
  </si>
  <si>
    <t>ORD101348</t>
  </si>
  <si>
    <t>CUST10951</t>
  </si>
  <si>
    <t>71019.66</t>
  </si>
  <si>
    <t>45160.63</t>
  </si>
  <si>
    <t>18757.060000000001</t>
  </si>
  <si>
    <t>ORD101349</t>
  </si>
  <si>
    <t>CUST10105</t>
  </si>
  <si>
    <t>44364.49</t>
  </si>
  <si>
    <t>29733.8</t>
  </si>
  <si>
    <t>12412.47</t>
  </si>
  <si>
    <t>ORD101350</t>
  </si>
  <si>
    <t>CUST10969</t>
  </si>
  <si>
    <t>7751.13</t>
  </si>
  <si>
    <t>4452.6899999999996</t>
  </si>
  <si>
    <t>2135.77</t>
  </si>
  <si>
    <t>ORD101351</t>
  </si>
  <si>
    <t>CUST10622</t>
  </si>
  <si>
    <t>17417.759999999998</t>
  </si>
  <si>
    <t>13931.77</t>
  </si>
  <si>
    <t>2615.1</t>
  </si>
  <si>
    <t>ORD101352</t>
  </si>
  <si>
    <t>CUST12179</t>
  </si>
  <si>
    <t>2708.61</t>
  </si>
  <si>
    <t>3054.59</t>
  </si>
  <si>
    <t>2362.63</t>
  </si>
  <si>
    <t>ORD101353</t>
  </si>
  <si>
    <t>CUST12283</t>
  </si>
  <si>
    <t>6600.17</t>
  </si>
  <si>
    <t>14928.46</t>
  </si>
  <si>
    <t>3882.02</t>
  </si>
  <si>
    <t>ORD101354</t>
  </si>
  <si>
    <t>CUST11535</t>
  </si>
  <si>
    <t>66125.11</t>
  </si>
  <si>
    <t>36750.43</t>
  </si>
  <si>
    <t>22762.17</t>
  </si>
  <si>
    <t>ORD101357</t>
  </si>
  <si>
    <t>CUST10157</t>
  </si>
  <si>
    <t>home office</t>
  </si>
  <si>
    <t>2607.7600000000002</t>
  </si>
  <si>
    <t>3591.33</t>
  </si>
  <si>
    <t>581.09</t>
  </si>
  <si>
    <t>ORD101359</t>
  </si>
  <si>
    <t>CUST12489</t>
  </si>
  <si>
    <t>4878.7299999999996</t>
  </si>
  <si>
    <t>3059.82</t>
  </si>
  <si>
    <t>1818.91</t>
  </si>
  <si>
    <t>ORD101363</t>
  </si>
  <si>
    <t>CUST11603</t>
  </si>
  <si>
    <t>853.37</t>
  </si>
  <si>
    <t>1362.76</t>
  </si>
  <si>
    <t>173.31</t>
  </si>
  <si>
    <t>ORD101364</t>
  </si>
  <si>
    <t>CUST10936</t>
  </si>
  <si>
    <t>20076.080000000002</t>
  </si>
  <si>
    <t>13995.67</t>
  </si>
  <si>
    <t>3069</t>
  </si>
  <si>
    <t>ORD101366</t>
  </si>
  <si>
    <t>CUST10364</t>
  </si>
  <si>
    <t>61340.65</t>
  </si>
  <si>
    <t>41081.19</t>
  </si>
  <si>
    <t>14125.39</t>
  </si>
  <si>
    <t>ORD101367</t>
  </si>
  <si>
    <t>CUST12300</t>
  </si>
  <si>
    <t>30381.42</t>
  </si>
  <si>
    <t>37209.56</t>
  </si>
  <si>
    <t>20515.14</t>
  </si>
  <si>
    <t>ORD101368</t>
  </si>
  <si>
    <t>CUST11141</t>
  </si>
  <si>
    <t>9313.25</t>
  </si>
  <si>
    <t>10499.64</t>
  </si>
  <si>
    <t>6264.21</t>
  </si>
  <si>
    <t>ORD101371</t>
  </si>
  <si>
    <t>CUST13042</t>
  </si>
  <si>
    <t>4958.17</t>
  </si>
  <si>
    <t>2811.45</t>
  </si>
  <si>
    <t>1898.81</t>
  </si>
  <si>
    <t>ORD101375</t>
  </si>
  <si>
    <t>CUST10988</t>
  </si>
  <si>
    <t>5599.91</t>
  </si>
  <si>
    <t>4355.75</t>
  </si>
  <si>
    <t>684.17</t>
  </si>
  <si>
    <t>ORD101377</t>
  </si>
  <si>
    <t>07-01-2025</t>
  </si>
  <si>
    <t>CUST10143</t>
  </si>
  <si>
    <t>2694.34</t>
  </si>
  <si>
    <t>3033.12</t>
  </si>
  <si>
    <t>2086.13</t>
  </si>
  <si>
    <t>ORD101379</t>
  </si>
  <si>
    <t>CUST11258</t>
  </si>
  <si>
    <t>35581.4</t>
  </si>
  <si>
    <t>43867.51</t>
  </si>
  <si>
    <t>13062.73</t>
  </si>
  <si>
    <t>ORD101382</t>
  </si>
  <si>
    <t>CUST11591</t>
  </si>
  <si>
    <t>14255.48</t>
  </si>
  <si>
    <t>8262.2999999999993</t>
  </si>
  <si>
    <t>5280.41</t>
  </si>
  <si>
    <t>ORD101383</t>
  </si>
  <si>
    <t>CUST13016</t>
  </si>
  <si>
    <t>562.79</t>
  </si>
  <si>
    <t>388.54</t>
  </si>
  <si>
    <t>117.97</t>
  </si>
  <si>
    <t>ORD101384</t>
  </si>
  <si>
    <t>CUST10465</t>
  </si>
  <si>
    <t>10290.02</t>
  </si>
  <si>
    <t>8308.86</t>
  </si>
  <si>
    <t>952.16</t>
  </si>
  <si>
    <t>ORD101385</t>
  </si>
  <si>
    <t>CUST12880</t>
  </si>
  <si>
    <t>592.76</t>
  </si>
  <si>
    <t>354.77</t>
  </si>
  <si>
    <t>208.35</t>
  </si>
  <si>
    <t>ORD101386</t>
  </si>
  <si>
    <t>CUST12931</t>
  </si>
  <si>
    <t>1472.97</t>
  </si>
  <si>
    <t>986.91</t>
  </si>
  <si>
    <t>338.76</t>
  </si>
  <si>
    <t>ORD101387</t>
  </si>
  <si>
    <t>CUST12574</t>
  </si>
  <si>
    <t>3103.65</t>
  </si>
  <si>
    <t>2058.0300000000002</t>
  </si>
  <si>
    <t>890.44</t>
  </si>
  <si>
    <t>ORD101389</t>
  </si>
  <si>
    <t>CUST10113</t>
  </si>
  <si>
    <t>5949.12</t>
  </si>
  <si>
    <t>3927.02</t>
  </si>
  <si>
    <t>2022.1</t>
  </si>
  <si>
    <t>ORD101390</t>
  </si>
  <si>
    <t>CUST12855</t>
  </si>
  <si>
    <t>3821.74</t>
  </si>
  <si>
    <t>2602.63</t>
  </si>
  <si>
    <t>836.94</t>
  </si>
  <si>
    <t>ORD101391</t>
  </si>
  <si>
    <t>CUST11995</t>
  </si>
  <si>
    <t>5653.96</t>
  </si>
  <si>
    <t>4602.62</t>
  </si>
  <si>
    <t>203.25</t>
  </si>
  <si>
    <t>ORD101392</t>
  </si>
  <si>
    <t>CUST12262</t>
  </si>
  <si>
    <t>11060.75</t>
  </si>
  <si>
    <t>6678.1</t>
  </si>
  <si>
    <t>3276.58</t>
  </si>
  <si>
    <t>ORD101393</t>
  </si>
  <si>
    <t>CUST13356</t>
  </si>
  <si>
    <t>9874.51</t>
  </si>
  <si>
    <t>11348.86</t>
  </si>
  <si>
    <t>7412.71</t>
  </si>
  <si>
    <t>ORD101394</t>
  </si>
  <si>
    <t>CUST10180</t>
  </si>
  <si>
    <t>68064</t>
  </si>
  <si>
    <t>38795.03</t>
  </si>
  <si>
    <t>25865.77</t>
  </si>
  <si>
    <t>ORD101395</t>
  </si>
  <si>
    <t>CUST12673</t>
  </si>
  <si>
    <t>20294.28</t>
  </si>
  <si>
    <t>32495.32</t>
  </si>
  <si>
    <t>4034.38</t>
  </si>
  <si>
    <t>ORD101396</t>
  </si>
  <si>
    <t>CUST11500</t>
  </si>
  <si>
    <t>51075.99</t>
  </si>
  <si>
    <t>104127.36</t>
  </si>
  <si>
    <t>33777.81</t>
  </si>
  <si>
    <t>ORD101397</t>
  </si>
  <si>
    <t>CUST11824</t>
  </si>
  <si>
    <t>6084.56</t>
  </si>
  <si>
    <t>4027.62</t>
  </si>
  <si>
    <t>1144.26</t>
  </si>
  <si>
    <t>ORD101398</t>
  </si>
  <si>
    <t>CUST11367</t>
  </si>
  <si>
    <t>1973.39</t>
  </si>
  <si>
    <t>3090.18</t>
  </si>
  <si>
    <t>856.6</t>
  </si>
  <si>
    <t>ORD101399</t>
  </si>
  <si>
    <t>CUST11860</t>
  </si>
  <si>
    <t>67355.23</t>
  </si>
  <si>
    <t>54705.81</t>
  </si>
  <si>
    <t>2546.14</t>
  </si>
  <si>
    <t>ORD101400</t>
  </si>
  <si>
    <t>CUST11742</t>
  </si>
  <si>
    <t>67466.78</t>
  </si>
  <si>
    <t>141036.65</t>
  </si>
  <si>
    <t>51243.67</t>
  </si>
  <si>
    <t>ORD101401</t>
  </si>
  <si>
    <t>CUST10870</t>
  </si>
  <si>
    <t>2445.29</t>
  </si>
  <si>
    <t>1576.99</t>
  </si>
  <si>
    <t>746.04</t>
  </si>
  <si>
    <t>ORD101402</t>
  </si>
  <si>
    <t>CUST12706</t>
  </si>
  <si>
    <t>2136.9299999999998</t>
  </si>
  <si>
    <t>2491.9899999999998</t>
  </si>
  <si>
    <t>1140.79</t>
  </si>
  <si>
    <t>ORD101403</t>
  </si>
  <si>
    <t>CUST12756</t>
  </si>
  <si>
    <t>552.34</t>
  </si>
  <si>
    <t>893.25</t>
  </si>
  <si>
    <t>211.43</t>
  </si>
  <si>
    <t>ORD101405</t>
  </si>
  <si>
    <t>CUST11605</t>
  </si>
  <si>
    <t>1269.5899999999999</t>
  </si>
  <si>
    <t>978.56</t>
  </si>
  <si>
    <t>291.02999999999997</t>
  </si>
  <si>
    <t>ORD101406</t>
  </si>
  <si>
    <t>CUST13430</t>
  </si>
  <si>
    <t>71880.929999999993</t>
  </si>
  <si>
    <t>50604.56</t>
  </si>
  <si>
    <t>6900.18</t>
  </si>
  <si>
    <t>ORD101407</t>
  </si>
  <si>
    <t>CUST12160</t>
  </si>
  <si>
    <t>5345.18</t>
  </si>
  <si>
    <t>3509.73</t>
  </si>
  <si>
    <t>1835.45</t>
  </si>
  <si>
    <t>ORD101408</t>
  </si>
  <si>
    <t>CUST11710</t>
  </si>
  <si>
    <t>62990.33</t>
  </si>
  <si>
    <t>89295.67</t>
  </si>
  <si>
    <t>11488.86</t>
  </si>
  <si>
    <t>ORD101409</t>
  </si>
  <si>
    <t>CUST10530</t>
  </si>
  <si>
    <t>57258.48</t>
  </si>
  <si>
    <t>40437.03</t>
  </si>
  <si>
    <t>8232.68</t>
  </si>
  <si>
    <t>ORD101410</t>
  </si>
  <si>
    <t>CUST10175</t>
  </si>
  <si>
    <t>10789.56</t>
  </si>
  <si>
    <t>12369.39</t>
  </si>
  <si>
    <t>9209.73</t>
  </si>
  <si>
    <t>ORD101413</t>
  </si>
  <si>
    <t>CUST12009</t>
  </si>
  <si>
    <t>4441.8500000000004</t>
  </si>
  <si>
    <t>8422.41</t>
  </si>
  <si>
    <t>4236.8599999999997</t>
  </si>
  <si>
    <t>ORD101414</t>
  </si>
  <si>
    <t>CUST10655</t>
  </si>
  <si>
    <t>708.97</t>
  </si>
  <si>
    <t>556.65</t>
  </si>
  <si>
    <t>81.42</t>
  </si>
  <si>
    <t>ORD101416</t>
  </si>
  <si>
    <t>CUST10479</t>
  </si>
  <si>
    <t>54487.16</t>
  </si>
  <si>
    <t>31137.1</t>
  </si>
  <si>
    <t>17901.34</t>
  </si>
  <si>
    <t>ORD101417</t>
  </si>
  <si>
    <t>CUST11188</t>
  </si>
  <si>
    <t>4798.5</t>
  </si>
  <si>
    <t>5973.05</t>
  </si>
  <si>
    <t>3623.95</t>
  </si>
  <si>
    <t>ORD101418</t>
  </si>
  <si>
    <t>CUST12288</t>
  </si>
  <si>
    <t>851.78</t>
  </si>
  <si>
    <t>511.77</t>
  </si>
  <si>
    <t>212.24</t>
  </si>
  <si>
    <t>ORD101419</t>
  </si>
  <si>
    <t>CUST10901</t>
  </si>
  <si>
    <t>68173.47</t>
  </si>
  <si>
    <t>76073.56</t>
  </si>
  <si>
    <t>60273.38</t>
  </si>
  <si>
    <t>ORD101421</t>
  </si>
  <si>
    <t>CUST11917</t>
  </si>
  <si>
    <t>741.1</t>
  </si>
  <si>
    <t>465.08</t>
  </si>
  <si>
    <t>201.91</t>
  </si>
  <si>
    <t>ORD101423</t>
  </si>
  <si>
    <t>CUST12493</t>
  </si>
  <si>
    <t>9159.2800000000007</t>
  </si>
  <si>
    <t>7061.74</t>
  </si>
  <si>
    <t>2097.54</t>
  </si>
  <si>
    <t>ORD101425</t>
  </si>
  <si>
    <t>CUST12361</t>
  </si>
  <si>
    <t>13657.44</t>
  </si>
  <si>
    <t>8258.64</t>
  </si>
  <si>
    <t>4033.06</t>
  </si>
  <si>
    <t>ORD101426</t>
  </si>
  <si>
    <t>CUST10149</t>
  </si>
  <si>
    <t>26981.01</t>
  </si>
  <si>
    <t>34212.81</t>
  </si>
  <si>
    <t>17051.11</t>
  </si>
  <si>
    <t>ORD101427</t>
  </si>
  <si>
    <t>CUST11089</t>
  </si>
  <si>
    <t>4321.1499999999996</t>
  </si>
  <si>
    <t>12265.35</t>
  </si>
  <si>
    <t>2426.56</t>
  </si>
  <si>
    <t>ORD101428</t>
  </si>
  <si>
    <t>CUST11941</t>
  </si>
  <si>
    <t>70108.69</t>
  </si>
  <si>
    <t>47116.78</t>
  </si>
  <si>
    <t>15981.04</t>
  </si>
  <si>
    <t>ORD101429</t>
  </si>
  <si>
    <t>CUST11492</t>
  </si>
  <si>
    <t>6780.26</t>
  </si>
  <si>
    <t>11028.23</t>
  </si>
  <si>
    <t>2532.29</t>
  </si>
  <si>
    <t>ORD101434</t>
  </si>
  <si>
    <t>CUST11084</t>
  </si>
  <si>
    <t>812.62</t>
  </si>
  <si>
    <t>1285.33</t>
  </si>
  <si>
    <t>14.86</t>
  </si>
  <si>
    <t>ORD101435</t>
  </si>
  <si>
    <t>CUST10321</t>
  </si>
  <si>
    <t>13012.59</t>
  </si>
  <si>
    <t>29953.51</t>
  </si>
  <si>
    <t>3228.59</t>
  </si>
  <si>
    <t>ORD101438</t>
  </si>
  <si>
    <t>CUST10395</t>
  </si>
  <si>
    <t>15885.99</t>
  </si>
  <si>
    <t>17899.43</t>
  </si>
  <si>
    <t>12283.95</t>
  </si>
  <si>
    <t>ORD101439</t>
  </si>
  <si>
    <t>CUST13497</t>
  </si>
  <si>
    <t>4650.82</t>
  </si>
  <si>
    <t>3135.3</t>
  </si>
  <si>
    <t>817.9</t>
  </si>
  <si>
    <t>ORD101440</t>
  </si>
  <si>
    <t>CUST12968</t>
  </si>
  <si>
    <t>2741.37</t>
  </si>
  <si>
    <t>4314.8599999999997</t>
  </si>
  <si>
    <t>619.61</t>
  </si>
  <si>
    <t>ORD101441</t>
  </si>
  <si>
    <t>CUST13367</t>
  </si>
  <si>
    <t>5243.78</t>
  </si>
  <si>
    <t>3612.46</t>
  </si>
  <si>
    <t>1106.94</t>
  </si>
  <si>
    <t>ORD101442</t>
  </si>
  <si>
    <t>CUST11653</t>
  </si>
  <si>
    <t>59730.87</t>
  </si>
  <si>
    <t>46737.38</t>
  </si>
  <si>
    <t>1047.32</t>
  </si>
  <si>
    <t>ORD101443</t>
  </si>
  <si>
    <t>CUST12227</t>
  </si>
  <si>
    <t>3447.51</t>
  </si>
  <si>
    <t>2380.1</t>
  </si>
  <si>
    <t>550.28</t>
  </si>
  <si>
    <t>ORD101444</t>
  </si>
  <si>
    <t>CUST10434</t>
  </si>
  <si>
    <t>906.35</t>
  </si>
  <si>
    <t>1084.92</t>
  </si>
  <si>
    <t>546.51</t>
  </si>
  <si>
    <t>ORD101445</t>
  </si>
  <si>
    <t>CUST12755</t>
  </si>
  <si>
    <t>5797.09</t>
  </si>
  <si>
    <t>4327.5200000000004</t>
  </si>
  <si>
    <t>889.86</t>
  </si>
  <si>
    <t>ORD101446</t>
  </si>
  <si>
    <t>CUST10214</t>
  </si>
  <si>
    <t>20548.830000000002</t>
  </si>
  <si>
    <t>48647.34</t>
  </si>
  <si>
    <t>12999.15</t>
  </si>
  <si>
    <t>ORD101447</t>
  </si>
  <si>
    <t>CUST11207</t>
  </si>
  <si>
    <t>1956.72</t>
  </si>
  <si>
    <t>2566.5500000000002</t>
  </si>
  <si>
    <t>955.55</t>
  </si>
  <si>
    <t>ORD101448</t>
  </si>
  <si>
    <t>CUST10084</t>
  </si>
  <si>
    <t>5763.99</t>
  </si>
  <si>
    <t>8795.61</t>
  </si>
  <si>
    <t>1003.17</t>
  </si>
  <si>
    <t>ORD101449</t>
  </si>
  <si>
    <t>CUST12355</t>
  </si>
  <si>
    <t>5989.68</t>
  </si>
  <si>
    <t>13501.78</t>
  </si>
  <si>
    <t>10456.94</t>
  </si>
  <si>
    <t>ORD101450</t>
  </si>
  <si>
    <t>CUST11967</t>
  </si>
  <si>
    <t>2650.38</t>
  </si>
  <si>
    <t>4205.51</t>
  </si>
  <si>
    <t>830.21</t>
  </si>
  <si>
    <t>ORD101451</t>
  </si>
  <si>
    <t>CUST11486</t>
  </si>
  <si>
    <t>4831.76</t>
  </si>
  <si>
    <t>7716.12</t>
  </si>
  <si>
    <t>497.87</t>
  </si>
  <si>
    <t>ORD101452</t>
  </si>
  <si>
    <t>CUST10156</t>
  </si>
  <si>
    <t>5438.41</t>
  </si>
  <si>
    <t>4064.44</t>
  </si>
  <si>
    <t>1373.97</t>
  </si>
  <si>
    <t>ORD101453</t>
  </si>
  <si>
    <t>CUST11410</t>
  </si>
  <si>
    <t>10661.41</t>
  </si>
  <si>
    <t>16701.54</t>
  </si>
  <si>
    <t>4621.28</t>
  </si>
  <si>
    <t>ORD101454</t>
  </si>
  <si>
    <t>CUST11538</t>
  </si>
  <si>
    <t>9761.9699999999993</t>
  </si>
  <si>
    <t>23549.279999999999</t>
  </si>
  <si>
    <t>15498.6</t>
  </si>
  <si>
    <t>ORD101455</t>
  </si>
  <si>
    <t>CUST10584</t>
  </si>
  <si>
    <t>1064.6300000000001</t>
  </si>
  <si>
    <t>1360.31</t>
  </si>
  <si>
    <t>556.02</t>
  </si>
  <si>
    <t>ORD101457</t>
  </si>
  <si>
    <t>CUST13413</t>
  </si>
  <si>
    <t>14187.84</t>
  </si>
  <si>
    <t>8753.26</t>
  </si>
  <si>
    <t>4015.8</t>
  </si>
  <si>
    <t>ORD101461</t>
  </si>
  <si>
    <t>CUST13346</t>
  </si>
  <si>
    <t>21525.32</t>
  </si>
  <si>
    <t>15506.3</t>
  </si>
  <si>
    <t>2790.22</t>
  </si>
  <si>
    <t>ORD101462</t>
  </si>
  <si>
    <t>CUST10786</t>
  </si>
  <si>
    <t>8111.22</t>
  </si>
  <si>
    <t>10750.18</t>
  </si>
  <si>
    <t>2227.77</t>
  </si>
  <si>
    <t>ORD101463</t>
  </si>
  <si>
    <t>CUST12378</t>
  </si>
  <si>
    <t>1901.01</t>
  </si>
  <si>
    <t>1156.32</t>
  </si>
  <si>
    <t>744.69</t>
  </si>
  <si>
    <t>ORD101464</t>
  </si>
  <si>
    <t>CUST13438</t>
  </si>
  <si>
    <t>19261.009999999998</t>
  </si>
  <si>
    <t>30282.2</t>
  </si>
  <si>
    <t>6313.72</t>
  </si>
  <si>
    <t>ORD101465</t>
  </si>
  <si>
    <t>CUST10680</t>
  </si>
  <si>
    <t>57025.4</t>
  </si>
  <si>
    <t>39229.56</t>
  </si>
  <si>
    <t>14944.57</t>
  </si>
  <si>
    <t>ORD101466</t>
  </si>
  <si>
    <t>CUST11028</t>
  </si>
  <si>
    <t>2631.97</t>
  </si>
  <si>
    <t>5994.56</t>
  </si>
  <si>
    <t>1901.35</t>
  </si>
  <si>
    <t>ORD101467</t>
  </si>
  <si>
    <t>CUST12631</t>
  </si>
  <si>
    <t>2075.2399999999998</t>
  </si>
  <si>
    <t>2726.25</t>
  </si>
  <si>
    <t>801.66</t>
  </si>
  <si>
    <t>ORD101468</t>
  </si>
  <si>
    <t>CUST10159</t>
  </si>
  <si>
    <t>5862.62</t>
  </si>
  <si>
    <t>3989.84</t>
  </si>
  <si>
    <t>1872.78</t>
  </si>
  <si>
    <t>ORD101469</t>
  </si>
  <si>
    <t>CUST10896</t>
  </si>
  <si>
    <t>5515.08</t>
  </si>
  <si>
    <t>11943.6</t>
  </si>
  <si>
    <t>2119.85</t>
  </si>
  <si>
    <t>ORD101471</t>
  </si>
  <si>
    <t>CUST12024</t>
  </si>
  <si>
    <t>70200.33</t>
  </si>
  <si>
    <t>78896.800000000003</t>
  </si>
  <si>
    <t>47463.79</t>
  </si>
  <si>
    <t>ORD101472</t>
  </si>
  <si>
    <t>CUST10310</t>
  </si>
  <si>
    <t>74802.61</t>
  </si>
  <si>
    <t>108740.47</t>
  </si>
  <si>
    <t>40864.75</t>
  </si>
  <si>
    <t>ORD101473</t>
  </si>
  <si>
    <t>03-03-2025</t>
  </si>
  <si>
    <t>CUST10336</t>
  </si>
  <si>
    <t>7170.04</t>
  </si>
  <si>
    <t>5132.8900000000003</t>
  </si>
  <si>
    <t>2037.15</t>
  </si>
  <si>
    <t>ORD101476</t>
  </si>
  <si>
    <t>CUST12153</t>
  </si>
  <si>
    <t>5218.3999999999996</t>
  </si>
  <si>
    <t>3869.35</t>
  </si>
  <si>
    <t>1088.1300000000001</t>
  </si>
  <si>
    <t>ORD101477</t>
  </si>
  <si>
    <t>CUST12478</t>
  </si>
  <si>
    <t>27423.38</t>
  </si>
  <si>
    <t>18735.009999999998</t>
  </si>
  <si>
    <t>8688.3700000000008</t>
  </si>
  <si>
    <t>ORD101480</t>
  </si>
  <si>
    <t>CUST11599</t>
  </si>
  <si>
    <t>2561.06</t>
  </si>
  <si>
    <t>1796.42</t>
  </si>
  <si>
    <t>508.53</t>
  </si>
  <si>
    <t>ORD101481</t>
  </si>
  <si>
    <t>CUST12274</t>
  </si>
  <si>
    <t>17827.79</t>
  </si>
  <si>
    <t>26793.06</t>
  </si>
  <si>
    <t>3514.18</t>
  </si>
  <si>
    <t>ORD101483</t>
  </si>
  <si>
    <t>CUST11781</t>
  </si>
  <si>
    <t>3197.09</t>
  </si>
  <si>
    <t>1886.19</t>
  </si>
  <si>
    <t>991.19</t>
  </si>
  <si>
    <t>ORD101486</t>
  </si>
  <si>
    <t>CUST12963</t>
  </si>
  <si>
    <t>5699.7</t>
  </si>
  <si>
    <t>3600.73</t>
  </si>
  <si>
    <t>1244.01</t>
  </si>
  <si>
    <t>ORD101487</t>
  </si>
  <si>
    <t>CUST11426</t>
  </si>
  <si>
    <t>7867.01</t>
  </si>
  <si>
    <t>16561.25</t>
  </si>
  <si>
    <t>5859.73</t>
  </si>
  <si>
    <t>ORD101489</t>
  </si>
  <si>
    <t>CUST10496</t>
  </si>
  <si>
    <t>3876.44</t>
  </si>
  <si>
    <t>4592.1899999999996</t>
  </si>
  <si>
    <t>1997.76</t>
  </si>
  <si>
    <t>ORD101490</t>
  </si>
  <si>
    <t>CUST10745</t>
  </si>
  <si>
    <t>8112.04</t>
  </si>
  <si>
    <t>6154.09</t>
  </si>
  <si>
    <t>335.54</t>
  </si>
  <si>
    <t>ORD101492</t>
  </si>
  <si>
    <t>CUST12347</t>
  </si>
  <si>
    <t>4612.78</t>
  </si>
  <si>
    <t>3367.76</t>
  </si>
  <si>
    <t>1014.38</t>
  </si>
  <si>
    <t>ORD101493</t>
  </si>
  <si>
    <t>CUST11869</t>
  </si>
  <si>
    <t>1013.7</t>
  </si>
  <si>
    <t>1323.18</t>
  </si>
  <si>
    <t>501.48</t>
  </si>
  <si>
    <t>ORD101494</t>
  </si>
  <si>
    <t>CUST12510</t>
  </si>
  <si>
    <t>13433.91</t>
  </si>
  <si>
    <t>7732.14</t>
  </si>
  <si>
    <t>4358.38</t>
  </si>
  <si>
    <t>ORD101496</t>
  </si>
  <si>
    <t>CUST10279</t>
  </si>
  <si>
    <t>3351.48</t>
  </si>
  <si>
    <t>494.08</t>
  </si>
  <si>
    <t>ORD101498</t>
  </si>
  <si>
    <t>CUST11806</t>
  </si>
  <si>
    <t>10662.86</t>
  </si>
  <si>
    <t>12348.31</t>
  </si>
  <si>
    <t>6844.84</t>
  </si>
  <si>
    <t>ORD101502</t>
  </si>
  <si>
    <t>CUST12059</t>
  </si>
  <si>
    <t>1345.4</t>
  </si>
  <si>
    <t>1073.56</t>
  </si>
  <si>
    <t>137.30000000000001</t>
  </si>
  <si>
    <t>ORD101503</t>
  </si>
  <si>
    <t>CUST13271</t>
  </si>
  <si>
    <t>5709.45</t>
  </si>
  <si>
    <t>10318.66</t>
  </si>
  <si>
    <t>3384.02</t>
  </si>
  <si>
    <t>ORD101504</t>
  </si>
  <si>
    <t>CUST11645</t>
  </si>
  <si>
    <t>6977.13</t>
  </si>
  <si>
    <t>5644.74</t>
  </si>
  <si>
    <t>1332.39</t>
  </si>
  <si>
    <t>ORD101506</t>
  </si>
  <si>
    <t>CUST10037</t>
  </si>
  <si>
    <t>5932.23</t>
  </si>
  <si>
    <t>3630.95</t>
  </si>
  <si>
    <t>1708.06</t>
  </si>
  <si>
    <t>ORD101507</t>
  </si>
  <si>
    <t>CUST12680</t>
  </si>
  <si>
    <t>20021.54</t>
  </si>
  <si>
    <t>14655.85</t>
  </si>
  <si>
    <t>3363.54</t>
  </si>
  <si>
    <t>ORD101508</t>
  </si>
  <si>
    <t>CUST10449</t>
  </si>
  <si>
    <t>18674.650000000001</t>
  </si>
  <si>
    <t>14995.02</t>
  </si>
  <si>
    <t>2745.9</t>
  </si>
  <si>
    <t>ORD101509</t>
  </si>
  <si>
    <t>CUST11240</t>
  </si>
  <si>
    <t>5219.8500000000004</t>
  </si>
  <si>
    <t>15802.54</t>
  </si>
  <si>
    <t>4032.89</t>
  </si>
  <si>
    <t>ORD101511</t>
  </si>
  <si>
    <t>CUST11027</t>
  </si>
  <si>
    <t>6123.54</t>
  </si>
  <si>
    <t>3669.24</t>
  </si>
  <si>
    <t>1535.77</t>
  </si>
  <si>
    <t>ORD101512</t>
  </si>
  <si>
    <t>CUST12038</t>
  </si>
  <si>
    <t>13138.81</t>
  </si>
  <si>
    <t>9681.43</t>
  </si>
  <si>
    <t>2143.5</t>
  </si>
  <si>
    <t>ORD101513</t>
  </si>
  <si>
    <t>CUST11042</t>
  </si>
  <si>
    <t>2602.77</t>
  </si>
  <si>
    <t>1531.91</t>
  </si>
  <si>
    <t>940.72</t>
  </si>
  <si>
    <t>ORD101515</t>
  </si>
  <si>
    <t>CUST11532</t>
  </si>
  <si>
    <t>16409.66</t>
  </si>
  <si>
    <t>9983.5499999999993</t>
  </si>
  <si>
    <t>6426.11</t>
  </si>
  <si>
    <t>ORD101518</t>
  </si>
  <si>
    <t>CUST12367</t>
  </si>
  <si>
    <t>18121.650000000001</t>
  </si>
  <si>
    <t>11313.19</t>
  </si>
  <si>
    <t>5902.38</t>
  </si>
  <si>
    <t>ORD101519</t>
  </si>
  <si>
    <t>CUST10071</t>
  </si>
  <si>
    <t>2566.75</t>
  </si>
  <si>
    <t>1614.82</t>
  </si>
  <si>
    <t>566.91999999999996</t>
  </si>
  <si>
    <t>ORD101520</t>
  </si>
  <si>
    <t>CUST11098</t>
  </si>
  <si>
    <t>7219.2</t>
  </si>
  <si>
    <t>4249.87</t>
  </si>
  <si>
    <t>1886.45</t>
  </si>
  <si>
    <t>ORD101522</t>
  </si>
  <si>
    <t>CUST11832</t>
  </si>
  <si>
    <t>5624.21</t>
  </si>
  <si>
    <t>4250.63</t>
  </si>
  <si>
    <t>811.16</t>
  </si>
  <si>
    <t>ORD101523</t>
  </si>
  <si>
    <t>CUST12113</t>
  </si>
  <si>
    <t>3410.13</t>
  </si>
  <si>
    <t>4036.58</t>
  </si>
  <si>
    <t>2442.67</t>
  </si>
  <si>
    <t>ORD101524</t>
  </si>
  <si>
    <t>CUST11721</t>
  </si>
  <si>
    <t>43885.79</t>
  </si>
  <si>
    <t>61515.93</t>
  </si>
  <si>
    <t>21867.07</t>
  </si>
  <si>
    <t>ORD101525</t>
  </si>
  <si>
    <t>CUST11503</t>
  </si>
  <si>
    <t>9461.67</t>
  </si>
  <si>
    <t>17857.509999999998</t>
  </si>
  <si>
    <t>9108.25</t>
  </si>
  <si>
    <t>ORD101526</t>
  </si>
  <si>
    <t>CUST12121</t>
  </si>
  <si>
    <t>11938.71</t>
  </si>
  <si>
    <t>22809.45</t>
  </si>
  <si>
    <t>7634.26</t>
  </si>
  <si>
    <t>ORD101527</t>
  </si>
  <si>
    <t>CUST10664</t>
  </si>
  <si>
    <t>5944.68</t>
  </si>
  <si>
    <t>4050.75</t>
  </si>
  <si>
    <t>1299.46</t>
  </si>
  <si>
    <t>ORD101529</t>
  </si>
  <si>
    <t>CUST12110</t>
  </si>
  <si>
    <t>61933.77</t>
  </si>
  <si>
    <t>50646.52</t>
  </si>
  <si>
    <t>5093.87</t>
  </si>
  <si>
    <t>ORD101532</t>
  </si>
  <si>
    <t>CUST13391</t>
  </si>
  <si>
    <t>63982.52</t>
  </si>
  <si>
    <t>46299.3</t>
  </si>
  <si>
    <t>8085.84</t>
  </si>
  <si>
    <t>ORD101533</t>
  </si>
  <si>
    <t>CUST12216</t>
  </si>
  <si>
    <t>9243.09</t>
  </si>
  <si>
    <t>15726.16</t>
  </si>
  <si>
    <t>12003.11</t>
  </si>
  <si>
    <t>ORD101534</t>
  </si>
  <si>
    <t>CUST10770</t>
  </si>
  <si>
    <t>4623.82</t>
  </si>
  <si>
    <t>5403.25</t>
  </si>
  <si>
    <t>2919.63</t>
  </si>
  <si>
    <t>ORD101535</t>
  </si>
  <si>
    <t>CUST12221</t>
  </si>
  <si>
    <t>58729.02</t>
  </si>
  <si>
    <t>92798.49</t>
  </si>
  <si>
    <t>7040.84</t>
  </si>
  <si>
    <t>ORD101536</t>
  </si>
  <si>
    <t>CUST11579</t>
  </si>
  <si>
    <t>11208.11</t>
  </si>
  <si>
    <t>20585.169999999998</t>
  </si>
  <si>
    <t>7995.51</t>
  </si>
  <si>
    <t>ORD101537</t>
  </si>
  <si>
    <t>CUST11819</t>
  </si>
  <si>
    <t>2645.29</t>
  </si>
  <si>
    <t>4018.44</t>
  </si>
  <si>
    <t>478.55</t>
  </si>
  <si>
    <t>ORD101544</t>
  </si>
  <si>
    <t>CUST11081</t>
  </si>
  <si>
    <t>3019.1</t>
  </si>
  <si>
    <t>4294.49</t>
  </si>
  <si>
    <t>1441.8</t>
  </si>
  <si>
    <t>ORD101546</t>
  </si>
  <si>
    <t>CUST10970</t>
  </si>
  <si>
    <t>883.94</t>
  </si>
  <si>
    <t>1911.99</t>
  </si>
  <si>
    <t>474.65</t>
  </si>
  <si>
    <t>ORD101547</t>
  </si>
  <si>
    <t>CUST11647</t>
  </si>
  <si>
    <t>3432.99</t>
  </si>
  <si>
    <t>4959.47</t>
  </si>
  <si>
    <t>876.61</t>
  </si>
  <si>
    <t>ORD101550</t>
  </si>
  <si>
    <t>CUST12537</t>
  </si>
  <si>
    <t>1704.53</t>
  </si>
  <si>
    <t>1954.11</t>
  </si>
  <si>
    <t>1114.04</t>
  </si>
  <si>
    <t>ORD101551</t>
  </si>
  <si>
    <t>CUST10923</t>
  </si>
  <si>
    <t>14745.02</t>
  </si>
  <si>
    <t>11995.79</t>
  </si>
  <si>
    <t>537.48</t>
  </si>
  <si>
    <t>ORD101552</t>
  </si>
  <si>
    <t>CUST12732</t>
  </si>
  <si>
    <t>16449.93</t>
  </si>
  <si>
    <t>10728.85</t>
  </si>
  <si>
    <t>5721.08</t>
  </si>
  <si>
    <t>ORD101553</t>
  </si>
  <si>
    <t>CUST12175</t>
  </si>
  <si>
    <t>67541.06</t>
  </si>
  <si>
    <t>48433.51</t>
  </si>
  <si>
    <t>15730.5</t>
  </si>
  <si>
    <t>ORD101554</t>
  </si>
  <si>
    <t>CUST10472</t>
  </si>
  <si>
    <t>3778.16</t>
  </si>
  <si>
    <t>4844.22</t>
  </si>
  <si>
    <t>1578.65</t>
  </si>
  <si>
    <t>ORD101556</t>
  </si>
  <si>
    <t>CUST10924</t>
  </si>
  <si>
    <t>3669.31</t>
  </si>
  <si>
    <t>8333.2900000000009</t>
  </si>
  <si>
    <t>2124.2399999999998</t>
  </si>
  <si>
    <t>ORD101557</t>
  </si>
  <si>
    <t>CUST12955</t>
  </si>
  <si>
    <t>46959.4</t>
  </si>
  <si>
    <t>101175.39</t>
  </si>
  <si>
    <t>25614.99</t>
  </si>
  <si>
    <t>ORD101559</t>
  </si>
  <si>
    <t>CUST12654</t>
  </si>
  <si>
    <t>3606.26</t>
  </si>
  <si>
    <t>5176.1099999999997</t>
  </si>
  <si>
    <t>1315.16</t>
  </si>
  <si>
    <t>ORD101561</t>
  </si>
  <si>
    <t>CUST10481</t>
  </si>
  <si>
    <t>50745.54</t>
  </si>
  <si>
    <t>69704.69</t>
  </si>
  <si>
    <t>26711.84</t>
  </si>
  <si>
    <t>ORD101562</t>
  </si>
  <si>
    <t>CUST11280</t>
  </si>
  <si>
    <t>4222.0200000000004</t>
  </si>
  <si>
    <t>3263.9</t>
  </si>
  <si>
    <t>747.02</t>
  </si>
  <si>
    <t>ORD101563</t>
  </si>
  <si>
    <t>CUST10138</t>
  </si>
  <si>
    <t>17341.79</t>
  </si>
  <si>
    <t>14034.23</t>
  </si>
  <si>
    <t>1573.38</t>
  </si>
  <si>
    <t>ORD101564</t>
  </si>
  <si>
    <t>CUST12810</t>
  </si>
  <si>
    <t>26998.33</t>
  </si>
  <si>
    <t>40398.68</t>
  </si>
  <si>
    <t>5498.48</t>
  </si>
  <si>
    <t>ORD101566</t>
  </si>
  <si>
    <t>CUST11379</t>
  </si>
  <si>
    <t>5620.84</t>
  </si>
  <si>
    <t>9032.44</t>
  </si>
  <si>
    <t>522.99</t>
  </si>
  <si>
    <t>ORD101567</t>
  </si>
  <si>
    <t>CUST11024</t>
  </si>
  <si>
    <t>5790.27</t>
  </si>
  <si>
    <t>3368.65</t>
  </si>
  <si>
    <t>1842.59</t>
  </si>
  <si>
    <t>ORD101568</t>
  </si>
  <si>
    <t>CUST13263</t>
  </si>
  <si>
    <t>52898.34</t>
  </si>
  <si>
    <t>76241.56</t>
  </si>
  <si>
    <t>18975.45</t>
  </si>
  <si>
    <t>ORD101569</t>
  </si>
  <si>
    <t>CUST13069</t>
  </si>
  <si>
    <t>919.65</t>
  </si>
  <si>
    <t>2045.05</t>
  </si>
  <si>
    <t>438</t>
  </si>
  <si>
    <t>ORD101570</t>
  </si>
  <si>
    <t>CUST12400</t>
  </si>
  <si>
    <t>3308.46</t>
  </si>
  <si>
    <t>2425.13</t>
  </si>
  <si>
    <t>221.64</t>
  </si>
  <si>
    <t>ORD101574</t>
  </si>
  <si>
    <t>CUST12539</t>
  </si>
  <si>
    <t>2142.85</t>
  </si>
  <si>
    <t>1706.19</t>
  </si>
  <si>
    <t>329.52</t>
  </si>
  <si>
    <t>ORD101575</t>
  </si>
  <si>
    <t>CUST10527</t>
  </si>
  <si>
    <t>51942.13</t>
  </si>
  <si>
    <t>78811.899999999994</t>
  </si>
  <si>
    <t>14683.93</t>
  </si>
  <si>
    <t>ORD101577</t>
  </si>
  <si>
    <t>CUST12210</t>
  </si>
  <si>
    <t>14412.44</t>
  </si>
  <si>
    <t>10276.790000000001</t>
  </si>
  <si>
    <t>4135.6499999999996</t>
  </si>
  <si>
    <t>ORD101578</t>
  </si>
  <si>
    <t>24-08-2025</t>
  </si>
  <si>
    <t>CUST12888</t>
  </si>
  <si>
    <t>10614.49</t>
  </si>
  <si>
    <t>12357.42</t>
  </si>
  <si>
    <t>7810.11</t>
  </si>
  <si>
    <t>ORD101583</t>
  </si>
  <si>
    <t>CUST11025</t>
  </si>
  <si>
    <t>13298.6</t>
  </si>
  <si>
    <t>7875.92</t>
  </si>
  <si>
    <t>3427.89</t>
  </si>
  <si>
    <t>ORD101585</t>
  </si>
  <si>
    <t>CUST12882</t>
  </si>
  <si>
    <t>3189.75</t>
  </si>
  <si>
    <t>4020.64</t>
  </si>
  <si>
    <t>1082.96</t>
  </si>
  <si>
    <t>ORD101586</t>
  </si>
  <si>
    <t>CUST11035</t>
  </si>
  <si>
    <t>8069.1</t>
  </si>
  <si>
    <t>5597.27</t>
  </si>
  <si>
    <t>1664.92</t>
  </si>
  <si>
    <t>ORD101587</t>
  </si>
  <si>
    <t>CUST10575</t>
  </si>
  <si>
    <t>55044.71</t>
  </si>
  <si>
    <t>32086.79</t>
  </si>
  <si>
    <t>22957.919999999998</t>
  </si>
  <si>
    <t>ORD101588</t>
  </si>
  <si>
    <t>CUST12330</t>
  </si>
  <si>
    <t>1938.75</t>
  </si>
  <si>
    <t>1474.75</t>
  </si>
  <si>
    <t>367.06</t>
  </si>
  <si>
    <t>ORD101590</t>
  </si>
  <si>
    <t>29-07-2025</t>
  </si>
  <si>
    <t>CUST10911</t>
  </si>
  <si>
    <t>16065.31</t>
  </si>
  <si>
    <t>22039.53</t>
  </si>
  <si>
    <t>8484.56</t>
  </si>
  <si>
    <t>ORD101591</t>
  </si>
  <si>
    <t>CUST10771</t>
  </si>
  <si>
    <t>13955.55</t>
  </si>
  <si>
    <t>8631.5</t>
  </si>
  <si>
    <t>4626.2700000000004</t>
  </si>
  <si>
    <t>ORD101594</t>
  </si>
  <si>
    <t>CUST13481</t>
  </si>
  <si>
    <t>11743.92</t>
  </si>
  <si>
    <t>8275.0300000000007</t>
  </si>
  <si>
    <t>2881.69</t>
  </si>
  <si>
    <t>ORD101595</t>
  </si>
  <si>
    <t>CUST11153</t>
  </si>
  <si>
    <t>3497.96</t>
  </si>
  <si>
    <t>4942.22</t>
  </si>
  <si>
    <t>2053.6999999999998</t>
  </si>
  <si>
    <t>ORD101596</t>
  </si>
  <si>
    <t>CUST13063</t>
  </si>
  <si>
    <t>6173.77</t>
  </si>
  <si>
    <t>4486.92</t>
  </si>
  <si>
    <t>1686.85</t>
  </si>
  <si>
    <t>ORD101598</t>
  </si>
  <si>
    <t>CUST10814</t>
  </si>
  <si>
    <t>5749.84</t>
  </si>
  <si>
    <t>3997.94</t>
  </si>
  <si>
    <t>889.42</t>
  </si>
  <si>
    <t>ORD101599</t>
  </si>
  <si>
    <t>CUST12873</t>
  </si>
  <si>
    <t>1969.25</t>
  </si>
  <si>
    <t>1569.07</t>
  </si>
  <si>
    <t>ORD101600</t>
  </si>
  <si>
    <t>CUST12801</t>
  </si>
  <si>
    <t>3702.41</t>
  </si>
  <si>
    <t>2862.25</t>
  </si>
  <si>
    <t>284.8</t>
  </si>
  <si>
    <t>ORD101601</t>
  </si>
  <si>
    <t>CUST10621</t>
  </si>
  <si>
    <t>2379.63</t>
  </si>
  <si>
    <t>1691.71</t>
  </si>
  <si>
    <t>568.94000000000005</t>
  </si>
  <si>
    <t>ORD101602</t>
  </si>
  <si>
    <t>CUST12070</t>
  </si>
  <si>
    <t>1477.17</t>
  </si>
  <si>
    <t>1021.72</t>
  </si>
  <si>
    <t>307.73</t>
  </si>
  <si>
    <t>ORD101603</t>
  </si>
  <si>
    <t>CUST10939</t>
  </si>
  <si>
    <t>7500.84</t>
  </si>
  <si>
    <t>5252.7</t>
  </si>
  <si>
    <t>1873.1</t>
  </si>
  <si>
    <t>ORD101604</t>
  </si>
  <si>
    <t>CUST13254</t>
  </si>
  <si>
    <t>2264.42</t>
  </si>
  <si>
    <t>1689.3</t>
  </si>
  <si>
    <t>575.12</t>
  </si>
  <si>
    <t>ORD101605</t>
  </si>
  <si>
    <t>CUST10977</t>
  </si>
  <si>
    <t>66133.36</t>
  </si>
  <si>
    <t>51649.599999999999</t>
  </si>
  <si>
    <t>7870.42</t>
  </si>
  <si>
    <t>ORD101607</t>
  </si>
  <si>
    <t>CUST12603</t>
  </si>
  <si>
    <t>5341.92</t>
  </si>
  <si>
    <t>3780.05</t>
  </si>
  <si>
    <t>1561.87</t>
  </si>
  <si>
    <t>ORD101608</t>
  </si>
  <si>
    <t>CUST11828</t>
  </si>
  <si>
    <t>4219.91</t>
  </si>
  <si>
    <t>8783.6</t>
  </si>
  <si>
    <t>1977.17</t>
  </si>
  <si>
    <t>ORD101610</t>
  </si>
  <si>
    <t>CUST10342</t>
  </si>
  <si>
    <t>1683.33</t>
  </si>
  <si>
    <t>4602.21</t>
  </si>
  <si>
    <t>2131.11</t>
  </si>
  <si>
    <t>ORD101612</t>
  </si>
  <si>
    <t>CUST13035</t>
  </si>
  <si>
    <t>3219.88</t>
  </si>
  <si>
    <t>1929.79</t>
  </si>
  <si>
    <t>1290.0899999999999</t>
  </si>
  <si>
    <t>ORD101613</t>
  </si>
  <si>
    <t>CUST12588</t>
  </si>
  <si>
    <t>351.71</t>
  </si>
  <si>
    <t>262.35000000000002</t>
  </si>
  <si>
    <t>54.19</t>
  </si>
  <si>
    <t>ORD101615</t>
  </si>
  <si>
    <t>CUST10640</t>
  </si>
  <si>
    <t>18349.490000000002</t>
  </si>
  <si>
    <t>14240.3</t>
  </si>
  <si>
    <t>3191.72</t>
  </si>
  <si>
    <t>ORD101617</t>
  </si>
  <si>
    <t>CUST10921</t>
  </si>
  <si>
    <t>3966.45</t>
  </si>
  <si>
    <t>2653.84</t>
  </si>
  <si>
    <t>915.96</t>
  </si>
  <si>
    <t>ORD101618</t>
  </si>
  <si>
    <t>CUST12007</t>
  </si>
  <si>
    <t>6428.75</t>
  </si>
  <si>
    <t>4094.95</t>
  </si>
  <si>
    <t>2333.8000000000002</t>
  </si>
  <si>
    <t>ORD101622</t>
  </si>
  <si>
    <t>CUST12390</t>
  </si>
  <si>
    <t>4721.7299999999996</t>
  </si>
  <si>
    <t>3774.16</t>
  </si>
  <si>
    <t>475.4</t>
  </si>
  <si>
    <t>ORD101623</t>
  </si>
  <si>
    <t>CUST10628</t>
  </si>
  <si>
    <t>3078.86</t>
  </si>
  <si>
    <t>8913.3700000000008</t>
  </si>
  <si>
    <t>2170.5300000000002</t>
  </si>
  <si>
    <t>ORD101625</t>
  </si>
  <si>
    <t>CUST11402</t>
  </si>
  <si>
    <t>4573.12</t>
  </si>
  <si>
    <t>5969.36</t>
  </si>
  <si>
    <t>3176.88</t>
  </si>
  <si>
    <t>ORD101626</t>
  </si>
  <si>
    <t>CUST10809</t>
  </si>
  <si>
    <t>884.46</t>
  </si>
  <si>
    <t>656.66</t>
  </si>
  <si>
    <t>183.58</t>
  </si>
  <si>
    <t>ORD101627</t>
  </si>
  <si>
    <t>CUST12293</t>
  </si>
  <si>
    <t>6908.97</t>
  </si>
  <si>
    <t>5614.35</t>
  </si>
  <si>
    <t>603.72</t>
  </si>
  <si>
    <t>ORD101628</t>
  </si>
  <si>
    <t>CUST10564</t>
  </si>
  <si>
    <t>5532.66</t>
  </si>
  <si>
    <t>6206.6</t>
  </si>
  <si>
    <t>4858.72</t>
  </si>
  <si>
    <t>ORD101629</t>
  </si>
  <si>
    <t>CUST13260</t>
  </si>
  <si>
    <t>7609.74</t>
  </si>
  <si>
    <t>6097.8</t>
  </si>
  <si>
    <t>1131.45</t>
  </si>
  <si>
    <t>ORD101630</t>
  </si>
  <si>
    <t>CUST11135</t>
  </si>
  <si>
    <t>14091.96</t>
  </si>
  <si>
    <t>10616.07</t>
  </si>
  <si>
    <t>1362.1</t>
  </si>
  <si>
    <t>ORD101632</t>
  </si>
  <si>
    <t>CUST11320</t>
  </si>
  <si>
    <t>10580.12</t>
  </si>
  <si>
    <t>7253.5</t>
  </si>
  <si>
    <t>2268.61</t>
  </si>
  <si>
    <t>ORD101633</t>
  </si>
  <si>
    <t>CUST10133</t>
  </si>
  <si>
    <t>291.52999999999997</t>
  </si>
  <si>
    <t>698.91</t>
  </si>
  <si>
    <t>175.68</t>
  </si>
  <si>
    <t>ORD101634</t>
  </si>
  <si>
    <t>CUST10820</t>
  </si>
  <si>
    <t>5955.83</t>
  </si>
  <si>
    <t>3547.82</t>
  </si>
  <si>
    <t>1812.43</t>
  </si>
  <si>
    <t>ORD101636</t>
  </si>
  <si>
    <t>CUST13431</t>
  </si>
  <si>
    <t>4891.79</t>
  </si>
  <si>
    <t>7051.86</t>
  </si>
  <si>
    <t>2731.72</t>
  </si>
  <si>
    <t>ORD101638</t>
  </si>
  <si>
    <t>CUST12393</t>
  </si>
  <si>
    <t>11118.39</t>
  </si>
  <si>
    <t>6339.87</t>
  </si>
  <si>
    <t>3666.68</t>
  </si>
  <si>
    <t>ORD101639</t>
  </si>
  <si>
    <t>CUST12710</t>
  </si>
  <si>
    <t>56833.54</t>
  </si>
  <si>
    <t>32054.75</t>
  </si>
  <si>
    <t>21937.11</t>
  </si>
  <si>
    <t>ORD101640</t>
  </si>
  <si>
    <t>CUST13338</t>
  </si>
  <si>
    <t>6089.45</t>
  </si>
  <si>
    <t>4762.08</t>
  </si>
  <si>
    <t>413.95</t>
  </si>
  <si>
    <t>ORD101641</t>
  </si>
  <si>
    <t>CUST11779</t>
  </si>
  <si>
    <t>1178.81</t>
  </si>
  <si>
    <t>956.17</t>
  </si>
  <si>
    <t>45.82</t>
  </si>
  <si>
    <t>ORD101642</t>
  </si>
  <si>
    <t>CUST10600</t>
  </si>
  <si>
    <t>9775.4500000000007</t>
  </si>
  <si>
    <t>7459.15</t>
  </si>
  <si>
    <t>1338.76</t>
  </si>
  <si>
    <t>ORD101645</t>
  </si>
  <si>
    <t>CUST10938</t>
  </si>
  <si>
    <t>3657.47</t>
  </si>
  <si>
    <t>2444.0500000000002</t>
  </si>
  <si>
    <t>847.67</t>
  </si>
  <si>
    <t>ORD101646</t>
  </si>
  <si>
    <t>CUST13211</t>
  </si>
  <si>
    <t>2947.52</t>
  </si>
  <si>
    <t>1787.93</t>
  </si>
  <si>
    <t>864.84</t>
  </si>
  <si>
    <t>ORD101650</t>
  </si>
  <si>
    <t>CUST10687</t>
  </si>
  <si>
    <t>3523.74</t>
  </si>
  <si>
    <t>11481.22</t>
  </si>
  <si>
    <t>1908.99</t>
  </si>
  <si>
    <t>ORD101652</t>
  </si>
  <si>
    <t>CUST12302</t>
  </si>
  <si>
    <t>11099.19</t>
  </si>
  <si>
    <t>8506.86</t>
  </si>
  <si>
    <t>1482.41</t>
  </si>
  <si>
    <t>ORD101654</t>
  </si>
  <si>
    <t>CUST13010</t>
  </si>
  <si>
    <t>1695.8</t>
  </si>
  <si>
    <t>1258.44</t>
  </si>
  <si>
    <t>267.77999999999997</t>
  </si>
  <si>
    <t>ORD101656</t>
  </si>
  <si>
    <t>CUST10126</t>
  </si>
  <si>
    <t>36661.480000000003</t>
  </si>
  <si>
    <t>81010.37</t>
  </si>
  <si>
    <t>12476.4</t>
  </si>
  <si>
    <t>ORD101658</t>
  </si>
  <si>
    <t>CUST13326</t>
  </si>
  <si>
    <t>13943.29</t>
  </si>
  <si>
    <t>18327</t>
  </si>
  <si>
    <t>8165.25</t>
  </si>
  <si>
    <t>ORD101659</t>
  </si>
  <si>
    <t>CUST12659</t>
  </si>
  <si>
    <t>19195.009999999998</t>
  </si>
  <si>
    <t>14259.79</t>
  </si>
  <si>
    <t>3975.47</t>
  </si>
  <si>
    <t>ORD101661</t>
  </si>
  <si>
    <t>CUST13054</t>
  </si>
  <si>
    <t>4800.7700000000004</t>
  </si>
  <si>
    <t>6783.97</t>
  </si>
  <si>
    <t>1377.34</t>
  </si>
  <si>
    <t>ORD101663</t>
  </si>
  <si>
    <t>CUST12495</t>
  </si>
  <si>
    <t>12177.42</t>
  </si>
  <si>
    <t>26838.02</t>
  </si>
  <si>
    <t>4214.3999999999996</t>
  </si>
  <si>
    <t>ORD101669</t>
  </si>
  <si>
    <t>CUST11864</t>
  </si>
  <si>
    <t>4338.7700000000004</t>
  </si>
  <si>
    <t>9096.17</t>
  </si>
  <si>
    <t>2618.5100000000002</t>
  </si>
  <si>
    <t>ORD101670</t>
  </si>
  <si>
    <t>CUST13050</t>
  </si>
  <si>
    <t>16668.740000000002</t>
  </si>
  <si>
    <t>12848.29</t>
  </si>
  <si>
    <t>2153.58</t>
  </si>
  <si>
    <t>ORD101671</t>
  </si>
  <si>
    <t>17-07-2025</t>
  </si>
  <si>
    <t>CUST11239</t>
  </si>
  <si>
    <t>4326.01</t>
  </si>
  <si>
    <t>5554.97</t>
  </si>
  <si>
    <t>2664.45</t>
  </si>
  <si>
    <t>ORD101672</t>
  </si>
  <si>
    <t>CUST12424</t>
  </si>
  <si>
    <t>11141.92</t>
  </si>
  <si>
    <t>18045</t>
  </si>
  <si>
    <t>4238.84</t>
  </si>
  <si>
    <t>ORD101674</t>
  </si>
  <si>
    <t>CUST12369</t>
  </si>
  <si>
    <t>26263.87</t>
  </si>
  <si>
    <t>40671.17</t>
  </si>
  <si>
    <t>1351.02</t>
  </si>
  <si>
    <t>ORD101676</t>
  </si>
  <si>
    <t>CUST11385</t>
  </si>
  <si>
    <t>1385.81</t>
  </si>
  <si>
    <t>770.56</t>
  </si>
  <si>
    <t>476.67</t>
  </si>
  <si>
    <t>ORD101677</t>
  </si>
  <si>
    <t>CUST10018</t>
  </si>
  <si>
    <t>47723.93</t>
  </si>
  <si>
    <t>26549.55</t>
  </si>
  <si>
    <t>14015.79</t>
  </si>
  <si>
    <t>ORD101678</t>
  </si>
  <si>
    <t>CUST13320</t>
  </si>
  <si>
    <t>4132.16</t>
  </si>
  <si>
    <t>2382.59</t>
  </si>
  <si>
    <t>1749.57</t>
  </si>
  <si>
    <t>ORD101681</t>
  </si>
  <si>
    <t>CUST12806</t>
  </si>
  <si>
    <t>7019.38</t>
  </si>
  <si>
    <t>4923.25</t>
  </si>
  <si>
    <t>1043.22</t>
  </si>
  <si>
    <t>ORD101683</t>
  </si>
  <si>
    <t>CUST12011</t>
  </si>
  <si>
    <t>7159.26</t>
  </si>
  <si>
    <t>5806.69</t>
  </si>
  <si>
    <t>278.68</t>
  </si>
  <si>
    <t>ORD101686</t>
  </si>
  <si>
    <t>CUST10722</t>
  </si>
  <si>
    <t>1684.79</t>
  </si>
  <si>
    <t>2131.66</t>
  </si>
  <si>
    <t>564</t>
  </si>
  <si>
    <t>ORD101687</t>
  </si>
  <si>
    <t>CUST11113</t>
  </si>
  <si>
    <t>7419.03</t>
  </si>
  <si>
    <t>15688.94</t>
  </si>
  <si>
    <t>4342.4399999999996</t>
  </si>
  <si>
    <t>ORD101688</t>
  </si>
  <si>
    <t>CUST11158</t>
  </si>
  <si>
    <t>4502.24</t>
  </si>
  <si>
    <t>9672.4599999999991</t>
  </si>
  <si>
    <t>3834.26</t>
  </si>
  <si>
    <t>ORD101691</t>
  </si>
  <si>
    <t>28-02-2025</t>
  </si>
  <si>
    <t>CUST13204</t>
  </si>
  <si>
    <t>15564.24</t>
  </si>
  <si>
    <t>19424.86</t>
  </si>
  <si>
    <t>7034.35</t>
  </si>
  <si>
    <t>ORD101692</t>
  </si>
  <si>
    <t>CUST10516</t>
  </si>
  <si>
    <t>2723.39</t>
  </si>
  <si>
    <t>1712.83</t>
  </si>
  <si>
    <t>602.04999999999995</t>
  </si>
  <si>
    <t>ORD101695</t>
  </si>
  <si>
    <t>CUST13183</t>
  </si>
  <si>
    <t>4638.33</t>
  </si>
  <si>
    <t>6037.87</t>
  </si>
  <si>
    <t>1847.29</t>
  </si>
  <si>
    <t>ORD101699</t>
  </si>
  <si>
    <t>CUST11717</t>
  </si>
  <si>
    <t>4089.08</t>
  </si>
  <si>
    <t>2788.69</t>
  </si>
  <si>
    <t>891.48</t>
  </si>
  <si>
    <t>ORD101700</t>
  </si>
  <si>
    <t>CUST10959</t>
  </si>
  <si>
    <t>6515.31</t>
  </si>
  <si>
    <t>8764.9500000000007</t>
  </si>
  <si>
    <t>1659.55</t>
  </si>
  <si>
    <t>ORD101701</t>
  </si>
  <si>
    <t>CUST13008</t>
  </si>
  <si>
    <t>13126.64</t>
  </si>
  <si>
    <t>8221.5</t>
  </si>
  <si>
    <t>4905.1400000000003</t>
  </si>
  <si>
    <t>ORD101704</t>
  </si>
  <si>
    <t>CUST12282</t>
  </si>
  <si>
    <t>642.21</t>
  </si>
  <si>
    <t>479.25</t>
  </si>
  <si>
    <t>66.63</t>
  </si>
  <si>
    <t>ORD101708</t>
  </si>
  <si>
    <t>CUST13308</t>
  </si>
  <si>
    <t>1865.6</t>
  </si>
  <si>
    <t>4426.03</t>
  </si>
  <si>
    <t>611.09</t>
  </si>
  <si>
    <t>ORD101709</t>
  </si>
  <si>
    <t>CUST10249</t>
  </si>
  <si>
    <t>67382.44</t>
  </si>
  <si>
    <t>55013.760000000002</t>
  </si>
  <si>
    <t>5630.44</t>
  </si>
  <si>
    <t>ORD101710</t>
  </si>
  <si>
    <t>CUST11981</t>
  </si>
  <si>
    <t>2261.85</t>
  </si>
  <si>
    <t>1284.24</t>
  </si>
  <si>
    <t>751.42</t>
  </si>
  <si>
    <t>ORD101711</t>
  </si>
  <si>
    <t>CUST11299</t>
  </si>
  <si>
    <t>7396.73</t>
  </si>
  <si>
    <t>12015.13</t>
  </si>
  <si>
    <t>2038.66</t>
  </si>
  <si>
    <t>ORD101714</t>
  </si>
  <si>
    <t>CUST13118</t>
  </si>
  <si>
    <t>68947.350000000006</t>
  </si>
  <si>
    <t>47853.47</t>
  </si>
  <si>
    <t>14199.15</t>
  </si>
  <si>
    <t>ORD101715</t>
  </si>
  <si>
    <t>CUST10210</t>
  </si>
  <si>
    <t>60065.85</t>
  </si>
  <si>
    <t>149690.96</t>
  </si>
  <si>
    <t>54532.93</t>
  </si>
  <si>
    <t>ORD101716</t>
  </si>
  <si>
    <t>CUST12263</t>
  </si>
  <si>
    <t>2512.69</t>
  </si>
  <si>
    <t>3116.79</t>
  </si>
  <si>
    <t>1657.32</t>
  </si>
  <si>
    <t>ORD101717</t>
  </si>
  <si>
    <t>CUST10706</t>
  </si>
  <si>
    <t>11150.39</t>
  </si>
  <si>
    <t>13193.87</t>
  </si>
  <si>
    <t>9106.91</t>
  </si>
  <si>
    <t>ORD101718</t>
  </si>
  <si>
    <t>CUST12456</t>
  </si>
  <si>
    <t>13715.95</t>
  </si>
  <si>
    <t>16831.560000000001</t>
  </si>
  <si>
    <t>10600.34</t>
  </si>
  <si>
    <t>ORD101720</t>
  </si>
  <si>
    <t>CUST10913</t>
  </si>
  <si>
    <t>2183.7800000000002</t>
  </si>
  <si>
    <t>1604.14</t>
  </si>
  <si>
    <t>252.07</t>
  </si>
  <si>
    <t>ORD101721</t>
  </si>
  <si>
    <t>CUST12984</t>
  </si>
  <si>
    <t>6705.05</t>
  </si>
  <si>
    <t>4271</t>
  </si>
  <si>
    <t>1428.29</t>
  </si>
  <si>
    <t>ORD101725</t>
  </si>
  <si>
    <t>CUST12417</t>
  </si>
  <si>
    <t>4478.07</t>
  </si>
  <si>
    <t>3271.09</t>
  </si>
  <si>
    <t>759.17</t>
  </si>
  <si>
    <t>ORD101727</t>
  </si>
  <si>
    <t>CUST11654</t>
  </si>
  <si>
    <t>4884.09</t>
  </si>
  <si>
    <t>7050.66</t>
  </si>
  <si>
    <t>1252.29</t>
  </si>
  <si>
    <t>ORD101729</t>
  </si>
  <si>
    <t>CUST12904</t>
  </si>
  <si>
    <t>3554.61</t>
  </si>
  <si>
    <t>7719.62</t>
  </si>
  <si>
    <t>1344.64</t>
  </si>
  <si>
    <t>ORD101732</t>
  </si>
  <si>
    <t>CUST13113</t>
  </si>
  <si>
    <t>9507.6</t>
  </si>
  <si>
    <t>29459.49</t>
  </si>
  <si>
    <t>2866.35</t>
  </si>
  <si>
    <t>ORD101734</t>
  </si>
  <si>
    <t>CUST12016</t>
  </si>
  <si>
    <t>2980.65</t>
  </si>
  <si>
    <t>2273.71</t>
  </si>
  <si>
    <t>259.83999999999997</t>
  </si>
  <si>
    <t>ORD101735</t>
  </si>
  <si>
    <t>CUST12267</t>
  </si>
  <si>
    <t>848.38</t>
  </si>
  <si>
    <t>493.64</t>
  </si>
  <si>
    <t>312.32</t>
  </si>
  <si>
    <t>ORD101736</t>
  </si>
  <si>
    <t>CUST12468</t>
  </si>
  <si>
    <t>6139.73</t>
  </si>
  <si>
    <t>3664.44</t>
  </si>
  <si>
    <t>2168.3000000000002</t>
  </si>
  <si>
    <t>ORD101737</t>
  </si>
  <si>
    <t>CUST12094</t>
  </si>
  <si>
    <t>5962.49</t>
  </si>
  <si>
    <t>4483.0200000000004</t>
  </si>
  <si>
    <t>883.22</t>
  </si>
  <si>
    <t>ORD101738</t>
  </si>
  <si>
    <t>CUST12662</t>
  </si>
  <si>
    <t>2026.72</t>
  </si>
  <si>
    <t>3984.44</t>
  </si>
  <si>
    <t>1183.7</t>
  </si>
  <si>
    <t>ORD101739</t>
  </si>
  <si>
    <t>CUST12824</t>
  </si>
  <si>
    <t>9881.9599999999991</t>
  </si>
  <si>
    <t>5904.07</t>
  </si>
  <si>
    <t>3483.79</t>
  </si>
  <si>
    <t>ORD101741</t>
  </si>
  <si>
    <t>CUST11094</t>
  </si>
  <si>
    <t>52622.47</t>
  </si>
  <si>
    <t>146083.62</t>
  </si>
  <si>
    <t>32832.78</t>
  </si>
  <si>
    <t>ORD101742</t>
  </si>
  <si>
    <t>CUST10271</t>
  </si>
  <si>
    <t>1220.42</t>
  </si>
  <si>
    <t>699.27</t>
  </si>
  <si>
    <t>399.11</t>
  </si>
  <si>
    <t>ORD101743</t>
  </si>
  <si>
    <t>CUST11912</t>
  </si>
  <si>
    <t>6603.58</t>
  </si>
  <si>
    <t>4891.2700000000004</t>
  </si>
  <si>
    <t>1712.31</t>
  </si>
  <si>
    <t>ORD101744</t>
  </si>
  <si>
    <t>CUST13217</t>
  </si>
  <si>
    <t>48656.66</t>
  </si>
  <si>
    <t>34502.47</t>
  </si>
  <si>
    <t>6855.69</t>
  </si>
  <si>
    <t>ORD101745</t>
  </si>
  <si>
    <t>CUST11671</t>
  </si>
  <si>
    <t>62794.6</t>
  </si>
  <si>
    <t>38166.57</t>
  </si>
  <si>
    <t>21488.3</t>
  </si>
  <si>
    <t>ORD101746</t>
  </si>
  <si>
    <t>CUST11149</t>
  </si>
  <si>
    <t>23479.01</t>
  </si>
  <si>
    <t>29409.02</t>
  </si>
  <si>
    <t>17549</t>
  </si>
  <si>
    <t>ORD101747</t>
  </si>
  <si>
    <t>CUST11187</t>
  </si>
  <si>
    <t>47502.15</t>
  </si>
  <si>
    <t>87004.24</t>
  </si>
  <si>
    <t>34126.239999999998</t>
  </si>
  <si>
    <t>ORD101751</t>
  </si>
  <si>
    <t>CUST12891</t>
  </si>
  <si>
    <t>17346.46</t>
  </si>
  <si>
    <t>13602.46</t>
  </si>
  <si>
    <t>2876.68</t>
  </si>
  <si>
    <t>ORD101753</t>
  </si>
  <si>
    <t>CUST10501</t>
  </si>
  <si>
    <t>6882.23</t>
  </si>
  <si>
    <t>16819.759999999998</t>
  </si>
  <si>
    <t>1762.26</t>
  </si>
  <si>
    <t>ORD101755</t>
  </si>
  <si>
    <t>CUST10152</t>
  </si>
  <si>
    <t>4930.92</t>
  </si>
  <si>
    <t>3995.47</t>
  </si>
  <si>
    <t>935.45</t>
  </si>
  <si>
    <t>ORD101757</t>
  </si>
  <si>
    <t>CUST11175</t>
  </si>
  <si>
    <t>1327.5</t>
  </si>
  <si>
    <t>1493.49</t>
  </si>
  <si>
    <t>763.26</t>
  </si>
  <si>
    <t>ORD101759</t>
  </si>
  <si>
    <t>CUST13214</t>
  </si>
  <si>
    <t>72757.61</t>
  </si>
  <si>
    <t>42866.6</t>
  </si>
  <si>
    <t>22615.25</t>
  </si>
  <si>
    <t>ORD101763</t>
  </si>
  <si>
    <t>CUST10768</t>
  </si>
  <si>
    <t>6736.87</t>
  </si>
  <si>
    <t>10283.18</t>
  </si>
  <si>
    <t>2516.87</t>
  </si>
  <si>
    <t>ORD101764</t>
  </si>
  <si>
    <t>CUST10339</t>
  </si>
  <si>
    <t>5607.45</t>
  </si>
  <si>
    <t>16355.93</t>
  </si>
  <si>
    <t>4952.38</t>
  </si>
  <si>
    <t>ORD101767</t>
  </si>
  <si>
    <t>CUST13273</t>
  </si>
  <si>
    <t>14033.54</t>
  </si>
  <si>
    <t>10270.99</t>
  </si>
  <si>
    <t>1657.52</t>
  </si>
  <si>
    <t>ORD101769</t>
  </si>
  <si>
    <t>CUST11573</t>
  </si>
  <si>
    <t>1979.79</t>
  </si>
  <si>
    <t>2699.73</t>
  </si>
  <si>
    <t>1259.8499999999999</t>
  </si>
  <si>
    <t>ORD101771</t>
  </si>
  <si>
    <t>CUST11916</t>
  </si>
  <si>
    <t>4451.08</t>
  </si>
  <si>
    <t>6084.9</t>
  </si>
  <si>
    <t>2817.26</t>
  </si>
  <si>
    <t>ORD101772</t>
  </si>
  <si>
    <t>CUST12372</t>
  </si>
  <si>
    <t>50971.55</t>
  </si>
  <si>
    <t>41345.760000000002</t>
  </si>
  <si>
    <t>1980.06</t>
  </si>
  <si>
    <t>ORD101775</t>
  </si>
  <si>
    <t>CUST10826</t>
  </si>
  <si>
    <t>4864.2</t>
  </si>
  <si>
    <t>2910.77</t>
  </si>
  <si>
    <t>1467.01</t>
  </si>
  <si>
    <t>ORD101778</t>
  </si>
  <si>
    <t>CUST12101</t>
  </si>
  <si>
    <t>1212.1300000000001</t>
  </si>
  <si>
    <t>791.1</t>
  </si>
  <si>
    <t>421.03</t>
  </si>
  <si>
    <t>ORD101780</t>
  </si>
  <si>
    <t>CUST11861</t>
  </si>
  <si>
    <t>58736.160000000003</t>
  </si>
  <si>
    <t>43664.42</t>
  </si>
  <si>
    <t>6261.32</t>
  </si>
  <si>
    <t>ORD101782</t>
  </si>
  <si>
    <t>CUST10534</t>
  </si>
  <si>
    <t>70497.73</t>
  </si>
  <si>
    <t>51928.32</t>
  </si>
  <si>
    <t>4469.8599999999997</t>
  </si>
  <si>
    <t>ORD101783</t>
  </si>
  <si>
    <t>CUST10021</t>
  </si>
  <si>
    <t>6440.66</t>
  </si>
  <si>
    <t>4772.6499999999996</t>
  </si>
  <si>
    <t>1023.94</t>
  </si>
  <si>
    <t>ORD101784</t>
  </si>
  <si>
    <t>CUST11123</t>
  </si>
  <si>
    <t>4607.83</t>
  </si>
  <si>
    <t>2709.31</t>
  </si>
  <si>
    <t>1437.74</t>
  </si>
  <si>
    <t>ORD101785</t>
  </si>
  <si>
    <t>CUST13489</t>
  </si>
  <si>
    <t>63289.48</t>
  </si>
  <si>
    <t>37695.35</t>
  </si>
  <si>
    <t>19265.18</t>
  </si>
  <si>
    <t>ORD101786</t>
  </si>
  <si>
    <t>CUST11931</t>
  </si>
  <si>
    <t>5481.82</t>
  </si>
  <si>
    <t>4051</t>
  </si>
  <si>
    <t>1430.82</t>
  </si>
  <si>
    <t>ORD101787</t>
  </si>
  <si>
    <t>CUST12970</t>
  </si>
  <si>
    <t>1487.33</t>
  </si>
  <si>
    <t>985.49</t>
  </si>
  <si>
    <t>353.11</t>
  </si>
  <si>
    <t>ORD101788</t>
  </si>
  <si>
    <t>CUST13256</t>
  </si>
  <si>
    <t>5365.92</t>
  </si>
  <si>
    <t>4204.88</t>
  </si>
  <si>
    <t>356.15</t>
  </si>
  <si>
    <t>ORD101789</t>
  </si>
  <si>
    <t>CUST10070</t>
  </si>
  <si>
    <t>586.94000000000005</t>
  </si>
  <si>
    <t>933.36</t>
  </si>
  <si>
    <t>181.83</t>
  </si>
  <si>
    <t>ORD101791</t>
  </si>
  <si>
    <t>CUST11222</t>
  </si>
  <si>
    <t>15448.69</t>
  </si>
  <si>
    <t>9511.02</t>
  </si>
  <si>
    <t>5165.24</t>
  </si>
  <si>
    <t>ORD101792</t>
  </si>
  <si>
    <t>CUST11054</t>
  </si>
  <si>
    <t>5181.1400000000003</t>
  </si>
  <si>
    <t>9296.7900000000009</t>
  </si>
  <si>
    <t>6246.63</t>
  </si>
  <si>
    <t>ORD101795</t>
  </si>
  <si>
    <t>CUST11329</t>
  </si>
  <si>
    <t>798.86</t>
  </si>
  <si>
    <t>388.25</t>
  </si>
  <si>
    <t>ORD101796</t>
  </si>
  <si>
    <t>CUST11016</t>
  </si>
  <si>
    <t>43342.92</t>
  </si>
  <si>
    <t>64403.31</t>
  </si>
  <si>
    <t>13613.95</t>
  </si>
  <si>
    <t>ORD101797</t>
  </si>
  <si>
    <t>CUST12429</t>
  </si>
  <si>
    <t>3861.71</t>
  </si>
  <si>
    <t>2739.71</t>
  </si>
  <si>
    <t>542.74</t>
  </si>
  <si>
    <t>ORD101799</t>
  </si>
  <si>
    <t>CUST11604</t>
  </si>
  <si>
    <t>7284.26</t>
  </si>
  <si>
    <t>4740.82</t>
  </si>
  <si>
    <t>2179.23</t>
  </si>
  <si>
    <t>ORD101800</t>
  </si>
  <si>
    <t>CUST11534</t>
  </si>
  <si>
    <t>7222.23</t>
  </si>
  <si>
    <t>8687.82</t>
  </si>
  <si>
    <t>3589.97</t>
  </si>
  <si>
    <t>ORD101801</t>
  </si>
  <si>
    <t>CUST11502</t>
  </si>
  <si>
    <t>13390.7</t>
  </si>
  <si>
    <t>10375.799999999999</t>
  </si>
  <si>
    <t>1675.83</t>
  </si>
  <si>
    <t>ORD101804</t>
  </si>
  <si>
    <t>CUST13210</t>
  </si>
  <si>
    <t>4775.7700000000004</t>
  </si>
  <si>
    <t>3603.36</t>
  </si>
  <si>
    <t>1172.4100000000001</t>
  </si>
  <si>
    <t>ORD101805</t>
  </si>
  <si>
    <t>CUST10436</t>
  </si>
  <si>
    <t>5451.16</t>
  </si>
  <si>
    <t>3072.97</t>
  </si>
  <si>
    <t>1560.52</t>
  </si>
  <si>
    <t>ORD101807</t>
  </si>
  <si>
    <t>CUST12864</t>
  </si>
  <si>
    <t>4339.9399999999996</t>
  </si>
  <si>
    <t>6201.76</t>
  </si>
  <si>
    <t>1610.13</t>
  </si>
  <si>
    <t>ORD101809</t>
  </si>
  <si>
    <t>CUST12696</t>
  </si>
  <si>
    <t>6076.46</t>
  </si>
  <si>
    <t>3428.13</t>
  </si>
  <si>
    <t>2040.68</t>
  </si>
  <si>
    <t>ORD101810</t>
  </si>
  <si>
    <t>CUST11138</t>
  </si>
  <si>
    <t>12992.95</t>
  </si>
  <si>
    <t>40558.550000000003</t>
  </si>
  <si>
    <t>6216.07</t>
  </si>
  <si>
    <t>ORD101811</t>
  </si>
  <si>
    <t>CUST12758</t>
  </si>
  <si>
    <t>302.79000000000002</t>
  </si>
  <si>
    <t>348.22</t>
  </si>
  <si>
    <t>136.24</t>
  </si>
  <si>
    <t>ORD101815</t>
  </si>
  <si>
    <t>CUST13127</t>
  </si>
  <si>
    <t>12110.5</t>
  </si>
  <si>
    <t>17002.189999999999</t>
  </si>
  <si>
    <t>4796.71</t>
  </si>
  <si>
    <t>ORD101816</t>
  </si>
  <si>
    <t>CUST11578</t>
  </si>
  <si>
    <t>14767.17</t>
  </si>
  <si>
    <t>21707.01</t>
  </si>
  <si>
    <t>4873.8999999999996</t>
  </si>
  <si>
    <t>ORD101817</t>
  </si>
  <si>
    <t>CUST11051</t>
  </si>
  <si>
    <t>385.69</t>
  </si>
  <si>
    <t>678.14</t>
  </si>
  <si>
    <t>478.93</t>
  </si>
  <si>
    <t>ORD101818</t>
  </si>
  <si>
    <t>CUST12582</t>
  </si>
  <si>
    <t>9988.44</t>
  </si>
  <si>
    <t>8180.94</t>
  </si>
  <si>
    <t>1308.08</t>
  </si>
  <si>
    <t>ORD101819</t>
  </si>
  <si>
    <t>CUST11179</t>
  </si>
  <si>
    <t>51404.12</t>
  </si>
  <si>
    <t>66532.039999999994</t>
  </si>
  <si>
    <t>15714.55</t>
  </si>
  <si>
    <t>ORD101820</t>
  </si>
  <si>
    <t>09-01-2025</t>
  </si>
  <si>
    <t>CUST10474</t>
  </si>
  <si>
    <t>13072.12</t>
  </si>
  <si>
    <t>20754.7</t>
  </si>
  <si>
    <t>2775.12</t>
  </si>
  <si>
    <t>ORD101821</t>
  </si>
  <si>
    <t>CUST10384</t>
  </si>
  <si>
    <t>9784.8700000000008</t>
  </si>
  <si>
    <t>14485.54</t>
  </si>
  <si>
    <t>2148.7399999999998</t>
  </si>
  <si>
    <t>ORD101822</t>
  </si>
  <si>
    <t>CUST11537</t>
  </si>
  <si>
    <t>23778.95</t>
  </si>
  <si>
    <t>16986.830000000002</t>
  </si>
  <si>
    <t>3225.28</t>
  </si>
  <si>
    <t>ORD101823</t>
  </si>
  <si>
    <t>CUST11204</t>
  </si>
  <si>
    <t>65430.87</t>
  </si>
  <si>
    <t>82028.56</t>
  </si>
  <si>
    <t>48833.18</t>
  </si>
  <si>
    <t>ORD101825</t>
  </si>
  <si>
    <t>CUST12751</t>
  </si>
  <si>
    <t>10332.370000000001</t>
  </si>
  <si>
    <t>16510.75</t>
  </si>
  <si>
    <t>2087.52</t>
  </si>
  <si>
    <t>ORD101828</t>
  </si>
  <si>
    <t>CUST12862</t>
  </si>
  <si>
    <t>8260.66</t>
  </si>
  <si>
    <t>6583.69</t>
  </si>
  <si>
    <t>1676.97</t>
  </si>
  <si>
    <t>ORD101830</t>
  </si>
  <si>
    <t>CUST13060</t>
  </si>
  <si>
    <t>5855.61</t>
  </si>
  <si>
    <t>4294.8599999999997</t>
  </si>
  <si>
    <t>389.63</t>
  </si>
  <si>
    <t>ORD101831</t>
  </si>
  <si>
    <t>CUST11020</t>
  </si>
  <si>
    <t>4808.95</t>
  </si>
  <si>
    <t>3592.03</t>
  </si>
  <si>
    <t>736.03</t>
  </si>
  <si>
    <t>ORD101836</t>
  </si>
  <si>
    <t>CUST12515</t>
  </si>
  <si>
    <t>2571.04</t>
  </si>
  <si>
    <t>2974.44</t>
  </si>
  <si>
    <t>1910.54</t>
  </si>
  <si>
    <t>ORD101837</t>
  </si>
  <si>
    <t>CUST12411</t>
  </si>
  <si>
    <t>17603.560000000001</t>
  </si>
  <si>
    <t>10624.48</t>
  </si>
  <si>
    <t>6979.08</t>
  </si>
  <si>
    <t>ORD101838</t>
  </si>
  <si>
    <t>CUST13190</t>
  </si>
  <si>
    <t>55088.84</t>
  </si>
  <si>
    <t>74280.899999999994</t>
  </si>
  <si>
    <t>19370.13</t>
  </si>
  <si>
    <t>ORD101839</t>
  </si>
  <si>
    <t>CUST10251</t>
  </si>
  <si>
    <t>2062.5100000000002</t>
  </si>
  <si>
    <t>3234.38</t>
  </si>
  <si>
    <t>271.89</t>
  </si>
  <si>
    <t>ORD101842</t>
  </si>
  <si>
    <t>CUST11390</t>
  </si>
  <si>
    <t>33017.800000000003</t>
  </si>
  <si>
    <t>18165.04</t>
  </si>
  <si>
    <t>14852.76</t>
  </si>
  <si>
    <t>ORD101843</t>
  </si>
  <si>
    <t>CUST12476</t>
  </si>
  <si>
    <t>9559.7800000000007</t>
  </si>
  <si>
    <t>10595.73</t>
  </si>
  <si>
    <t>6611.87</t>
  </si>
  <si>
    <t>ORD101845</t>
  </si>
  <si>
    <t>CUST12742</t>
  </si>
  <si>
    <t>43830.51</t>
  </si>
  <si>
    <t>32140.05</t>
  </si>
  <si>
    <t>11690.46</t>
  </si>
  <si>
    <t>ORD101846</t>
  </si>
  <si>
    <t>CUST11990</t>
  </si>
  <si>
    <t>9788.48</t>
  </si>
  <si>
    <t>28384.78</t>
  </si>
  <si>
    <t>6853.75</t>
  </si>
  <si>
    <t>ORD101848</t>
  </si>
  <si>
    <t>CUST10139</t>
  </si>
  <si>
    <t>3685.36</t>
  </si>
  <si>
    <t>2559.37</t>
  </si>
  <si>
    <t>1125.99</t>
  </si>
  <si>
    <t>ORD101849</t>
  </si>
  <si>
    <t>CUST11659</t>
  </si>
  <si>
    <t>62864.51</t>
  </si>
  <si>
    <t>71057.95</t>
  </si>
  <si>
    <t>35811.72</t>
  </si>
  <si>
    <t>ORD101850</t>
  </si>
  <si>
    <t>CUST11105</t>
  </si>
  <si>
    <t>1948.46</t>
  </si>
  <si>
    <t>1306.05</t>
  </si>
  <si>
    <t>544.99</t>
  </si>
  <si>
    <t>ORD101852</t>
  </si>
  <si>
    <t>CUST12703</t>
  </si>
  <si>
    <t>3840.07</t>
  </si>
  <si>
    <t>4277.47</t>
  </si>
  <si>
    <t>2250.65</t>
  </si>
  <si>
    <t>ORD101857</t>
  </si>
  <si>
    <t>CUST11874</t>
  </si>
  <si>
    <t>8655.18</t>
  </si>
  <si>
    <t>5712.08</t>
  </si>
  <si>
    <t>1644.82</t>
  </si>
  <si>
    <t>ORD101859</t>
  </si>
  <si>
    <t>CUST11567</t>
  </si>
  <si>
    <t>5417.44</t>
  </si>
  <si>
    <t>7842.51</t>
  </si>
  <si>
    <t>1367.14</t>
  </si>
  <si>
    <t>ORD101860</t>
  </si>
  <si>
    <t>CUST12028</t>
  </si>
  <si>
    <t>6110.02</t>
  </si>
  <si>
    <t>3512.24</t>
  </si>
  <si>
    <t>1375.78</t>
  </si>
  <si>
    <t>ORD101861</t>
  </si>
  <si>
    <t>CUST10429</t>
  </si>
  <si>
    <t>6650.21</t>
  </si>
  <si>
    <t>4279.83</t>
  </si>
  <si>
    <t>2370.38</t>
  </si>
  <si>
    <t>ORD101863</t>
  </si>
  <si>
    <t>CUST10254</t>
  </si>
  <si>
    <t>2595.5700000000002</t>
  </si>
  <si>
    <t>1909.79</t>
  </si>
  <si>
    <t>426.22</t>
  </si>
  <si>
    <t>ORD101864</t>
  </si>
  <si>
    <t>CUST10101</t>
  </si>
  <si>
    <t>3648.48</t>
  </si>
  <si>
    <t>2845.51</t>
  </si>
  <si>
    <t>438.12</t>
  </si>
  <si>
    <t>ORD101865</t>
  </si>
  <si>
    <t>CUST12089</t>
  </si>
  <si>
    <t>5757.65</t>
  </si>
  <si>
    <t>17721.560000000001</t>
  </si>
  <si>
    <t>5309.04</t>
  </si>
  <si>
    <t>ORD101866</t>
  </si>
  <si>
    <t>CUST12373</t>
  </si>
  <si>
    <t>3226.25</t>
  </si>
  <si>
    <t>2561.66</t>
  </si>
  <si>
    <t>341.96</t>
  </si>
  <si>
    <t>ORD101867</t>
  </si>
  <si>
    <t>CUST10459</t>
  </si>
  <si>
    <t>69869.13</t>
  </si>
  <si>
    <t>56484.79</t>
  </si>
  <si>
    <t>13384.34</t>
  </si>
  <si>
    <t>ORD101869</t>
  </si>
  <si>
    <t>CUST11932</t>
  </si>
  <si>
    <t>6827.32</t>
  </si>
  <si>
    <t>5442.72</t>
  </si>
  <si>
    <t>1384.6</t>
  </si>
  <si>
    <t>ORD101870</t>
  </si>
  <si>
    <t>CUST10299</t>
  </si>
  <si>
    <t>10260.68</t>
  </si>
  <si>
    <t>22681.59</t>
  </si>
  <si>
    <t>5022.25</t>
  </si>
  <si>
    <t>ORD101872</t>
  </si>
  <si>
    <t>CUST10649</t>
  </si>
  <si>
    <t>2863.31</t>
  </si>
  <si>
    <t>7783.75</t>
  </si>
  <si>
    <t>2524.17</t>
  </si>
  <si>
    <t>ORD101875</t>
  </si>
  <si>
    <t>CUST13194</t>
  </si>
  <si>
    <t>8630.98</t>
  </si>
  <si>
    <t>5595.53</t>
  </si>
  <si>
    <t>2172.35</t>
  </si>
  <si>
    <t>ORD101876</t>
  </si>
  <si>
    <t>CUST11662</t>
  </si>
  <si>
    <t>47249.2</t>
  </si>
  <si>
    <t>27700.66</t>
  </si>
  <si>
    <t>17186.080000000002</t>
  </si>
  <si>
    <t>ORD101877</t>
  </si>
  <si>
    <t>CUST12938</t>
  </si>
  <si>
    <t>7414.78</t>
  </si>
  <si>
    <t>10925.31</t>
  </si>
  <si>
    <t>3904.25</t>
  </si>
  <si>
    <t>ORD101879</t>
  </si>
  <si>
    <t>CUST10195</t>
  </si>
  <si>
    <t>9124.07</t>
  </si>
  <si>
    <t>7359.37</t>
  </si>
  <si>
    <t>-60.11</t>
  </si>
  <si>
    <t>ORD101880</t>
  </si>
  <si>
    <t>CUST13344</t>
  </si>
  <si>
    <t>10865.29</t>
  </si>
  <si>
    <t>8817.33</t>
  </si>
  <si>
    <t>2047.96</t>
  </si>
  <si>
    <t>ORD101883</t>
  </si>
  <si>
    <t>CUST11846</t>
  </si>
  <si>
    <t>6793.05</t>
  </si>
  <si>
    <t>4825.6899999999996</t>
  </si>
  <si>
    <t>948.4</t>
  </si>
  <si>
    <t>ORD101884</t>
  </si>
  <si>
    <t>CUST10078</t>
  </si>
  <si>
    <t>4065.2</t>
  </si>
  <si>
    <t>4556.28</t>
  </si>
  <si>
    <t>3167.6</t>
  </si>
  <si>
    <t>ORD101886</t>
  </si>
  <si>
    <t>CUST12314</t>
  </si>
  <si>
    <t>6088.32</t>
  </si>
  <si>
    <t>4573.79</t>
  </si>
  <si>
    <t>905.7</t>
  </si>
  <si>
    <t>ORD101888</t>
  </si>
  <si>
    <t>CUST11444</t>
  </si>
  <si>
    <t>700.51</t>
  </si>
  <si>
    <t>462.36</t>
  </si>
  <si>
    <t>133.07</t>
  </si>
  <si>
    <t>ORD101892</t>
  </si>
  <si>
    <t>CUST13230</t>
  </si>
  <si>
    <t>1865.53</t>
  </si>
  <si>
    <t>1518.36</t>
  </si>
  <si>
    <t>253.89</t>
  </si>
  <si>
    <t>ORD101894</t>
  </si>
  <si>
    <t>CUST11237</t>
  </si>
  <si>
    <t>2725.42</t>
  </si>
  <si>
    <t>1870.48</t>
  </si>
  <si>
    <t>854.94</t>
  </si>
  <si>
    <t>ORD101895</t>
  </si>
  <si>
    <t>CUST10678</t>
  </si>
  <si>
    <t>36115.279999999999</t>
  </si>
  <si>
    <t>22964.84</t>
  </si>
  <si>
    <t>9538.91</t>
  </si>
  <si>
    <t>ORD101896</t>
  </si>
  <si>
    <t>CUST12664</t>
  </si>
  <si>
    <t>36215.699999999997</t>
  </si>
  <si>
    <t>20549.169999999998</t>
  </si>
  <si>
    <t>8423.39</t>
  </si>
  <si>
    <t>ORD101897</t>
  </si>
  <si>
    <t>CUST11733</t>
  </si>
  <si>
    <t>10466.370000000001</t>
  </si>
  <si>
    <t>15088.07</t>
  </si>
  <si>
    <t>5844.67</t>
  </si>
  <si>
    <t>ORD101898</t>
  </si>
  <si>
    <t>CUST10819</t>
  </si>
  <si>
    <t>3006.91</t>
  </si>
  <si>
    <t>4718.8500000000004</t>
  </si>
  <si>
    <t>392.9</t>
  </si>
  <si>
    <t>ORD101900</t>
  </si>
  <si>
    <t>CUST11003</t>
  </si>
  <si>
    <t>6849.62</t>
  </si>
  <si>
    <t>9263.7999999999993</t>
  </si>
  <si>
    <t>4435.4399999999996</t>
  </si>
  <si>
    <t>ORD101901</t>
  </si>
  <si>
    <t>CUST10203</t>
  </si>
  <si>
    <t>885.21</t>
  </si>
  <si>
    <t>536.67999999999995</t>
  </si>
  <si>
    <t>348.53</t>
  </si>
  <si>
    <t>ORD101905</t>
  </si>
  <si>
    <t>CUST12311</t>
  </si>
  <si>
    <t>62878.66</t>
  </si>
  <si>
    <t>41713.879999999997</t>
  </si>
  <si>
    <t>21164.78</t>
  </si>
  <si>
    <t>ORD101906</t>
  </si>
  <si>
    <t>CUST12220</t>
  </si>
  <si>
    <t>720.17</t>
  </si>
  <si>
    <t>1255.33</t>
  </si>
  <si>
    <t>689.13</t>
  </si>
  <si>
    <t>ORD101907</t>
  </si>
  <si>
    <t>CUST13359</t>
  </si>
  <si>
    <t>8947.06</t>
  </si>
  <si>
    <t>23273.26</t>
  </si>
  <si>
    <t>8936.16</t>
  </si>
  <si>
    <t>ORD101908</t>
  </si>
  <si>
    <t>CUST11100</t>
  </si>
  <si>
    <t>2383.1999999999998</t>
  </si>
  <si>
    <t>1800.99</t>
  </si>
  <si>
    <t>224.73</t>
  </si>
  <si>
    <t>ORD101911</t>
  </si>
  <si>
    <t>CUST11902</t>
  </si>
  <si>
    <t>5673.34</t>
  </si>
  <si>
    <t>3463.51</t>
  </si>
  <si>
    <t>1075.1600000000001</t>
  </si>
  <si>
    <t>ORD101913</t>
  </si>
  <si>
    <t>CUST12276</t>
  </si>
  <si>
    <t>6094.93</t>
  </si>
  <si>
    <t>3773.17</t>
  </si>
  <si>
    <t>1102.77</t>
  </si>
  <si>
    <t>ORD101916</t>
  </si>
  <si>
    <t>CUST12057</t>
  </si>
  <si>
    <t>50439.57</t>
  </si>
  <si>
    <t>71079.3</t>
  </si>
  <si>
    <t>19711.93</t>
  </si>
  <si>
    <t>ORD101917</t>
  </si>
  <si>
    <t>CUST13321</t>
  </si>
  <si>
    <t>3020.88</t>
  </si>
  <si>
    <t>1728.64</t>
  </si>
  <si>
    <t>1141.2</t>
  </si>
  <si>
    <t>ORD101919</t>
  </si>
  <si>
    <t>CUST11498</t>
  </si>
  <si>
    <t>14068.7</t>
  </si>
  <si>
    <t>10263</t>
  </si>
  <si>
    <t>3102.26</t>
  </si>
  <si>
    <t>ORD101921</t>
  </si>
  <si>
    <t>CUST13332</t>
  </si>
  <si>
    <t>3403.53</t>
  </si>
  <si>
    <t>2564.29</t>
  </si>
  <si>
    <t>839.24</t>
  </si>
  <si>
    <t>ORD101922</t>
  </si>
  <si>
    <t>CUST12071</t>
  </si>
  <si>
    <t>11622.27</t>
  </si>
  <si>
    <t>27271.29</t>
  </si>
  <si>
    <t>2365.5</t>
  </si>
  <si>
    <t>ORD101929</t>
  </si>
  <si>
    <t>CUST13188</t>
  </si>
  <si>
    <t>4331.74</t>
  </si>
  <si>
    <t>2418.69</t>
  </si>
  <si>
    <t>1479.88</t>
  </si>
  <si>
    <t>ORD101930</t>
  </si>
  <si>
    <t>CUST11704</t>
  </si>
  <si>
    <t>30665.45</t>
  </si>
  <si>
    <t>24435.200000000001</t>
  </si>
  <si>
    <t>1630.43</t>
  </si>
  <si>
    <t>ORD101933</t>
  </si>
  <si>
    <t>CUST12480</t>
  </si>
  <si>
    <t>4458.91</t>
  </si>
  <si>
    <t>2838.32</t>
  </si>
  <si>
    <t>1174.7</t>
  </si>
  <si>
    <t>ORD101935</t>
  </si>
  <si>
    <t>CUST13406</t>
  </si>
  <si>
    <t>10114.6</t>
  </si>
  <si>
    <t>6977.87</t>
  </si>
  <si>
    <t>2125.27</t>
  </si>
  <si>
    <t>ORD101938</t>
  </si>
  <si>
    <t>CUST12980</t>
  </si>
  <si>
    <t>6293.09</t>
  </si>
  <si>
    <t>3551.27</t>
  </si>
  <si>
    <t>2112.5100000000002</t>
  </si>
  <si>
    <t>ORD101939</t>
  </si>
  <si>
    <t>CUST11230</t>
  </si>
  <si>
    <t>370.85</t>
  </si>
  <si>
    <t>259.11</t>
  </si>
  <si>
    <t>93.2</t>
  </si>
  <si>
    <t>ORD101940</t>
  </si>
  <si>
    <t>CUST10177</t>
  </si>
  <si>
    <t>3953.36</t>
  </si>
  <si>
    <t>9033.69</t>
  </si>
  <si>
    <t>5989.08</t>
  </si>
  <si>
    <t>ORD101941</t>
  </si>
  <si>
    <t>CUST11065</t>
  </si>
  <si>
    <t>2870.81</t>
  </si>
  <si>
    <t>1820.11</t>
  </si>
  <si>
    <t>620.08000000000004</t>
  </si>
  <si>
    <t>ORD101942</t>
  </si>
  <si>
    <t>CUST12255</t>
  </si>
  <si>
    <t>3528.9</t>
  </si>
  <si>
    <t>2095.6799999999998</t>
  </si>
  <si>
    <t>1256.78</t>
  </si>
  <si>
    <t>ORD101944</t>
  </si>
  <si>
    <t>CUST11177</t>
  </si>
  <si>
    <t>4809.24</t>
  </si>
  <si>
    <t>2660.99</t>
  </si>
  <si>
    <t>2148.25</t>
  </si>
  <si>
    <t>ORD101946</t>
  </si>
  <si>
    <t>CUST10269</t>
  </si>
  <si>
    <t>51389.67</t>
  </si>
  <si>
    <t>31434.9</t>
  </si>
  <si>
    <t>14815.8</t>
  </si>
  <si>
    <t>ORD101947</t>
  </si>
  <si>
    <t>CUST10618</t>
  </si>
  <si>
    <t>4420.29</t>
  </si>
  <si>
    <t>3101.58</t>
  </si>
  <si>
    <t>655.67</t>
  </si>
  <si>
    <t>ORD101949</t>
  </si>
  <si>
    <t>CUST13126</t>
  </si>
  <si>
    <t>4228.46</t>
  </si>
  <si>
    <t>2414.77</t>
  </si>
  <si>
    <t>1602.27</t>
  </si>
  <si>
    <t>ORD101950</t>
  </si>
  <si>
    <t>CUST11757</t>
  </si>
  <si>
    <t>70430.13</t>
  </si>
  <si>
    <t>172226.21</t>
  </si>
  <si>
    <t>7370.62</t>
  </si>
  <si>
    <t>ORD101951</t>
  </si>
  <si>
    <t>04-09-2025</t>
  </si>
  <si>
    <t>CUST13173</t>
  </si>
  <si>
    <t>40603.379999999997</t>
  </si>
  <si>
    <t>57829.01</t>
  </si>
  <si>
    <t>23377.75</t>
  </si>
  <si>
    <t>ORD101954</t>
  </si>
  <si>
    <t>CUST10803</t>
  </si>
  <si>
    <t>6333.23</t>
  </si>
  <si>
    <t>9063.65</t>
  </si>
  <si>
    <t>1702.84</t>
  </si>
  <si>
    <t>ORD101957</t>
  </si>
  <si>
    <t>CUST10975</t>
  </si>
  <si>
    <t>4768.4399999999996</t>
  </si>
  <si>
    <t>2809.76</t>
  </si>
  <si>
    <t>1004.99</t>
  </si>
  <si>
    <t>ORD101959</t>
  </si>
  <si>
    <t>CUST12307</t>
  </si>
  <si>
    <t>4000.6</t>
  </si>
  <si>
    <t>2990.78</t>
  </si>
  <si>
    <t>809.79</t>
  </si>
  <si>
    <t>ORD101960</t>
  </si>
  <si>
    <t>CUST13236</t>
  </si>
  <si>
    <t>9041.1299999999992</t>
  </si>
  <si>
    <t>14669.29</t>
  </si>
  <si>
    <t>1604.74</t>
  </si>
  <si>
    <t>ORD101963</t>
  </si>
  <si>
    <t>CUST10835</t>
  </si>
  <si>
    <t>1822.53</t>
  </si>
  <si>
    <t>2638.73</t>
  </si>
  <si>
    <t>1006.33</t>
  </si>
  <si>
    <t>ORD101964</t>
  </si>
  <si>
    <t>CUST11134</t>
  </si>
  <si>
    <t>4004.84</t>
  </si>
  <si>
    <t>2552.42</t>
  </si>
  <si>
    <t>651.45000000000005</t>
  </si>
  <si>
    <t>ORD101966</t>
  </si>
  <si>
    <t>CUST10001</t>
  </si>
  <si>
    <t>60817.88</t>
  </si>
  <si>
    <t>72610</t>
  </si>
  <si>
    <t>49025.760000000002</t>
  </si>
  <si>
    <t>ORD101974</t>
  </si>
  <si>
    <t>CUST11529</t>
  </si>
  <si>
    <t>10066.61</t>
  </si>
  <si>
    <t>5895.73</t>
  </si>
  <si>
    <t>3667.55</t>
  </si>
  <si>
    <t>ORD101975</t>
  </si>
  <si>
    <t>CUST10077</t>
  </si>
  <si>
    <t>6600.58</t>
  </si>
  <si>
    <t>3791.35</t>
  </si>
  <si>
    <t>2479.1999999999998</t>
  </si>
  <si>
    <t>ORD101976</t>
  </si>
  <si>
    <t>CUST12279</t>
  </si>
  <si>
    <t>73561.97</t>
  </si>
  <si>
    <t>54063.16</t>
  </si>
  <si>
    <t>8464.51</t>
  </si>
  <si>
    <t>ORD101978</t>
  </si>
  <si>
    <t>CUST11438</t>
  </si>
  <si>
    <t>2789.32</t>
  </si>
  <si>
    <t>1540.01</t>
  </si>
  <si>
    <t>970.38</t>
  </si>
  <si>
    <t>ORD101979</t>
  </si>
  <si>
    <t>CUST11033</t>
  </si>
  <si>
    <t>8195.7099999999991</t>
  </si>
  <si>
    <t>9452.83</t>
  </si>
  <si>
    <t>6119.02</t>
  </si>
  <si>
    <t>ORD101981</t>
  </si>
  <si>
    <t>CUST12679</t>
  </si>
  <si>
    <t>48645.17</t>
  </si>
  <si>
    <t>84351.55</t>
  </si>
  <si>
    <t>54287.18</t>
  </si>
  <si>
    <t>ORD101985</t>
  </si>
  <si>
    <t>CUST13306</t>
  </si>
  <si>
    <t>17397.63</t>
  </si>
  <si>
    <t>26076.97</t>
  </si>
  <si>
    <t>6978.53</t>
  </si>
  <si>
    <t>ORD101987</t>
  </si>
  <si>
    <t>CUST10573</t>
  </si>
  <si>
    <t>1115.33</t>
  </si>
  <si>
    <t>1565.97</t>
  </si>
  <si>
    <t>664.69</t>
  </si>
  <si>
    <t>ORD101990</t>
  </si>
  <si>
    <t>CUST10213</t>
  </si>
  <si>
    <t>3040.32</t>
  </si>
  <si>
    <t>2237</t>
  </si>
  <si>
    <t>347.27</t>
  </si>
  <si>
    <t>ORD101992</t>
  </si>
  <si>
    <t>CUST11758</t>
  </si>
  <si>
    <t>62839.18</t>
  </si>
  <si>
    <t>47694.04</t>
  </si>
  <si>
    <t>12003.18</t>
  </si>
  <si>
    <t>ORD101993</t>
  </si>
  <si>
    <t>CUST11602</t>
  </si>
  <si>
    <t>4428.41</t>
  </si>
  <si>
    <t>10291.780000000001</t>
  </si>
  <si>
    <t>6536.18</t>
  </si>
  <si>
    <t>ORD101994</t>
  </si>
  <si>
    <t>CUST10919</t>
  </si>
  <si>
    <t>58917.99</t>
  </si>
  <si>
    <t>46908.39</t>
  </si>
  <si>
    <t>9063.7000000000007</t>
  </si>
  <si>
    <t>ORD101995</t>
  </si>
  <si>
    <t>CUST13390</t>
  </si>
  <si>
    <t>3057.39</t>
  </si>
  <si>
    <t>1711.14</t>
  </si>
  <si>
    <t>734.77</t>
  </si>
  <si>
    <t>ORD101999</t>
  </si>
  <si>
    <t>CUST10002</t>
  </si>
  <si>
    <t>6320.4</t>
  </si>
  <si>
    <t>4458.71</t>
  </si>
  <si>
    <t>1861.69</t>
  </si>
  <si>
    <t>ORD102000</t>
  </si>
  <si>
    <t>CUST12415</t>
  </si>
  <si>
    <t>16706.41</t>
  </si>
  <si>
    <t>22763.29</t>
  </si>
  <si>
    <t>10649.53</t>
  </si>
  <si>
    <t>ORD102001</t>
  </si>
  <si>
    <t>CUST10489</t>
  </si>
  <si>
    <t>319.74</t>
  </si>
  <si>
    <t>229.68</t>
  </si>
  <si>
    <t>42.1</t>
  </si>
  <si>
    <t>ORD102002</t>
  </si>
  <si>
    <t>CUST10423</t>
  </si>
  <si>
    <t>36853.35</t>
  </si>
  <si>
    <t>29005.38</t>
  </si>
  <si>
    <t>7847.97</t>
  </si>
  <si>
    <t>ORD102003</t>
  </si>
  <si>
    <t>CUST13244</t>
  </si>
  <si>
    <t>5144.38</t>
  </si>
  <si>
    <t>6473.16</t>
  </si>
  <si>
    <t>3815.6</t>
  </si>
  <si>
    <t>ORD102006</t>
  </si>
  <si>
    <t>CUST10994</t>
  </si>
  <si>
    <t>6632.43</t>
  </si>
  <si>
    <t>9562.7099999999991</t>
  </si>
  <si>
    <t>2375.66</t>
  </si>
  <si>
    <t>ORD102007</t>
  </si>
  <si>
    <t>CUST13189</t>
  </si>
  <si>
    <t>3062.82</t>
  </si>
  <si>
    <t>2084.4299999999998</t>
  </si>
  <si>
    <t>672.11</t>
  </si>
  <si>
    <t>ORD102008</t>
  </si>
  <si>
    <t>CUST11847</t>
  </si>
  <si>
    <t>1596.19</t>
  </si>
  <si>
    <t>1156.3599999999999</t>
  </si>
  <si>
    <t>280.20999999999998</t>
  </si>
  <si>
    <t>ORD102009</t>
  </si>
  <si>
    <t>CUST12946</t>
  </si>
  <si>
    <t>11561.14</t>
  </si>
  <si>
    <t>7177.82</t>
  </si>
  <si>
    <t>2649.15</t>
  </si>
  <si>
    <t>ORD102012</t>
  </si>
  <si>
    <t>CUST12339</t>
  </si>
  <si>
    <t>10920.82</t>
  </si>
  <si>
    <t>7033.98</t>
  </si>
  <si>
    <t>3340.8</t>
  </si>
  <si>
    <t>ORD102013</t>
  </si>
  <si>
    <t>CUST11702</t>
  </si>
  <si>
    <t>8594.8700000000008</t>
  </si>
  <si>
    <t>4748.97</t>
  </si>
  <si>
    <t>2986.41</t>
  </si>
  <si>
    <t>ORD102015</t>
  </si>
  <si>
    <t>CUST11365</t>
  </si>
  <si>
    <t>1045.27</t>
  </si>
  <si>
    <t>1966.06</t>
  </si>
  <si>
    <t>856.17</t>
  </si>
  <si>
    <t>ORD102020</t>
  </si>
  <si>
    <t>CUST10031</t>
  </si>
  <si>
    <t>484.82</t>
  </si>
  <si>
    <t>1024.82</t>
  </si>
  <si>
    <t>356.92</t>
  </si>
  <si>
    <t>ORD102022</t>
  </si>
  <si>
    <t>CUST11373</t>
  </si>
  <si>
    <t>4397.4399999999996</t>
  </si>
  <si>
    <t>3037.11</t>
  </si>
  <si>
    <t>700.71</t>
  </si>
  <si>
    <t>ORD102023</t>
  </si>
  <si>
    <t>CUST12086</t>
  </si>
  <si>
    <t>2907.16</t>
  </si>
  <si>
    <t>3621.79</t>
  </si>
  <si>
    <t>1901.81</t>
  </si>
  <si>
    <t>ORD102025</t>
  </si>
  <si>
    <t>CUST11319</t>
  </si>
  <si>
    <t>25969.25</t>
  </si>
  <si>
    <t>21216.91</t>
  </si>
  <si>
    <t>-441.51</t>
  </si>
  <si>
    <t>ORD102027</t>
  </si>
  <si>
    <t>CUST13262</t>
  </si>
  <si>
    <t>5787.32</t>
  </si>
  <si>
    <t>4398.16</t>
  </si>
  <si>
    <t>1099.79</t>
  </si>
  <si>
    <t>ORD102028</t>
  </si>
  <si>
    <t>CUST10694</t>
  </si>
  <si>
    <t>10131.77</t>
  </si>
  <si>
    <t>8300.4599999999991</t>
  </si>
  <si>
    <t>-195.04</t>
  </si>
  <si>
    <t>ORD102029</t>
  </si>
  <si>
    <t>CUST10514</t>
  </si>
  <si>
    <t>3799.41</t>
  </si>
  <si>
    <t>2787.2</t>
  </si>
  <si>
    <t>442.3</t>
  </si>
  <si>
    <t>ORD102030</t>
  </si>
  <si>
    <t>CUST11046</t>
  </si>
  <si>
    <t>3525.49</t>
  </si>
  <si>
    <t>2529.94</t>
  </si>
  <si>
    <t>995.55</t>
  </si>
  <si>
    <t>ORD102032</t>
  </si>
  <si>
    <t>CUST13340</t>
  </si>
  <si>
    <t>11578.83</t>
  </si>
  <si>
    <t>8027.45</t>
  </si>
  <si>
    <t>2393.5</t>
  </si>
  <si>
    <t>ORD102035</t>
  </si>
  <si>
    <t>CUST11699</t>
  </si>
  <si>
    <t>41529</t>
  </si>
  <si>
    <t>26834.26</t>
  </si>
  <si>
    <t>8465.39</t>
  </si>
  <si>
    <t>ORD102036</t>
  </si>
  <si>
    <t>CUST13315</t>
  </si>
  <si>
    <t>56169.25</t>
  </si>
  <si>
    <t>32326.34</t>
  </si>
  <si>
    <t>15417.52</t>
  </si>
  <si>
    <t>ORD102037</t>
  </si>
  <si>
    <t>CUST12082</t>
  </si>
  <si>
    <t>5116.8500000000004</t>
  </si>
  <si>
    <t>3232.68</t>
  </si>
  <si>
    <t>1628.33</t>
  </si>
  <si>
    <t>ORD102038</t>
  </si>
  <si>
    <t>CUST12324</t>
  </si>
  <si>
    <t>25445.22</t>
  </si>
  <si>
    <t>20693.669999999998</t>
  </si>
  <si>
    <t>934.77</t>
  </si>
  <si>
    <t>ORD102039</t>
  </si>
  <si>
    <t>03-06-2025</t>
  </si>
  <si>
    <t>CUST12988</t>
  </si>
  <si>
    <t>5035.24</t>
  </si>
  <si>
    <t>7218.25</t>
  </si>
  <si>
    <t>1845.18</t>
  </si>
  <si>
    <t>ORD102044</t>
  </si>
  <si>
    <t>CUST11302</t>
  </si>
  <si>
    <t>2859.58</t>
  </si>
  <si>
    <t>3168.93</t>
  </si>
  <si>
    <t>1692.36</t>
  </si>
  <si>
    <t>ORD102045</t>
  </si>
  <si>
    <t>CUST10181</t>
  </si>
  <si>
    <t>14750.21</t>
  </si>
  <si>
    <t>8288.5</t>
  </si>
  <si>
    <t>5724.2</t>
  </si>
  <si>
    <t>ORD102046</t>
  </si>
  <si>
    <t>CUST12479</t>
  </si>
  <si>
    <t>5748.44</t>
  </si>
  <si>
    <t>3414.86</t>
  </si>
  <si>
    <t>1471.31</t>
  </si>
  <si>
    <t>ORD102049</t>
  </si>
  <si>
    <t>CUST12012</t>
  </si>
  <si>
    <t>1496.41</t>
  </si>
  <si>
    <t>1092.28</t>
  </si>
  <si>
    <t>179.67</t>
  </si>
  <si>
    <t>ORD102050</t>
  </si>
  <si>
    <t>CUST10274</t>
  </si>
  <si>
    <t>46824.39</t>
  </si>
  <si>
    <t>74762.759999999995</t>
  </si>
  <si>
    <t>14203.58</t>
  </si>
  <si>
    <t>ORD102051</t>
  </si>
  <si>
    <t>CUST12695</t>
  </si>
  <si>
    <t>3248.34</t>
  </si>
  <si>
    <t>3585.86</t>
  </si>
  <si>
    <t>2910.82</t>
  </si>
  <si>
    <t>ORD102052</t>
  </si>
  <si>
    <t>CUST11695</t>
  </si>
  <si>
    <t>10721.42</t>
  </si>
  <si>
    <t>12738.43</t>
  </si>
  <si>
    <t>7632.27</t>
  </si>
  <si>
    <t>ORD102053</t>
  </si>
  <si>
    <t>CUST11827</t>
  </si>
  <si>
    <t>3076.27</t>
  </si>
  <si>
    <t>2450.7399999999998</t>
  </si>
  <si>
    <t>625.53</t>
  </si>
  <si>
    <t>ORD102057</t>
  </si>
  <si>
    <t>CUST10242</t>
  </si>
  <si>
    <t>950.3</t>
  </si>
  <si>
    <t>1498.57</t>
  </si>
  <si>
    <t>307</t>
  </si>
  <si>
    <t>ORD102059</t>
  </si>
  <si>
    <t>CUST11227</t>
  </si>
  <si>
    <t>5114.74</t>
  </si>
  <si>
    <t>7963.47</t>
  </si>
  <si>
    <t>731.59</t>
  </si>
  <si>
    <t>ORD102060</t>
  </si>
  <si>
    <t>CUST11277</t>
  </si>
  <si>
    <t>4013.87</t>
  </si>
  <si>
    <t>2497.12</t>
  </si>
  <si>
    <t>914.67</t>
  </si>
  <si>
    <t>ORD102061</t>
  </si>
  <si>
    <t>CUST12777</t>
  </si>
  <si>
    <t>3209.2</t>
  </si>
  <si>
    <t>2029.47</t>
  </si>
  <si>
    <t>858.81</t>
  </si>
  <si>
    <t>ORD102067</t>
  </si>
  <si>
    <t>CUST10804</t>
  </si>
  <si>
    <t>2370.4499999999998</t>
  </si>
  <si>
    <t>3329.07</t>
  </si>
  <si>
    <t>1411.83</t>
  </si>
  <si>
    <t>ORD102068</t>
  </si>
  <si>
    <t>CUST11011</t>
  </si>
  <si>
    <t>4880.6499999999996</t>
  </si>
  <si>
    <t>2746.95</t>
  </si>
  <si>
    <t>1889.67</t>
  </si>
  <si>
    <t>ORD102069</t>
  </si>
  <si>
    <t>CUST11868</t>
  </si>
  <si>
    <t>14942.6</t>
  </si>
  <si>
    <t>16774.14</t>
  </si>
  <si>
    <t>10122.540000000001</t>
  </si>
  <si>
    <t>ORD102071</t>
  </si>
  <si>
    <t>CUST13176</t>
  </si>
  <si>
    <t>34708.47</t>
  </si>
  <si>
    <t>26213.83</t>
  </si>
  <si>
    <t>3288.37</t>
  </si>
  <si>
    <t>ORD102072</t>
  </si>
  <si>
    <t>CUST10947</t>
  </si>
  <si>
    <t>2716.99</t>
  </si>
  <si>
    <t>2045.25</t>
  </si>
  <si>
    <t>535.89</t>
  </si>
  <si>
    <t>ORD102074</t>
  </si>
  <si>
    <t>CUST10541</t>
  </si>
  <si>
    <t>8152.59</t>
  </si>
  <si>
    <t>6253.44</t>
  </si>
  <si>
    <t>1899.15</t>
  </si>
  <si>
    <t>ORD102078</t>
  </si>
  <si>
    <t>CUST10455</t>
  </si>
  <si>
    <t>50731.4</t>
  </si>
  <si>
    <t>36025.24</t>
  </si>
  <si>
    <t>7096.45</t>
  </si>
  <si>
    <t>ORD102079</t>
  </si>
  <si>
    <t>CUST13373</t>
  </si>
  <si>
    <t>55447.040000000001</t>
  </si>
  <si>
    <t>44690.62</t>
  </si>
  <si>
    <t>7984.07</t>
  </si>
  <si>
    <t>ORD102080</t>
  </si>
  <si>
    <t>CUST12821</t>
  </si>
  <si>
    <t>6758.84</t>
  </si>
  <si>
    <t>4029.93</t>
  </si>
  <si>
    <t>2053.0300000000002</t>
  </si>
  <si>
    <t>ORD102081</t>
  </si>
  <si>
    <t>CUST12926</t>
  </si>
  <si>
    <t>5562.4</t>
  </si>
  <si>
    <t>4352.8500000000004</t>
  </si>
  <si>
    <t>931.43</t>
  </si>
  <si>
    <t>ORD102082</t>
  </si>
  <si>
    <t>CUST10383</t>
  </si>
  <si>
    <t>4628.26</t>
  </si>
  <si>
    <t>2927.71</t>
  </si>
  <si>
    <t>1006.31</t>
  </si>
  <si>
    <t>ORD102083</t>
  </si>
  <si>
    <t>CUST11311</t>
  </si>
  <si>
    <t>4182.45</t>
  </si>
  <si>
    <t>2584.7199999999998</t>
  </si>
  <si>
    <t>1179.48</t>
  </si>
  <si>
    <t>ORD102085</t>
  </si>
  <si>
    <t>CUST10798</t>
  </si>
  <si>
    <t>7345.03</t>
  </si>
  <si>
    <t>17751.79</t>
  </si>
  <si>
    <t>10159.32</t>
  </si>
  <si>
    <t>ORD102086</t>
  </si>
  <si>
    <t>CUST10224</t>
  </si>
  <si>
    <t>4645.12</t>
  </si>
  <si>
    <t>3626.59</t>
  </si>
  <si>
    <t>786.27</t>
  </si>
  <si>
    <t>ORD102088</t>
  </si>
  <si>
    <t>CUST10900</t>
  </si>
  <si>
    <t>2746.37</t>
  </si>
  <si>
    <t>1825.42</t>
  </si>
  <si>
    <t>508.99</t>
  </si>
  <si>
    <t>ORD102089</t>
  </si>
  <si>
    <t>CUST11542</t>
  </si>
  <si>
    <t>1908.1</t>
  </si>
  <si>
    <t>1124.24</t>
  </si>
  <si>
    <t>688.46</t>
  </si>
  <si>
    <t>ORD102090</t>
  </si>
  <si>
    <t>CUST12208</t>
  </si>
  <si>
    <t>54876.04</t>
  </si>
  <si>
    <t>62846.34</t>
  </si>
  <si>
    <t>35930.53</t>
  </si>
  <si>
    <t>ORD102091</t>
  </si>
  <si>
    <t>CUST10198</t>
  </si>
  <si>
    <t>1138.24</t>
  </si>
  <si>
    <t>1314.17</t>
  </si>
  <si>
    <t>507.01</t>
  </si>
  <si>
    <t>ORD102093</t>
  </si>
  <si>
    <t>CUST12691</t>
  </si>
  <si>
    <t>9852.7800000000007</t>
  </si>
  <si>
    <t>14974.06</t>
  </si>
  <si>
    <t>790.39</t>
  </si>
  <si>
    <t>ORD102094</t>
  </si>
  <si>
    <t>CUST13226</t>
  </si>
  <si>
    <t>9095.5400000000009</t>
  </si>
  <si>
    <t>13503.11</t>
  </si>
  <si>
    <t>4687.97</t>
  </si>
  <si>
    <t>ORD102096</t>
  </si>
  <si>
    <t>CUST10027</t>
  </si>
  <si>
    <t>8500.31</t>
  </si>
  <si>
    <t>6783.42</t>
  </si>
  <si>
    <t>441.84</t>
  </si>
  <si>
    <t>ORD102098</t>
  </si>
  <si>
    <t>CUST12815</t>
  </si>
  <si>
    <t>3969.36</t>
  </si>
  <si>
    <t>4641.46</t>
  </si>
  <si>
    <t>3297.26</t>
  </si>
  <si>
    <t>ORD102099</t>
  </si>
  <si>
    <t>CUST11715</t>
  </si>
  <si>
    <t>1815.15</t>
  </si>
  <si>
    <t>3749.74</t>
  </si>
  <si>
    <t>606.62</t>
  </si>
  <si>
    <t>ORD102100</t>
  </si>
  <si>
    <t>CUST11038</t>
  </si>
  <si>
    <t>5029.45</t>
  </si>
  <si>
    <t>6393.47</t>
  </si>
  <si>
    <t>2156.59</t>
  </si>
  <si>
    <t>ORD102102</t>
  </si>
  <si>
    <t>CUST12321</t>
  </si>
  <si>
    <t>1925.51</t>
  </si>
  <si>
    <t>2552.21</t>
  </si>
  <si>
    <t>913.71</t>
  </si>
  <si>
    <t>ORD102103</t>
  </si>
  <si>
    <t>CUST11585</t>
  </si>
  <si>
    <t>53719.95</t>
  </si>
  <si>
    <t>111838.07</t>
  </si>
  <si>
    <t>49321.78</t>
  </si>
  <si>
    <t>ORD102105</t>
  </si>
  <si>
    <t>CUST10164</t>
  </si>
  <si>
    <t>2895.11</t>
  </si>
  <si>
    <t>1783.27</t>
  </si>
  <si>
    <t>677.57</t>
  </si>
  <si>
    <t>ORD102108</t>
  </si>
  <si>
    <t>CUST11984</t>
  </si>
  <si>
    <t>17721.45</t>
  </si>
  <si>
    <t>9894.7000000000007</t>
  </si>
  <si>
    <t>6940.68</t>
  </si>
  <si>
    <t>ORD102111</t>
  </si>
  <si>
    <t>CUST11960</t>
  </si>
  <si>
    <t>11845.71</t>
  </si>
  <si>
    <t>8243.36</t>
  </si>
  <si>
    <t>3602.35</t>
  </si>
  <si>
    <t>ORD102112</t>
  </si>
  <si>
    <t>CUST12648</t>
  </si>
  <si>
    <t>55771.09</t>
  </si>
  <si>
    <t>38444.660000000003</t>
  </si>
  <si>
    <t>17326.43</t>
  </si>
  <si>
    <t>ORD102114</t>
  </si>
  <si>
    <t>CUST13459</t>
  </si>
  <si>
    <t>48153.24</t>
  </si>
  <si>
    <t>26855.64</t>
  </si>
  <si>
    <t>16482.28</t>
  </si>
  <si>
    <t>ORD102115</t>
  </si>
  <si>
    <t>CUST10816</t>
  </si>
  <si>
    <t>2470.46</t>
  </si>
  <si>
    <t>1540.33</t>
  </si>
  <si>
    <t>930.13</t>
  </si>
  <si>
    <t>ORD102116</t>
  </si>
  <si>
    <t>CUST12214</t>
  </si>
  <si>
    <t>17848.39</t>
  </si>
  <si>
    <t>21630.15</t>
  </si>
  <si>
    <t>8712.11</t>
  </si>
  <si>
    <t>ORD102117</t>
  </si>
  <si>
    <t>CUST11088</t>
  </si>
  <si>
    <t>55966.9</t>
  </si>
  <si>
    <t>44969.73</t>
  </si>
  <si>
    <t>10997.17</t>
  </si>
  <si>
    <t>ORD102118</t>
  </si>
  <si>
    <t>CUST10082</t>
  </si>
  <si>
    <t>70799.3</t>
  </si>
  <si>
    <t>41703.11</t>
  </si>
  <si>
    <t>22016.26</t>
  </si>
  <si>
    <t>ORD102119</t>
  </si>
  <si>
    <t>CUST13039</t>
  </si>
  <si>
    <t>5742.33</t>
  </si>
  <si>
    <t>15296.49</t>
  </si>
  <si>
    <t>7672.83</t>
  </si>
  <si>
    <t>ORD102122</t>
  </si>
  <si>
    <t>CUST13461</t>
  </si>
  <si>
    <t>1009.84</t>
  </si>
  <si>
    <t>599.19000000000005</t>
  </si>
  <si>
    <t>259.17</t>
  </si>
  <si>
    <t>ORD102124</t>
  </si>
  <si>
    <t>CUST12332</t>
  </si>
  <si>
    <t>19082.919999999998</t>
  </si>
  <si>
    <t>31741.56</t>
  </si>
  <si>
    <t>25507.200000000001</t>
  </si>
  <si>
    <t>ORD102128</t>
  </si>
  <si>
    <t>CUST11415</t>
  </si>
  <si>
    <t>6645.92</t>
  </si>
  <si>
    <t>14798.12</t>
  </si>
  <si>
    <t>5139.6400000000003</t>
  </si>
  <si>
    <t>ORD102129</t>
  </si>
  <si>
    <t>CUST12236</t>
  </si>
  <si>
    <t>6545.76</t>
  </si>
  <si>
    <t>19067.89</t>
  </si>
  <si>
    <t>4496.8500000000004</t>
  </si>
  <si>
    <t>ORD102130</t>
  </si>
  <si>
    <t>CUST12541</t>
  </si>
  <si>
    <t>414.09</t>
  </si>
  <si>
    <t>277.95</t>
  </si>
  <si>
    <t>94.73</t>
  </si>
  <si>
    <t>ORD102134</t>
  </si>
  <si>
    <t>CUST10282</t>
  </si>
  <si>
    <t>4372.97</t>
  </si>
  <si>
    <t>8867.2099999999991</t>
  </si>
  <si>
    <t>2283.86</t>
  </si>
  <si>
    <t>ORD102139</t>
  </si>
  <si>
    <t>CUST11518</t>
  </si>
  <si>
    <t>1194.01</t>
  </si>
  <si>
    <t>1438.86</t>
  </si>
  <si>
    <t>949.16</t>
  </si>
  <si>
    <t>ORD102141</t>
  </si>
  <si>
    <t>CUST12410</t>
  </si>
  <si>
    <t>3289.78</t>
  </si>
  <si>
    <t>2538.02</t>
  </si>
  <si>
    <t>258.29000000000002</t>
  </si>
  <si>
    <t>ORD102144</t>
  </si>
  <si>
    <t>CUST12913</t>
  </si>
  <si>
    <t>16083.4</t>
  </si>
  <si>
    <t>12008.22</t>
  </si>
  <si>
    <t>1662.67</t>
  </si>
  <si>
    <t>ORD102145</t>
  </si>
  <si>
    <t>CUST12853</t>
  </si>
  <si>
    <t>59218.43</t>
  </si>
  <si>
    <t>43409.69</t>
  </si>
  <si>
    <t>15808.74</t>
  </si>
  <si>
    <t>ORD102146</t>
  </si>
  <si>
    <t>CUST11074</t>
  </si>
  <si>
    <t>6238.35</t>
  </si>
  <si>
    <t>3914.24</t>
  </si>
  <si>
    <t>2012.19</t>
  </si>
  <si>
    <t>ORD102148</t>
  </si>
  <si>
    <t>CUST12784</t>
  </si>
  <si>
    <t>18159.07</t>
  </si>
  <si>
    <t>46129.83</t>
  </si>
  <si>
    <t>11979.19</t>
  </si>
  <si>
    <t>ORD102149</t>
  </si>
  <si>
    <t>CUST10190</t>
  </si>
  <si>
    <t>19139.02</t>
  </si>
  <si>
    <t>12035.31</t>
  </si>
  <si>
    <t>5189.8100000000004</t>
  </si>
  <si>
    <t>ORD102150</t>
  </si>
  <si>
    <t>CUST10296</t>
  </si>
  <si>
    <t>4507.8</t>
  </si>
  <si>
    <t>6232.06</t>
  </si>
  <si>
    <t>2783.54</t>
  </si>
  <si>
    <t>ORD102152</t>
  </si>
  <si>
    <t>CUST12447</t>
  </si>
  <si>
    <t>6033.94</t>
  </si>
  <si>
    <t>3607.39</t>
  </si>
  <si>
    <t>1823.16</t>
  </si>
  <si>
    <t>ORD102153</t>
  </si>
  <si>
    <t>CUST10723</t>
  </si>
  <si>
    <t>26588.58</t>
  </si>
  <si>
    <t>17078.14</t>
  </si>
  <si>
    <t>8181.01</t>
  </si>
  <si>
    <t>ORD102154</t>
  </si>
  <si>
    <t>CUST10683</t>
  </si>
  <si>
    <t>4341.8</t>
  </si>
  <si>
    <t>2611.2199999999998</t>
  </si>
  <si>
    <t>1730.58</t>
  </si>
  <si>
    <t>ORD102159</t>
  </si>
  <si>
    <t>CUST11729</t>
  </si>
  <si>
    <t>15088.61</t>
  </si>
  <si>
    <t>19954.84</t>
  </si>
  <si>
    <t>7204.66</t>
  </si>
  <si>
    <t>ORD102160</t>
  </si>
  <si>
    <t>CUST12386</t>
  </si>
  <si>
    <t>2929.27</t>
  </si>
  <si>
    <t>4399.01</t>
  </si>
  <si>
    <t>1166.5999999999999</t>
  </si>
  <si>
    <t>ORD102166</t>
  </si>
  <si>
    <t>CUST10542</t>
  </si>
  <si>
    <t>6732.35</t>
  </si>
  <si>
    <t>12246.83</t>
  </si>
  <si>
    <t>6940.37</t>
  </si>
  <si>
    <t>ORD102167</t>
  </si>
  <si>
    <t>CUST11323</t>
  </si>
  <si>
    <t>8295.64</t>
  </si>
  <si>
    <t>26615.07</t>
  </si>
  <si>
    <t>6567.49</t>
  </si>
  <si>
    <t>ORD102168</t>
  </si>
  <si>
    <t>CUST13393</t>
  </si>
  <si>
    <t>62479.12</t>
  </si>
  <si>
    <t>41963.39</t>
  </si>
  <si>
    <t>20515.73</t>
  </si>
  <si>
    <t>ORD102169</t>
  </si>
  <si>
    <t>CUST11873</t>
  </si>
  <si>
    <t>9492.08</t>
  </si>
  <si>
    <t>6108.24</t>
  </si>
  <si>
    <t>1960.03</t>
  </si>
  <si>
    <t>ORD102170</t>
  </si>
  <si>
    <t>CUST10046</t>
  </si>
  <si>
    <t>7707.15</t>
  </si>
  <si>
    <t>8939.17</t>
  </si>
  <si>
    <t>5704.41</t>
  </si>
  <si>
    <t>ORD102171</t>
  </si>
  <si>
    <t>CUST10042</t>
  </si>
  <si>
    <t>2426.62</t>
  </si>
  <si>
    <t>1375.96</t>
  </si>
  <si>
    <t>686.67</t>
  </si>
  <si>
    <t>ORD102173</t>
  </si>
  <si>
    <t>CUST10603</t>
  </si>
  <si>
    <t>54202.89</t>
  </si>
  <si>
    <t>42769.1</t>
  </si>
  <si>
    <t>11433.79</t>
  </si>
  <si>
    <t>ORD102175</t>
  </si>
  <si>
    <t>CUST11491</t>
  </si>
  <si>
    <t>7986.28</t>
  </si>
  <si>
    <t>6346.09</t>
  </si>
  <si>
    <t>442.25</t>
  </si>
  <si>
    <t>ORD102181</t>
  </si>
  <si>
    <t>CUST11701</t>
  </si>
  <si>
    <t>3667.06</t>
  </si>
  <si>
    <t>2402.85</t>
  </si>
  <si>
    <t>714.15</t>
  </si>
  <si>
    <t>ORD102183</t>
  </si>
  <si>
    <t>CUST12535</t>
  </si>
  <si>
    <t>5667.95</t>
  </si>
  <si>
    <t>3339.1</t>
  </si>
  <si>
    <t>1762.06</t>
  </si>
  <si>
    <t>ORD102186</t>
  </si>
  <si>
    <t>CUST13129</t>
  </si>
  <si>
    <t>3063.66</t>
  </si>
  <si>
    <t>1685.2</t>
  </si>
  <si>
    <t>1072.0899999999999</t>
  </si>
  <si>
    <t>ORD102187</t>
  </si>
  <si>
    <t>CUST12929</t>
  </si>
  <si>
    <t>6853.04</t>
  </si>
  <si>
    <t>11484.08</t>
  </si>
  <si>
    <t>9075.0400000000009</t>
  </si>
  <si>
    <t>ORD102193</t>
  </si>
  <si>
    <t>CUST12061</t>
  </si>
  <si>
    <t>10246.16</t>
  </si>
  <si>
    <t>5978.43</t>
  </si>
  <si>
    <t>3243.11</t>
  </si>
  <si>
    <t>ORD102196</t>
  </si>
  <si>
    <t>CUST13371</t>
  </si>
  <si>
    <t>5219.33</t>
  </si>
  <si>
    <t>5871.66</t>
  </si>
  <si>
    <t>4567</t>
  </si>
  <si>
    <t>ORD102197</t>
  </si>
  <si>
    <t>CUST13381</t>
  </si>
  <si>
    <t>6094.79</t>
  </si>
  <si>
    <t>7584.27</t>
  </si>
  <si>
    <t>4605.3100000000004</t>
  </si>
  <si>
    <t>ORD102201</t>
  </si>
  <si>
    <t>CUST13196</t>
  </si>
  <si>
    <t>17884.64</t>
  </si>
  <si>
    <t>39345.599999999999</t>
  </si>
  <si>
    <t>11625.62</t>
  </si>
  <si>
    <t>ORD102204</t>
  </si>
  <si>
    <t>CUST10407</t>
  </si>
  <si>
    <t>1487.07</t>
  </si>
  <si>
    <t>887.99</t>
  </si>
  <si>
    <t>599.08000000000004</t>
  </si>
  <si>
    <t>ORD102208</t>
  </si>
  <si>
    <t>CUST11479</t>
  </si>
  <si>
    <t>26506.54</t>
  </si>
  <si>
    <t>41318.1</t>
  </si>
  <si>
    <t>11694.98</t>
  </si>
  <si>
    <t>ORD102209</t>
  </si>
  <si>
    <t>CUST12949</t>
  </si>
  <si>
    <t>2959.11</t>
  </si>
  <si>
    <t>3502.05</t>
  </si>
  <si>
    <t>2120.2600000000002</t>
  </si>
  <si>
    <t>ORD102210</t>
  </si>
  <si>
    <t>CUST13484</t>
  </si>
  <si>
    <t>1894.07</t>
  </si>
  <si>
    <t>3022.49</t>
  </si>
  <si>
    <t>8.02</t>
  </si>
  <si>
    <t>ORD102211</t>
  </si>
  <si>
    <t>CUST10281</t>
  </si>
  <si>
    <t>3706.4</t>
  </si>
  <si>
    <t>6798.87</t>
  </si>
  <si>
    <t>4320.33</t>
  </si>
  <si>
    <t>ORD102213</t>
  </si>
  <si>
    <t>CUST11376</t>
  </si>
  <si>
    <t>6351.65</t>
  </si>
  <si>
    <t>4614.01</t>
  </si>
  <si>
    <t>467.31</t>
  </si>
  <si>
    <t>ORD102214</t>
  </si>
  <si>
    <t>CUST12746</t>
  </si>
  <si>
    <t>38323.910000000003</t>
  </si>
  <si>
    <t>24638.27</t>
  </si>
  <si>
    <t>13685.64</t>
  </si>
  <si>
    <t>ORD102215</t>
  </si>
  <si>
    <t>CUST10368</t>
  </si>
  <si>
    <t>5202.24</t>
  </si>
  <si>
    <t>16931.29</t>
  </si>
  <si>
    <t>3877.67</t>
  </si>
  <si>
    <t>ORD102216</t>
  </si>
  <si>
    <t>CUST12976</t>
  </si>
  <si>
    <t>579.65</t>
  </si>
  <si>
    <t>371.32</t>
  </si>
  <si>
    <t>179.35</t>
  </si>
  <si>
    <t>ORD102217</t>
  </si>
  <si>
    <t>CUST12125</t>
  </si>
  <si>
    <t>2617.9299999999998</t>
  </si>
  <si>
    <t>4290.16</t>
  </si>
  <si>
    <t>683.91</t>
  </si>
  <si>
    <t>ORD102222</t>
  </si>
  <si>
    <t>13-11-2025</t>
  </si>
  <si>
    <t>CUST10411</t>
  </si>
  <si>
    <t>3614.41</t>
  </si>
  <si>
    <t>2569.3000000000002</t>
  </si>
  <si>
    <t>864.39</t>
  </si>
  <si>
    <t>ORD102223</t>
  </si>
  <si>
    <t>CUST12405</t>
  </si>
  <si>
    <t>24297.3</t>
  </si>
  <si>
    <t>36869.01</t>
  </si>
  <si>
    <t>9295.86</t>
  </si>
  <si>
    <t>ORD102233</t>
  </si>
  <si>
    <t>CUST12617</t>
  </si>
  <si>
    <t>2295.4</t>
  </si>
  <si>
    <t>1402.16</t>
  </si>
  <si>
    <t>548.92999999999995</t>
  </si>
  <si>
    <t>ORD102236</t>
  </si>
  <si>
    <t>CUST11184</t>
  </si>
  <si>
    <t>1278.82</t>
  </si>
  <si>
    <t>963.03</t>
  </si>
  <si>
    <t>123.97</t>
  </si>
  <si>
    <t>ORD102237</t>
  </si>
  <si>
    <t>CUST12635</t>
  </si>
  <si>
    <t>65109.93</t>
  </si>
  <si>
    <t>163377.76</t>
  </si>
  <si>
    <t>71017.990000000005</t>
  </si>
  <si>
    <t>ORD102239</t>
  </si>
  <si>
    <t>CUST11496</t>
  </si>
  <si>
    <t>6308.53</t>
  </si>
  <si>
    <t>5145.2700000000004</t>
  </si>
  <si>
    <t>-98.45</t>
  </si>
  <si>
    <t>ORD102241</t>
  </si>
  <si>
    <t>CUST10563</t>
  </si>
  <si>
    <t>5881.99</t>
  </si>
  <si>
    <t>4151.68</t>
  </si>
  <si>
    <t>848.01</t>
  </si>
  <si>
    <t>ORD102242</t>
  </si>
  <si>
    <t>CUST10738</t>
  </si>
  <si>
    <t>337.67</t>
  </si>
  <si>
    <t>422.67</t>
  </si>
  <si>
    <t>185.14</t>
  </si>
  <si>
    <t>ORD102243</t>
  </si>
  <si>
    <t>CUST11070</t>
  </si>
  <si>
    <t>9388.24</t>
  </si>
  <si>
    <t>6361.51</t>
  </si>
  <si>
    <t>2087.91</t>
  </si>
  <si>
    <t>ORD102245</t>
  </si>
  <si>
    <t>CUST13076</t>
  </si>
  <si>
    <t>37201.410000000003</t>
  </si>
  <si>
    <t>43363.58</t>
  </si>
  <si>
    <t>27319.1</t>
  </si>
  <si>
    <t>ORD102246</t>
  </si>
  <si>
    <t>CUST12684</t>
  </si>
  <si>
    <t>17043.2</t>
  </si>
  <si>
    <t>20676.55</t>
  </si>
  <si>
    <t>11705.53</t>
  </si>
  <si>
    <t>ORD102247</t>
  </si>
  <si>
    <t>CUST10380</t>
  </si>
  <si>
    <t>12765.62</t>
  </si>
  <si>
    <t>38705.32</t>
  </si>
  <si>
    <t>4697.79</t>
  </si>
  <si>
    <t>ORD102249</t>
  </si>
  <si>
    <t>CUST10802</t>
  </si>
  <si>
    <t>7448.96</t>
  </si>
  <si>
    <t>12764.06</t>
  </si>
  <si>
    <t>7348.13</t>
  </si>
  <si>
    <t>ORD102250</t>
  </si>
  <si>
    <t>CUST11935</t>
  </si>
  <si>
    <t>520.15</t>
  </si>
  <si>
    <t>613.19000000000005</t>
  </si>
  <si>
    <t>427.11</t>
  </si>
  <si>
    <t>ORD102251</t>
  </si>
  <si>
    <t>CUST12921</t>
  </si>
  <si>
    <t>14252.85</t>
  </si>
  <si>
    <t>9387.07</t>
  </si>
  <si>
    <t>4865.78</t>
  </si>
  <si>
    <t>ORD102252</t>
  </si>
  <si>
    <t>CUST10290</t>
  </si>
  <si>
    <t>5703.26</t>
  </si>
  <si>
    <t>6392.29</t>
  </si>
  <si>
    <t>4443.8999999999996</t>
  </si>
  <si>
    <t>ORD102256</t>
  </si>
  <si>
    <t>CUST12380</t>
  </si>
  <si>
    <t>12399.72</t>
  </si>
  <si>
    <t>27521.81</t>
  </si>
  <si>
    <t>5957.43</t>
  </si>
  <si>
    <t>ORD102257</t>
  </si>
  <si>
    <t>CUST11594</t>
  </si>
  <si>
    <t>802.31</t>
  </si>
  <si>
    <t>592.65</t>
  </si>
  <si>
    <t>169.54</t>
  </si>
  <si>
    <t>ORD102258</t>
  </si>
  <si>
    <t>CUST11494</t>
  </si>
  <si>
    <t>4607.82</t>
  </si>
  <si>
    <t>10269.57</t>
  </si>
  <si>
    <t>2171.54</t>
  </si>
  <si>
    <t>ORD102260</t>
  </si>
  <si>
    <t>CUST11901</t>
  </si>
  <si>
    <t>3160.74</t>
  </si>
  <si>
    <t>1882.4</t>
  </si>
  <si>
    <t>1278.3399999999999</t>
  </si>
  <si>
    <t>ORD102261</t>
  </si>
  <si>
    <t>CUST12402</t>
  </si>
  <si>
    <t>5718.57</t>
  </si>
  <si>
    <t>12419.82</t>
  </si>
  <si>
    <t>3878.1</t>
  </si>
  <si>
    <t>ORD102262</t>
  </si>
  <si>
    <t>CUST11164</t>
  </si>
  <si>
    <t>4948.55</t>
  </si>
  <si>
    <t>7893.97</t>
  </si>
  <si>
    <t>2003.13</t>
  </si>
  <si>
    <t>ORD102264</t>
  </si>
  <si>
    <t>CUST10780</t>
  </si>
  <si>
    <t>5707.4</t>
  </si>
  <si>
    <t>8214.84</t>
  </si>
  <si>
    <t>2058.48</t>
  </si>
  <si>
    <t>ORD102268</t>
  </si>
  <si>
    <t>CUST11568</t>
  </si>
  <si>
    <t>15803.57</t>
  </si>
  <si>
    <t>17867.490000000002</t>
  </si>
  <si>
    <t>12159.29</t>
  </si>
  <si>
    <t>ORD102270</t>
  </si>
  <si>
    <t>CUST10843</t>
  </si>
  <si>
    <t>36719.15</t>
  </si>
  <si>
    <t>25769.66</t>
  </si>
  <si>
    <t>10949.49</t>
  </si>
  <si>
    <t>ORD102273</t>
  </si>
  <si>
    <t>CUST10979</t>
  </si>
  <si>
    <t>17745.68</t>
  </si>
  <si>
    <t>11182.72</t>
  </si>
  <si>
    <t>3901.11</t>
  </si>
  <si>
    <t>ORD102277</t>
  </si>
  <si>
    <t>CUST11363</t>
  </si>
  <si>
    <t>8099.32</t>
  </si>
  <si>
    <t>4553.8100000000004</t>
  </si>
  <si>
    <t>3140.54</t>
  </si>
  <si>
    <t>ORD102279</t>
  </si>
  <si>
    <t>CUST10370</t>
  </si>
  <si>
    <t>4744.97</t>
  </si>
  <si>
    <t>3851.19</t>
  </si>
  <si>
    <t>656.53</t>
  </si>
  <si>
    <t>ORD102280</t>
  </si>
  <si>
    <t>CUST12188</t>
  </si>
  <si>
    <t>46436.36</t>
  </si>
  <si>
    <t>53422.51</t>
  </si>
  <si>
    <t>39450.21</t>
  </si>
  <si>
    <t>ORD102281</t>
  </si>
  <si>
    <t>CUST12281</t>
  </si>
  <si>
    <t>17006.98</t>
  </si>
  <si>
    <t>30058.720000000001</t>
  </si>
  <si>
    <t>15860.13</t>
  </si>
  <si>
    <t>ORD102284</t>
  </si>
  <si>
    <t>CUST11613</t>
  </si>
  <si>
    <t>74627.740000000005</t>
  </si>
  <si>
    <t>136248.28</t>
  </si>
  <si>
    <t>87634.94</t>
  </si>
  <si>
    <t>ORD102285</t>
  </si>
  <si>
    <t>CUST12183</t>
  </si>
  <si>
    <t>3846.17</t>
  </si>
  <si>
    <t>5936.56</t>
  </si>
  <si>
    <t>217.31</t>
  </si>
  <si>
    <t>ORD102288</t>
  </si>
  <si>
    <t>CUST12485</t>
  </si>
  <si>
    <t>5325.31</t>
  </si>
  <si>
    <t>6999.63</t>
  </si>
  <si>
    <t>2585.9299999999998</t>
  </si>
  <si>
    <t>ORD102292</t>
  </si>
  <si>
    <t>CUST10757</t>
  </si>
  <si>
    <t>4111.25</t>
  </si>
  <si>
    <t>2444.29</t>
  </si>
  <si>
    <t>1255.83</t>
  </si>
  <si>
    <t>ORD102293</t>
  </si>
  <si>
    <t>CUST11461</t>
  </si>
  <si>
    <t>11375.24</t>
  </si>
  <si>
    <t>7494.93</t>
  </si>
  <si>
    <t>2174.02</t>
  </si>
  <si>
    <t>ORD102294</t>
  </si>
  <si>
    <t>CUST10232</t>
  </si>
  <si>
    <t>6555.6</t>
  </si>
  <si>
    <t>3887.84</t>
  </si>
  <si>
    <t>2012.2</t>
  </si>
  <si>
    <t>ORD102298</t>
  </si>
  <si>
    <t>CUST10505</t>
  </si>
  <si>
    <t>5594.72</t>
  </si>
  <si>
    <t>3600.57</t>
  </si>
  <si>
    <t>1434.68</t>
  </si>
  <si>
    <t>ORD102301</t>
  </si>
  <si>
    <t>CUST12437</t>
  </si>
  <si>
    <t>11290.46</t>
  </si>
  <si>
    <t>8734.56</t>
  </si>
  <si>
    <t>862.33</t>
  </si>
  <si>
    <t>ORD102303</t>
  </si>
  <si>
    <t>CUST10257</t>
  </si>
  <si>
    <t>7908.56</t>
  </si>
  <si>
    <t>6460.74</t>
  </si>
  <si>
    <t>656.96</t>
  </si>
  <si>
    <t>ORD102307</t>
  </si>
  <si>
    <t>CUST11399</t>
  </si>
  <si>
    <t>5005.63</t>
  </si>
  <si>
    <t>11091.03</t>
  </si>
  <si>
    <t>3925.86</t>
  </si>
  <si>
    <t>ORD102308</t>
  </si>
  <si>
    <t>CUST11347</t>
  </si>
  <si>
    <t>3930.83</t>
  </si>
  <si>
    <t>8826.49</t>
  </si>
  <si>
    <t>1786.75</t>
  </si>
  <si>
    <t>ORD102312</t>
  </si>
  <si>
    <t>CUST11330</t>
  </si>
  <si>
    <t>8665.86</t>
  </si>
  <si>
    <t>15686.02</t>
  </si>
  <si>
    <t>9011.68</t>
  </si>
  <si>
    <t>ORD102313</t>
  </si>
  <si>
    <t>CUST13478</t>
  </si>
  <si>
    <t>2675.46</t>
  </si>
  <si>
    <t>1847.75</t>
  </si>
  <si>
    <t>693.94</t>
  </si>
  <si>
    <t>ORD102315</t>
  </si>
  <si>
    <t>CUST12683</t>
  </si>
  <si>
    <t>3282.01</t>
  </si>
  <si>
    <t>2177.35</t>
  </si>
  <si>
    <t>612.36</t>
  </si>
  <si>
    <t>ORD102316</t>
  </si>
  <si>
    <t>CUST11679</t>
  </si>
  <si>
    <t>3318.6</t>
  </si>
  <si>
    <t>5340.8</t>
  </si>
  <si>
    <t>964.54</t>
  </si>
  <si>
    <t>ORD102318</t>
  </si>
  <si>
    <t>CUST12404</t>
  </si>
  <si>
    <t>11133.36</t>
  </si>
  <si>
    <t>8223.56</t>
  </si>
  <si>
    <t>1239.8</t>
  </si>
  <si>
    <t>ORD102320</t>
  </si>
  <si>
    <t>CUST12156</t>
  </si>
  <si>
    <t>2683.89</t>
  </si>
  <si>
    <t>2036.96</t>
  </si>
  <si>
    <t>646.92999999999995</t>
  </si>
  <si>
    <t>ORD102321</t>
  </si>
  <si>
    <t>CUST12578</t>
  </si>
  <si>
    <t>5213.3100000000004</t>
  </si>
  <si>
    <t>6519.67</t>
  </si>
  <si>
    <t>2864.29</t>
  </si>
  <si>
    <t>ORD102322</t>
  </si>
  <si>
    <t>CUST12726</t>
  </si>
  <si>
    <t>11311.16</t>
  </si>
  <si>
    <t>8883.6</t>
  </si>
  <si>
    <t>1296.44</t>
  </si>
  <si>
    <t>ORD102323</t>
  </si>
  <si>
    <t>CUST11264</t>
  </si>
  <si>
    <t>59041.5</t>
  </si>
  <si>
    <t>44244.6</t>
  </si>
  <si>
    <t>8892.75</t>
  </si>
  <si>
    <t>ORD102324</t>
  </si>
  <si>
    <t>CUST10759</t>
  </si>
  <si>
    <t>11773.99</t>
  </si>
  <si>
    <t>7091.02</t>
  </si>
  <si>
    <t>3505.57</t>
  </si>
  <si>
    <t>ORD102329</t>
  </si>
  <si>
    <t>CUST11775</t>
  </si>
  <si>
    <t>2335.89</t>
  </si>
  <si>
    <t>1882.23</t>
  </si>
  <si>
    <t>336.87</t>
  </si>
  <si>
    <t>ORD102330</t>
  </si>
  <si>
    <t>CUST10492</t>
  </si>
  <si>
    <t>15541.55</t>
  </si>
  <si>
    <t>20568.75</t>
  </si>
  <si>
    <t>10514.35</t>
  </si>
  <si>
    <t>ORD102331</t>
  </si>
  <si>
    <t>CUST12702</t>
  </si>
  <si>
    <t>4726.63</t>
  </si>
  <si>
    <t>3298.97</t>
  </si>
  <si>
    <t>955</t>
  </si>
  <si>
    <t>ORD102333</t>
  </si>
  <si>
    <t>CUST11262</t>
  </si>
  <si>
    <t>5994.86</t>
  </si>
  <si>
    <t>3633.74</t>
  </si>
  <si>
    <t>1461.89</t>
  </si>
  <si>
    <t>ORD102337</t>
  </si>
  <si>
    <t>CUST10833</t>
  </si>
  <si>
    <t>322.79000000000002</t>
  </si>
  <si>
    <t>207.39</t>
  </si>
  <si>
    <t>99.26</t>
  </si>
  <si>
    <t>ORD102339</t>
  </si>
  <si>
    <t>CUST10089</t>
  </si>
  <si>
    <t>4903.49</t>
  </si>
  <si>
    <t>3125.57</t>
  </si>
  <si>
    <t>1287.57</t>
  </si>
  <si>
    <t>ORD102342</t>
  </si>
  <si>
    <t>CUST11194</t>
  </si>
  <si>
    <t>810.8</t>
  </si>
  <si>
    <t>608.14</t>
  </si>
  <si>
    <t>162.12</t>
  </si>
  <si>
    <t>ORD102347</t>
  </si>
  <si>
    <t>CUST11276</t>
  </si>
  <si>
    <t>5448.1</t>
  </si>
  <si>
    <t>3082.02</t>
  </si>
  <si>
    <t>1821.27</t>
  </si>
  <si>
    <t>ORD102349</t>
  </si>
  <si>
    <t>CUST12109</t>
  </si>
  <si>
    <t>16908.86</t>
  </si>
  <si>
    <t>9712.6200000000008</t>
  </si>
  <si>
    <t>6350.8</t>
  </si>
  <si>
    <t>ORD102351</t>
  </si>
  <si>
    <t>CUST12140</t>
  </si>
  <si>
    <t>14682.9</t>
  </si>
  <si>
    <t>11537.96</t>
  </si>
  <si>
    <t>1676.65</t>
  </si>
  <si>
    <t>ORD102352</t>
  </si>
  <si>
    <t>CUST10691</t>
  </si>
  <si>
    <t>2146.37</t>
  </si>
  <si>
    <t>1473.08</t>
  </si>
  <si>
    <t>565.97</t>
  </si>
  <si>
    <t>ORD102353</t>
  </si>
  <si>
    <t>CUST11206</t>
  </si>
  <si>
    <t>3873.1</t>
  </si>
  <si>
    <t>2895.49</t>
  </si>
  <si>
    <t>590.29999999999995</t>
  </si>
  <si>
    <t>ORD102354</t>
  </si>
  <si>
    <t>CUST12894</t>
  </si>
  <si>
    <t>4346.1099999999997</t>
  </si>
  <si>
    <t>3211.7</t>
  </si>
  <si>
    <t>482.49</t>
  </si>
  <si>
    <t>ORD102357</t>
  </si>
  <si>
    <t>CUST10294</t>
  </si>
  <si>
    <t>1861.63</t>
  </si>
  <si>
    <t>1048.8699999999999</t>
  </si>
  <si>
    <t>812.76</t>
  </si>
  <si>
    <t>ORD102358</t>
  </si>
  <si>
    <t>CUST13029</t>
  </si>
  <si>
    <t>4074.5</t>
  </si>
  <si>
    <t>2873.74</t>
  </si>
  <si>
    <t>793.31</t>
  </si>
  <si>
    <t>ORD102360</t>
  </si>
  <si>
    <t>CUST13116</t>
  </si>
  <si>
    <t>18670.62</t>
  </si>
  <si>
    <t>45477.01</t>
  </si>
  <si>
    <t>7734.26</t>
  </si>
  <si>
    <t>ORD102364</t>
  </si>
  <si>
    <t>CUST12624</t>
  </si>
  <si>
    <t>20966.7</t>
  </si>
  <si>
    <t>11949.68</t>
  </si>
  <si>
    <t>7968.68</t>
  </si>
  <si>
    <t>ORD102365</t>
  </si>
  <si>
    <t>CUST12977</t>
  </si>
  <si>
    <t>7536.94</t>
  </si>
  <si>
    <t>5655.31</t>
  </si>
  <si>
    <t>374.24</t>
  </si>
  <si>
    <t>ORD102366</t>
  </si>
  <si>
    <t>CUST12168</t>
  </si>
  <si>
    <t>66017.59</t>
  </si>
  <si>
    <t>39363.65</t>
  </si>
  <si>
    <t>20052.18</t>
  </si>
  <si>
    <t>ORD102368</t>
  </si>
  <si>
    <t>CUST10636</t>
  </si>
  <si>
    <t>2733.97</t>
  </si>
  <si>
    <t>1590.91</t>
  </si>
  <si>
    <t>869.66</t>
  </si>
  <si>
    <t>ORD102369</t>
  </si>
  <si>
    <t>CUST12750</t>
  </si>
  <si>
    <t>70092.95</t>
  </si>
  <si>
    <t>95976.65</t>
  </si>
  <si>
    <t>37199.949999999997</t>
  </si>
  <si>
    <t>ORD102372</t>
  </si>
  <si>
    <t>CUST10103</t>
  </si>
  <si>
    <t>7648.06</t>
  </si>
  <si>
    <t>5487.29</t>
  </si>
  <si>
    <t>1013.56</t>
  </si>
  <si>
    <t>ORD102373</t>
  </si>
  <si>
    <t>CUST10394</t>
  </si>
  <si>
    <t>3278.21</t>
  </si>
  <si>
    <t>2086.66</t>
  </si>
  <si>
    <t>1191.55</t>
  </si>
  <si>
    <t>ORD102375</t>
  </si>
  <si>
    <t>CUST12264</t>
  </si>
  <si>
    <t>5667.6</t>
  </si>
  <si>
    <t>4133.72</t>
  </si>
  <si>
    <t>967.12</t>
  </si>
  <si>
    <t>ORD102376</t>
  </si>
  <si>
    <t>CUST11554</t>
  </si>
  <si>
    <t>5131.8999999999996</t>
  </si>
  <si>
    <t>3396</t>
  </si>
  <si>
    <t>966.12</t>
  </si>
  <si>
    <t>ORD102377</t>
  </si>
  <si>
    <t>CUST11709</t>
  </si>
  <si>
    <t>10347.39</t>
  </si>
  <si>
    <t>5959.92</t>
  </si>
  <si>
    <t>4387.47</t>
  </si>
  <si>
    <t>ORD102378</t>
  </si>
  <si>
    <t>CUST10673</t>
  </si>
  <si>
    <t>16573.87</t>
  </si>
  <si>
    <t>9855.7000000000007</t>
  </si>
  <si>
    <t>5060.78</t>
  </si>
  <si>
    <t>ORD102380</t>
  </si>
  <si>
    <t>CUST12491</t>
  </si>
  <si>
    <t>843.31</t>
  </si>
  <si>
    <t>497.66</t>
  </si>
  <si>
    <t>261.32</t>
  </si>
  <si>
    <t>ORD102381</t>
  </si>
  <si>
    <t>CUST11735</t>
  </si>
  <si>
    <t>59440.79</t>
  </si>
  <si>
    <t>40090.879999999997</t>
  </si>
  <si>
    <t>13405.83</t>
  </si>
  <si>
    <t>ORD102382</t>
  </si>
  <si>
    <t>CUST11805</t>
  </si>
  <si>
    <t>4395.57</t>
  </si>
  <si>
    <t>2623.39</t>
  </si>
  <si>
    <t>1772.18</t>
  </si>
  <si>
    <t>ORD102386</t>
  </si>
  <si>
    <t>CUST12277</t>
  </si>
  <si>
    <t>2369.85</t>
  </si>
  <si>
    <t>1881.96</t>
  </si>
  <si>
    <t>369.4</t>
  </si>
  <si>
    <t>ORD102390</t>
  </si>
  <si>
    <t>CUST10887</t>
  </si>
  <si>
    <t>11057.59</t>
  </si>
  <si>
    <t>7556.17</t>
  </si>
  <si>
    <t>2948.54</t>
  </si>
  <si>
    <t>ORD102392</t>
  </si>
  <si>
    <t>CUST10654</t>
  </si>
  <si>
    <t>5302.47</t>
  </si>
  <si>
    <t>7192.03</t>
  </si>
  <si>
    <t>3412.91</t>
  </si>
  <si>
    <t>ORD102395</t>
  </si>
  <si>
    <t>CUST13387</t>
  </si>
  <si>
    <t>23173.67</t>
  </si>
  <si>
    <t>25579.05</t>
  </si>
  <si>
    <t>13816.19</t>
  </si>
  <si>
    <t>ORD102396</t>
  </si>
  <si>
    <t>CUST11769</t>
  </si>
  <si>
    <t>12361.94</t>
  </si>
  <si>
    <t>8167.71</t>
  </si>
  <si>
    <t>3576.13</t>
  </si>
  <si>
    <t>ORD102397</t>
  </si>
  <si>
    <t>CUST11310</t>
  </si>
  <si>
    <t>10127.81</t>
  </si>
  <si>
    <t>13559.98</t>
  </si>
  <si>
    <t>2644.52</t>
  </si>
  <si>
    <t>ORD102398</t>
  </si>
  <si>
    <t>CUST13073</t>
  </si>
  <si>
    <t>17290.75</t>
  </si>
  <si>
    <t>19866.91</t>
  </si>
  <si>
    <t>11256.44</t>
  </si>
  <si>
    <t>ORD102399</t>
  </si>
  <si>
    <t>CUST12018</t>
  </si>
  <si>
    <t>11714.87</t>
  </si>
  <si>
    <t>8605.92</t>
  </si>
  <si>
    <t>1351.72</t>
  </si>
  <si>
    <t>ORD102400</t>
  </si>
  <si>
    <t>CUST12155</t>
  </si>
  <si>
    <t>2927.17</t>
  </si>
  <si>
    <t>2349.27</t>
  </si>
  <si>
    <t>138.82</t>
  </si>
  <si>
    <t>ORD102405</t>
  </si>
  <si>
    <t>CUST13169</t>
  </si>
  <si>
    <t>1351.71</t>
  </si>
  <si>
    <t>335.47</t>
  </si>
  <si>
    <t>ORD102406</t>
  </si>
  <si>
    <t>CUST12325</t>
  </si>
  <si>
    <t>22221.41</t>
  </si>
  <si>
    <t>31370.97</t>
  </si>
  <si>
    <t>10849.71</t>
  </si>
  <si>
    <t>ORD102407</t>
  </si>
  <si>
    <t>CUST12473</t>
  </si>
  <si>
    <t>38615.599999999999</t>
  </si>
  <si>
    <t>56714.85</t>
  </si>
  <si>
    <t>16654.79</t>
  </si>
  <si>
    <t>ORD102409</t>
  </si>
  <si>
    <t>CUST11007</t>
  </si>
  <si>
    <t>3059.1</t>
  </si>
  <si>
    <t>5389.25</t>
  </si>
  <si>
    <t>2411.4499999999998</t>
  </si>
  <si>
    <t>ORD102411</t>
  </si>
  <si>
    <t>CUST12871</t>
  </si>
  <si>
    <t>7629.64</t>
  </si>
  <si>
    <t>6128.77</t>
  </si>
  <si>
    <t>737.91</t>
  </si>
  <si>
    <t>ORD102412</t>
  </si>
  <si>
    <t>CUST11520</t>
  </si>
  <si>
    <t>26749.62</t>
  </si>
  <si>
    <t>47373.14</t>
  </si>
  <si>
    <t>32875.72</t>
  </si>
  <si>
    <t>ORD102413</t>
  </si>
  <si>
    <t>CUST12496</t>
  </si>
  <si>
    <t>1743.35</t>
  </si>
  <si>
    <t>1065.54</t>
  </si>
  <si>
    <t>416.31</t>
  </si>
  <si>
    <t>ORD102414</t>
  </si>
  <si>
    <t>CUST10667</t>
  </si>
  <si>
    <t>2281.8000000000002</t>
  </si>
  <si>
    <t>1843.57</t>
  </si>
  <si>
    <t>324.14</t>
  </si>
  <si>
    <t>ORD102416</t>
  </si>
  <si>
    <t>CUST13248</t>
  </si>
  <si>
    <t>4100.01</t>
  </si>
  <si>
    <t>2416.63</t>
  </si>
  <si>
    <t>1273.3800000000001</t>
  </si>
  <si>
    <t>ORD102418</t>
  </si>
  <si>
    <t>CUST10677</t>
  </si>
  <si>
    <t>63958.46</t>
  </si>
  <si>
    <t>43593.440000000002</t>
  </si>
  <si>
    <t>13969.17</t>
  </si>
  <si>
    <t>ORD102419</t>
  </si>
  <si>
    <t>CUST10560</t>
  </si>
  <si>
    <t>3691.35</t>
  </si>
  <si>
    <t>6978.13</t>
  </si>
  <si>
    <t>3542.22</t>
  </si>
  <si>
    <t>ORD102420</t>
  </si>
  <si>
    <t>CUST11201</t>
  </si>
  <si>
    <t>8325.68</t>
  </si>
  <si>
    <t>9217.66</t>
  </si>
  <si>
    <t>5768.56</t>
  </si>
  <si>
    <t>ORD102421</t>
  </si>
  <si>
    <t>CUST10846</t>
  </si>
  <si>
    <t>73824.88</t>
  </si>
  <si>
    <t>56404.32</t>
  </si>
  <si>
    <t>10038.07</t>
  </si>
  <si>
    <t>ORD102423</t>
  </si>
  <si>
    <t>CUST10063</t>
  </si>
  <si>
    <t>3699.38</t>
  </si>
  <si>
    <t>2757.11</t>
  </si>
  <si>
    <t>942.27</t>
  </si>
  <si>
    <t>ORD102427</t>
  </si>
  <si>
    <t>CUST11730</t>
  </si>
  <si>
    <t>8476.5400000000009</t>
  </si>
  <si>
    <t>6528.75</t>
  </si>
  <si>
    <t>1947.79</t>
  </si>
  <si>
    <t>ORD102429</t>
  </si>
  <si>
    <t>CUST10025</t>
  </si>
  <si>
    <t>35474.15</t>
  </si>
  <si>
    <t>19663.96</t>
  </si>
  <si>
    <t>10489.07</t>
  </si>
  <si>
    <t>ORD102431</t>
  </si>
  <si>
    <t>01-03-2025</t>
  </si>
  <si>
    <t>CUST10746</t>
  </si>
  <si>
    <t>5214.4399999999996</t>
  </si>
  <si>
    <t>6539.44</t>
  </si>
  <si>
    <t>1803.66</t>
  </si>
  <si>
    <t>ORD102433</t>
  </si>
  <si>
    <t>CUST12483</t>
  </si>
  <si>
    <t>3286.3</t>
  </si>
  <si>
    <t>2172.63</t>
  </si>
  <si>
    <t>949.35</t>
  </si>
  <si>
    <t>ORD102434</t>
  </si>
  <si>
    <t>CUST11286</t>
  </si>
  <si>
    <t>6429.43</t>
  </si>
  <si>
    <t>4406.3</t>
  </si>
  <si>
    <t>2023.13</t>
  </si>
  <si>
    <t>ORD102437</t>
  </si>
  <si>
    <t>CUST12877</t>
  </si>
  <si>
    <t>3421.09</t>
  </si>
  <si>
    <t>2113.21</t>
  </si>
  <si>
    <t>794.72</t>
  </si>
  <si>
    <t>ORD102441</t>
  </si>
  <si>
    <t>CUST13301</t>
  </si>
  <si>
    <t>5657.35</t>
  </si>
  <si>
    <t>4512.79</t>
  </si>
  <si>
    <t>13.09</t>
  </si>
  <si>
    <t>ORD102442</t>
  </si>
  <si>
    <t>CUST12788</t>
  </si>
  <si>
    <t>711.04</t>
  </si>
  <si>
    <t>395.46</t>
  </si>
  <si>
    <t>280.02999999999997</t>
  </si>
  <si>
    <t>ORD102443</t>
  </si>
  <si>
    <t>CUST11166</t>
  </si>
  <si>
    <t>6467.02</t>
  </si>
  <si>
    <t>5148.22</t>
  </si>
  <si>
    <t>348.75</t>
  </si>
  <si>
    <t>ORD102446</t>
  </si>
  <si>
    <t>CUST13425</t>
  </si>
  <si>
    <t>33904.129999999997</t>
  </si>
  <si>
    <t>23700.3</t>
  </si>
  <si>
    <t>8508.6200000000008</t>
  </si>
  <si>
    <t>ORD102447</t>
  </si>
  <si>
    <t>CUST12201</t>
  </si>
  <si>
    <t>29183.38</t>
  </si>
  <si>
    <t>20990.57</t>
  </si>
  <si>
    <t>6733.64</t>
  </si>
  <si>
    <t>ORD102449</t>
  </si>
  <si>
    <t>CUST12451</t>
  </si>
  <si>
    <t>20523.61</t>
  </si>
  <si>
    <t>27281.360000000001</t>
  </si>
  <si>
    <t>7608.78</t>
  </si>
  <si>
    <t>ORD102450</t>
  </si>
  <si>
    <t>CUST12189</t>
  </si>
  <si>
    <t>6804.44</t>
  </si>
  <si>
    <t>8920.0300000000007</t>
  </si>
  <si>
    <t>1967.07</t>
  </si>
  <si>
    <t>ORD102453</t>
  </si>
  <si>
    <t>CUST10904</t>
  </si>
  <si>
    <t>5749.86</t>
  </si>
  <si>
    <t>11207.62</t>
  </si>
  <si>
    <t>5179.4799999999996</t>
  </si>
  <si>
    <t>ORD102454</t>
  </si>
  <si>
    <t>CUST11377</t>
  </si>
  <si>
    <t>60834.81</t>
  </si>
  <si>
    <t>49027.54</t>
  </si>
  <si>
    <t>5723.79</t>
  </si>
  <si>
    <t>ORD102457</t>
  </si>
  <si>
    <t>CUST12348</t>
  </si>
  <si>
    <t>30999.48</t>
  </si>
  <si>
    <t>19859.48</t>
  </si>
  <si>
    <t>6490.08</t>
  </si>
  <si>
    <t>ORD102458</t>
  </si>
  <si>
    <t>CUST12559</t>
  </si>
  <si>
    <t>4235.6400000000003</t>
  </si>
  <si>
    <t>2663.92</t>
  </si>
  <si>
    <t>1359.94</t>
  </si>
  <si>
    <t>ORD102461</t>
  </si>
  <si>
    <t>CUST12520</t>
  </si>
  <si>
    <t>2283.41</t>
  </si>
  <si>
    <t>3676.43</t>
  </si>
  <si>
    <t>662.05</t>
  </si>
  <si>
    <t>ORD102462</t>
  </si>
  <si>
    <t>CUST10468</t>
  </si>
  <si>
    <t>3733.05</t>
  </si>
  <si>
    <t>7623.69</t>
  </si>
  <si>
    <t>2455.5500000000002</t>
  </si>
  <si>
    <t>ORD102464</t>
  </si>
  <si>
    <t>CUST12427</t>
  </si>
  <si>
    <t>20461.72</t>
  </si>
  <si>
    <t>32155.33</t>
  </si>
  <si>
    <t>4675.7700000000004</t>
  </si>
  <si>
    <t>ORD102466</t>
  </si>
  <si>
    <t>CUST13174</t>
  </si>
  <si>
    <t>17685.52</t>
  </si>
  <si>
    <t>11987.9</t>
  </si>
  <si>
    <t>3044.79</t>
  </si>
  <si>
    <t>ORD102467</t>
  </si>
  <si>
    <t>CUST11371</t>
  </si>
  <si>
    <t>41750.33</t>
  </si>
  <si>
    <t>24794.2</t>
  </si>
  <si>
    <t>10693.58</t>
  </si>
  <si>
    <t>ORD102468</t>
  </si>
  <si>
    <t>CUST12770</t>
  </si>
  <si>
    <t>32169.31</t>
  </si>
  <si>
    <t>22247.279999999999</t>
  </si>
  <si>
    <t>9922.0300000000007</t>
  </si>
  <si>
    <t>ORD102469</t>
  </si>
  <si>
    <t>18-12-2025</t>
  </si>
  <si>
    <t>CUST12260</t>
  </si>
  <si>
    <t>450.92</t>
  </si>
  <si>
    <t>427.09</t>
  </si>
  <si>
    <t>ORD102472</t>
  </si>
  <si>
    <t>CUST13083</t>
  </si>
  <si>
    <t>39762.03</t>
  </si>
  <si>
    <t>60446.89</t>
  </si>
  <si>
    <t>15100.97</t>
  </si>
  <si>
    <t>ORD102475</t>
  </si>
  <si>
    <t>CUST12863</t>
  </si>
  <si>
    <t>4933.08</t>
  </si>
  <si>
    <t>11151.46</t>
  </si>
  <si>
    <t>2907.82</t>
  </si>
  <si>
    <t>ORD102476</t>
  </si>
  <si>
    <t>CUST13289</t>
  </si>
  <si>
    <t>67632.479999999996</t>
  </si>
  <si>
    <t>43647.86</t>
  </si>
  <si>
    <t>17221.37</t>
  </si>
  <si>
    <t>ORD102478</t>
  </si>
  <si>
    <t>CUST10681</t>
  </si>
  <si>
    <t>6835.85</t>
  </si>
  <si>
    <t>7723.47</t>
  </si>
  <si>
    <t>3213.89</t>
  </si>
  <si>
    <t>ORD102480</t>
  </si>
  <si>
    <t>CUST10602</t>
  </si>
  <si>
    <t>11986.19</t>
  </si>
  <si>
    <t>8982.2800000000007</t>
  </si>
  <si>
    <t>1205.98</t>
  </si>
  <si>
    <t>ORD102481</t>
  </si>
  <si>
    <t>CUST13078</t>
  </si>
  <si>
    <t>19502.669999999998</t>
  </si>
  <si>
    <t>13442.73</t>
  </si>
  <si>
    <t>4109.67</t>
  </si>
  <si>
    <t>ORD102485</t>
  </si>
  <si>
    <t>CUST12176</t>
  </si>
  <si>
    <t>531.08000000000004</t>
  </si>
  <si>
    <t>405.42</t>
  </si>
  <si>
    <t>125.66</t>
  </si>
  <si>
    <t>ORD102487</t>
  </si>
  <si>
    <t>CUST12967</t>
  </si>
  <si>
    <t>6953.64</t>
  </si>
  <si>
    <t>8265.34</t>
  </si>
  <si>
    <t>4251.21</t>
  </si>
  <si>
    <t>ORD102490</t>
  </si>
  <si>
    <t>CUST13261</t>
  </si>
  <si>
    <t>2177.6</t>
  </si>
  <si>
    <t>1268.55</t>
  </si>
  <si>
    <t>800.17</t>
  </si>
  <si>
    <t>ORD102492</t>
  </si>
  <si>
    <t>CUST13360</t>
  </si>
  <si>
    <t>4259.91</t>
  </si>
  <si>
    <t>3464.32</t>
  </si>
  <si>
    <t>795.59</t>
  </si>
  <si>
    <t>ORD102493</t>
  </si>
  <si>
    <t>CUST13006</t>
  </si>
  <si>
    <t>4208.62</t>
  </si>
  <si>
    <t>7132.72</t>
  </si>
  <si>
    <t>5493.14</t>
  </si>
  <si>
    <t>ORD102494</t>
  </si>
  <si>
    <t>CUST11510</t>
  </si>
  <si>
    <t>32297.27</t>
  </si>
  <si>
    <t>20646.740000000002</t>
  </si>
  <si>
    <t>8420.7999999999993</t>
  </si>
  <si>
    <t>ORD102495</t>
  </si>
  <si>
    <t>CUST12366</t>
  </si>
  <si>
    <t>1861.71</t>
  </si>
  <si>
    <t>3075.97</t>
  </si>
  <si>
    <t>2509.16</t>
  </si>
  <si>
    <t>ORD102496</t>
  </si>
  <si>
    <t>CUST13020</t>
  </si>
  <si>
    <t>31658.55</t>
  </si>
  <si>
    <t>21430.67</t>
  </si>
  <si>
    <t>7062.03</t>
  </si>
  <si>
    <t>ORD102498</t>
  </si>
  <si>
    <t>CUST11947</t>
  </si>
  <si>
    <t>673.07</t>
  </si>
  <si>
    <t>757.76</t>
  </si>
  <si>
    <t>319.14999999999998</t>
  </si>
  <si>
    <t>ORD102499</t>
  </si>
  <si>
    <t>CUST13440</t>
  </si>
  <si>
    <t>6862.78</t>
  </si>
  <si>
    <t>10214.700000000001</t>
  </si>
  <si>
    <t>765.75</t>
  </si>
  <si>
    <t>ORD102500</t>
  </si>
  <si>
    <t>CUST12192</t>
  </si>
  <si>
    <t>4742.6400000000003</t>
  </si>
  <si>
    <t>10262.44</t>
  </si>
  <si>
    <t>3965.48</t>
  </si>
  <si>
    <t>ORD102501</t>
  </si>
  <si>
    <t>CUST11667</t>
  </si>
  <si>
    <t>4460.25</t>
  </si>
  <si>
    <t>3606.48</t>
  </si>
  <si>
    <t>630.76</t>
  </si>
  <si>
    <t>ORD102503</t>
  </si>
  <si>
    <t>CUST12174</t>
  </si>
  <si>
    <t>2200.77</t>
  </si>
  <si>
    <t>1548.02</t>
  </si>
  <si>
    <t>652.75</t>
  </si>
  <si>
    <t>ORD102504</t>
  </si>
  <si>
    <t>CUST11982</t>
  </si>
  <si>
    <t>4672.26</t>
  </si>
  <si>
    <t>2776.2</t>
  </si>
  <si>
    <t>1428.83</t>
  </si>
  <si>
    <t>ORD102505</t>
  </si>
  <si>
    <t>CUST11903</t>
  </si>
  <si>
    <t>21508.080000000002</t>
  </si>
  <si>
    <t>40397.199999999997</t>
  </si>
  <si>
    <t>17674.62</t>
  </si>
  <si>
    <t>ORD102507</t>
  </si>
  <si>
    <t>CUST12013</t>
  </si>
  <si>
    <t>2110.88</t>
  </si>
  <si>
    <t>3823.39</t>
  </si>
  <si>
    <t>2509.25</t>
  </si>
  <si>
    <t>ORD102509</t>
  </si>
  <si>
    <t>CUST12130</t>
  </si>
  <si>
    <t>1395.85</t>
  </si>
  <si>
    <t>782.56</t>
  </si>
  <si>
    <t>473.7</t>
  </si>
  <si>
    <t>ORD102510</t>
  </si>
  <si>
    <t>CUST13490</t>
  </si>
  <si>
    <t>43904.87</t>
  </si>
  <si>
    <t>85740.46</t>
  </si>
  <si>
    <t>45974.15</t>
  </si>
  <si>
    <t>ORD102512</t>
  </si>
  <si>
    <t>CUST10593</t>
  </si>
  <si>
    <t>8619.5499999999993</t>
  </si>
  <si>
    <t>20839.54</t>
  </si>
  <si>
    <t>3726.18</t>
  </si>
  <si>
    <t>ORD102513</t>
  </si>
  <si>
    <t>CUST12458</t>
  </si>
  <si>
    <t>68595.75</t>
  </si>
  <si>
    <t>39048.199999999997</t>
  </si>
  <si>
    <t>26117.759999999998</t>
  </si>
  <si>
    <t>ORD102514</t>
  </si>
  <si>
    <t>CUST12224</t>
  </si>
  <si>
    <t>12672.78</t>
  </si>
  <si>
    <t>8898.15</t>
  </si>
  <si>
    <t>3140.99</t>
  </si>
  <si>
    <t>ORD102515</t>
  </si>
  <si>
    <t>CUST10155</t>
  </si>
  <si>
    <t>3184.4</t>
  </si>
  <si>
    <t>8590.23</t>
  </si>
  <si>
    <t>3510.49</t>
  </si>
  <si>
    <t>ORD102518</t>
  </si>
  <si>
    <t>CUST10222</t>
  </si>
  <si>
    <t>4241.25</t>
  </si>
  <si>
    <t>3197.22</t>
  </si>
  <si>
    <t>1044.03</t>
  </si>
  <si>
    <t>ORD102523</t>
  </si>
  <si>
    <t>CUST11773</t>
  </si>
  <si>
    <t>10426.24</t>
  </si>
  <si>
    <t>5833.03</t>
  </si>
  <si>
    <t>3029.27</t>
  </si>
  <si>
    <t>ORD102524</t>
  </si>
  <si>
    <t>CUST10670</t>
  </si>
  <si>
    <t>22580.6</t>
  </si>
  <si>
    <t>34609.86</t>
  </si>
  <si>
    <t>6035.22</t>
  </si>
  <si>
    <t>ORD102532</t>
  </si>
  <si>
    <t>CUST11855</t>
  </si>
  <si>
    <t>64121.91</t>
  </si>
  <si>
    <t>187266.11</t>
  </si>
  <si>
    <t>69221.53</t>
  </si>
  <si>
    <t>ORD102533</t>
  </si>
  <si>
    <t>CUST11821</t>
  </si>
  <si>
    <t>1684.31</t>
  </si>
  <si>
    <t>1109.9100000000001</t>
  </si>
  <si>
    <t>490.18</t>
  </si>
  <si>
    <t>ORD102538</t>
  </si>
  <si>
    <t>CUST11740</t>
  </si>
  <si>
    <t>8662.2000000000007</t>
  </si>
  <si>
    <t>11031.12</t>
  </si>
  <si>
    <t>4560.84</t>
  </si>
  <si>
    <t>ORD102540</t>
  </si>
  <si>
    <t>CUST11660</t>
  </si>
  <si>
    <t>2539.4299999999998</t>
  </si>
  <si>
    <t>5313.87</t>
  </si>
  <si>
    <t>2304.42</t>
  </si>
  <si>
    <t>ORD102542</t>
  </si>
  <si>
    <t>CUST10313</t>
  </si>
  <si>
    <t>666.55</t>
  </si>
  <si>
    <t>447.98</t>
  </si>
  <si>
    <t>151.91999999999999</t>
  </si>
  <si>
    <t>ORD102544</t>
  </si>
  <si>
    <t>CUST12441</t>
  </si>
  <si>
    <t>15153.98</t>
  </si>
  <si>
    <t>19541.22</t>
  </si>
  <si>
    <t>9251.34</t>
  </si>
  <si>
    <t>ORD102547</t>
  </si>
  <si>
    <t>CUST12391</t>
  </si>
  <si>
    <t>30939.22</t>
  </si>
  <si>
    <t>44297.9</t>
  </si>
  <si>
    <t>11392.7</t>
  </si>
  <si>
    <t>ORD102548</t>
  </si>
  <si>
    <t>CUST12668</t>
  </si>
  <si>
    <t>4600.13</t>
  </si>
  <si>
    <t>3607.13</t>
  </si>
  <si>
    <t>993</t>
  </si>
  <si>
    <t>ORD102549</t>
  </si>
  <si>
    <t>CUST11937</t>
  </si>
  <si>
    <t>5371.55</t>
  </si>
  <si>
    <t>3314.92</t>
  </si>
  <si>
    <t>1788.05</t>
  </si>
  <si>
    <t>ORD102550</t>
  </si>
  <si>
    <t>CUST13485</t>
  </si>
  <si>
    <t>423.17</t>
  </si>
  <si>
    <t>321.55</t>
  </si>
  <si>
    <t>101.62</t>
  </si>
  <si>
    <t>ORD102552</t>
  </si>
  <si>
    <t>CUST10643</t>
  </si>
  <si>
    <t>2844.47</t>
  </si>
  <si>
    <t>2047.42</t>
  </si>
  <si>
    <t>797.05</t>
  </si>
  <si>
    <t>ORD102554</t>
  </si>
  <si>
    <t>CUST11048</t>
  </si>
  <si>
    <t>3013</t>
  </si>
  <si>
    <t>4866.21</t>
  </si>
  <si>
    <t>557.19000000000005</t>
  </si>
  <si>
    <t>ORD102556</t>
  </si>
  <si>
    <t>CUST12800</t>
  </si>
  <si>
    <t>60210.33</t>
  </si>
  <si>
    <t>72546.509999999995</t>
  </si>
  <si>
    <t>47874.15</t>
  </si>
  <si>
    <t>ORD102559</t>
  </si>
  <si>
    <t>CUST12809</t>
  </si>
  <si>
    <t>9041.7999999999993</t>
  </si>
  <si>
    <t>6387.2</t>
  </si>
  <si>
    <t>2202.5100000000002</t>
  </si>
  <si>
    <t>ORD102560</t>
  </si>
  <si>
    <t>CUST11440</t>
  </si>
  <si>
    <t>1543.02</t>
  </si>
  <si>
    <t>2035.3</t>
  </si>
  <si>
    <t>1050.74</t>
  </si>
  <si>
    <t>ORD102561</t>
  </si>
  <si>
    <t>CUST10518</t>
  </si>
  <si>
    <t>8760.64</t>
  </si>
  <si>
    <t>14364.11</t>
  </si>
  <si>
    <t>1405.04</t>
  </si>
  <si>
    <t>ORD102562</t>
  </si>
  <si>
    <t>CUST12150</t>
  </si>
  <si>
    <t>622.16</t>
  </si>
  <si>
    <t>1095.51</t>
  </si>
  <si>
    <t>677.65</t>
  </si>
  <si>
    <t>ORD102563</t>
  </si>
  <si>
    <t>CUST13167</t>
  </si>
  <si>
    <t>750.62</t>
  </si>
  <si>
    <t>530.61</t>
  </si>
  <si>
    <t>182.48</t>
  </si>
  <si>
    <t>ORD102564</t>
  </si>
  <si>
    <t>CUST13409</t>
  </si>
  <si>
    <t>13995.66</t>
  </si>
  <si>
    <t>8856.1200000000008</t>
  </si>
  <si>
    <t>3739.97</t>
  </si>
  <si>
    <t>ORD102566</t>
  </si>
  <si>
    <t>CUST11095</t>
  </si>
  <si>
    <t>5938.89</t>
  </si>
  <si>
    <t>7531.87</t>
  </si>
  <si>
    <t>3158.13</t>
  </si>
  <si>
    <t>ORD102567</t>
  </si>
  <si>
    <t>CUST13458</t>
  </si>
  <si>
    <t>23846.58</t>
  </si>
  <si>
    <t>14983</t>
  </si>
  <si>
    <t>6478.92</t>
  </si>
  <si>
    <t>ORD102568</t>
  </si>
  <si>
    <t>CUST13053</t>
  </si>
  <si>
    <t>71560.19</t>
  </si>
  <si>
    <t>51509.88</t>
  </si>
  <si>
    <t>20050.310000000001</t>
  </si>
  <si>
    <t>ORD102571</t>
  </si>
  <si>
    <t>CUST12287</t>
  </si>
  <si>
    <t>64372.72</t>
  </si>
  <si>
    <t>42514.47</t>
  </si>
  <si>
    <t>15420.98</t>
  </si>
  <si>
    <t>ORD102573</t>
  </si>
  <si>
    <t>CUST12097</t>
  </si>
  <si>
    <t>61169.41</t>
  </si>
  <si>
    <t>91258.59</t>
  </si>
  <si>
    <t>24963.29</t>
  </si>
  <si>
    <t>ORD102574</t>
  </si>
  <si>
    <t>CUST13378</t>
  </si>
  <si>
    <t>2501.1799999999998</t>
  </si>
  <si>
    <t>3094.55</t>
  </si>
  <si>
    <t>1407.57</t>
  </si>
  <si>
    <t>ORD102575</t>
  </si>
  <si>
    <t>CUST13422</t>
  </si>
  <si>
    <t>2119.35</t>
  </si>
  <si>
    <t>4903.07</t>
  </si>
  <si>
    <t>819.17</t>
  </si>
  <si>
    <t>ORD102576</t>
  </si>
  <si>
    <t>CUST10161</t>
  </si>
  <si>
    <t>2285.79</t>
  </si>
  <si>
    <t>1787.91</t>
  </si>
  <si>
    <t>155.01</t>
  </si>
  <si>
    <t>ORD102579</t>
  </si>
  <si>
    <t>CUST12857</t>
  </si>
  <si>
    <t>4970.87</t>
  </si>
  <si>
    <t>3421.02</t>
  </si>
  <si>
    <t>1301.31</t>
  </si>
  <si>
    <t>ORD102581</t>
  </si>
  <si>
    <t>CUST12420</t>
  </si>
  <si>
    <t>841.62</t>
  </si>
  <si>
    <t>485.44</t>
  </si>
  <si>
    <t>272.02</t>
  </si>
  <si>
    <t>ORD102583</t>
  </si>
  <si>
    <t>CUST11418</t>
  </si>
  <si>
    <t>6312.36</t>
  </si>
  <si>
    <t>4405.3</t>
  </si>
  <si>
    <t>1591.44</t>
  </si>
  <si>
    <t>ORD102584</t>
  </si>
  <si>
    <t>CUST12816</t>
  </si>
  <si>
    <t>2485.04</t>
  </si>
  <si>
    <t>1568.31</t>
  </si>
  <si>
    <t>916.73</t>
  </si>
  <si>
    <t>ORD102585</t>
  </si>
  <si>
    <t>CUST11930</t>
  </si>
  <si>
    <t>38772.910000000003</t>
  </si>
  <si>
    <t>26726.2</t>
  </si>
  <si>
    <t>6230.77</t>
  </si>
  <si>
    <t>ORD102587</t>
  </si>
  <si>
    <t>CUST12423</t>
  </si>
  <si>
    <t>5233.51</t>
  </si>
  <si>
    <t>15969.23</t>
  </si>
  <si>
    <t>4964.8100000000004</t>
  </si>
  <si>
    <t>ORD102588</t>
  </si>
  <si>
    <t>CUST12580</t>
  </si>
  <si>
    <t>18494.71</t>
  </si>
  <si>
    <t>26555.75</t>
  </si>
  <si>
    <t>10433.67</t>
  </si>
  <si>
    <t>ORD102590</t>
  </si>
  <si>
    <t>CUST11156</t>
  </si>
  <si>
    <t>6058.13</t>
  </si>
  <si>
    <t>3615.04</t>
  </si>
  <si>
    <t>1534.37</t>
  </si>
  <si>
    <t>ORD102591</t>
  </si>
  <si>
    <t>CUST11314</t>
  </si>
  <si>
    <t>2353.58</t>
  </si>
  <si>
    <t>1573.18</t>
  </si>
  <si>
    <t>662.72</t>
  </si>
  <si>
    <t>ORD102594</t>
  </si>
  <si>
    <t>CUST12989</t>
  </si>
  <si>
    <t>43653</t>
  </si>
  <si>
    <t>48509.62</t>
  </si>
  <si>
    <t>21335.18</t>
  </si>
  <si>
    <t>ORD102598</t>
  </si>
  <si>
    <t>CUST10549</t>
  </si>
  <si>
    <t>9613.7099999999991</t>
  </si>
  <si>
    <t>11828.51</t>
  </si>
  <si>
    <t>6437.54</t>
  </si>
  <si>
    <t>ORD102599</t>
  </si>
  <si>
    <t>CUST11261</t>
  </si>
  <si>
    <t>1822.52</t>
  </si>
  <si>
    <t>1409.16</t>
  </si>
  <si>
    <t>139.97999999999999</t>
  </si>
  <si>
    <t>ORD102600</t>
  </si>
  <si>
    <t>CUST13112</t>
  </si>
  <si>
    <t>17148.66</t>
  </si>
  <si>
    <t>13259.33</t>
  </si>
  <si>
    <t>3889.33</t>
  </si>
  <si>
    <t>ORD102602</t>
  </si>
  <si>
    <t>CUST11964</t>
  </si>
  <si>
    <t>10510.46</t>
  </si>
  <si>
    <t>6109.93</t>
  </si>
  <si>
    <t>2823.96</t>
  </si>
  <si>
    <t>ORD102603</t>
  </si>
  <si>
    <t>CUST12579</t>
  </si>
  <si>
    <t>1789.43</t>
  </si>
  <si>
    <t>1167.43</t>
  </si>
  <si>
    <t>443.06</t>
  </si>
  <si>
    <t>ORD102604</t>
  </si>
  <si>
    <t>CUST10388</t>
  </si>
  <si>
    <t>12162.63</t>
  </si>
  <si>
    <t>17358.599999999999</t>
  </si>
  <si>
    <t>4534.13</t>
  </si>
  <si>
    <t>ORD102610</t>
  </si>
  <si>
    <t>CUST12498</t>
  </si>
  <si>
    <t>2109.2800000000002</t>
  </si>
  <si>
    <t>1372.09</t>
  </si>
  <si>
    <t>526.26</t>
  </si>
  <si>
    <t>ORD102611</t>
  </si>
  <si>
    <t>CUST10828</t>
  </si>
  <si>
    <t>8097.95</t>
  </si>
  <si>
    <t>6393.76</t>
  </si>
  <si>
    <t>489.5</t>
  </si>
  <si>
    <t>ORD102615</t>
  </si>
  <si>
    <t>CUST10513</t>
  </si>
  <si>
    <t>479.04</t>
  </si>
  <si>
    <t>295.89999999999998</t>
  </si>
  <si>
    <t>159.19</t>
  </si>
  <si>
    <t>ORD102617</t>
  </si>
  <si>
    <t>CUST11315</t>
  </si>
  <si>
    <t>13162.04</t>
  </si>
  <si>
    <t>9573.83</t>
  </si>
  <si>
    <t>2930.11</t>
  </si>
  <si>
    <t>ORD102618</t>
  </si>
  <si>
    <t>CUST10508</t>
  </si>
  <si>
    <t>51782.28</t>
  </si>
  <si>
    <t>80820.160000000003</t>
  </si>
  <si>
    <t>12387.94</t>
  </si>
  <si>
    <t>ORD102619</t>
  </si>
  <si>
    <t>CUST13471</t>
  </si>
  <si>
    <t>10385.450000000001</t>
  </si>
  <si>
    <t>7311.12</t>
  </si>
  <si>
    <t>2555.06</t>
  </si>
  <si>
    <t>ORD102621</t>
  </si>
  <si>
    <t>CUST12033</t>
  </si>
  <si>
    <t>1871.53</t>
  </si>
  <si>
    <t>5017.57</t>
  </si>
  <si>
    <t>2094.2399999999998</t>
  </si>
  <si>
    <t>ORD102623</t>
  </si>
  <si>
    <t>CUST12294</t>
  </si>
  <si>
    <t>12446.02</t>
  </si>
  <si>
    <t>20203.54</t>
  </si>
  <si>
    <t>954.69</t>
  </si>
  <si>
    <t>ORD102624</t>
  </si>
  <si>
    <t>CUST11777</t>
  </si>
  <si>
    <t>4226.87</t>
  </si>
  <si>
    <t>2979.52</t>
  </si>
  <si>
    <t>613.32000000000005</t>
  </si>
  <si>
    <t>ORD102626</t>
  </si>
  <si>
    <t>CUST13351</t>
  </si>
  <si>
    <t>3936.28</t>
  </si>
  <si>
    <t>2463.5</t>
  </si>
  <si>
    <t>1079.1500000000001</t>
  </si>
  <si>
    <t>ORD102627</t>
  </si>
  <si>
    <t>CUST10522</t>
  </si>
  <si>
    <t>10343.790000000001</t>
  </si>
  <si>
    <t>7017.42</t>
  </si>
  <si>
    <t>2291.9899999999998</t>
  </si>
  <si>
    <t>ORD102628</t>
  </si>
  <si>
    <t>CUST10741</t>
  </si>
  <si>
    <t>3525.89</t>
  </si>
  <si>
    <t>4503.32</t>
  </si>
  <si>
    <t>1843.28</t>
  </si>
  <si>
    <t>ORD102631</t>
  </si>
  <si>
    <t>CUST13242</t>
  </si>
  <si>
    <t>3931.35</t>
  </si>
  <si>
    <t>8936.7000000000007</t>
  </si>
  <si>
    <t>6788.7</t>
  </si>
  <si>
    <t>ORD102632</t>
  </si>
  <si>
    <t>CUST12525</t>
  </si>
  <si>
    <t>66540.92</t>
  </si>
  <si>
    <t>162940.28</t>
  </si>
  <si>
    <t>16720.2</t>
  </si>
  <si>
    <t>ORD102633</t>
  </si>
  <si>
    <t>CUST11681</t>
  </si>
  <si>
    <t>7563.17</t>
  </si>
  <si>
    <t>4672.37</t>
  </si>
  <si>
    <t>ORD102635</t>
  </si>
  <si>
    <t>CUST13258</t>
  </si>
  <si>
    <t>10507.55</t>
  </si>
  <si>
    <t>7605.6</t>
  </si>
  <si>
    <t>800.44</t>
  </si>
  <si>
    <t>ORD102636</t>
  </si>
  <si>
    <t>CUST12170</t>
  </si>
  <si>
    <t>49359.91</t>
  </si>
  <si>
    <t>30897.16</t>
  </si>
  <si>
    <t>8590.77</t>
  </si>
  <si>
    <t>ORD102637</t>
  </si>
  <si>
    <t>CUST11617</t>
  </si>
  <si>
    <t>4509.63</t>
  </si>
  <si>
    <t>3397.11</t>
  </si>
  <si>
    <t>887.04</t>
  </si>
  <si>
    <t>ORD102639</t>
  </si>
  <si>
    <t>CUST10569</t>
  </si>
  <si>
    <t>63388.73</t>
  </si>
  <si>
    <t>51297.8</t>
  </si>
  <si>
    <t>5752.06</t>
  </si>
  <si>
    <t>ORD102640</t>
  </si>
  <si>
    <t>CUST10447</t>
  </si>
  <si>
    <t>31600.59</t>
  </si>
  <si>
    <t>47717.8</t>
  </si>
  <si>
    <t>12323.32</t>
  </si>
  <si>
    <t>ORD102644</t>
  </si>
  <si>
    <t>CUST11908</t>
  </si>
  <si>
    <t>5463.9</t>
  </si>
  <si>
    <t>3774.1</t>
  </si>
  <si>
    <t>1143.4100000000001</t>
  </si>
  <si>
    <t>ORD102645</t>
  </si>
  <si>
    <t>CUST11484</t>
  </si>
  <si>
    <t>4033.7</t>
  </si>
  <si>
    <t>5436.99</t>
  </si>
  <si>
    <t>1420.3</t>
  </si>
  <si>
    <t>ORD102646</t>
  </si>
  <si>
    <t>CUST10644</t>
  </si>
  <si>
    <t>604.41</t>
  </si>
  <si>
    <t>981.96</t>
  </si>
  <si>
    <t>105.98</t>
  </si>
  <si>
    <t>ORD102647</t>
  </si>
  <si>
    <t>CUST10379</t>
  </si>
  <si>
    <t>15044.37</t>
  </si>
  <si>
    <t>11695.07</t>
  </si>
  <si>
    <t>1844.86</t>
  </si>
  <si>
    <t>ORD102648</t>
  </si>
  <si>
    <t>CUST12868</t>
  </si>
  <si>
    <t>9660.41</t>
  </si>
  <si>
    <t>7424.77</t>
  </si>
  <si>
    <t>786.58</t>
  </si>
  <si>
    <t>ORD102652</t>
  </si>
  <si>
    <t>CUST12830</t>
  </si>
  <si>
    <t>17382.830000000002</t>
  </si>
  <si>
    <t>10971</t>
  </si>
  <si>
    <t>6411.83</t>
  </si>
  <si>
    <t>ORD102655</t>
  </si>
  <si>
    <t>CUST12796</t>
  </si>
  <si>
    <t>37809.120000000003</t>
  </si>
  <si>
    <t>91745.29</t>
  </si>
  <si>
    <t>51929.37</t>
  </si>
  <si>
    <t>ORD102657</t>
  </si>
  <si>
    <t>CUST11429</t>
  </si>
  <si>
    <t>6134.38</t>
  </si>
  <si>
    <t>15824.57</t>
  </si>
  <si>
    <t>6259.2</t>
  </si>
  <si>
    <t>ORD102659</t>
  </si>
  <si>
    <t>31-07-2025</t>
  </si>
  <si>
    <t>CUST10978</t>
  </si>
  <si>
    <t>4898.4799999999996</t>
  </si>
  <si>
    <t>6319.23</t>
  </si>
  <si>
    <t>2987.88</t>
  </si>
  <si>
    <t>ORD102661</t>
  </si>
  <si>
    <t>CUST11006</t>
  </si>
  <si>
    <t>47201.97</t>
  </si>
  <si>
    <t>65223.74</t>
  </si>
  <si>
    <t>24460</t>
  </si>
  <si>
    <t>ORD102662</t>
  </si>
  <si>
    <t>CUST10433</t>
  </si>
  <si>
    <t>5722.88</t>
  </si>
  <si>
    <t>4512.33</t>
  </si>
  <si>
    <t>352.12</t>
  </si>
  <si>
    <t>ORD102664</t>
  </si>
  <si>
    <t>CUST13171</t>
  </si>
  <si>
    <t>27536.6</t>
  </si>
  <si>
    <t>32168.18</t>
  </si>
  <si>
    <t>14644.04</t>
  </si>
  <si>
    <t>ORD102667</t>
  </si>
  <si>
    <t>CUST10747</t>
  </si>
  <si>
    <t>2149.8000000000002</t>
  </si>
  <si>
    <t>1689.34</t>
  </si>
  <si>
    <t>352.97</t>
  </si>
  <si>
    <t>ORD102668</t>
  </si>
  <si>
    <t>CUST10858</t>
  </si>
  <si>
    <t>5573.12</t>
  </si>
  <si>
    <t>10827.59</t>
  </si>
  <si>
    <t>4219.83</t>
  </si>
  <si>
    <t>ORD102669</t>
  </si>
  <si>
    <t>CUST10865</t>
  </si>
  <si>
    <t>2104.7800000000002</t>
  </si>
  <si>
    <t>1553.22</t>
  </si>
  <si>
    <t>130.6</t>
  </si>
  <si>
    <t>ORD102673</t>
  </si>
  <si>
    <t>CUST11251</t>
  </si>
  <si>
    <t>11516.02</t>
  </si>
  <si>
    <t>25863.29</t>
  </si>
  <si>
    <t>15594.38</t>
  </si>
  <si>
    <t>ORD102676</t>
  </si>
  <si>
    <t>CUST11099</t>
  </si>
  <si>
    <t>5568.75</t>
  </si>
  <si>
    <t>11712.5</t>
  </si>
  <si>
    <t>4158.4399999999996</t>
  </si>
  <si>
    <t>ORD102678</t>
  </si>
  <si>
    <t>CUST12674</t>
  </si>
  <si>
    <t>374.46</t>
  </si>
  <si>
    <t>236.44</t>
  </si>
  <si>
    <t>119.3</t>
  </si>
  <si>
    <t>ORD102679</t>
  </si>
  <si>
    <t>CUST12467</t>
  </si>
  <si>
    <t>1485.82</t>
  </si>
  <si>
    <t>952.68</t>
  </si>
  <si>
    <t>458.85</t>
  </si>
  <si>
    <t>ORD102682</t>
  </si>
  <si>
    <t>CUST11283</t>
  </si>
  <si>
    <t>21812.25</t>
  </si>
  <si>
    <t>16239.18</t>
  </si>
  <si>
    <t>4482.46</t>
  </si>
  <si>
    <t>ORD102684</t>
  </si>
  <si>
    <t>CUST10458</t>
  </si>
  <si>
    <t>21380.51</t>
  </si>
  <si>
    <t>15767.37</t>
  </si>
  <si>
    <t>2406.06</t>
  </si>
  <si>
    <t>ORD102687</t>
  </si>
  <si>
    <t>CUST13099</t>
  </si>
  <si>
    <t>24495.14</t>
  </si>
  <si>
    <t>29912.9</t>
  </si>
  <si>
    <t>19077.38</t>
  </si>
  <si>
    <t>ORD102688</t>
  </si>
  <si>
    <t>CUST12081</t>
  </si>
  <si>
    <t>23382.28</t>
  </si>
  <si>
    <t>15186.35</t>
  </si>
  <si>
    <t>3519.47</t>
  </si>
  <si>
    <t>ORD102690</t>
  </si>
  <si>
    <t>CUST12133</t>
  </si>
  <si>
    <t>14839.94</t>
  </si>
  <si>
    <t>20872.759999999998</t>
  </si>
  <si>
    <t>8807.1200000000008</t>
  </si>
  <si>
    <t>ORD102692</t>
  </si>
  <si>
    <t>CUST11108</t>
  </si>
  <si>
    <t>2645.16</t>
  </si>
  <si>
    <t>1873.9</t>
  </si>
  <si>
    <t>506.74</t>
  </si>
  <si>
    <t>ORD102694</t>
  </si>
  <si>
    <t>CUST12910</t>
  </si>
  <si>
    <t>7621.36</t>
  </si>
  <si>
    <t>5747.13</t>
  </si>
  <si>
    <t>1874.23</t>
  </si>
  <si>
    <t>ORD102695</t>
  </si>
  <si>
    <t>CUST11707</t>
  </si>
  <si>
    <t>5227.8900000000003</t>
  </si>
  <si>
    <t>6474.83</t>
  </si>
  <si>
    <t>2412.58</t>
  </si>
  <si>
    <t>ORD102697</t>
  </si>
  <si>
    <t>CUST12715</t>
  </si>
  <si>
    <t>16446.96</t>
  </si>
  <si>
    <t>11525</t>
  </si>
  <si>
    <t>3277.26</t>
  </si>
  <si>
    <t>ORD102698</t>
  </si>
  <si>
    <t>CUST11021</t>
  </si>
  <si>
    <t>4115.6899999999996</t>
  </si>
  <si>
    <t>3084.05</t>
  </si>
  <si>
    <t>825.86</t>
  </si>
  <si>
    <t>ORD102699</t>
  </si>
  <si>
    <t>CUST11625</t>
  </si>
  <si>
    <t>55261.59</t>
  </si>
  <si>
    <t>161522.99</t>
  </si>
  <si>
    <t>26366.42</t>
  </si>
  <si>
    <t>ORD102700</t>
  </si>
  <si>
    <t>CUST12534</t>
  </si>
  <si>
    <t>37301.78</t>
  </si>
  <si>
    <t>43465.02</t>
  </si>
  <si>
    <t>19948.009999999998</t>
  </si>
  <si>
    <t>ORD102701</t>
  </si>
  <si>
    <t>CUST12753</t>
  </si>
  <si>
    <t>4589.58</t>
  </si>
  <si>
    <t>3068.31</t>
  </si>
  <si>
    <t>1291.79</t>
  </si>
  <si>
    <t>ORD102703</t>
  </si>
  <si>
    <t>CUST12764</t>
  </si>
  <si>
    <t>1769.06</t>
  </si>
  <si>
    <t>2747.34</t>
  </si>
  <si>
    <t>436.97</t>
  </si>
  <si>
    <t>ORD102704</t>
  </si>
  <si>
    <t>CUST12555</t>
  </si>
  <si>
    <t>5790.6</t>
  </si>
  <si>
    <t>3244.37</t>
  </si>
  <si>
    <t>1967.17</t>
  </si>
  <si>
    <t>ORD102708</t>
  </si>
  <si>
    <t>CUST12126</t>
  </si>
  <si>
    <t>3853.32</t>
  </si>
  <si>
    <t>2437.66</t>
  </si>
  <si>
    <t>837.66</t>
  </si>
  <si>
    <t>ORD102711</t>
  </si>
  <si>
    <t>CUST11180</t>
  </si>
  <si>
    <t>13929.54</t>
  </si>
  <si>
    <t>45378.29</t>
  </si>
  <si>
    <t>4768.05</t>
  </si>
  <si>
    <t>ORD102712</t>
  </si>
  <si>
    <t>CUST11622</t>
  </si>
  <si>
    <t>3857</t>
  </si>
  <si>
    <t>8319.7199999999993</t>
  </si>
  <si>
    <t>3251.28</t>
  </si>
  <si>
    <t>ORD102713</t>
  </si>
  <si>
    <t>CUST10539</t>
  </si>
  <si>
    <t>2926.82</t>
  </si>
  <si>
    <t>4128.62</t>
  </si>
  <si>
    <t>1139.6600000000001</t>
  </si>
  <si>
    <t>ORD102714</t>
  </si>
  <si>
    <t>CUST11782</t>
  </si>
  <si>
    <t>5440.33</t>
  </si>
  <si>
    <t>3997.48</t>
  </si>
  <si>
    <t>898.82</t>
  </si>
  <si>
    <t>ORD102716</t>
  </si>
  <si>
    <t>CUST11464</t>
  </si>
  <si>
    <t>11419.09</t>
  </si>
  <si>
    <t>9015.52</t>
  </si>
  <si>
    <t>690.71</t>
  </si>
  <si>
    <t>ORD102717</t>
  </si>
  <si>
    <t>CUST10692</t>
  </si>
  <si>
    <t>2506.92</t>
  </si>
  <si>
    <t>1888.72</t>
  </si>
  <si>
    <t>618.20000000000005</t>
  </si>
  <si>
    <t>ORD102720</t>
  </si>
  <si>
    <t>CUST11453</t>
  </si>
  <si>
    <t>12310.37</t>
  </si>
  <si>
    <t>16602.63</t>
  </si>
  <si>
    <t>3093.96</t>
  </si>
  <si>
    <t>ORD102722</t>
  </si>
  <si>
    <t>CUST10191</t>
  </si>
  <si>
    <t>10706.14</t>
  </si>
  <si>
    <t>8394.44</t>
  </si>
  <si>
    <t>2311.6999999999998</t>
  </si>
  <si>
    <t>ORD102723</t>
  </si>
  <si>
    <t>CUST12964</t>
  </si>
  <si>
    <t>2540.16</t>
  </si>
  <si>
    <t>3857.78</t>
  </si>
  <si>
    <t>460.49</t>
  </si>
  <si>
    <t>ORD102726</t>
  </si>
  <si>
    <t>CUST12450</t>
  </si>
  <si>
    <t>16200.23</t>
  </si>
  <si>
    <t>11805.62</t>
  </si>
  <si>
    <t>2774.59</t>
  </si>
  <si>
    <t>ORD102727</t>
  </si>
  <si>
    <t>CUST12005</t>
  </si>
  <si>
    <t>3063.05</t>
  </si>
  <si>
    <t>2179.52</t>
  </si>
  <si>
    <t>730.38</t>
  </si>
  <si>
    <t>ORD102732</t>
  </si>
  <si>
    <t>CUST11788</t>
  </si>
  <si>
    <t>5793.52</t>
  </si>
  <si>
    <t>6859.29</t>
  </si>
  <si>
    <t>3569.05</t>
  </si>
  <si>
    <t>ORD102735</t>
  </si>
  <si>
    <t>CUST10035</t>
  </si>
  <si>
    <t>42503.01</t>
  </si>
  <si>
    <t>31383.33</t>
  </si>
  <si>
    <t>8994.5300000000007</t>
  </si>
  <si>
    <t>ORD102736</t>
  </si>
  <si>
    <t>CUST10536</t>
  </si>
  <si>
    <t>10095.51</t>
  </si>
  <si>
    <t>7859.48</t>
  </si>
  <si>
    <t>2236.0300000000002</t>
  </si>
  <si>
    <t>ORD102738</t>
  </si>
  <si>
    <t>CUST13486</t>
  </si>
  <si>
    <t>22182</t>
  </si>
  <si>
    <t>50272.99</t>
  </si>
  <si>
    <t>12945.71</t>
  </si>
  <si>
    <t>ORD102739</t>
  </si>
  <si>
    <t>CUST10856</t>
  </si>
  <si>
    <t>5877.6</t>
  </si>
  <si>
    <t>13311.56</t>
  </si>
  <si>
    <t>794.68</t>
  </si>
  <si>
    <t>ORD102740</t>
  </si>
  <si>
    <t>CUST12319</t>
  </si>
  <si>
    <t>5053.4799999999996</t>
  </si>
  <si>
    <t>3114.65</t>
  </si>
  <si>
    <t>928.13</t>
  </si>
  <si>
    <t>ORD102744</t>
  </si>
  <si>
    <t>CUST11899</t>
  </si>
  <si>
    <t>20681.259999999998</t>
  </si>
  <si>
    <t>32526.03</t>
  </si>
  <si>
    <t>2632.11</t>
  </si>
  <si>
    <t>ORD102745</t>
  </si>
  <si>
    <t>CUST11485</t>
  </si>
  <si>
    <t>46090.09</t>
  </si>
  <si>
    <t>30634.09</t>
  </si>
  <si>
    <t>6237.98</t>
  </si>
  <si>
    <t>ORD102746</t>
  </si>
  <si>
    <t>CUST12431</t>
  </si>
  <si>
    <t>3547.9</t>
  </si>
  <si>
    <t>2724.25</t>
  </si>
  <si>
    <t>823.65</t>
  </si>
  <si>
    <t>ORD102747</t>
  </si>
  <si>
    <t>CUST10635</t>
  </si>
  <si>
    <t>14835.55</t>
  </si>
  <si>
    <t>18225.060000000001</t>
  </si>
  <si>
    <t>8478.93</t>
  </si>
  <si>
    <t>ORD102749</t>
  </si>
  <si>
    <t>CUST10233</t>
  </si>
  <si>
    <t>2918.85</t>
  </si>
  <si>
    <t>1893.68</t>
  </si>
  <si>
    <t>733.28</t>
  </si>
  <si>
    <t>ORD102750</t>
  </si>
  <si>
    <t>CUST12916</t>
  </si>
  <si>
    <t>2295.89</t>
  </si>
  <si>
    <t>1334.09</t>
  </si>
  <si>
    <t>617.41999999999996</t>
  </si>
  <si>
    <t>ORD102751</t>
  </si>
  <si>
    <t>CUST10225</t>
  </si>
  <si>
    <t>5171.75</t>
  </si>
  <si>
    <t>10431.379999999999</t>
  </si>
  <si>
    <t>4308.1099999999997</t>
  </si>
  <si>
    <t>ORD102754</t>
  </si>
  <si>
    <t>CUST10526</t>
  </si>
  <si>
    <t>6228.5</t>
  </si>
  <si>
    <t>7450.52</t>
  </si>
  <si>
    <t>5006.4799999999996</t>
  </si>
  <si>
    <t>ORD102755</t>
  </si>
  <si>
    <t>CUST10620</t>
  </si>
  <si>
    <t>6381.65</t>
  </si>
  <si>
    <t>4305.34</t>
  </si>
  <si>
    <t>1119.06</t>
  </si>
  <si>
    <t>ORD102757</t>
  </si>
  <si>
    <t>CUST12029</t>
  </si>
  <si>
    <t>1434.43</t>
  </si>
  <si>
    <t>2167.4499999999998</t>
  </si>
  <si>
    <t>271.08</t>
  </si>
  <si>
    <t>ORD102759</t>
  </si>
  <si>
    <t>CUST10930</t>
  </si>
  <si>
    <t>45832.02</t>
  </si>
  <si>
    <t>30571.38</t>
  </si>
  <si>
    <t>8385.84</t>
  </si>
  <si>
    <t>ORD102763</t>
  </si>
  <si>
    <t>CUST12872</t>
  </si>
  <si>
    <t>4203.74</t>
  </si>
  <si>
    <t>2622.73</t>
  </si>
  <si>
    <t>1370.82</t>
  </si>
  <si>
    <t>ORD102764</t>
  </si>
  <si>
    <t>CUST12900</t>
  </si>
  <si>
    <t>5726.26</t>
  </si>
  <si>
    <t>4661.8599999999997</t>
  </si>
  <si>
    <t>205.46</t>
  </si>
  <si>
    <t>ORD102765</t>
  </si>
  <si>
    <t>CUST12671</t>
  </si>
  <si>
    <t>2593</t>
  </si>
  <si>
    <t>1673.54</t>
  </si>
  <si>
    <t>660.16</t>
  </si>
  <si>
    <t>ORD102766</t>
  </si>
  <si>
    <t>CUST11737</t>
  </si>
  <si>
    <t>2658.6</t>
  </si>
  <si>
    <t>1937.8</t>
  </si>
  <si>
    <t>322.01</t>
  </si>
  <si>
    <t>ORD102767</t>
  </si>
  <si>
    <t>CUST10717</t>
  </si>
  <si>
    <t>13708.87</t>
  </si>
  <si>
    <t>10017.25</t>
  </si>
  <si>
    <t>2320.73</t>
  </si>
  <si>
    <t>ORD102771</t>
  </si>
  <si>
    <t>CUST13376</t>
  </si>
  <si>
    <t>4567.25</t>
  </si>
  <si>
    <t>5332.9</t>
  </si>
  <si>
    <t>2888.15</t>
  </si>
  <si>
    <t>ORD102775</t>
  </si>
  <si>
    <t>CUST12513</t>
  </si>
  <si>
    <t>10946.24</t>
  </si>
  <si>
    <t>12909.43</t>
  </si>
  <si>
    <t>5699.18</t>
  </si>
  <si>
    <t>ORD102777</t>
  </si>
  <si>
    <t>CUST13061</t>
  </si>
  <si>
    <t>13977.28</t>
  </si>
  <si>
    <t>11275.35</t>
  </si>
  <si>
    <t>1304.2</t>
  </si>
  <si>
    <t>ORD102778</t>
  </si>
  <si>
    <t>CUST10246</t>
  </si>
  <si>
    <t>17396.400000000001</t>
  </si>
  <si>
    <t>13482.37</t>
  </si>
  <si>
    <t>3914.03</t>
  </si>
  <si>
    <t>ORD102780</t>
  </si>
  <si>
    <t>CUST11296</t>
  </si>
  <si>
    <t>5514.9</t>
  </si>
  <si>
    <t>11060.94</t>
  </si>
  <si>
    <t>3002.05</t>
  </si>
  <si>
    <t>ORD102781</t>
  </si>
  <si>
    <t>CUST10590</t>
  </si>
  <si>
    <t>13832.61</t>
  </si>
  <si>
    <t>17864.84</t>
  </si>
  <si>
    <t>4267.34</t>
  </si>
  <si>
    <t>ORD102783</t>
  </si>
  <si>
    <t>CUST11411</t>
  </si>
  <si>
    <t>31209.93</t>
  </si>
  <si>
    <t>59924.55</t>
  </si>
  <si>
    <t>24342.26</t>
  </si>
  <si>
    <t>ORD102791</t>
  </si>
  <si>
    <t>CUST12271</t>
  </si>
  <si>
    <t>11268.34</t>
  </si>
  <si>
    <t>7753.99</t>
  </si>
  <si>
    <t>2387.52</t>
  </si>
  <si>
    <t>ORD102794</t>
  </si>
  <si>
    <t>CUST10927</t>
  </si>
  <si>
    <t>7497.42</t>
  </si>
  <si>
    <t>4517.22</t>
  </si>
  <si>
    <t>2980.2</t>
  </si>
  <si>
    <t>ORD102800</t>
  </si>
  <si>
    <t>CUST12182</t>
  </si>
  <si>
    <t>5497.72</t>
  </si>
  <si>
    <t>4372.26</t>
  </si>
  <si>
    <t>575.69000000000005</t>
  </si>
  <si>
    <t>ORD102804</t>
  </si>
  <si>
    <t>CUST12920</t>
  </si>
  <si>
    <t>6490.95</t>
  </si>
  <si>
    <t>7805.66</t>
  </si>
  <si>
    <t>ORD102807</t>
  </si>
  <si>
    <t>CUST10928</t>
  </si>
  <si>
    <t>2740.55</t>
  </si>
  <si>
    <t>1737.94</t>
  </si>
  <si>
    <t>728.56</t>
  </si>
  <si>
    <t>ORD102808</t>
  </si>
  <si>
    <t>CUST12813</t>
  </si>
  <si>
    <t>10376.549999999999</t>
  </si>
  <si>
    <t>8345.64</t>
  </si>
  <si>
    <t>-44.4</t>
  </si>
  <si>
    <t>ORD102810</t>
  </si>
  <si>
    <t>CUST13339</t>
  </si>
  <si>
    <t>477.02</t>
  </si>
  <si>
    <t>336.43</t>
  </si>
  <si>
    <t>116.74</t>
  </si>
  <si>
    <t>ORD102811</t>
  </si>
  <si>
    <t>CUST11871</t>
  </si>
  <si>
    <t>21487.56</t>
  </si>
  <si>
    <t>12215.89</t>
  </si>
  <si>
    <t>7122.91</t>
  </si>
  <si>
    <t>ORD102814</t>
  </si>
  <si>
    <t>CUST11792</t>
  </si>
  <si>
    <t>72449.14</t>
  </si>
  <si>
    <t>45260.97</t>
  </si>
  <si>
    <t>27188.17</t>
  </si>
  <si>
    <t>ORD102816</t>
  </si>
  <si>
    <t>CUST10650</t>
  </si>
  <si>
    <t>41630.19</t>
  </si>
  <si>
    <t>28890.28</t>
  </si>
  <si>
    <t>10658.4</t>
  </si>
  <si>
    <t>ORD102817</t>
  </si>
  <si>
    <t>CUST10817</t>
  </si>
  <si>
    <t>26277.18</t>
  </si>
  <si>
    <t>16456.09</t>
  </si>
  <si>
    <t>5879.51</t>
  </si>
  <si>
    <t>ORD102820</t>
  </si>
  <si>
    <t>CUST10480</t>
  </si>
  <si>
    <t>17188.22</t>
  </si>
  <si>
    <t>13015.35</t>
  </si>
  <si>
    <t>1594.64</t>
  </si>
  <si>
    <t>ORD102822</t>
  </si>
  <si>
    <t>CUST11002</t>
  </si>
  <si>
    <t>2376.64</t>
  </si>
  <si>
    <t>1919.12</t>
  </si>
  <si>
    <t>457.52</t>
  </si>
  <si>
    <t>ORD102824</t>
  </si>
  <si>
    <t>CUST10645</t>
  </si>
  <si>
    <t>10685.75</t>
  </si>
  <si>
    <t>6314.67</t>
  </si>
  <si>
    <t>2768.22</t>
  </si>
  <si>
    <t>ORD102825</t>
  </si>
  <si>
    <t>CUST13470</t>
  </si>
  <si>
    <t>6135.4</t>
  </si>
  <si>
    <t>7334.75</t>
  </si>
  <si>
    <t>3095.43</t>
  </si>
  <si>
    <t>ORD102826</t>
  </si>
  <si>
    <t>CUST12041</t>
  </si>
  <si>
    <t>11889.32</t>
  </si>
  <si>
    <t>14852.75</t>
  </si>
  <si>
    <t>7736.96</t>
  </si>
  <si>
    <t>ORD102831</t>
  </si>
  <si>
    <t>CUST12694</t>
  </si>
  <si>
    <t>3350.28</t>
  </si>
  <si>
    <t>2191.91</t>
  </si>
  <si>
    <t>990.86</t>
  </si>
  <si>
    <t>ORD102832</t>
  </si>
  <si>
    <t>CUST10940</t>
  </si>
  <si>
    <t>514.24</t>
  </si>
  <si>
    <t>800.32</t>
  </si>
  <si>
    <t>73.89</t>
  </si>
  <si>
    <t>ORD102835</t>
  </si>
  <si>
    <t>CUST10034</t>
  </si>
  <si>
    <t>3683.93</t>
  </si>
  <si>
    <t>2132.6999999999998</t>
  </si>
  <si>
    <t>1182.8399999999999</t>
  </si>
  <si>
    <t>ORD102838</t>
  </si>
  <si>
    <t>CUST10756</t>
  </si>
  <si>
    <t>74570.44</t>
  </si>
  <si>
    <t>91962.72</t>
  </si>
  <si>
    <t>34807.03</t>
  </si>
  <si>
    <t>ORD102839</t>
  </si>
  <si>
    <t>CUST11281</t>
  </si>
  <si>
    <t>13138.24</t>
  </si>
  <si>
    <t>10313.74</t>
  </si>
  <si>
    <t>2824.5</t>
  </si>
  <si>
    <t>ORD102841</t>
  </si>
  <si>
    <t>CUST12568</t>
  </si>
  <si>
    <t>37008.480000000003</t>
  </si>
  <si>
    <t>22514.78</t>
  </si>
  <si>
    <t>14493.7</t>
  </si>
  <si>
    <t>ORD102843</t>
  </si>
  <si>
    <t>CUST10874</t>
  </si>
  <si>
    <t>8430.4</t>
  </si>
  <si>
    <t>5946.82</t>
  </si>
  <si>
    <t>1640.54</t>
  </si>
  <si>
    <t>ORD102847</t>
  </si>
  <si>
    <t>CUST10387</t>
  </si>
  <si>
    <t>29784.880000000001</t>
  </si>
  <si>
    <t>42718.93</t>
  </si>
  <si>
    <t>13872.34</t>
  </si>
  <si>
    <t>ORD102848</t>
  </si>
  <si>
    <t>CUST12902</t>
  </si>
  <si>
    <t>4272.59</t>
  </si>
  <si>
    <t>5388.08</t>
  </si>
  <si>
    <t>3157.1</t>
  </si>
  <si>
    <t>ORD102850</t>
  </si>
  <si>
    <t>CUST12828</t>
  </si>
  <si>
    <t>10567.55</t>
  </si>
  <si>
    <t>8628.94</t>
  </si>
  <si>
    <t>-174.9</t>
  </si>
  <si>
    <t>ORD102851</t>
  </si>
  <si>
    <t>CUST10557</t>
  </si>
  <si>
    <t>1956.65</t>
  </si>
  <si>
    <t>1142.49</t>
  </si>
  <si>
    <t>520.66</t>
  </si>
  <si>
    <t>ORD102852</t>
  </si>
  <si>
    <t>CUST11199</t>
  </si>
  <si>
    <t>24497.17</t>
  </si>
  <si>
    <t>16196.79</t>
  </si>
  <si>
    <t>5850.66</t>
  </si>
  <si>
    <t>ORD102854</t>
  </si>
  <si>
    <t>CUST12499</t>
  </si>
  <si>
    <t>4934.3500000000004</t>
  </si>
  <si>
    <t>3239.11</t>
  </si>
  <si>
    <t>1201.81</t>
  </si>
  <si>
    <t>ORD102860</t>
  </si>
  <si>
    <t>CUST11132</t>
  </si>
  <si>
    <t>4094.34</t>
  </si>
  <si>
    <t>5809.54</t>
  </si>
  <si>
    <t>2379.14</t>
  </si>
  <si>
    <t>ORD102861</t>
  </si>
  <si>
    <t>CUST13048</t>
  </si>
  <si>
    <t>2618.65</t>
  </si>
  <si>
    <t>1657.8</t>
  </si>
  <si>
    <t>829.92</t>
  </si>
  <si>
    <t>ORD102865</t>
  </si>
  <si>
    <t>CUST12961</t>
  </si>
  <si>
    <t>6672.3</t>
  </si>
  <si>
    <t>14633.04</t>
  </si>
  <si>
    <t>4383.0200000000004</t>
  </si>
  <si>
    <t>ORD102866</t>
  </si>
  <si>
    <t>CUST12958</t>
  </si>
  <si>
    <t>578.91</t>
  </si>
  <si>
    <t>700.94</t>
  </si>
  <si>
    <t>341.1</t>
  </si>
  <si>
    <t>ORD102867</t>
  </si>
  <si>
    <t>CUST12849</t>
  </si>
  <si>
    <t>11188.52</t>
  </si>
  <si>
    <t>7354.05</t>
  </si>
  <si>
    <t>2156.19</t>
  </si>
  <si>
    <t>ORD102868</t>
  </si>
  <si>
    <t>CUST12471</t>
  </si>
  <si>
    <t>23039.599999999999</t>
  </si>
  <si>
    <t>14351.17</t>
  </si>
  <si>
    <t>6384.47</t>
  </si>
  <si>
    <t>ORD102871</t>
  </si>
  <si>
    <t>CUST13193</t>
  </si>
  <si>
    <t>17911.580000000002</t>
  </si>
  <si>
    <t>12779.23</t>
  </si>
  <si>
    <t>5132.3500000000004</t>
  </si>
  <si>
    <t>ORD102873</t>
  </si>
  <si>
    <t>CUST11382</t>
  </si>
  <si>
    <t>2873.11</t>
  </si>
  <si>
    <t>5527.99</t>
  </si>
  <si>
    <t>1798.44</t>
  </si>
  <si>
    <t>ORD102876</t>
  </si>
  <si>
    <t>CUST11741</t>
  </si>
  <si>
    <t>9879.77</t>
  </si>
  <si>
    <t>14844.97</t>
  </si>
  <si>
    <t>4914.57</t>
  </si>
  <si>
    <t>ORD102877</t>
  </si>
  <si>
    <t>CUST11495</t>
  </si>
  <si>
    <t>37519.49</t>
  </si>
  <si>
    <t>22486.95</t>
  </si>
  <si>
    <t>15032.54</t>
  </si>
  <si>
    <t>ORD102879</t>
  </si>
  <si>
    <t>CUST11581</t>
  </si>
  <si>
    <t>1965.23</t>
  </si>
  <si>
    <t>1207.82</t>
  </si>
  <si>
    <t>757.41</t>
  </si>
  <si>
    <t>ORD102880</t>
  </si>
  <si>
    <t>CUST10245</t>
  </si>
  <si>
    <t>7807.46</t>
  </si>
  <si>
    <t>15670.95</t>
  </si>
  <si>
    <t>6580.31</t>
  </si>
  <si>
    <t>ORD102894</t>
  </si>
  <si>
    <t>CUST10320</t>
  </si>
  <si>
    <t>2778.52</t>
  </si>
  <si>
    <t>1748.17</t>
  </si>
  <si>
    <t>1030.3499999999999</t>
  </si>
  <si>
    <t>ORD102896</t>
  </si>
  <si>
    <t>CUST12601</t>
  </si>
  <si>
    <t>3864.9</t>
  </si>
  <si>
    <t>2761.25</t>
  </si>
  <si>
    <t>717.16</t>
  </si>
  <si>
    <t>ORD102899</t>
  </si>
  <si>
    <t>CUST10234</t>
  </si>
  <si>
    <t>12167.55</t>
  </si>
  <si>
    <t>25377.35</t>
  </si>
  <si>
    <t>7475.03</t>
  </si>
  <si>
    <t>ORD102902</t>
  </si>
  <si>
    <t>CUST11644</t>
  </si>
  <si>
    <t>34330.19</t>
  </si>
  <si>
    <t>21477.119999999999</t>
  </si>
  <si>
    <t>9420.0499999999993</t>
  </si>
  <si>
    <t>ORD102904</t>
  </si>
  <si>
    <t>CUST11346</t>
  </si>
  <si>
    <t>4340.1400000000003</t>
  </si>
  <si>
    <t>7787.82</t>
  </si>
  <si>
    <t>4581.58</t>
  </si>
  <si>
    <t>ORD102906</t>
  </si>
  <si>
    <t>CUST11213</t>
  </si>
  <si>
    <t>471.05</t>
  </si>
  <si>
    <t>571.85</t>
  </si>
  <si>
    <t>323.14999999999998</t>
  </si>
  <si>
    <t>ORD102910</t>
  </si>
  <si>
    <t>CUST10482</t>
  </si>
  <si>
    <t>12212.09</t>
  </si>
  <si>
    <t>7900.73</t>
  </si>
  <si>
    <t>3090.15</t>
  </si>
  <si>
    <t>ORD102913</t>
  </si>
  <si>
    <t>CUST12259</t>
  </si>
  <si>
    <t>5000.03</t>
  </si>
  <si>
    <t>12052.57</t>
  </si>
  <si>
    <t>1447.51</t>
  </si>
  <si>
    <t>ORD102915</t>
  </si>
  <si>
    <t>CUST13077</t>
  </si>
  <si>
    <t>20146.73</t>
  </si>
  <si>
    <t>52768.87</t>
  </si>
  <si>
    <t>27818.05</t>
  </si>
  <si>
    <t>ORD102919</t>
  </si>
  <si>
    <t>CUST10049</t>
  </si>
  <si>
    <t>13503.75</t>
  </si>
  <si>
    <t>7985.09</t>
  </si>
  <si>
    <t>3493.1</t>
  </si>
  <si>
    <t>ORD102924</t>
  </si>
  <si>
    <t>CUST12114</t>
  </si>
  <si>
    <t>5528.84</t>
  </si>
  <si>
    <t>10754.21</t>
  </si>
  <si>
    <t>5002.9799999999996</t>
  </si>
  <si>
    <t>ORD102925</t>
  </si>
  <si>
    <t>CUST10289</t>
  </si>
  <si>
    <t>3630.05</t>
  </si>
  <si>
    <t>2447.65</t>
  </si>
  <si>
    <t>819.39</t>
  </si>
  <si>
    <t>ORD102928</t>
  </si>
  <si>
    <t>CUST12375</t>
  </si>
  <si>
    <t>16026.79</t>
  </si>
  <si>
    <t>10691.37</t>
  </si>
  <si>
    <t>2931.4</t>
  </si>
  <si>
    <t>ORD102935</t>
  </si>
  <si>
    <t>CUST12718</t>
  </si>
  <si>
    <t>1618.44</t>
  </si>
  <si>
    <t>1006.15</t>
  </si>
  <si>
    <t>450.45</t>
  </si>
  <si>
    <t>ORD102936</t>
  </si>
  <si>
    <t>CUST12297</t>
  </si>
  <si>
    <t>19624.91</t>
  </si>
  <si>
    <t>29512.36</t>
  </si>
  <si>
    <t>7774.97</t>
  </si>
  <si>
    <t>ORD102938</t>
  </si>
  <si>
    <t>CUST12197</t>
  </si>
  <si>
    <t>11540.36</t>
  </si>
  <si>
    <t>7071.21</t>
  </si>
  <si>
    <t>4469.1499999999996</t>
  </si>
  <si>
    <t>ORD102939</t>
  </si>
  <si>
    <t>CUST12819</t>
  </si>
  <si>
    <t>36103.360000000001</t>
  </si>
  <si>
    <t>28977.59</t>
  </si>
  <si>
    <t>5320.6</t>
  </si>
  <si>
    <t>ORD102940</t>
  </si>
  <si>
    <t>CUST13281</t>
  </si>
  <si>
    <t>10308.24</t>
  </si>
  <si>
    <t>7419.48</t>
  </si>
  <si>
    <t>1857.94</t>
  </si>
  <si>
    <t>ORD102941</t>
  </si>
  <si>
    <t>CUST12619</t>
  </si>
  <si>
    <t>2785.21</t>
  </si>
  <si>
    <t>3432.14</t>
  </si>
  <si>
    <t>1024.2</t>
  </si>
  <si>
    <t>ORD102942</t>
  </si>
  <si>
    <t>CUST10218</t>
  </si>
  <si>
    <t>2661.93</t>
  </si>
  <si>
    <t>1706.18</t>
  </si>
  <si>
    <t>556.46</t>
  </si>
  <si>
    <t>ORD102943</t>
  </si>
  <si>
    <t>CUST12978</t>
  </si>
  <si>
    <t>35454.18</t>
  </si>
  <si>
    <t>28162.48</t>
  </si>
  <si>
    <t>7291.7</t>
  </si>
  <si>
    <t>ORD102947</t>
  </si>
  <si>
    <t>CUST10579</t>
  </si>
  <si>
    <t>4274.5600000000004</t>
  </si>
  <si>
    <t>2753.57</t>
  </si>
  <si>
    <t>1307.26</t>
  </si>
  <si>
    <t>ORD102948</t>
  </si>
  <si>
    <t>CUST12759</t>
  </si>
  <si>
    <t>3300.72</t>
  </si>
  <si>
    <t>6155.77</t>
  </si>
  <si>
    <t>ORD102953</t>
  </si>
  <si>
    <t>CUST11080</t>
  </si>
  <si>
    <t>50186.41</t>
  </si>
  <si>
    <t>37569.29</t>
  </si>
  <si>
    <t>12617.12</t>
  </si>
  <si>
    <t>ORD102956</t>
  </si>
  <si>
    <t>CUST10578</t>
  </si>
  <si>
    <t>1828.27</t>
  </si>
  <si>
    <t>3628.47</t>
  </si>
  <si>
    <t>1856.34</t>
  </si>
  <si>
    <t>ORD102959</t>
  </si>
  <si>
    <t>CUST11945</t>
  </si>
  <si>
    <t>4866.93</t>
  </si>
  <si>
    <t>6052.34</t>
  </si>
  <si>
    <t>3194.83</t>
  </si>
  <si>
    <t>ORD102961</t>
  </si>
  <si>
    <t>CUST12131</t>
  </si>
  <si>
    <t>12101.36</t>
  </si>
  <si>
    <t>7735.06</t>
  </si>
  <si>
    <t>1946.03</t>
  </si>
  <si>
    <t>ORD102966</t>
  </si>
  <si>
    <t>CUST10111</t>
  </si>
  <si>
    <t>23674</t>
  </si>
  <si>
    <t>13810.47</t>
  </si>
  <si>
    <t>7496.13</t>
  </si>
  <si>
    <t>ORD102967</t>
  </si>
  <si>
    <t>CUST11513</t>
  </si>
  <si>
    <t>5867.05</t>
  </si>
  <si>
    <t>4626.28</t>
  </si>
  <si>
    <t>360.71</t>
  </si>
  <si>
    <t>ORD102970</t>
  </si>
  <si>
    <t>CUST12807</t>
  </si>
  <si>
    <t>10886.57</t>
  </si>
  <si>
    <t>6468.46</t>
  </si>
  <si>
    <t>4418.1099999999997</t>
  </si>
  <si>
    <t>ORD102971</t>
  </si>
  <si>
    <t>CUST10736</t>
  </si>
  <si>
    <t>1548.82</t>
  </si>
  <si>
    <t>867.2</t>
  </si>
  <si>
    <t>449.3</t>
  </si>
  <si>
    <t>ORD102973</t>
  </si>
  <si>
    <t>CUST12538</t>
  </si>
  <si>
    <t>1254.68</t>
  </si>
  <si>
    <t>1864.67</t>
  </si>
  <si>
    <t>644.69000000000005</t>
  </si>
  <si>
    <t>ORD102974</t>
  </si>
  <si>
    <t>CUST13487</t>
  </si>
  <si>
    <t>3851.55</t>
  </si>
  <si>
    <t>8620.59</t>
  </si>
  <si>
    <t>2934.06</t>
  </si>
  <si>
    <t>ORD102975</t>
  </si>
  <si>
    <t>CUST13150</t>
  </si>
  <si>
    <t>6407.54</t>
  </si>
  <si>
    <t>14934.29</t>
  </si>
  <si>
    <t>10695.87</t>
  </si>
  <si>
    <t>ORD102976</t>
  </si>
  <si>
    <t>CUST13482</t>
  </si>
  <si>
    <t>10117.120000000001</t>
  </si>
  <si>
    <t>5990.54</t>
  </si>
  <si>
    <t>4126.58</t>
  </si>
  <si>
    <t>ORD102977</t>
  </si>
  <si>
    <t>CUST13043</t>
  </si>
  <si>
    <t>773.54</t>
  </si>
  <si>
    <t>1685.88</t>
  </si>
  <si>
    <t>170.62</t>
  </si>
  <si>
    <t>ORD102978</t>
  </si>
  <si>
    <t>CUST12193</t>
  </si>
  <si>
    <t>4587.24</t>
  </si>
  <si>
    <t>14466.52</t>
  </si>
  <si>
    <t>2047.54</t>
  </si>
  <si>
    <t>ORD102979</t>
  </si>
  <si>
    <t>CUST11756</t>
  </si>
  <si>
    <t>5480.89</t>
  </si>
  <si>
    <t>3130.12</t>
  </si>
  <si>
    <t>1802.68</t>
  </si>
  <si>
    <t>ORD102982</t>
  </si>
  <si>
    <t>CUST13212</t>
  </si>
  <si>
    <t>8782.27</t>
  </si>
  <si>
    <t>15124.61</t>
  </si>
  <si>
    <t>5952.84</t>
  </si>
  <si>
    <t>ORD102983</t>
  </si>
  <si>
    <t>CUST11639</t>
  </si>
  <si>
    <t>954.26</t>
  </si>
  <si>
    <t>726.5</t>
  </si>
  <si>
    <t>84.62</t>
  </si>
  <si>
    <t>ORD102992</t>
  </si>
  <si>
    <t>CUST10451</t>
  </si>
  <si>
    <t>66552.17</t>
  </si>
  <si>
    <t>74701.38</t>
  </si>
  <si>
    <t>38437.31</t>
  </si>
  <si>
    <t>ORD102995</t>
  </si>
  <si>
    <t>CUST11196</t>
  </si>
  <si>
    <t>65683.539999999994</t>
  </si>
  <si>
    <t>44672.19</t>
  </si>
  <si>
    <t>14443</t>
  </si>
  <si>
    <t>ORD102998</t>
  </si>
  <si>
    <t>CUST10608</t>
  </si>
  <si>
    <t>3928.73</t>
  </si>
  <si>
    <t>5657.77</t>
  </si>
  <si>
    <t>1021.07</t>
  </si>
  <si>
    <t>ORD103000</t>
  </si>
  <si>
    <t>CUST13272</t>
  </si>
  <si>
    <t>1664.77</t>
  </si>
  <si>
    <t>1192.23</t>
  </si>
  <si>
    <t>389.3</t>
  </si>
  <si>
    <t>ORD103001</t>
  </si>
  <si>
    <t>CUST10275</t>
  </si>
  <si>
    <t>1924.14</t>
  </si>
  <si>
    <t>2448.08</t>
  </si>
  <si>
    <t>1400.2</t>
  </si>
  <si>
    <t>ORD103005</t>
  </si>
  <si>
    <t>CUST12284</t>
  </si>
  <si>
    <t>6812.32</t>
  </si>
  <si>
    <t>3858.45</t>
  </si>
  <si>
    <t>2953.87</t>
  </si>
  <si>
    <t>ORD103007</t>
  </si>
  <si>
    <t>CUST11739</t>
  </si>
  <si>
    <t>7472.96</t>
  </si>
  <si>
    <t>17422.95</t>
  </si>
  <si>
    <t>7985.11</t>
  </si>
  <si>
    <t>ORD103008</t>
  </si>
  <si>
    <t>CUST12413</t>
  </si>
  <si>
    <t>2694.81</t>
  </si>
  <si>
    <t>1906.9</t>
  </si>
  <si>
    <t>383.69</t>
  </si>
  <si>
    <t>ORD103010</t>
  </si>
  <si>
    <t>CUST12085</t>
  </si>
  <si>
    <t>1214.8699999999999</t>
  </si>
  <si>
    <t>742.7</t>
  </si>
  <si>
    <t>350.68</t>
  </si>
  <si>
    <t>ORD103012</t>
  </si>
  <si>
    <t>CUST13199</t>
  </si>
  <si>
    <t>59121.89</t>
  </si>
  <si>
    <t>112396.51</t>
  </si>
  <si>
    <t>64969.16</t>
  </si>
  <si>
    <t>ORD103015</t>
  </si>
  <si>
    <t>CUST13255</t>
  </si>
  <si>
    <t>6420.8</t>
  </si>
  <si>
    <t>11294.1</t>
  </si>
  <si>
    <t>6042.06</t>
  </si>
  <si>
    <t>ORD103016</t>
  </si>
  <si>
    <t>CUST11752</t>
  </si>
  <si>
    <t>2862.92</t>
  </si>
  <si>
    <t>1617.72</t>
  </si>
  <si>
    <t>815.76</t>
  </si>
  <si>
    <t>ORD103020</t>
  </si>
  <si>
    <t>CUST11224</t>
  </si>
  <si>
    <t>1363.51</t>
  </si>
  <si>
    <t>804.33</t>
  </si>
  <si>
    <t>286.48</t>
  </si>
  <si>
    <t>ORD103022</t>
  </si>
  <si>
    <t>CUST10702</t>
  </si>
  <si>
    <t>12589.85</t>
  </si>
  <si>
    <t>8414.5400000000009</t>
  </si>
  <si>
    <t>3545.82</t>
  </si>
  <si>
    <t>ORD103028</t>
  </si>
  <si>
    <t>CUST12557</t>
  </si>
  <si>
    <t>19346.57</t>
  </si>
  <si>
    <t>53907.88</t>
  </si>
  <si>
    <t>15739.77</t>
  </si>
  <si>
    <t>ORD103029</t>
  </si>
  <si>
    <t>CUST11111</t>
  </si>
  <si>
    <t>5135.5200000000004</t>
  </si>
  <si>
    <t>4152.67</t>
  </si>
  <si>
    <t>982.85</t>
  </si>
  <si>
    <t>ORD103030</t>
  </si>
  <si>
    <t>CUST11809</t>
  </si>
  <si>
    <t>1122.93</t>
  </si>
  <si>
    <t>816.15</t>
  </si>
  <si>
    <t>306.77999999999997</t>
  </si>
  <si>
    <t>ORD103037</t>
  </si>
  <si>
    <t>CUST10414</t>
  </si>
  <si>
    <t>32060.7</t>
  </si>
  <si>
    <t>48162.17</t>
  </si>
  <si>
    <t>15959.23</t>
  </si>
  <si>
    <t>ORD103039</t>
  </si>
  <si>
    <t>CUST12831</t>
  </si>
  <si>
    <t>3891.71</t>
  </si>
  <si>
    <t>3108.43</t>
  </si>
  <si>
    <t>783.28</t>
  </si>
  <si>
    <t>ORD103042</t>
  </si>
  <si>
    <t>CUST10052</t>
  </si>
  <si>
    <t>29659.39</t>
  </si>
  <si>
    <t>18348.16</t>
  </si>
  <si>
    <t>8345.2900000000009</t>
  </si>
  <si>
    <t>ORD103044</t>
  </si>
  <si>
    <t>CUST11312</t>
  </si>
  <si>
    <t>3588.64</t>
  </si>
  <si>
    <t>5763.45</t>
  </si>
  <si>
    <t>337.24</t>
  </si>
  <si>
    <t>ORD103049</t>
  </si>
  <si>
    <t>CUST12331</t>
  </si>
  <si>
    <t>529.87</t>
  </si>
  <si>
    <t>338.65</t>
  </si>
  <si>
    <t>111.74</t>
  </si>
  <si>
    <t>ORD103050</t>
  </si>
  <si>
    <t>CUST13109</t>
  </si>
  <si>
    <t>4858.12</t>
  </si>
  <si>
    <t>3604.2</t>
  </si>
  <si>
    <t>525.20000000000005</t>
  </si>
  <si>
    <t>ORD103052</t>
  </si>
  <si>
    <t>CUST10708</t>
  </si>
  <si>
    <t>302.38</t>
  </si>
  <si>
    <t>204.66</t>
  </si>
  <si>
    <t>52.36</t>
  </si>
  <si>
    <t>ORD103058</t>
  </si>
  <si>
    <t>CUST13455</t>
  </si>
  <si>
    <t>8772.16</t>
  </si>
  <si>
    <t>6775.38</t>
  </si>
  <si>
    <t>1558.17</t>
  </si>
  <si>
    <t>ORD103059</t>
  </si>
  <si>
    <t>CUST13159</t>
  </si>
  <si>
    <t>25270.87</t>
  </si>
  <si>
    <t>33886.83</t>
  </si>
  <si>
    <t>11600.74</t>
  </si>
  <si>
    <t>ORD103061</t>
  </si>
  <si>
    <t>CUST11632</t>
  </si>
  <si>
    <t>1234.47</t>
  </si>
  <si>
    <t>889.88</t>
  </si>
  <si>
    <t>221.14</t>
  </si>
  <si>
    <t>ORD103065</t>
  </si>
  <si>
    <t>CUST13479</t>
  </si>
  <si>
    <t>3037.37</t>
  </si>
  <si>
    <t>2027.04</t>
  </si>
  <si>
    <t>554.72</t>
  </si>
  <si>
    <t>ORD103066</t>
  </si>
  <si>
    <t>CUST12564</t>
  </si>
  <si>
    <t>3694.43</t>
  </si>
  <si>
    <t>5276.44</t>
  </si>
  <si>
    <t>2112.42</t>
  </si>
  <si>
    <t>ORD103067</t>
  </si>
  <si>
    <t>CUST13051</t>
  </si>
  <si>
    <t>7281.69</t>
  </si>
  <si>
    <t>5946.86</t>
  </si>
  <si>
    <t>970.75</t>
  </si>
  <si>
    <t>ORD103070</t>
  </si>
  <si>
    <t>CUST11770</t>
  </si>
  <si>
    <t>3590.6</t>
  </si>
  <si>
    <t>4375.25</t>
  </si>
  <si>
    <t>2805.95</t>
  </si>
  <si>
    <t>ORD103071</t>
  </si>
  <si>
    <t>CUST12822</t>
  </si>
  <si>
    <t>11048.32</t>
  </si>
  <si>
    <t>7849.09</t>
  </si>
  <si>
    <t>2646.81</t>
  </si>
  <si>
    <t>ORD103072</t>
  </si>
  <si>
    <t>CUST10744</t>
  </si>
  <si>
    <t>2117.59</t>
  </si>
  <si>
    <t>1369.87</t>
  </si>
  <si>
    <t>641.84</t>
  </si>
  <si>
    <t>ORD103076</t>
  </si>
  <si>
    <t>CUST11784</t>
  </si>
  <si>
    <t>5512</t>
  </si>
  <si>
    <t>12517.2</t>
  </si>
  <si>
    <t>4018.8</t>
  </si>
  <si>
    <t>ORD103077</t>
  </si>
  <si>
    <t>CUST11888</t>
  </si>
  <si>
    <t>5724.54</t>
  </si>
  <si>
    <t>8751.67</t>
  </si>
  <si>
    <t>2124.96</t>
  </si>
  <si>
    <t>ORD103078</t>
  </si>
  <si>
    <t>CUST10537</t>
  </si>
  <si>
    <t>5154.33</t>
  </si>
  <si>
    <t>3190.45</t>
  </si>
  <si>
    <t>1963.88</t>
  </si>
  <si>
    <t>ORD103080</t>
  </si>
  <si>
    <t>CUST10194</t>
  </si>
  <si>
    <t>1374</t>
  </si>
  <si>
    <t>3118.52</t>
  </si>
  <si>
    <t>591.28</t>
  </si>
  <si>
    <t>ORD103081</t>
  </si>
  <si>
    <t>CUST10365</t>
  </si>
  <si>
    <t>9061.11</t>
  </si>
  <si>
    <t>5131.5600000000004</t>
  </si>
  <si>
    <t>3929.55</t>
  </si>
  <si>
    <t>ORD103085</t>
  </si>
  <si>
    <t>CUST12995</t>
  </si>
  <si>
    <t>51235.61</t>
  </si>
  <si>
    <t>42006.39</t>
  </si>
  <si>
    <t>9229.2199999999993</t>
  </si>
  <si>
    <t>ORD103086</t>
  </si>
  <si>
    <t>CUST11030</t>
  </si>
  <si>
    <t>2141.7600000000002</t>
  </si>
  <si>
    <t>3045.5</t>
  </si>
  <si>
    <t>1238.02</t>
  </si>
  <si>
    <t>ORD103087</t>
  </si>
  <si>
    <t>CUST12443</t>
  </si>
  <si>
    <t>5767.9</t>
  </si>
  <si>
    <t>3173.14</t>
  </si>
  <si>
    <t>2017.97</t>
  </si>
  <si>
    <t>ORD103090</t>
  </si>
  <si>
    <t>CUST13147</t>
  </si>
  <si>
    <t>2518.9699999999998</t>
  </si>
  <si>
    <t>1989.34</t>
  </si>
  <si>
    <t>403.68</t>
  </si>
  <si>
    <t>ORD103091</t>
  </si>
  <si>
    <t>CUST13202</t>
  </si>
  <si>
    <t>12286.54</t>
  </si>
  <si>
    <t>16598.810000000001</t>
  </si>
  <si>
    <t>6745.62</t>
  </si>
  <si>
    <t>ORD103092</t>
  </si>
  <si>
    <t>CUST12218</t>
  </si>
  <si>
    <t>1358.51</t>
  </si>
  <si>
    <t>969.76</t>
  </si>
  <si>
    <t>184.97</t>
  </si>
  <si>
    <t>ORD103094</t>
  </si>
  <si>
    <t>CUST11171</t>
  </si>
  <si>
    <t>4228.8599999999997</t>
  </si>
  <si>
    <t>6595.25</t>
  </si>
  <si>
    <t>593.80999999999995</t>
  </si>
  <si>
    <t>ORD103102</t>
  </si>
  <si>
    <t>CUST12421</t>
  </si>
  <si>
    <t>17341.78</t>
  </si>
  <si>
    <t>24494.71</t>
  </si>
  <si>
    <t>6720.49</t>
  </si>
  <si>
    <t>ORD103104</t>
  </si>
  <si>
    <t>CUST12306</t>
  </si>
  <si>
    <t>10030.69</t>
  </si>
  <si>
    <t>24670.49</t>
  </si>
  <si>
    <t>5421.58</t>
  </si>
  <si>
    <t>ORD103110</t>
  </si>
  <si>
    <t>CUST12865</t>
  </si>
  <si>
    <t>67841.960000000006</t>
  </si>
  <si>
    <t>46162.25</t>
  </si>
  <si>
    <t>18287.61</t>
  </si>
  <si>
    <t>ORD103113</t>
  </si>
  <si>
    <t>CUST13279</t>
  </si>
  <si>
    <t>5837.41</t>
  </si>
  <si>
    <t>3585.23</t>
  </si>
  <si>
    <t>1960.31</t>
  </si>
  <si>
    <t>ORD103114</t>
  </si>
  <si>
    <t>CUST11778</t>
  </si>
  <si>
    <t>53903.08</t>
  </si>
  <si>
    <t>82486.34</t>
  </si>
  <si>
    <t>19929.509999999998</t>
  </si>
  <si>
    <t>ORD103115</t>
  </si>
  <si>
    <t>CUST10796</t>
  </si>
  <si>
    <t>31250.85</t>
  </si>
  <si>
    <t>48393.67</t>
  </si>
  <si>
    <t>7857.86</t>
  </si>
  <si>
    <t>ORD103119</t>
  </si>
  <si>
    <t>CUST11190</t>
  </si>
  <si>
    <t>9981.86</t>
  </si>
  <si>
    <t>27451.87</t>
  </si>
  <si>
    <t>10479.200000000001</t>
  </si>
  <si>
    <t>ORD103121</t>
  </si>
  <si>
    <t>CUST13221</t>
  </si>
  <si>
    <t>888.8</t>
  </si>
  <si>
    <t>2387.16</t>
  </si>
  <si>
    <t>812.52</t>
  </si>
  <si>
    <t>ORD103122</t>
  </si>
  <si>
    <t>CUST12531</t>
  </si>
  <si>
    <t>72095.58</t>
  </si>
  <si>
    <t>46211.98</t>
  </si>
  <si>
    <t>11464.48</t>
  </si>
  <si>
    <t>ORD103124</t>
  </si>
  <si>
    <t>CUST13465</t>
  </si>
  <si>
    <t>4748.25</t>
  </si>
  <si>
    <t>3044.02</t>
  </si>
  <si>
    <t>1229.4000000000001</t>
  </si>
  <si>
    <t>ORD103125</t>
  </si>
  <si>
    <t>CUST10302</t>
  </si>
  <si>
    <t>9770.7099999999991</t>
  </si>
  <si>
    <t>15031.49</t>
  </si>
  <si>
    <t>1578.72</t>
  </si>
  <si>
    <t>ORD103126</t>
  </si>
  <si>
    <t>CUST10587</t>
  </si>
  <si>
    <t>2274.38</t>
  </si>
  <si>
    <t>1469.03</t>
  </si>
  <si>
    <t>805.35</t>
  </si>
  <si>
    <t>ORD103128</t>
  </si>
  <si>
    <t>CUST12039</t>
  </si>
  <si>
    <t>48566.400000000001</t>
  </si>
  <si>
    <t>36711.89</t>
  </si>
  <si>
    <t>6997.87</t>
  </si>
  <si>
    <t>ORD103131</t>
  </si>
  <si>
    <t>CUST11780</t>
  </si>
  <si>
    <t>3126.41</t>
  </si>
  <si>
    <t>1779.08</t>
  </si>
  <si>
    <t>1034.69</t>
  </si>
  <si>
    <t>ORD103135</t>
  </si>
  <si>
    <t>CUST12546</t>
  </si>
  <si>
    <t>74833.440000000002</t>
  </si>
  <si>
    <t>127983.42</t>
  </si>
  <si>
    <t>74066.87</t>
  </si>
  <si>
    <t>ORD103137</t>
  </si>
  <si>
    <t>CUST10831</t>
  </si>
  <si>
    <t>11728.04</t>
  </si>
  <si>
    <t>14802.46</t>
  </si>
  <si>
    <t>6308.01</t>
  </si>
  <si>
    <t>ORD103138</t>
  </si>
  <si>
    <t>CUST12655</t>
  </si>
  <si>
    <t>1573.12</t>
  </si>
  <si>
    <t>1122.1600000000001</t>
  </si>
  <si>
    <t>372.3</t>
  </si>
  <si>
    <t>ORD103139</t>
  </si>
  <si>
    <t>CUST13067</t>
  </si>
  <si>
    <t>4713.6400000000003</t>
  </si>
  <si>
    <t>11521.46</t>
  </si>
  <si>
    <t>6390.37</t>
  </si>
  <si>
    <t>ORD103141</t>
  </si>
  <si>
    <t>CUST11531</t>
  </si>
  <si>
    <t>2943.49</t>
  </si>
  <si>
    <t>1644.47</t>
  </si>
  <si>
    <t>1151.8499999999999</t>
  </si>
  <si>
    <t>ORD103143</t>
  </si>
  <si>
    <t>CUST10258</t>
  </si>
  <si>
    <t>610.70000000000005</t>
  </si>
  <si>
    <t>687.91</t>
  </si>
  <si>
    <t>411.35</t>
  </si>
  <si>
    <t>ORD103144</t>
  </si>
  <si>
    <t>CUST10685</t>
  </si>
  <si>
    <t>4579.1899999999996</t>
  </si>
  <si>
    <t>2770.74</t>
  </si>
  <si>
    <t>1579.49</t>
  </si>
  <si>
    <t>ORD103145</t>
  </si>
  <si>
    <t>CUST12705</t>
  </si>
  <si>
    <t>3141.03</t>
  </si>
  <si>
    <t>6350.9</t>
  </si>
  <si>
    <t>3072.19</t>
  </si>
  <si>
    <t>ORD103150</t>
  </si>
  <si>
    <t>CUST13220</t>
  </si>
  <si>
    <t>16545.28</t>
  </si>
  <si>
    <t>29114.7</t>
  </si>
  <si>
    <t>20521.14</t>
  </si>
  <si>
    <t>ORD103152</t>
  </si>
  <si>
    <t>CUST12530</t>
  </si>
  <si>
    <t>3783</t>
  </si>
  <si>
    <t>10144.700000000001</t>
  </si>
  <si>
    <t>4230.7</t>
  </si>
  <si>
    <t>ORD103157</t>
  </si>
  <si>
    <t>CUST13358</t>
  </si>
  <si>
    <t>4636.8</t>
  </si>
  <si>
    <t>3015.85</t>
  </si>
  <si>
    <t>1157.27</t>
  </si>
  <si>
    <t>ORD103159</t>
  </si>
  <si>
    <t>CUST13133</t>
  </si>
  <si>
    <t>29974.41</t>
  </si>
  <si>
    <t>18769.310000000001</t>
  </si>
  <si>
    <t>6708.94</t>
  </si>
  <si>
    <t>ORD103162</t>
  </si>
  <si>
    <t>CUST11326</t>
  </si>
  <si>
    <t>6746.7</t>
  </si>
  <si>
    <t>4487.3100000000004</t>
  </si>
  <si>
    <t>2259.39</t>
  </si>
  <si>
    <t>ORD103163</t>
  </si>
  <si>
    <t>CUST10452</t>
  </si>
  <si>
    <t>57139.27</t>
  </si>
  <si>
    <t>37655.85</t>
  </si>
  <si>
    <t>13769.49</t>
  </si>
  <si>
    <t>ORD103166</t>
  </si>
  <si>
    <t>CUST10839</t>
  </si>
  <si>
    <t>4984.76</t>
  </si>
  <si>
    <t>8035.37</t>
  </si>
  <si>
    <t>937.2</t>
  </si>
  <si>
    <t>ORD103168</t>
  </si>
  <si>
    <t>CUST12533</t>
  </si>
  <si>
    <t>714.54</t>
  </si>
  <si>
    <t>1342.1</t>
  </si>
  <si>
    <t>479.98</t>
  </si>
  <si>
    <t>ORD103170</t>
  </si>
  <si>
    <t>CUST11129</t>
  </si>
  <si>
    <t>9752.68</t>
  </si>
  <si>
    <t>5400.75</t>
  </si>
  <si>
    <t>2401.39</t>
  </si>
  <si>
    <t>ORD103171</t>
  </si>
  <si>
    <t>CUST11504</t>
  </si>
  <si>
    <t>8140.63</t>
  </si>
  <si>
    <t>12081.67</t>
  </si>
  <si>
    <t>3385.53</t>
  </si>
  <si>
    <t>ORD103174</t>
  </si>
  <si>
    <t>CUST13314</t>
  </si>
  <si>
    <t>5828.16</t>
  </si>
  <si>
    <t>3573.8</t>
  </si>
  <si>
    <t>1380.14</t>
  </si>
  <si>
    <t>ORD103175</t>
  </si>
  <si>
    <t>CUST10202</t>
  </si>
  <si>
    <t>29425.87</t>
  </si>
  <si>
    <t>19026.66</t>
  </si>
  <si>
    <t>8927.92</t>
  </si>
  <si>
    <t>ORD103176</t>
  </si>
  <si>
    <t>CUST13300</t>
  </si>
  <si>
    <t>18137.2</t>
  </si>
  <si>
    <t>34399.67</t>
  </si>
  <si>
    <t>14570.77</t>
  </si>
  <si>
    <t>ORD103183</t>
  </si>
  <si>
    <t>CUST12932</t>
  </si>
  <si>
    <t>322.10000000000002</t>
  </si>
  <si>
    <t>218.65</t>
  </si>
  <si>
    <t>71.239999999999995</t>
  </si>
  <si>
    <t>ORD103184</t>
  </si>
  <si>
    <t>CUST11266</t>
  </si>
  <si>
    <t>4889.66</t>
  </si>
  <si>
    <t>2877.89</t>
  </si>
  <si>
    <t>1767.29</t>
  </si>
  <si>
    <t>ORD103185</t>
  </si>
  <si>
    <t>CUST12105</t>
  </si>
  <si>
    <t>5936.03</t>
  </si>
  <si>
    <t>4210.68</t>
  </si>
  <si>
    <t>538.14</t>
  </si>
  <si>
    <t>ORD103188</t>
  </si>
  <si>
    <t>CUST12320</t>
  </si>
  <si>
    <t>13110.04</t>
  </si>
  <si>
    <t>7595.2</t>
  </si>
  <si>
    <t>4859.34</t>
  </si>
  <si>
    <t>ORD103190</t>
  </si>
  <si>
    <t>CUST12833</t>
  </si>
  <si>
    <t>16104.97</t>
  </si>
  <si>
    <t>24170.3</t>
  </si>
  <si>
    <t>3208.15</t>
  </si>
  <si>
    <t>ORD103193</t>
  </si>
  <si>
    <t>CUST10507</t>
  </si>
  <si>
    <t>52913.87</t>
  </si>
  <si>
    <t>32406.34</t>
  </si>
  <si>
    <t>15216.14</t>
  </si>
  <si>
    <t>ORD103194</t>
  </si>
  <si>
    <t>CUST11961</t>
  </si>
  <si>
    <t>17210</t>
  </si>
  <si>
    <t>4525.9799999999996</t>
  </si>
  <si>
    <t>ORD103195</t>
  </si>
  <si>
    <t>CUST10215</t>
  </si>
  <si>
    <t>5843.49</t>
  </si>
  <si>
    <t>10277.81</t>
  </si>
  <si>
    <t>4623.09</t>
  </si>
  <si>
    <t>ORD103196</t>
  </si>
  <si>
    <t>CUST10410</t>
  </si>
  <si>
    <t>3238.21</t>
  </si>
  <si>
    <t>4732.79</t>
  </si>
  <si>
    <t>1419.81</t>
  </si>
  <si>
    <t>ORD103198</t>
  </si>
  <si>
    <t>CUST11147</t>
  </si>
  <si>
    <t>4133.79</t>
  </si>
  <si>
    <t>3355.63</t>
  </si>
  <si>
    <t>571.47</t>
  </si>
  <si>
    <t>ORD103199</t>
  </si>
  <si>
    <t>CUST11055</t>
  </si>
  <si>
    <t>13462.89</t>
  </si>
  <si>
    <t>8821.93</t>
  </si>
  <si>
    <t>3294.67</t>
  </si>
  <si>
    <t>ORD103200</t>
  </si>
  <si>
    <t>CUST10813</t>
  </si>
  <si>
    <t>3249.05</t>
  </si>
  <si>
    <t>1966.41</t>
  </si>
  <si>
    <t>1120.19</t>
  </si>
  <si>
    <t>ORD103203</t>
  </si>
  <si>
    <t>CUST12272</t>
  </si>
  <si>
    <t>11844.67</t>
  </si>
  <si>
    <t>9284.3799999999992</t>
  </si>
  <si>
    <t>1968.06</t>
  </si>
  <si>
    <t>ORD103205</t>
  </si>
  <si>
    <t>CUST10355</t>
  </si>
  <si>
    <t>69679.72</t>
  </si>
  <si>
    <t>102312.78</t>
  </si>
  <si>
    <t>23110.720000000001</t>
  </si>
  <si>
    <t>ORD103206</t>
  </si>
  <si>
    <t>CUST12776</t>
  </si>
  <si>
    <t>3080.94</t>
  </si>
  <si>
    <t>2141.7800000000002</t>
  </si>
  <si>
    <t>785.11</t>
  </si>
  <si>
    <t>ORD103208</t>
  </si>
  <si>
    <t>CUST12078</t>
  </si>
  <si>
    <t>38385.550000000003</t>
  </si>
  <si>
    <t>29843.22</t>
  </si>
  <si>
    <t>4703.78</t>
  </si>
  <si>
    <t>ORD103210</t>
  </si>
  <si>
    <t>CUST12774</t>
  </si>
  <si>
    <t>68321.55</t>
  </si>
  <si>
    <t>113047.6</t>
  </si>
  <si>
    <t>61172.35</t>
  </si>
  <si>
    <t>ORD103213</t>
  </si>
  <si>
    <t>CUST11313</t>
  </si>
  <si>
    <t>16610.59</t>
  </si>
  <si>
    <t>12826.13</t>
  </si>
  <si>
    <t>2953.93</t>
  </si>
  <si>
    <t>ORD103215</t>
  </si>
  <si>
    <t>CUST11867</t>
  </si>
  <si>
    <t>14833</t>
  </si>
  <si>
    <t>8904.18</t>
  </si>
  <si>
    <t>5928.82</t>
  </si>
  <si>
    <t>ORD103220</t>
  </si>
  <si>
    <t>CUST13238</t>
  </si>
  <si>
    <t>685.96</t>
  </si>
  <si>
    <t>1492.68</t>
  </si>
  <si>
    <t>256.52</t>
  </si>
  <si>
    <t>ORD103224</t>
  </si>
  <si>
    <t>CUST10374</t>
  </si>
  <si>
    <t>8920.01</t>
  </si>
  <si>
    <t>24269</t>
  </si>
  <si>
    <t>9627.0400000000009</t>
  </si>
  <si>
    <t>ORD103225</t>
  </si>
  <si>
    <t>CUST13013</t>
  </si>
  <si>
    <t>69292.45</t>
  </si>
  <si>
    <t>51814.69</t>
  </si>
  <si>
    <t>10548.51</t>
  </si>
  <si>
    <t>ORD103227</t>
  </si>
  <si>
    <t>CUST13203</t>
  </si>
  <si>
    <t>7004.06</t>
  </si>
  <si>
    <t>4141.33</t>
  </si>
  <si>
    <t>2862.73</t>
  </si>
  <si>
    <t>ORD103228</t>
  </si>
  <si>
    <t>CUST11097</t>
  </si>
  <si>
    <t>3414.07</t>
  </si>
  <si>
    <t>4798.01</t>
  </si>
  <si>
    <t>1347.32</t>
  </si>
  <si>
    <t>ORD103233</t>
  </si>
  <si>
    <t>CUST13303</t>
  </si>
  <si>
    <t>10965.13</t>
  </si>
  <si>
    <t>17103.02</t>
  </si>
  <si>
    <t>2634.21</t>
  </si>
  <si>
    <t>ORD103236</t>
  </si>
  <si>
    <t>CUST12299</t>
  </si>
  <si>
    <t>2945.75</t>
  </si>
  <si>
    <t>2059.5700000000002</t>
  </si>
  <si>
    <t>591.61</t>
  </si>
  <si>
    <t>ORD103238</t>
  </si>
  <si>
    <t>CUST10117</t>
  </si>
  <si>
    <t>48689.5</t>
  </si>
  <si>
    <t>39713.269999999997</t>
  </si>
  <si>
    <t>6541.75</t>
  </si>
  <si>
    <t>ORD103239</t>
  </si>
  <si>
    <t>CUST11332</t>
  </si>
  <si>
    <t>67266.289999999994</t>
  </si>
  <si>
    <t>49701.23</t>
  </si>
  <si>
    <t>14201.75</t>
  </si>
  <si>
    <t>ORD103242</t>
  </si>
  <si>
    <t>CUST11691</t>
  </si>
  <si>
    <t>29725.77</t>
  </si>
  <si>
    <t>17823.3</t>
  </si>
  <si>
    <t>8929.89</t>
  </si>
  <si>
    <t>ORD103243</t>
  </si>
  <si>
    <t>CUST12517</t>
  </si>
  <si>
    <t>17983.72</t>
  </si>
  <si>
    <t>14567.05</t>
  </si>
  <si>
    <t>3416.67</t>
  </si>
  <si>
    <t>ORD103244</t>
  </si>
  <si>
    <t>CUST11380</t>
  </si>
  <si>
    <t>8559.82</t>
  </si>
  <si>
    <t>6146.26</t>
  </si>
  <si>
    <t>1985.57</t>
  </si>
  <si>
    <t>ORD103248</t>
  </si>
  <si>
    <t>CUST11738</t>
  </si>
  <si>
    <t>14873.02</t>
  </si>
  <si>
    <t>9356.8700000000008</t>
  </si>
  <si>
    <t>4772.5</t>
  </si>
  <si>
    <t>ORD103254</t>
  </si>
  <si>
    <t>CUST10503</t>
  </si>
  <si>
    <t>22019.41</t>
  </si>
  <si>
    <t>14802.29</t>
  </si>
  <si>
    <t>5015.18</t>
  </si>
  <si>
    <t>ORD103255</t>
  </si>
  <si>
    <t>CUST10891</t>
  </si>
  <si>
    <t>28565.74</t>
  </si>
  <si>
    <t>22939.48</t>
  </si>
  <si>
    <t>1341.4</t>
  </si>
  <si>
    <t>ORD103256</t>
  </si>
  <si>
    <t>CUST13208</t>
  </si>
  <si>
    <t>4214.38</t>
  </si>
  <si>
    <t>3073.89</t>
  </si>
  <si>
    <t>297.61</t>
  </si>
  <si>
    <t>ORD103258</t>
  </si>
  <si>
    <t>CUST11714</t>
  </si>
  <si>
    <t>60190.879999999997</t>
  </si>
  <si>
    <t>43970.25</t>
  </si>
  <si>
    <t>10201.540000000001</t>
  </si>
  <si>
    <t>ORD103259</t>
  </si>
  <si>
    <t>CUST12795</t>
  </si>
  <si>
    <t>5242.95</t>
  </si>
  <si>
    <t>3437.28</t>
  </si>
  <si>
    <t>1281.3800000000001</t>
  </si>
  <si>
    <t>ORD103262</t>
  </si>
  <si>
    <t>CUST13228</t>
  </si>
  <si>
    <t>5990.19</t>
  </si>
  <si>
    <t>9634.86</t>
  </si>
  <si>
    <t>548.46</t>
  </si>
  <si>
    <t>ORD103269</t>
  </si>
  <si>
    <t>CUST10401</t>
  </si>
  <si>
    <t>49043.67</t>
  </si>
  <si>
    <t>32126.2</t>
  </si>
  <si>
    <t>12013.1</t>
  </si>
  <si>
    <t>ORD103276</t>
  </si>
  <si>
    <t>CUST12887</t>
  </si>
  <si>
    <t>16526.810000000001</t>
  </si>
  <si>
    <t>37997.949999999997</t>
  </si>
  <si>
    <t>4145.42</t>
  </si>
  <si>
    <t>ORD103283</t>
  </si>
  <si>
    <t>CUST12095</t>
  </si>
  <si>
    <t>10825.14</t>
  </si>
  <si>
    <t>8708.42</t>
  </si>
  <si>
    <t>2116.7199999999998</t>
  </si>
  <si>
    <t>ORD103284</t>
  </si>
  <si>
    <t>CUST13375</t>
  </si>
  <si>
    <t>74243.08</t>
  </si>
  <si>
    <t>239642.43</t>
  </si>
  <si>
    <t>42481.27</t>
  </si>
  <si>
    <t>ORD103290</t>
  </si>
  <si>
    <t>CUST13120</t>
  </si>
  <si>
    <t>53549.09</t>
  </si>
  <si>
    <t>74850.83</t>
  </si>
  <si>
    <t>26892.44</t>
  </si>
  <si>
    <t>ORD103291</t>
  </si>
  <si>
    <t>CUST13161</t>
  </si>
  <si>
    <t>5403.56</t>
  </si>
  <si>
    <t>3174.66</t>
  </si>
  <si>
    <t>1688.54</t>
  </si>
  <si>
    <t>ORD103294</t>
  </si>
  <si>
    <t>CUST10110</t>
  </si>
  <si>
    <t>44281.4</t>
  </si>
  <si>
    <t>35568.28</t>
  </si>
  <si>
    <t>2070.91</t>
  </si>
  <si>
    <t>ORD103302</t>
  </si>
  <si>
    <t>CUST11260</t>
  </si>
  <si>
    <t>2607.61</t>
  </si>
  <si>
    <t>2999.79</t>
  </si>
  <si>
    <t>1954.67</t>
  </si>
  <si>
    <t>ORD103304</t>
  </si>
  <si>
    <t>CUST10512</t>
  </si>
  <si>
    <t>4037.83</t>
  </si>
  <si>
    <t>2638.08</t>
  </si>
  <si>
    <t>1399.75</t>
  </si>
  <si>
    <t>ORD103308</t>
  </si>
  <si>
    <t>CUST12593</t>
  </si>
  <si>
    <t>26328.03</t>
  </si>
  <si>
    <t>30192.639999999999</t>
  </si>
  <si>
    <t>19830.62</t>
  </si>
  <si>
    <t>ORD103311</t>
  </si>
  <si>
    <t>CUST11727</t>
  </si>
  <si>
    <t>6597.07</t>
  </si>
  <si>
    <t>8186.31</t>
  </si>
  <si>
    <t>4348.12</t>
  </si>
  <si>
    <t>ORD103312</t>
  </si>
  <si>
    <t>CUST11235</t>
  </si>
  <si>
    <t>4295.7</t>
  </si>
  <si>
    <t>3432.15</t>
  </si>
  <si>
    <t>433.98</t>
  </si>
  <si>
    <t>ORD103313</t>
  </si>
  <si>
    <t>CUST10420</t>
  </si>
  <si>
    <t>20897.189999999999</t>
  </si>
  <si>
    <t>13508.49</t>
  </si>
  <si>
    <t>7388.7</t>
  </si>
  <si>
    <t>ORD103314</t>
  </si>
  <si>
    <t>CUST10205</t>
  </si>
  <si>
    <t>3617.36</t>
  </si>
  <si>
    <t>6809.86</t>
  </si>
  <si>
    <t>4042.22</t>
  </si>
  <si>
    <t>ORD103316</t>
  </si>
  <si>
    <t>CUST12941</t>
  </si>
  <si>
    <t>15405.16</t>
  </si>
  <si>
    <t>10375.98</t>
  </si>
  <si>
    <t>3488.66</t>
  </si>
  <si>
    <t>ORD103317</t>
  </si>
  <si>
    <t>CUST11480</t>
  </si>
  <si>
    <t>5494.56</t>
  </si>
  <si>
    <t>6858.96</t>
  </si>
  <si>
    <t>3031.25</t>
  </si>
  <si>
    <t>ORD103319</t>
  </si>
  <si>
    <t>CUST13427</t>
  </si>
  <si>
    <t>64027.93</t>
  </si>
  <si>
    <t>47337.88</t>
  </si>
  <si>
    <t>13488.65</t>
  </si>
  <si>
    <t>ORD103321</t>
  </si>
  <si>
    <t>CUST10617</t>
  </si>
  <si>
    <t>5253.69</t>
  </si>
  <si>
    <t>4149.7700000000004</t>
  </si>
  <si>
    <t>841.24</t>
  </si>
  <si>
    <t>ORD103323</t>
  </si>
  <si>
    <t>CUST11344</t>
  </si>
  <si>
    <t>6397.6</t>
  </si>
  <si>
    <t>8480.83</t>
  </si>
  <si>
    <t>3034.85</t>
  </si>
  <si>
    <t>ORD103326</t>
  </si>
  <si>
    <t>CUST13399</t>
  </si>
  <si>
    <t>56424.19</t>
  </si>
  <si>
    <t>118422.08</t>
  </si>
  <si>
    <t>50850.49</t>
  </si>
  <si>
    <t>ORD103328</t>
  </si>
  <si>
    <t>CUST12653</t>
  </si>
  <si>
    <t>6965.81</t>
  </si>
  <si>
    <t>9016.14</t>
  </si>
  <si>
    <t>4915.4799999999996</t>
  </si>
  <si>
    <t>ORD103330</t>
  </si>
  <si>
    <t>CUST10893</t>
  </si>
  <si>
    <t>3739.75</t>
  </si>
  <si>
    <t>2363.02</t>
  </si>
  <si>
    <t>1376.73</t>
  </si>
  <si>
    <t>ORD103331</t>
  </si>
  <si>
    <t>CUST10069</t>
  </si>
  <si>
    <t>36388.589999999997</t>
  </si>
  <si>
    <t>25094.32</t>
  </si>
  <si>
    <t>9474.84</t>
  </si>
  <si>
    <t>ORD103332</t>
  </si>
  <si>
    <t>CUST10544</t>
  </si>
  <si>
    <t>1642.63</t>
  </si>
  <si>
    <t>2659.34</t>
  </si>
  <si>
    <t>133.13</t>
  </si>
  <si>
    <t>ORD103334</t>
  </si>
  <si>
    <t>04-11-2025</t>
  </si>
  <si>
    <t>CUST11814</t>
  </si>
  <si>
    <t>1834.85</t>
  </si>
  <si>
    <t>1214.44</t>
  </si>
  <si>
    <t>436.92</t>
  </si>
  <si>
    <t>ORD103341</t>
  </si>
  <si>
    <t>CUST10120</t>
  </si>
  <si>
    <t>1187.47</t>
  </si>
  <si>
    <t>1684.41</t>
  </si>
  <si>
    <t>690.53</t>
  </si>
  <si>
    <t>ORD103345</t>
  </si>
  <si>
    <t>CUST12805</t>
  </si>
  <si>
    <t>12060.42</t>
  </si>
  <si>
    <t>19501.53</t>
  </si>
  <si>
    <t>1001.18</t>
  </si>
  <si>
    <t>ORD103346</t>
  </si>
  <si>
    <t>CUST10141</t>
  </si>
  <si>
    <t>4693.58</t>
  </si>
  <si>
    <t>8191.84</t>
  </si>
  <si>
    <t>5184.8599999999997</t>
  </si>
  <si>
    <t>ORD103351</t>
  </si>
  <si>
    <t>CUST13410</t>
  </si>
  <si>
    <t>1296.97</t>
  </si>
  <si>
    <t>767.16</t>
  </si>
  <si>
    <t>400.11</t>
  </si>
  <si>
    <t>ORD103352</t>
  </si>
  <si>
    <t>CUST10729</t>
  </si>
  <si>
    <t>27848.82</t>
  </si>
  <si>
    <t>17990.2</t>
  </si>
  <si>
    <t>7073.74</t>
  </si>
  <si>
    <t>ORD103353</t>
  </si>
  <si>
    <t>CUST10047</t>
  </si>
  <si>
    <t>6671.91</t>
  </si>
  <si>
    <t>4939.7299999999996</t>
  </si>
  <si>
    <t>1732.18</t>
  </si>
  <si>
    <t>ORD103354</t>
  </si>
  <si>
    <t>CUST12383</t>
  </si>
  <si>
    <t>11292.72</t>
  </si>
  <si>
    <t>21349.759999999998</t>
  </si>
  <si>
    <t>12528.4</t>
  </si>
  <si>
    <t>ORD103355</t>
  </si>
  <si>
    <t>CUST10715</t>
  </si>
  <si>
    <t>2227.2600000000002</t>
  </si>
  <si>
    <t>1531.07</t>
  </si>
  <si>
    <t>696.19</t>
  </si>
  <si>
    <t>ORD103356</t>
  </si>
  <si>
    <t>CUST10485</t>
  </si>
  <si>
    <t>68751.63</t>
  </si>
  <si>
    <t>44229.34</t>
  </si>
  <si>
    <t>17647.13</t>
  </si>
  <si>
    <t>ORD103358</t>
  </si>
  <si>
    <t>CUST11669</t>
  </si>
  <si>
    <t>6234.77</t>
  </si>
  <si>
    <t>4214.5600000000004</t>
  </si>
  <si>
    <t>1084.99</t>
  </si>
  <si>
    <t>ORD103360</t>
  </si>
  <si>
    <t>CUST12017</t>
  </si>
  <si>
    <t>2771.08</t>
  </si>
  <si>
    <t>4749.88</t>
  </si>
  <si>
    <t>3147.7</t>
  </si>
  <si>
    <t>ORD103361</t>
  </si>
  <si>
    <t>CUST11432</t>
  </si>
  <si>
    <t>1177.72</t>
  </si>
  <si>
    <t>888.44</t>
  </si>
  <si>
    <t>ORD103362</t>
  </si>
  <si>
    <t>CUST11014</t>
  </si>
  <si>
    <t>7507.74</t>
  </si>
  <si>
    <t>5000.84</t>
  </si>
  <si>
    <t>1380.74</t>
  </si>
  <si>
    <t>ORD103370</t>
  </si>
  <si>
    <t>CUST10391</t>
  </si>
  <si>
    <t>2089.96</t>
  </si>
  <si>
    <t>1657.33</t>
  </si>
  <si>
    <t>223.63</t>
  </si>
  <si>
    <t>ORD103371</t>
  </si>
  <si>
    <t>CUST10464</t>
  </si>
  <si>
    <t>4484.91</t>
  </si>
  <si>
    <t>3540.59</t>
  </si>
  <si>
    <t>495.83</t>
  </si>
  <si>
    <t>ORD103374</t>
  </si>
  <si>
    <t>CUST12657</t>
  </si>
  <si>
    <t>2942.42</t>
  </si>
  <si>
    <t>1926.81</t>
  </si>
  <si>
    <t>721.37</t>
  </si>
  <si>
    <t>ORD103375</t>
  </si>
  <si>
    <t>CUST12749</t>
  </si>
  <si>
    <t>41170.120000000003</t>
  </si>
  <si>
    <t>101106.94</t>
  </si>
  <si>
    <t>22403.42</t>
  </si>
  <si>
    <t>ORD103376</t>
  </si>
  <si>
    <t>CUST11354</t>
  </si>
  <si>
    <t>5353.91</t>
  </si>
  <si>
    <t>3232.32</t>
  </si>
  <si>
    <t>1318.5</t>
  </si>
  <si>
    <t>ORD103381</t>
  </si>
  <si>
    <t>CUST12436</t>
  </si>
  <si>
    <t>3534.78</t>
  </si>
  <si>
    <t>2236.75</t>
  </si>
  <si>
    <t>767.81</t>
  </si>
  <si>
    <t>ORD103384</t>
  </si>
  <si>
    <t>CUST13231</t>
  </si>
  <si>
    <t>3473.54</t>
  </si>
  <si>
    <t>4775.29</t>
  </si>
  <si>
    <t>2171.79</t>
  </si>
  <si>
    <t>ORD103396</t>
  </si>
  <si>
    <t>CUST10244</t>
  </si>
  <si>
    <t>6875.63</t>
  </si>
  <si>
    <t>10966.05</t>
  </si>
  <si>
    <t>ORD103397</t>
  </si>
  <si>
    <t>CUST10876</t>
  </si>
  <si>
    <t>1185.1300000000001</t>
  </si>
  <si>
    <t>2316.3200000000002</t>
  </si>
  <si>
    <t>1239.07</t>
  </si>
  <si>
    <t>ORD103402</t>
  </si>
  <si>
    <t>CUST11988</t>
  </si>
  <si>
    <t>10849.34</t>
  </si>
  <si>
    <t>8890.61</t>
  </si>
  <si>
    <t>-211.14</t>
  </si>
  <si>
    <t>ORD103406</t>
  </si>
  <si>
    <t>CUST12385</t>
  </si>
  <si>
    <t>3837.39</t>
  </si>
  <si>
    <t>2112.7199999999998</t>
  </si>
  <si>
    <t>1724.67</t>
  </si>
  <si>
    <t>ORD103413</t>
  </si>
  <si>
    <t>CUST11548</t>
  </si>
  <si>
    <t>541.86</t>
  </si>
  <si>
    <t>348.43</t>
  </si>
  <si>
    <t>139.24</t>
  </si>
  <si>
    <t>ORD103414</t>
  </si>
  <si>
    <t>CUST12509</t>
  </si>
  <si>
    <t>2873.93</t>
  </si>
  <si>
    <t>2295.4899999999998</t>
  </si>
  <si>
    <t>291.05</t>
  </si>
  <si>
    <t>ORD103416</t>
  </si>
  <si>
    <t>CUST11309</t>
  </si>
  <si>
    <t>11972.04</t>
  </si>
  <si>
    <t>8156.37</t>
  </si>
  <si>
    <t>2618.4699999999998</t>
  </si>
  <si>
    <t>ORD103417</t>
  </si>
  <si>
    <t>CUST10871</t>
  </si>
  <si>
    <t>1105.33</t>
  </si>
  <si>
    <t>671.31</t>
  </si>
  <si>
    <t>323.49</t>
  </si>
  <si>
    <t>ORD103418</t>
  </si>
  <si>
    <t>CUST12161</t>
  </si>
  <si>
    <t>31614.880000000001</t>
  </si>
  <si>
    <t>70254.350000000006</t>
  </si>
  <si>
    <t>19848.060000000001</t>
  </si>
  <si>
    <t>ORD103421</t>
  </si>
  <si>
    <t>CUST12793</t>
  </si>
  <si>
    <t>3822.01</t>
  </si>
  <si>
    <t>5704.23</t>
  </si>
  <si>
    <t>793.19</t>
  </si>
  <si>
    <t>ORD103422</t>
  </si>
  <si>
    <t>CUST10671</t>
  </si>
  <si>
    <t>3642.04</t>
  </si>
  <si>
    <t>2734.46</t>
  </si>
  <si>
    <t>543.38</t>
  </si>
  <si>
    <t>ORD103424</t>
  </si>
  <si>
    <t>CUST10905</t>
  </si>
  <si>
    <t>16609.830000000002</t>
  </si>
  <si>
    <t>10091.4</t>
  </si>
  <si>
    <t>5687.94</t>
  </si>
  <si>
    <t>ORD103427</t>
  </si>
  <si>
    <t>CUST10710</t>
  </si>
  <si>
    <t>38843.51</t>
  </si>
  <si>
    <t>31262</t>
  </si>
  <si>
    <t>7581.51</t>
  </si>
  <si>
    <t>ORD103430</t>
  </si>
  <si>
    <t>CUST11674</t>
  </si>
  <si>
    <t>12808.54</t>
  </si>
  <si>
    <t>7188.89</t>
  </si>
  <si>
    <t>4979.22</t>
  </si>
  <si>
    <t>ORD103433</t>
  </si>
  <si>
    <t>CUST13166</t>
  </si>
  <si>
    <t>16806.78</t>
  </si>
  <si>
    <t>10262.27</t>
  </si>
  <si>
    <t>5704.17</t>
  </si>
  <si>
    <t>ORD103434</t>
  </si>
  <si>
    <t>CUST10558</t>
  </si>
  <si>
    <t>2497.94</t>
  </si>
  <si>
    <t>1610.36</t>
  </si>
  <si>
    <t>762.68</t>
  </si>
  <si>
    <t>ORD103442</t>
  </si>
  <si>
    <t>CUST10189</t>
  </si>
  <si>
    <t>11041.6</t>
  </si>
  <si>
    <t>8963.85</t>
  </si>
  <si>
    <t>973.59</t>
  </si>
  <si>
    <t>ORD103445</t>
  </si>
  <si>
    <t>CUST10793</t>
  </si>
  <si>
    <t>4173.07</t>
  </si>
  <si>
    <t>9984.0499999999993</t>
  </si>
  <si>
    <t>5039</t>
  </si>
  <si>
    <t>ORD103446</t>
  </si>
  <si>
    <t>CUST12396</t>
  </si>
  <si>
    <t>4938.62</t>
  </si>
  <si>
    <t>3227.97</t>
  </si>
  <si>
    <t>969.86</t>
  </si>
  <si>
    <t>ORD103447</t>
  </si>
  <si>
    <t>CUST10216</t>
  </si>
  <si>
    <t>7166.51</t>
  </si>
  <si>
    <t>5111.96</t>
  </si>
  <si>
    <t>2054.5500000000002</t>
  </si>
  <si>
    <t>ORD103451</t>
  </si>
  <si>
    <t>CUST10684</t>
  </si>
  <si>
    <t>34577.24</t>
  </si>
  <si>
    <t>48916.29</t>
  </si>
  <si>
    <t>20238.189999999999</t>
  </si>
  <si>
    <t>ORD103452</t>
  </si>
  <si>
    <t>CUST11656</t>
  </si>
  <si>
    <t>10065.11</t>
  </si>
  <si>
    <t>17984.53</t>
  </si>
  <si>
    <t>12210.8</t>
  </si>
  <si>
    <t>ORD103454</t>
  </si>
  <si>
    <t>CUST12641</t>
  </si>
  <si>
    <t>6050.69</t>
  </si>
  <si>
    <t>4822.42</t>
  </si>
  <si>
    <t>925.74</t>
  </si>
  <si>
    <t>ORD103458</t>
  </si>
  <si>
    <t>CUST11471</t>
  </si>
  <si>
    <t>2311.25</t>
  </si>
  <si>
    <t>1531.25</t>
  </si>
  <si>
    <t>780</t>
  </si>
  <si>
    <t>ORD103460</t>
  </si>
  <si>
    <t>CUST11116</t>
  </si>
  <si>
    <t>10026.280000000001</t>
  </si>
  <si>
    <t>7233.97</t>
  </si>
  <si>
    <t>2792.31</t>
  </si>
  <si>
    <t>ORD103462</t>
  </si>
  <si>
    <t>CUST13369</t>
  </si>
  <si>
    <t>5639.94</t>
  </si>
  <si>
    <t>3567.37</t>
  </si>
  <si>
    <t>2072.5700000000002</t>
  </si>
  <si>
    <t>ORD103466</t>
  </si>
  <si>
    <t>CUST10253</t>
  </si>
  <si>
    <t>44942.98</t>
  </si>
  <si>
    <t>35774.78</t>
  </si>
  <si>
    <t>9168.2000000000007</t>
  </si>
  <si>
    <t>ORD103474</t>
  </si>
  <si>
    <t>CUST12969</t>
  </si>
  <si>
    <t>3922.37</t>
  </si>
  <si>
    <t>2678.3</t>
  </si>
  <si>
    <t>655.71</t>
  </si>
  <si>
    <t>ORD103481</t>
  </si>
  <si>
    <t>CUST10762</t>
  </si>
  <si>
    <t>11813.85</t>
  </si>
  <si>
    <t>8547.2099999999991</t>
  </si>
  <si>
    <t>2085.25</t>
  </si>
  <si>
    <t>ORD103483</t>
  </si>
  <si>
    <t>CUST13164</t>
  </si>
  <si>
    <t>65174.3</t>
  </si>
  <si>
    <t>176977.18</t>
  </si>
  <si>
    <t>44615.44</t>
  </si>
  <si>
    <t>ORD103485</t>
  </si>
  <si>
    <t>CUST10528</t>
  </si>
  <si>
    <t>3443.06</t>
  </si>
  <si>
    <t>4664.5</t>
  </si>
  <si>
    <t>2221.62</t>
  </si>
  <si>
    <t>ORD103486</t>
  </si>
  <si>
    <t>CUST12804</t>
  </si>
  <si>
    <t>17630.11</t>
  </si>
  <si>
    <t>14068.88</t>
  </si>
  <si>
    <t>35.21</t>
  </si>
  <si>
    <t>ORD103487</t>
  </si>
  <si>
    <t>CUST13033</t>
  </si>
  <si>
    <t>25490.44</t>
  </si>
  <si>
    <t>31813.97</t>
  </si>
  <si>
    <t>8970.73</t>
  </si>
  <si>
    <t>ORD103488</t>
  </si>
  <si>
    <t>CUST11228</t>
  </si>
  <si>
    <t>59390.64</t>
  </si>
  <si>
    <t>35338.839999999997</t>
  </si>
  <si>
    <t>18112.740000000002</t>
  </si>
  <si>
    <t>ORD103489</t>
  </si>
  <si>
    <t>CUST13347</t>
  </si>
  <si>
    <t>847.04</t>
  </si>
  <si>
    <t>471.65</t>
  </si>
  <si>
    <t>248.33</t>
  </si>
  <si>
    <t>ORD103492</t>
  </si>
  <si>
    <t>CUST10701</t>
  </si>
  <si>
    <t>68983.679999999993</t>
  </si>
  <si>
    <t>54877.13</t>
  </si>
  <si>
    <t>7208.18</t>
  </si>
  <si>
    <t>ORD103493</t>
  </si>
  <si>
    <t>CUST11045</t>
  </si>
  <si>
    <t>8425.1200000000008</t>
  </si>
  <si>
    <t>9622.8799999999992</t>
  </si>
  <si>
    <t>7227.36</t>
  </si>
  <si>
    <t>ORD103496</t>
  </si>
  <si>
    <t>CUST10686</t>
  </si>
  <si>
    <t>37805.24</t>
  </si>
  <si>
    <t>26857.95</t>
  </si>
  <si>
    <t>7166.77</t>
  </si>
  <si>
    <t>ORD103498</t>
  </si>
  <si>
    <t>CUST11668</t>
  </si>
  <si>
    <t>5946.17</t>
  </si>
  <si>
    <t>3637.47</t>
  </si>
  <si>
    <t>1416.77</t>
  </si>
  <si>
    <t>ORD103500</t>
  </si>
  <si>
    <t>CUST10983</t>
  </si>
  <si>
    <t>2843.01</t>
  </si>
  <si>
    <t>3391.92</t>
  </si>
  <si>
    <t>1725.5</t>
  </si>
  <si>
    <t>ORD103501</t>
  </si>
  <si>
    <t>CUST12142</t>
  </si>
  <si>
    <t>12101.54</t>
  </si>
  <si>
    <t>14070.93</t>
  </si>
  <si>
    <t>7711.84</t>
  </si>
  <si>
    <t>ORD103506</t>
  </si>
  <si>
    <t>CUST11374</t>
  </si>
  <si>
    <t>2023.89</t>
  </si>
  <si>
    <t>2699.41</t>
  </si>
  <si>
    <t>943.59</t>
  </si>
  <si>
    <t>ORD103507</t>
  </si>
  <si>
    <t>CUST12453</t>
  </si>
  <si>
    <t>4097.7</t>
  </si>
  <si>
    <t>2463.75</t>
  </si>
  <si>
    <t>1633.95</t>
  </si>
  <si>
    <t>ORD103509</t>
  </si>
  <si>
    <t>CUST10014</t>
  </si>
  <si>
    <t>72650.240000000005</t>
  </si>
  <si>
    <t>112244.1</t>
  </si>
  <si>
    <t>25791.360000000001</t>
  </si>
  <si>
    <t>ORD103512</t>
  </si>
  <si>
    <t>CUST12713</t>
  </si>
  <si>
    <t>10642.83</t>
  </si>
  <si>
    <t>6599</t>
  </si>
  <si>
    <t>3511.69</t>
  </si>
  <si>
    <t>ORD103514</t>
  </si>
  <si>
    <t>CUST11975</t>
  </si>
  <si>
    <t>6255.1</t>
  </si>
  <si>
    <t>4536.49</t>
  </si>
  <si>
    <t>1405.85</t>
  </si>
  <si>
    <t>ORD103519</t>
  </si>
  <si>
    <t>CUST10081</t>
  </si>
  <si>
    <t>3825.45</t>
  </si>
  <si>
    <t>6490.82</t>
  </si>
  <si>
    <t>3264.08</t>
  </si>
  <si>
    <t>ORD103521</t>
  </si>
  <si>
    <t>CUST13418</t>
  </si>
  <si>
    <t>9692.0499999999993</t>
  </si>
  <si>
    <t>6916.37</t>
  </si>
  <si>
    <t>1321.87</t>
  </si>
  <si>
    <t>ORD103522</t>
  </si>
  <si>
    <t>CUST10029</t>
  </si>
  <si>
    <t>1373.79</t>
  </si>
  <si>
    <t>1968.97</t>
  </si>
  <si>
    <t>503.85</t>
  </si>
  <si>
    <t>ORD103525</t>
  </si>
  <si>
    <t>CUST11676</t>
  </si>
  <si>
    <t>6077.83</t>
  </si>
  <si>
    <t>4919.3599999999997</t>
  </si>
  <si>
    <t>854.58</t>
  </si>
  <si>
    <t>ORD103526</t>
  </si>
  <si>
    <t>CUST12145</t>
  </si>
  <si>
    <t>29711.64</t>
  </si>
  <si>
    <t>16471.77</t>
  </si>
  <si>
    <t>10268.709999999999</t>
  </si>
  <si>
    <t>ORD103529</t>
  </si>
  <si>
    <t>CUST10646</t>
  </si>
  <si>
    <t>2963.59</t>
  </si>
  <si>
    <t>2274.3200000000002</t>
  </si>
  <si>
    <t>392.91</t>
  </si>
  <si>
    <t>ORD103531</t>
  </si>
  <si>
    <t>CUST12914</t>
  </si>
  <si>
    <t>9376.11</t>
  </si>
  <si>
    <t>6142.38</t>
  </si>
  <si>
    <t>ORD103532</t>
  </si>
  <si>
    <t>CUST10437</t>
  </si>
  <si>
    <t>13635.43</t>
  </si>
  <si>
    <t>27069.39</t>
  </si>
  <si>
    <t>11791.59</t>
  </si>
  <si>
    <t>ORD103536</t>
  </si>
  <si>
    <t>CUST12422</t>
  </si>
  <si>
    <t>21052.38</t>
  </si>
  <si>
    <t>58239.12</t>
  </si>
  <si>
    <t>17549.45</t>
  </si>
  <si>
    <t>ORD103538</t>
  </si>
  <si>
    <t>CUST12408</t>
  </si>
  <si>
    <t>7179.71</t>
  </si>
  <si>
    <t>11670.32</t>
  </si>
  <si>
    <t>1971.13</t>
  </si>
  <si>
    <t>ORD103539</t>
  </si>
  <si>
    <t>CUST10226</t>
  </si>
  <si>
    <t>6127.34</t>
  </si>
  <si>
    <t>8843.9500000000007</t>
  </si>
  <si>
    <t>1572.53</t>
  </si>
  <si>
    <t>ORD103541</t>
  </si>
  <si>
    <t>CUST11068</t>
  </si>
  <si>
    <t>804.71</t>
  </si>
  <si>
    <t>1144.92</t>
  </si>
  <si>
    <t>464.5</t>
  </si>
  <si>
    <t>ORD103542</t>
  </si>
  <si>
    <t>CUST12003</t>
  </si>
  <si>
    <t>8826.9599999999991</t>
  </si>
  <si>
    <t>6738.07</t>
  </si>
  <si>
    <t>1647.54</t>
  </si>
  <si>
    <t>ORD103546</t>
  </si>
  <si>
    <t>CUST10097</t>
  </si>
  <si>
    <t>5193.8599999999997</t>
  </si>
  <si>
    <t>4173.38</t>
  </si>
  <si>
    <t>241.4</t>
  </si>
  <si>
    <t>ORD103547</t>
  </si>
  <si>
    <t>CUST13257</t>
  </si>
  <si>
    <t>44436.38</t>
  </si>
  <si>
    <t>25622.61</t>
  </si>
  <si>
    <t>14370.13</t>
  </si>
  <si>
    <t>ORD103550</t>
  </si>
  <si>
    <t>CUST10565</t>
  </si>
  <si>
    <t>4082.85</t>
  </si>
  <si>
    <t>3331.14</t>
  </si>
  <si>
    <t>343.42</t>
  </si>
  <si>
    <t>ORD103554</t>
  </si>
  <si>
    <t>CUST10916</t>
  </si>
  <si>
    <t>4256.51</t>
  </si>
  <si>
    <t>3356.47</t>
  </si>
  <si>
    <t>900.04</t>
  </si>
  <si>
    <t>ORD103558</t>
  </si>
  <si>
    <t>CUST12096</t>
  </si>
  <si>
    <t>9783.34</t>
  </si>
  <si>
    <t>7422.7</t>
  </si>
  <si>
    <t>403.97</t>
  </si>
  <si>
    <t>ORD103565</t>
  </si>
  <si>
    <t>CUST12219</t>
  </si>
  <si>
    <t>15384.73</t>
  </si>
  <si>
    <t>22333.98</t>
  </si>
  <si>
    <t>3820.06</t>
  </si>
  <si>
    <t>ORD103567</t>
  </si>
  <si>
    <t>CUST11767</t>
  </si>
  <si>
    <t>52473.33</t>
  </si>
  <si>
    <t>33175.72</t>
  </si>
  <si>
    <t>14050.28</t>
  </si>
  <si>
    <t>ORD103569</t>
  </si>
  <si>
    <t>CUST12576</t>
  </si>
  <si>
    <t>8442.41</t>
  </si>
  <si>
    <t>5261.85</t>
  </si>
  <si>
    <t>1914.2</t>
  </si>
  <si>
    <t>ORD103571</t>
  </si>
  <si>
    <t>CUST12459</t>
  </si>
  <si>
    <t>6375.4</t>
  </si>
  <si>
    <t>14243.47</t>
  </si>
  <si>
    <t>2970.11</t>
  </si>
  <si>
    <t>ORD103583</t>
  </si>
  <si>
    <t>CUST11896</t>
  </si>
  <si>
    <t>2264.88</t>
  </si>
  <si>
    <t>1395.56</t>
  </si>
  <si>
    <t>529.59</t>
  </si>
  <si>
    <t>ORD103584</t>
  </si>
  <si>
    <t>CUST12552</t>
  </si>
  <si>
    <t>4029.71</t>
  </si>
  <si>
    <t>4588</t>
  </si>
  <si>
    <t>3068.45</t>
  </si>
  <si>
    <t>ORD103589</t>
  </si>
  <si>
    <t>CUST11308</t>
  </si>
  <si>
    <t>6895.11</t>
  </si>
  <si>
    <t>4983.13</t>
  </si>
  <si>
    <t>1222.47</t>
  </si>
  <si>
    <t>ORD103592</t>
  </si>
  <si>
    <t>CUST11050</t>
  </si>
  <si>
    <t>5431.64</t>
  </si>
  <si>
    <t>12755.11</t>
  </si>
  <si>
    <t>2725.06</t>
  </si>
  <si>
    <t>ORD103594</t>
  </si>
  <si>
    <t>CUST13310</t>
  </si>
  <si>
    <t>4854.72</t>
  </si>
  <si>
    <t>3059.62</t>
  </si>
  <si>
    <t>1552.36</t>
  </si>
  <si>
    <t>ORD103598</t>
  </si>
  <si>
    <t>CUST10734</t>
  </si>
  <si>
    <t>1743.23</t>
  </si>
  <si>
    <t>1191.79</t>
  </si>
  <si>
    <t>551.44000000000005</t>
  </si>
  <si>
    <t>ORD103602</t>
  </si>
  <si>
    <t>CUST13005</t>
  </si>
  <si>
    <t>12550.97</t>
  </si>
  <si>
    <t>9339.07</t>
  </si>
  <si>
    <t>3211.9</t>
  </si>
  <si>
    <t>ORD103603</t>
  </si>
  <si>
    <t>CUST10456</t>
  </si>
  <si>
    <t>12655.92</t>
  </si>
  <si>
    <t>10189.61</t>
  </si>
  <si>
    <t>567.91999999999996</t>
  </si>
  <si>
    <t>ORD103606</t>
  </si>
  <si>
    <t>CUST12418</t>
  </si>
  <si>
    <t>17757.89</t>
  </si>
  <si>
    <t>12109.42</t>
  </si>
  <si>
    <t>5648.47</t>
  </si>
  <si>
    <t>ORD103609</t>
  </si>
  <si>
    <t>CUST13034</t>
  </si>
  <si>
    <t>771.84</t>
  </si>
  <si>
    <t>1139.78</t>
  </si>
  <si>
    <t>326.72000000000003</t>
  </si>
  <si>
    <t>ORD103610</t>
  </si>
  <si>
    <t>CUST12763</t>
  </si>
  <si>
    <t>70424.759999999995</t>
  </si>
  <si>
    <t>48275.11</t>
  </si>
  <si>
    <t>15107.17</t>
  </si>
  <si>
    <t>ORD103617</t>
  </si>
  <si>
    <t>CUST10473</t>
  </si>
  <si>
    <t>1761.59</t>
  </si>
  <si>
    <t>2295.62</t>
  </si>
  <si>
    <t>699.08</t>
  </si>
  <si>
    <t>ORD103618</t>
  </si>
  <si>
    <t>CUST11697</t>
  </si>
  <si>
    <t>11235.93</t>
  </si>
  <si>
    <t>6210.76</t>
  </si>
  <si>
    <t>5025.17</t>
  </si>
  <si>
    <t>ORD103621</t>
  </si>
  <si>
    <t>CUST11487</t>
  </si>
  <si>
    <t>9749.1299999999992</t>
  </si>
  <si>
    <t>23871.81</t>
  </si>
  <si>
    <t>988.47</t>
  </si>
  <si>
    <t>ORD103622</t>
  </si>
  <si>
    <t>CUST12290</t>
  </si>
  <si>
    <t>2715.03</t>
  </si>
  <si>
    <t>6398.97</t>
  </si>
  <si>
    <t>524.36</t>
  </si>
  <si>
    <t>ORD103623</t>
  </si>
  <si>
    <t>CUST13216</t>
  </si>
  <si>
    <t>11135.79</t>
  </si>
  <si>
    <t>6149.03</t>
  </si>
  <si>
    <t>3316.39</t>
  </si>
  <si>
    <t>ORD103624</t>
  </si>
  <si>
    <t>CUST11282</t>
  </si>
  <si>
    <t>3799.72</t>
  </si>
  <si>
    <t>4726</t>
  </si>
  <si>
    <t>2113.5</t>
  </si>
  <si>
    <t>ORD103626</t>
  </si>
  <si>
    <t>CUST10405</t>
  </si>
  <si>
    <t>9099.44</t>
  </si>
  <si>
    <t>12166.7</t>
  </si>
  <si>
    <t>5122.24</t>
  </si>
  <si>
    <t>ORD103627</t>
  </si>
  <si>
    <t>CUST12334</t>
  </si>
  <si>
    <t>2889.81</t>
  </si>
  <si>
    <t>2339.98</t>
  </si>
  <si>
    <t>260.85000000000002</t>
  </si>
  <si>
    <t>ORD103629</t>
  </si>
  <si>
    <t>CUST12875</t>
  </si>
  <si>
    <t>442.15</t>
  </si>
  <si>
    <t>246.55</t>
  </si>
  <si>
    <t>173.49</t>
  </si>
  <si>
    <t>ORD103636</t>
  </si>
  <si>
    <t>CUST13466</t>
  </si>
  <si>
    <t>57428.92</t>
  </si>
  <si>
    <t>37863.449999999997</t>
  </si>
  <si>
    <t>16694.02</t>
  </si>
  <si>
    <t>ORD103641</t>
  </si>
  <si>
    <t>CUST12762</t>
  </si>
  <si>
    <t>5057.76</t>
  </si>
  <si>
    <t>2913.94</t>
  </si>
  <si>
    <t>1638.04</t>
  </si>
  <si>
    <t>ORD103642</t>
  </si>
  <si>
    <t>CUST10651</t>
  </si>
  <si>
    <t>687.26</t>
  </si>
  <si>
    <t>1101.3900000000001</t>
  </si>
  <si>
    <t>66.95</t>
  </si>
  <si>
    <t>ORD103646</t>
  </si>
  <si>
    <t>CUST12040</t>
  </si>
  <si>
    <t>704.85</t>
  </si>
  <si>
    <t>890.99</t>
  </si>
  <si>
    <t>448.23</t>
  </si>
  <si>
    <t>ORD103648</t>
  </si>
  <si>
    <t>CUST12697</t>
  </si>
  <si>
    <t>12022.9</t>
  </si>
  <si>
    <t>15647.44</t>
  </si>
  <si>
    <t>3589.2</t>
  </si>
  <si>
    <t>ORD103649</t>
  </si>
  <si>
    <t>CUST12354</t>
  </si>
  <si>
    <t>73803.199999999997</t>
  </si>
  <si>
    <t>42353.13</t>
  </si>
  <si>
    <t>27759.91</t>
  </si>
  <si>
    <t>ORD103656</t>
  </si>
  <si>
    <t>CUST13085</t>
  </si>
  <si>
    <t>57495.97</t>
  </si>
  <si>
    <t>70867.3</t>
  </si>
  <si>
    <t>21126.25</t>
  </si>
  <si>
    <t>ORD103660</t>
  </si>
  <si>
    <t>CUST12901</t>
  </si>
  <si>
    <t>4330.96</t>
  </si>
  <si>
    <t>9894.26</t>
  </si>
  <si>
    <t>1149.69</t>
  </si>
  <si>
    <t>ORD103661</t>
  </si>
  <si>
    <t>CUST10592</t>
  </si>
  <si>
    <t>2484.9299999999998</t>
  </si>
  <si>
    <t>4057.8</t>
  </si>
  <si>
    <t>663.57</t>
  </si>
  <si>
    <t>ORD103663</t>
  </si>
  <si>
    <t>CUST11168</t>
  </si>
  <si>
    <t>4313.04</t>
  </si>
  <si>
    <t>4890.82</t>
  </si>
  <si>
    <t>3303.96</t>
  </si>
  <si>
    <t>ORD103669</t>
  </si>
  <si>
    <t>CUST12243</t>
  </si>
  <si>
    <t>12084.42</t>
  </si>
  <si>
    <t>9263.2800000000007</t>
  </si>
  <si>
    <t>2216.92</t>
  </si>
  <si>
    <t>ORD103674</t>
  </si>
  <si>
    <t>CUST10976</t>
  </si>
  <si>
    <t>8715.24</t>
  </si>
  <si>
    <t>5331.73</t>
  </si>
  <si>
    <t>1640.46</t>
  </si>
  <si>
    <t>ORD103675</t>
  </si>
  <si>
    <t>CUST11109</t>
  </si>
  <si>
    <t>10355.81</t>
  </si>
  <si>
    <t>12203.39</t>
  </si>
  <si>
    <t>8508.23</t>
  </si>
  <si>
    <t>ORD103676</t>
  </si>
  <si>
    <t>CUST11202</t>
  </si>
  <si>
    <t>3131.35</t>
  </si>
  <si>
    <t>2438.67</t>
  </si>
  <si>
    <t>66.41</t>
  </si>
  <si>
    <t>ORD103680</t>
  </si>
  <si>
    <t>CUST11590</t>
  </si>
  <si>
    <t>7048.02</t>
  </si>
  <si>
    <t>10683.72</t>
  </si>
  <si>
    <t>2002.72</t>
  </si>
  <si>
    <t>ORD103683</t>
  </si>
  <si>
    <t>CUST12818</t>
  </si>
  <si>
    <t>6486.93</t>
  </si>
  <si>
    <t>4782.55</t>
  </si>
  <si>
    <t>1055.69</t>
  </si>
  <si>
    <t>ORD103684</t>
  </si>
  <si>
    <t>CUST10540</t>
  </si>
  <si>
    <t>5926.92</t>
  </si>
  <si>
    <t>3378.2</t>
  </si>
  <si>
    <t>2252.37</t>
  </si>
  <si>
    <t>ORD103688</t>
  </si>
  <si>
    <t>CUST10760</t>
  </si>
  <si>
    <t>701.87</t>
  </si>
  <si>
    <t>424.9</t>
  </si>
  <si>
    <t>241.88</t>
  </si>
  <si>
    <t>ORD103689</t>
  </si>
  <si>
    <t>CUST10351</t>
  </si>
  <si>
    <t>3180.16</t>
  </si>
  <si>
    <t>3569.82</t>
  </si>
  <si>
    <t>1836.45</t>
  </si>
  <si>
    <t>ORD103690</t>
  </si>
  <si>
    <t>CUST10250</t>
  </si>
  <si>
    <t>2005.4</t>
  </si>
  <si>
    <t>1480.15</t>
  </si>
  <si>
    <t>224.44</t>
  </si>
  <si>
    <t>ORD103692</t>
  </si>
  <si>
    <t>CUST10799</t>
  </si>
  <si>
    <t>3735.79</t>
  </si>
  <si>
    <t>2780.56</t>
  </si>
  <si>
    <t>768.44</t>
  </si>
  <si>
    <t>ORD103693</t>
  </si>
  <si>
    <t>CUST10731</t>
  </si>
  <si>
    <t>14584.52</t>
  </si>
  <si>
    <t>10672.11</t>
  </si>
  <si>
    <t>3183.18</t>
  </si>
  <si>
    <t>ORD103694</t>
  </si>
  <si>
    <t>CUST13342</t>
  </si>
  <si>
    <t>6883.74</t>
  </si>
  <si>
    <t>5122.22</t>
  </si>
  <si>
    <t>728.96</t>
  </si>
  <si>
    <t>ORD103699</t>
  </si>
  <si>
    <t>CUST12731</t>
  </si>
  <si>
    <t>70332.67</t>
  </si>
  <si>
    <t>48342.98</t>
  </si>
  <si>
    <t>21989.69</t>
  </si>
  <si>
    <t>ORD103700</t>
  </si>
  <si>
    <t>CUST12149</t>
  </si>
  <si>
    <t>3782.39</t>
  </si>
  <si>
    <t>5592.73</t>
  </si>
  <si>
    <t>1215.57</t>
  </si>
  <si>
    <t>ORD103704</t>
  </si>
  <si>
    <t>CUST11300</t>
  </si>
  <si>
    <t>3908.39</t>
  </si>
  <si>
    <t>6384.77</t>
  </si>
  <si>
    <t>259.49</t>
  </si>
  <si>
    <t>ORD103707</t>
  </si>
  <si>
    <t>CUST13302</t>
  </si>
  <si>
    <t>6972.89</t>
  </si>
  <si>
    <t>5156.6099999999997</t>
  </si>
  <si>
    <t>ORD103712</t>
  </si>
  <si>
    <t>CUST11785</t>
  </si>
  <si>
    <t>22116.27</t>
  </si>
  <si>
    <t>35389.85</t>
  </si>
  <si>
    <t>8842.69</t>
  </si>
  <si>
    <t>ORD103713</t>
  </si>
  <si>
    <t>CUST12343</t>
  </si>
  <si>
    <t>12752.18</t>
  </si>
  <si>
    <t>10320.83</t>
  </si>
  <si>
    <t>-119.09</t>
  </si>
  <si>
    <t>ORD103716</t>
  </si>
  <si>
    <t>CUST12840</t>
  </si>
  <si>
    <t>2623.76</t>
  </si>
  <si>
    <t>1863.01</t>
  </si>
  <si>
    <t>498.37</t>
  </si>
  <si>
    <t>ORD103721</t>
  </si>
  <si>
    <t>CUST13100</t>
  </si>
  <si>
    <t>64384.62</t>
  </si>
  <si>
    <t>72209.7</t>
  </si>
  <si>
    <t>50121.08</t>
  </si>
  <si>
    <t>ORD103722</t>
  </si>
  <si>
    <t>CUST10500</t>
  </si>
  <si>
    <t>13184.21</t>
  </si>
  <si>
    <t>9402.34</t>
  </si>
  <si>
    <t>1804.24</t>
  </si>
  <si>
    <t>ORD103723</t>
  </si>
  <si>
    <t>CUST12850</t>
  </si>
  <si>
    <t>42634.57</t>
  </si>
  <si>
    <t>64876.91</t>
  </si>
  <si>
    <t>20392.23</t>
  </si>
  <si>
    <t>ORD103727</t>
  </si>
  <si>
    <t>CUST13363</t>
  </si>
  <si>
    <t>16675.509999999998</t>
  </si>
  <si>
    <t>11051.07</t>
  </si>
  <si>
    <t>3956.89</t>
  </si>
  <si>
    <t>ORD103731</t>
  </si>
  <si>
    <t>CUST11589</t>
  </si>
  <si>
    <t>10145.549999999999</t>
  </si>
  <si>
    <t>6877.19</t>
  </si>
  <si>
    <t>2253.8000000000002</t>
  </si>
  <si>
    <t>ORD103732</t>
  </si>
  <si>
    <t>CUST11719</t>
  </si>
  <si>
    <t>6569.26</t>
  </si>
  <si>
    <t>4711.87</t>
  </si>
  <si>
    <t>1200.46</t>
  </si>
  <si>
    <t>ORD103734</t>
  </si>
  <si>
    <t>CUST12397</t>
  </si>
  <si>
    <t>1328.07</t>
  </si>
  <si>
    <t>780.47</t>
  </si>
  <si>
    <t>547.6</t>
  </si>
  <si>
    <t>ORD103741</t>
  </si>
  <si>
    <t>CUST12595</t>
  </si>
  <si>
    <t>3694.05</t>
  </si>
  <si>
    <t>2914.39</t>
  </si>
  <si>
    <t>410.26</t>
  </si>
  <si>
    <t>ORD103743</t>
  </si>
  <si>
    <t>CUST12195</t>
  </si>
  <si>
    <t>69214.75</t>
  </si>
  <si>
    <t>149998.88</t>
  </si>
  <si>
    <t>47263.16</t>
  </si>
  <si>
    <t>ORD103744</t>
  </si>
  <si>
    <t>CUST12549</t>
  </si>
  <si>
    <t>5484.37</t>
  </si>
  <si>
    <t>7209.75</t>
  </si>
  <si>
    <t>3758.99</t>
  </si>
  <si>
    <t>ORD103747</t>
  </si>
  <si>
    <t>CUST10127</t>
  </si>
  <si>
    <t>6870.42</t>
  </si>
  <si>
    <t>7945.04</t>
  </si>
  <si>
    <t>4421.72</t>
  </si>
  <si>
    <t>ORD103751</t>
  </si>
  <si>
    <t>CUST11208</t>
  </si>
  <si>
    <t>61512.800000000003</t>
  </si>
  <si>
    <t>82494.23</t>
  </si>
  <si>
    <t>28228.81</t>
  </si>
  <si>
    <t>ORD103764</t>
  </si>
  <si>
    <t>CUST11126</t>
  </si>
  <si>
    <t>5596.94</t>
  </si>
  <si>
    <t>4470.1499999999996</t>
  </si>
  <si>
    <t>567.1</t>
  </si>
  <si>
    <t>ORD103765</t>
  </si>
  <si>
    <t>CUST11358</t>
  </si>
  <si>
    <t>542.46</t>
  </si>
  <si>
    <t>351.76</t>
  </si>
  <si>
    <t>163.58000000000001</t>
  </si>
  <si>
    <t>ORD103771</t>
  </si>
  <si>
    <t>CUST12714</t>
  </si>
  <si>
    <t>4977.0200000000004</t>
  </si>
  <si>
    <t>6974.95</t>
  </si>
  <si>
    <t>2979.09</t>
  </si>
  <si>
    <t>ORD103775</t>
  </si>
  <si>
    <t>CUST10087</t>
  </si>
  <si>
    <t>2820.52</t>
  </si>
  <si>
    <t>2015.35</t>
  </si>
  <si>
    <t>523.12</t>
  </si>
  <si>
    <t>ORD103776</t>
  </si>
  <si>
    <t>CUST10431</t>
  </si>
  <si>
    <t>4924.34</t>
  </si>
  <si>
    <t>7451.91</t>
  </si>
  <si>
    <t>2396.77</t>
  </si>
  <si>
    <t>ORD103782</t>
  </si>
  <si>
    <t>CUST10607</t>
  </si>
  <si>
    <t>1436.82</t>
  </si>
  <si>
    <t>2276.59</t>
  </si>
  <si>
    <t>166</t>
  </si>
  <si>
    <t>ORD103787</t>
  </si>
  <si>
    <t>CUST12233</t>
  </si>
  <si>
    <t>4598.07</t>
  </si>
  <si>
    <t>10758.28</t>
  </si>
  <si>
    <t>277.08999999999997</t>
  </si>
  <si>
    <t>ORD103790</t>
  </si>
  <si>
    <t>CUST12206</t>
  </si>
  <si>
    <t>6720.54</t>
  </si>
  <si>
    <t>5355.58</t>
  </si>
  <si>
    <t>692.91</t>
  </si>
  <si>
    <t>ORD103792</t>
  </si>
  <si>
    <t>CUST11103</t>
  </si>
  <si>
    <t>5137.05</t>
  </si>
  <si>
    <t>10921.8</t>
  </si>
  <si>
    <t>2177.6799999999998</t>
  </si>
  <si>
    <t>ORD103793</t>
  </si>
  <si>
    <t>CUST11408</t>
  </si>
  <si>
    <t>29854.560000000001</t>
  </si>
  <si>
    <t>18339.57</t>
  </si>
  <si>
    <t>8529.5300000000007</t>
  </si>
  <si>
    <t>ORD103794</t>
  </si>
  <si>
    <t>CUST13469</t>
  </si>
  <si>
    <t>51066.15</t>
  </si>
  <si>
    <t>35658.730000000003</t>
  </si>
  <si>
    <t>10300.81</t>
  </si>
  <si>
    <t>ORD103796</t>
  </si>
  <si>
    <t>CUST13380</t>
  </si>
  <si>
    <t>6961</t>
  </si>
  <si>
    <t>5084.16</t>
  </si>
  <si>
    <t>1528.79</t>
  </si>
  <si>
    <t>ORD103800</t>
  </si>
  <si>
    <t>CUST13184</t>
  </si>
  <si>
    <t>3509.99</t>
  </si>
  <si>
    <t>5106.34</t>
  </si>
  <si>
    <t>1913.64</t>
  </si>
  <si>
    <t>ORD103801</t>
  </si>
  <si>
    <t>CUST12381</t>
  </si>
  <si>
    <t>36729.71</t>
  </si>
  <si>
    <t>25693.01</t>
  </si>
  <si>
    <t>3690.76</t>
  </si>
  <si>
    <t>ORD103802</t>
  </si>
  <si>
    <t>CUST11174</t>
  </si>
  <si>
    <t>13940.67</t>
  </si>
  <si>
    <t>41105.01</t>
  </si>
  <si>
    <t>9081.4</t>
  </si>
  <si>
    <t>ORD103810</t>
  </si>
  <si>
    <t>CUST10737</t>
  </si>
  <si>
    <t>7252.49</t>
  </si>
  <si>
    <t>10007.24</t>
  </si>
  <si>
    <t>3772.49</t>
  </si>
  <si>
    <t>ORD103813</t>
  </si>
  <si>
    <t>CUST10419</t>
  </si>
  <si>
    <t>3267.57</t>
  </si>
  <si>
    <t>7893.93</t>
  </si>
  <si>
    <t>438.37</t>
  </si>
  <si>
    <t>ORD103816</t>
  </si>
  <si>
    <t>CUST10377</t>
  </si>
  <si>
    <t>1666.19</t>
  </si>
  <si>
    <t>1035.25</t>
  </si>
  <si>
    <t>464.32</t>
  </si>
  <si>
    <t>ORD103818</t>
  </si>
  <si>
    <t>CUST13021</t>
  </si>
  <si>
    <t>20109.32</t>
  </si>
  <si>
    <t>44539.62</t>
  </si>
  <si>
    <t>35897.660000000003</t>
  </si>
  <si>
    <t>ORD103819</t>
  </si>
  <si>
    <t>CUST12987</t>
  </si>
  <si>
    <t>4069.25</t>
  </si>
  <si>
    <t>9539.7099999999991</t>
  </si>
  <si>
    <t>2057.65</t>
  </si>
  <si>
    <t>ORD103823</t>
  </si>
  <si>
    <t>CUST11708</t>
  </si>
  <si>
    <t>3862.08</t>
  </si>
  <si>
    <t>3131.03</t>
  </si>
  <si>
    <t>731.05</t>
  </si>
  <si>
    <t>ORD103827</t>
  </si>
  <si>
    <t>CUST10864</t>
  </si>
  <si>
    <t>30660.77</t>
  </si>
  <si>
    <t>47055.22</t>
  </si>
  <si>
    <t>14266.32</t>
  </si>
  <si>
    <t>ORD103828</t>
  </si>
  <si>
    <t>CUST10221</t>
  </si>
  <si>
    <t>11795.25</t>
  </si>
  <si>
    <t>18506.37</t>
  </si>
  <si>
    <t>1545.55</t>
  </si>
  <si>
    <t>ORD103831</t>
  </si>
  <si>
    <t>CUST11682</t>
  </si>
  <si>
    <t>977.2</t>
  </si>
  <si>
    <t>552.01</t>
  </si>
  <si>
    <t>327.47000000000003</t>
  </si>
  <si>
    <t>ORD103834</t>
  </si>
  <si>
    <t>CUST13072</t>
  </si>
  <si>
    <t>14259.05</t>
  </si>
  <si>
    <t>15986.33</t>
  </si>
  <si>
    <t>9679.9599999999991</t>
  </si>
  <si>
    <t>ORD103835</t>
  </si>
  <si>
    <t>CUST13317</t>
  </si>
  <si>
    <t>71899.240000000005</t>
  </si>
  <si>
    <t>50597.37</t>
  </si>
  <si>
    <t>10516.98</t>
  </si>
  <si>
    <t>ORD103839</t>
  </si>
  <si>
    <t>CUST10062</t>
  </si>
  <si>
    <t>5348.67</t>
  </si>
  <si>
    <t>4006.02</t>
  </si>
  <si>
    <t>272.92</t>
  </si>
  <si>
    <t>ORD103848</t>
  </si>
  <si>
    <t>CUST10466</t>
  </si>
  <si>
    <t>4320.2700000000004</t>
  </si>
  <si>
    <t>2820.85</t>
  </si>
  <si>
    <t>1499.42</t>
  </si>
  <si>
    <t>ORD103851</t>
  </si>
  <si>
    <t>CUST12811</t>
  </si>
  <si>
    <t>38961.93</t>
  </si>
  <si>
    <t>58456.99</t>
  </si>
  <si>
    <t>15570.68</t>
  </si>
  <si>
    <t>ORD103852</t>
  </si>
  <si>
    <t>CUST12143</t>
  </si>
  <si>
    <t>63592.73</t>
  </si>
  <si>
    <t>37278.42</t>
  </si>
  <si>
    <t>23134.67</t>
  </si>
  <si>
    <t>ORD103858</t>
  </si>
  <si>
    <t>CUST12445</t>
  </si>
  <si>
    <t>1591.01</t>
  </si>
  <si>
    <t>2590.37</t>
  </si>
  <si>
    <t>273.45</t>
  </si>
  <si>
    <t>ORD103861</t>
  </si>
  <si>
    <t>CUST10966</t>
  </si>
  <si>
    <t>2950.64</t>
  </si>
  <si>
    <t>3945.96</t>
  </si>
  <si>
    <t>1955.32</t>
  </si>
  <si>
    <t>ORD103863</t>
  </si>
  <si>
    <t>CUST11557</t>
  </si>
  <si>
    <t>1084.0999999999999</t>
  </si>
  <si>
    <t>653.30999999999995</t>
  </si>
  <si>
    <t>322.38</t>
  </si>
  <si>
    <t>ORD103864</t>
  </si>
  <si>
    <t>CUST12757</t>
  </si>
  <si>
    <t>614.67999999999995</t>
  </si>
  <si>
    <t>494.05</t>
  </si>
  <si>
    <t>89.9</t>
  </si>
  <si>
    <t>ORD103865</t>
  </si>
  <si>
    <t>CUST11278</t>
  </si>
  <si>
    <t>1637.93</t>
  </si>
  <si>
    <t>3800.36</t>
  </si>
  <si>
    <t>1113.43</t>
  </si>
  <si>
    <t>ORD103870</t>
  </si>
  <si>
    <t>CUST12370</t>
  </si>
  <si>
    <t>5598.66</t>
  </si>
  <si>
    <t>9315.44</t>
  </si>
  <si>
    <t>4121.34</t>
  </si>
  <si>
    <t>ORD103871</t>
  </si>
  <si>
    <t>CUST10315</t>
  </si>
  <si>
    <t>39608.230000000003</t>
  </si>
  <si>
    <t>27061.86</t>
  </si>
  <si>
    <t>12546.37</t>
  </si>
  <si>
    <t>ORD103872</t>
  </si>
  <si>
    <t>CUST11378</t>
  </si>
  <si>
    <t>1169.99</t>
  </si>
  <si>
    <t>821.46</t>
  </si>
  <si>
    <t>231.53</t>
  </si>
  <si>
    <t>ORD103874</t>
  </si>
  <si>
    <t>CUST10483</t>
  </si>
  <si>
    <t>6326.68</t>
  </si>
  <si>
    <t>3550.82</t>
  </si>
  <si>
    <t>1826.86</t>
  </si>
  <si>
    <t>ORD103875</t>
  </si>
  <si>
    <t>CUST10398</t>
  </si>
  <si>
    <t>5595.5</t>
  </si>
  <si>
    <t>3323.49</t>
  </si>
  <si>
    <t>1712.46</t>
  </si>
  <si>
    <t>ORD103878</t>
  </si>
  <si>
    <t>CUST11566</t>
  </si>
  <si>
    <t>3659.53</t>
  </si>
  <si>
    <t>2551.11</t>
  </si>
  <si>
    <t>742.47</t>
  </si>
  <si>
    <t>ORD103879</t>
  </si>
  <si>
    <t>CUST10502</t>
  </si>
  <si>
    <t>10335.11</t>
  </si>
  <si>
    <t>8114.21</t>
  </si>
  <si>
    <t>2220.9</t>
  </si>
  <si>
    <t>ORD103883</t>
  </si>
  <si>
    <t>CUST13282</t>
  </si>
  <si>
    <t>8981.07</t>
  </si>
  <si>
    <t>20411.27</t>
  </si>
  <si>
    <t>2490.46</t>
  </si>
  <si>
    <t>ORD103884</t>
  </si>
  <si>
    <t>CUST11340</t>
  </si>
  <si>
    <t>52573.54</t>
  </si>
  <si>
    <t>78934.84</t>
  </si>
  <si>
    <t>10440.18</t>
  </si>
  <si>
    <t>ORD103887</t>
  </si>
  <si>
    <t>CUST12979</t>
  </si>
  <si>
    <t>11616.17</t>
  </si>
  <si>
    <t>14196.3</t>
  </si>
  <si>
    <t>5551.19</t>
  </si>
  <si>
    <t>ORD103895</t>
  </si>
  <si>
    <t>CUST13080</t>
  </si>
  <si>
    <t>2233.56</t>
  </si>
  <si>
    <t>594.91999999999996</t>
  </si>
  <si>
    <t>ORD103899</t>
  </si>
  <si>
    <t>CUST13081</t>
  </si>
  <si>
    <t>1668.71</t>
  </si>
  <si>
    <t>960.46</t>
  </si>
  <si>
    <t>624.80999999999995</t>
  </si>
  <si>
    <t>ORD103900</t>
  </si>
  <si>
    <t>CUST11497</t>
  </si>
  <si>
    <t>5357.75</t>
  </si>
  <si>
    <t>4168.3999999999996</t>
  </si>
  <si>
    <t>ORD103904</t>
  </si>
  <si>
    <t>CUST11876</t>
  </si>
  <si>
    <t>60043.42</t>
  </si>
  <si>
    <t>165352.35</t>
  </si>
  <si>
    <t>50803.96</t>
  </si>
  <si>
    <t>ORD103905</t>
  </si>
  <si>
    <t>CUST12434</t>
  </si>
  <si>
    <t>12994.72</t>
  </si>
  <si>
    <t>9649.93</t>
  </si>
  <si>
    <t>2045.32</t>
  </si>
  <si>
    <t>ORD103906</t>
  </si>
  <si>
    <t>CUST11295</t>
  </si>
  <si>
    <t>16762.25</t>
  </si>
  <si>
    <t>11412.62</t>
  </si>
  <si>
    <t>3673.4</t>
  </si>
  <si>
    <t>ORD103907</t>
  </si>
  <si>
    <t>CUST11849</t>
  </si>
  <si>
    <t>8257.2099999999991</t>
  </si>
  <si>
    <t>6743.8</t>
  </si>
  <si>
    <t>1100.55</t>
  </si>
  <si>
    <t>ORD103914</t>
  </si>
  <si>
    <t>CUST13143</t>
  </si>
  <si>
    <t>10256.34</t>
  </si>
  <si>
    <t>16686.09</t>
  </si>
  <si>
    <t>749.69</t>
  </si>
  <si>
    <t>ORD103915</t>
  </si>
  <si>
    <t>CUST12100</t>
  </si>
  <si>
    <t>921.43</t>
  </si>
  <si>
    <t>2533.86</t>
  </si>
  <si>
    <t>1151.8599999999999</t>
  </si>
  <si>
    <t>ORD103919</t>
  </si>
  <si>
    <t>CUST13158</t>
  </si>
  <si>
    <t>17416.04</t>
  </si>
  <si>
    <t>12540.86</t>
  </si>
  <si>
    <t>4004.38</t>
  </si>
  <si>
    <t>ORD103921</t>
  </si>
  <si>
    <t>CUST11182</t>
  </si>
  <si>
    <t>12769</t>
  </si>
  <si>
    <t>17866.78</t>
  </si>
  <si>
    <t>3840.52</t>
  </si>
  <si>
    <t>ORD103922</t>
  </si>
  <si>
    <t>CUST11144</t>
  </si>
  <si>
    <t>5544.65</t>
  </si>
  <si>
    <t>4531.46</t>
  </si>
  <si>
    <t>1013.19</t>
  </si>
  <si>
    <t>ORD103927</t>
  </si>
  <si>
    <t>CUST13304</t>
  </si>
  <si>
    <t>4093</t>
  </si>
  <si>
    <t>7036.37</t>
  </si>
  <si>
    <t>3400.78</t>
  </si>
  <si>
    <t>ORD103930</t>
  </si>
  <si>
    <t>CUST10323</t>
  </si>
  <si>
    <t>48512.78</t>
  </si>
  <si>
    <t>31423.65</t>
  </si>
  <si>
    <t>12237.85</t>
  </si>
  <si>
    <t>ORD103931</t>
  </si>
  <si>
    <t>CUST11008</t>
  </si>
  <si>
    <t>11437.99</t>
  </si>
  <si>
    <t>9361.18</t>
  </si>
  <si>
    <t>933.01</t>
  </si>
  <si>
    <t>ORD103942</t>
  </si>
  <si>
    <t>CUST11516</t>
  </si>
  <si>
    <t>28810.78</t>
  </si>
  <si>
    <t>18987.330000000002</t>
  </si>
  <si>
    <t>6942.37</t>
  </si>
  <si>
    <t>ORD103949</t>
  </si>
  <si>
    <t>CUST10372</t>
  </si>
  <si>
    <t>5085.9399999999996</t>
  </si>
  <si>
    <t>3715.4</t>
  </si>
  <si>
    <t>861.95</t>
  </si>
  <si>
    <t>ORD103950</t>
  </si>
  <si>
    <t>CUST13086</t>
  </si>
  <si>
    <t>1297.0899999999999</t>
  </si>
  <si>
    <t>756.21</t>
  </si>
  <si>
    <t>476.03</t>
  </si>
  <si>
    <t>ORD103953</t>
  </si>
  <si>
    <t>CUST13117</t>
  </si>
  <si>
    <t>4773.87</t>
  </si>
  <si>
    <t>2865.23</t>
  </si>
  <si>
    <t>1669.95</t>
  </si>
  <si>
    <t>ORD103954</t>
  </si>
  <si>
    <t>CUST10944</t>
  </si>
  <si>
    <t>11118.59</t>
  </si>
  <si>
    <t>6666.96</t>
  </si>
  <si>
    <t>3339.77</t>
  </si>
  <si>
    <t>ORD103958</t>
  </si>
  <si>
    <t>CUST11093</t>
  </si>
  <si>
    <t>13182.04</t>
  </si>
  <si>
    <t>19318.66</t>
  </si>
  <si>
    <t>3090.81</t>
  </si>
  <si>
    <t>ORD103959</t>
  </si>
  <si>
    <t>CUST10408</t>
  </si>
  <si>
    <t>15645.5</t>
  </si>
  <si>
    <t>24812.44</t>
  </si>
  <si>
    <t>3349.46</t>
  </si>
  <si>
    <t>ORD103960</t>
  </si>
  <si>
    <t>CUST11076</t>
  </si>
  <si>
    <t>6884.91</t>
  </si>
  <si>
    <t>9492.98</t>
  </si>
  <si>
    <t>2211.37</t>
  </si>
  <si>
    <t>ORD103962</t>
  </si>
  <si>
    <t>CUST10444</t>
  </si>
  <si>
    <t>1328.37</t>
  </si>
  <si>
    <t>800.91</t>
  </si>
  <si>
    <t>328.2</t>
  </si>
  <si>
    <t>ORD103963</t>
  </si>
  <si>
    <t>CUST10125</t>
  </si>
  <si>
    <t>4257.63</t>
  </si>
  <si>
    <t>2900.03</t>
  </si>
  <si>
    <t>1357.6</t>
  </si>
  <si>
    <t>ORD103978</t>
  </si>
  <si>
    <t>CUST13108</t>
  </si>
  <si>
    <t>45394.239999999998</t>
  </si>
  <si>
    <t>29889.16</t>
  </si>
  <si>
    <t>10965.66</t>
  </si>
  <si>
    <t>ORD103979</t>
  </si>
  <si>
    <t>CUST10376</t>
  </si>
  <si>
    <t>15604.95</t>
  </si>
  <si>
    <t>10015.59</t>
  </si>
  <si>
    <t>4809.1099999999997</t>
  </si>
  <si>
    <t>ORD103988</t>
  </si>
  <si>
    <t>CUST10023</t>
  </si>
  <si>
    <t>48015.15</t>
  </si>
  <si>
    <t>28525.32</t>
  </si>
  <si>
    <t>17089.07</t>
  </si>
  <si>
    <t>ORD103991</t>
  </si>
  <si>
    <t>CUST11951</t>
  </si>
  <si>
    <t>32946.370000000003</t>
  </si>
  <si>
    <t>51327.85</t>
  </si>
  <si>
    <t>4680.9799999999996</t>
  </si>
  <si>
    <t>ORD103992</t>
  </si>
  <si>
    <t>CUST10169</t>
  </si>
  <si>
    <t>6469.77</t>
  </si>
  <si>
    <t>4309.1499999999996</t>
  </si>
  <si>
    <t>1513.64</t>
  </si>
  <si>
    <t>ORD103993</t>
  </si>
  <si>
    <t>CUST12688</t>
  </si>
  <si>
    <t>2820.49</t>
  </si>
  <si>
    <t>1797.35</t>
  </si>
  <si>
    <t>600.07000000000005</t>
  </si>
  <si>
    <t>ORD103994</t>
  </si>
  <si>
    <t>CUST11110</t>
  </si>
  <si>
    <t>4883.05</t>
  </si>
  <si>
    <t>3872.09</t>
  </si>
  <si>
    <t>766.81</t>
  </si>
  <si>
    <t>ORD103997</t>
  </si>
  <si>
    <t>CUST13163</t>
  </si>
  <si>
    <t>1726.37</t>
  </si>
  <si>
    <t>3682.21</t>
  </si>
  <si>
    <t>978.99</t>
  </si>
  <si>
    <t>ORD103998</t>
  </si>
  <si>
    <t>CUST10150</t>
  </si>
  <si>
    <t>8386.43</t>
  </si>
  <si>
    <t>11252.25</t>
  </si>
  <si>
    <t>3843.32</t>
  </si>
  <si>
    <t>ORD104000</t>
  </si>
  <si>
    <t>CUST10751</t>
  </si>
  <si>
    <t>13263.98</t>
  </si>
  <si>
    <t>7590.59</t>
  </si>
  <si>
    <t>4346.99</t>
  </si>
  <si>
    <t>ORD104004</t>
  </si>
  <si>
    <t>CUST11396</t>
  </si>
  <si>
    <t>7451.24</t>
  </si>
  <si>
    <t>5752.01</t>
  </si>
  <si>
    <t>1699.23</t>
  </si>
  <si>
    <t>ORD104007</t>
  </si>
  <si>
    <t>CUST13052</t>
  </si>
  <si>
    <t>33533.29</t>
  </si>
  <si>
    <t>70534.720000000001</t>
  </si>
  <si>
    <t>25035.16</t>
  </si>
  <si>
    <t>ORD104008</t>
  </si>
  <si>
    <t>CUST10284</t>
  </si>
  <si>
    <t>826.52</t>
  </si>
  <si>
    <t>649.78</t>
  </si>
  <si>
    <t>94.09</t>
  </si>
  <si>
    <t>ORD104009</t>
  </si>
  <si>
    <t>CUST13293</t>
  </si>
  <si>
    <t>5161.67</t>
  </si>
  <si>
    <t>3669.45</t>
  </si>
  <si>
    <t>1492.22</t>
  </si>
  <si>
    <t>ORD104013</t>
  </si>
  <si>
    <t>CUST12577</t>
  </si>
  <si>
    <t>5672.25</t>
  </si>
  <si>
    <t>3194.42</t>
  </si>
  <si>
    <t>1910.61</t>
  </si>
  <si>
    <t>ORD104014</t>
  </si>
  <si>
    <t>CUST13439</t>
  </si>
  <si>
    <t>3503.94</t>
  </si>
  <si>
    <t>4256.04</t>
  </si>
  <si>
    <t>2401.4499999999998</t>
  </si>
  <si>
    <t>ORD104015</t>
  </si>
  <si>
    <t>CUST11146</t>
  </si>
  <si>
    <t>5030.24</t>
  </si>
  <si>
    <t>6345.7</t>
  </si>
  <si>
    <t>3211.76</t>
  </si>
  <si>
    <t>ORD104016</t>
  </si>
  <si>
    <t>CUST10170</t>
  </si>
  <si>
    <t>41678.82</t>
  </si>
  <si>
    <t>32915.71</t>
  </si>
  <si>
    <t>6679.17</t>
  </si>
  <si>
    <t>ORD104017</t>
  </si>
  <si>
    <t>CUST12106</t>
  </si>
  <si>
    <t>14383.67</t>
  </si>
  <si>
    <t>39320.99</t>
  </si>
  <si>
    <t>9583.49</t>
  </si>
  <si>
    <t>ORD104022</t>
  </si>
  <si>
    <t>CUST11443</t>
  </si>
  <si>
    <t>6799.07</t>
  </si>
  <si>
    <t>10550.11</t>
  </si>
  <si>
    <t>2368.12</t>
  </si>
  <si>
    <t>ORD104023</t>
  </si>
  <si>
    <t>CUST10080</t>
  </si>
  <si>
    <t>6311.04</t>
  </si>
  <si>
    <t>4978.47</t>
  </si>
  <si>
    <t>701.47</t>
  </si>
  <si>
    <t>ORD104027</t>
  </si>
  <si>
    <t>CUST12148</t>
  </si>
  <si>
    <t>68115.11</t>
  </si>
  <si>
    <t>39800.97</t>
  </si>
  <si>
    <t>21502.63</t>
  </si>
  <si>
    <t>ORD104028</t>
  </si>
  <si>
    <t>CUST11859</t>
  </si>
  <si>
    <t>4229.2</t>
  </si>
  <si>
    <t>3314.3</t>
  </si>
  <si>
    <t>914.9</t>
  </si>
  <si>
    <t>ORD104031</t>
  </si>
  <si>
    <t>CUST13070</t>
  </si>
  <si>
    <t>4296.42</t>
  </si>
  <si>
    <t>7016.13</t>
  </si>
  <si>
    <t>1576.71</t>
  </si>
  <si>
    <t>ORD104036</t>
  </si>
  <si>
    <t>CUST13103</t>
  </si>
  <si>
    <t>17526.13</t>
  </si>
  <si>
    <t>13925.33</t>
  </si>
  <si>
    <t>1848.19</t>
  </si>
  <si>
    <t>ORD104037</t>
  </si>
  <si>
    <t>CUST12778</t>
  </si>
  <si>
    <t>4478.13</t>
  </si>
  <si>
    <t>5249.53</t>
  </si>
  <si>
    <t>1915.48</t>
  </si>
  <si>
    <t>ORD104044</t>
  </si>
  <si>
    <t>CUST12785</t>
  </si>
  <si>
    <t>3842.97</t>
  </si>
  <si>
    <t>5292.59</t>
  </si>
  <si>
    <t>1624.76</t>
  </si>
  <si>
    <t>ORD104047</t>
  </si>
  <si>
    <t>CUST13094</t>
  </si>
  <si>
    <t>4703.5</t>
  </si>
  <si>
    <t>7672.62</t>
  </si>
  <si>
    <t>1264.03</t>
  </si>
  <si>
    <t>ORD104050</t>
  </si>
  <si>
    <t>CUST13106</t>
  </si>
  <si>
    <t>4864.5600000000004</t>
  </si>
  <si>
    <t>7128.54</t>
  </si>
  <si>
    <t>2114.12</t>
  </si>
  <si>
    <t>ORD104056</t>
  </si>
  <si>
    <t>CUST11395</t>
  </si>
  <si>
    <t>8028.83</t>
  </si>
  <si>
    <t>24056.15</t>
  </si>
  <si>
    <t>3241.87</t>
  </si>
  <si>
    <t>ORD104057</t>
  </si>
  <si>
    <t>CUST12191</t>
  </si>
  <si>
    <t>3757.82</t>
  </si>
  <si>
    <t>2950.69</t>
  </si>
  <si>
    <t>243.46</t>
  </si>
  <si>
    <t>ORD104060</t>
  </si>
  <si>
    <t>CUST13235</t>
  </si>
  <si>
    <t>16333.98</t>
  </si>
  <si>
    <t>9870.7800000000007</t>
  </si>
  <si>
    <t>4013.1</t>
  </si>
  <si>
    <t>ORD104063</t>
  </si>
  <si>
    <t>CUST12966</t>
  </si>
  <si>
    <t>46405.26</t>
  </si>
  <si>
    <t>28521.47</t>
  </si>
  <si>
    <t>13243.26</t>
  </si>
  <si>
    <t>ORD104064</t>
  </si>
  <si>
    <t>CUST10498</t>
  </si>
  <si>
    <t>2604.4299999999998</t>
  </si>
  <si>
    <t>3194.99</t>
  </si>
  <si>
    <t>1492.98</t>
  </si>
  <si>
    <t>ORD104065</t>
  </si>
  <si>
    <t>CUST11322</t>
  </si>
  <si>
    <t>3795.41</t>
  </si>
  <si>
    <t>5475.06</t>
  </si>
  <si>
    <t>1356.68</t>
  </si>
  <si>
    <t>ORD104066</t>
  </si>
  <si>
    <t>CUST11069</t>
  </si>
  <si>
    <t>6122.5</t>
  </si>
  <si>
    <t>8686.39</t>
  </si>
  <si>
    <t>1109.6099999999999</t>
  </si>
  <si>
    <t>ORD104085</t>
  </si>
  <si>
    <t>CUST10554</t>
  </si>
  <si>
    <t>41298.230000000003</t>
  </si>
  <si>
    <t>32746.45</t>
  </si>
  <si>
    <t>4421.96</t>
  </si>
  <si>
    <t>ORD104089</t>
  </si>
  <si>
    <t>CUST11746</t>
  </si>
  <si>
    <t>6027.54</t>
  </si>
  <si>
    <t>6780.51</t>
  </si>
  <si>
    <t>3466.31</t>
  </si>
  <si>
    <t>ORD104090</t>
  </si>
  <si>
    <t>CUST11973</t>
  </si>
  <si>
    <t>5702.35</t>
  </si>
  <si>
    <t>13873.57</t>
  </si>
  <si>
    <t>667.42</t>
  </si>
  <si>
    <t>ORD104093</t>
  </si>
  <si>
    <t>CUST12186</t>
  </si>
  <si>
    <t>15402.62</t>
  </si>
  <si>
    <t>10150.33</t>
  </si>
  <si>
    <t>2941.9</t>
  </si>
  <si>
    <t>ORD104098</t>
  </si>
  <si>
    <t>CUST12889</t>
  </si>
  <si>
    <t>55066.87</t>
  </si>
  <si>
    <t>118900.23</t>
  </si>
  <si>
    <t>29780.32</t>
  </si>
  <si>
    <t>ORD104110</t>
  </si>
  <si>
    <t>CUST13097</t>
  </si>
  <si>
    <t>2021.69</t>
  </si>
  <si>
    <t>1255.69</t>
  </si>
  <si>
    <t>563.83000000000004</t>
  </si>
  <si>
    <t>ORD104115</t>
  </si>
  <si>
    <t>CUST10612</t>
  </si>
  <si>
    <t>35539.99</t>
  </si>
  <si>
    <t>25412.42</t>
  </si>
  <si>
    <t>8350.57</t>
  </si>
  <si>
    <t>ORD104117</t>
  </si>
  <si>
    <t>CUST13266</t>
  </si>
  <si>
    <t>3265.27</t>
  </si>
  <si>
    <t>5308.04</t>
  </si>
  <si>
    <t>242.92</t>
  </si>
  <si>
    <t>ORD104130</t>
  </si>
  <si>
    <t>CUST13377</t>
  </si>
  <si>
    <t>1489.99</t>
  </si>
  <si>
    <t>1003.62</t>
  </si>
  <si>
    <t>262.87</t>
  </si>
  <si>
    <t>ORD104131</t>
  </si>
  <si>
    <t>CUST12464</t>
  </si>
  <si>
    <t>6355.62</t>
  </si>
  <si>
    <t>4597.5600000000004</t>
  </si>
  <si>
    <t>1440.28</t>
  </si>
  <si>
    <t>ORD104135</t>
  </si>
  <si>
    <t>CUST13124</t>
  </si>
  <si>
    <t>41089.5</t>
  </si>
  <si>
    <t>25810.74</t>
  </si>
  <si>
    <t>13224.28</t>
  </si>
  <si>
    <t>ORD104138</t>
  </si>
  <si>
    <t>CUST12124</t>
  </si>
  <si>
    <t>2420.9699999999998</t>
  </si>
  <si>
    <t>3918.5</t>
  </si>
  <si>
    <t>681.34</t>
  </si>
  <si>
    <t>ORD104139</t>
  </si>
  <si>
    <t>CUST10872</t>
  </si>
  <si>
    <t>8153.34</t>
  </si>
  <si>
    <t>5820.99</t>
  </si>
  <si>
    <t>2332.35</t>
  </si>
  <si>
    <t>ORD104141</t>
  </si>
  <si>
    <t>CUST11790</t>
  </si>
  <si>
    <t>6424.56</t>
  </si>
  <si>
    <t>7801.53</t>
  </si>
  <si>
    <t>4405.13</t>
  </si>
  <si>
    <t>ORD104149</t>
  </si>
  <si>
    <t>CUST10559</t>
  </si>
  <si>
    <t>2758.88</t>
  </si>
  <si>
    <t>3962.84</t>
  </si>
  <si>
    <t>1279.03</t>
  </si>
  <si>
    <t>ORD104150</t>
  </si>
  <si>
    <t>CUST10192</t>
  </si>
  <si>
    <t>2216.4</t>
  </si>
  <si>
    <t>1759.35</t>
  </si>
  <si>
    <t>457.05</t>
  </si>
  <si>
    <t>ORD104151</t>
  </si>
  <si>
    <t>CUST12893</t>
  </si>
  <si>
    <t>38249.69</t>
  </si>
  <si>
    <t>27734.46</t>
  </si>
  <si>
    <t>6690.26</t>
  </si>
  <si>
    <t>ORD104152</t>
  </si>
  <si>
    <t>CUST12623</t>
  </si>
  <si>
    <t>856.84</t>
  </si>
  <si>
    <t>557.72</t>
  </si>
  <si>
    <t>299.12</t>
  </si>
  <si>
    <t>ORD104156</t>
  </si>
  <si>
    <t>CUST13030</t>
  </si>
  <si>
    <t>3215.67</t>
  </si>
  <si>
    <t>2201.29</t>
  </si>
  <si>
    <t>ORD104162</t>
  </si>
  <si>
    <t>CUST12783</t>
  </si>
  <si>
    <t>2377.6</t>
  </si>
  <si>
    <t>1641.86</t>
  </si>
  <si>
    <t>735.74</t>
  </si>
  <si>
    <t>ORD104163</t>
  </si>
  <si>
    <t>CUST10948</t>
  </si>
  <si>
    <t>1681.4</t>
  </si>
  <si>
    <t>1978.73</t>
  </si>
  <si>
    <t>1047.79</t>
  </si>
  <si>
    <t>ORD104165</t>
  </si>
  <si>
    <t>CUST10068</t>
  </si>
  <si>
    <t>2227.4</t>
  </si>
  <si>
    <t>3049.48</t>
  </si>
  <si>
    <t>1182.58</t>
  </si>
  <si>
    <t>ORD104168</t>
  </si>
  <si>
    <t>CUST13125</t>
  </si>
  <si>
    <t>1225.78</t>
  </si>
  <si>
    <t>1001.65</t>
  </si>
  <si>
    <t>162.84</t>
  </si>
  <si>
    <t>ORD104172</t>
  </si>
  <si>
    <t>CUST11073</t>
  </si>
  <si>
    <t>15509.91</t>
  </si>
  <si>
    <t>8986.01</t>
  </si>
  <si>
    <t>4972.91</t>
  </si>
  <si>
    <t>ORD104175</t>
  </si>
  <si>
    <t>CUST12457</t>
  </si>
  <si>
    <t>4073.12</t>
  </si>
  <si>
    <t>2991.65</t>
  </si>
  <si>
    <t>877.81</t>
  </si>
  <si>
    <t>ORD104179</t>
  </si>
  <si>
    <t>CUST10742</t>
  </si>
  <si>
    <t>9666.73</t>
  </si>
  <si>
    <t>13541.41</t>
  </si>
  <si>
    <t>4825.38</t>
  </si>
  <si>
    <t>ORD104181</t>
  </si>
  <si>
    <t>CUST10241</t>
  </si>
  <si>
    <t>1916.52</t>
  </si>
  <si>
    <t>1548.06</t>
  </si>
  <si>
    <t>176.81</t>
  </si>
  <si>
    <t>ORD104183</t>
  </si>
  <si>
    <t>CUST12151</t>
  </si>
  <si>
    <t>6963.48</t>
  </si>
  <si>
    <t>10561.98</t>
  </si>
  <si>
    <t>2668.63</t>
  </si>
  <si>
    <t>ORD104188</t>
  </si>
  <si>
    <t>CUST11598</t>
  </si>
  <si>
    <t>11783.56</t>
  </si>
  <si>
    <t>9466.14</t>
  </si>
  <si>
    <t>1139.06</t>
  </si>
  <si>
    <t>ORD104190</t>
  </si>
  <si>
    <t>CUST13219</t>
  </si>
  <si>
    <t>10380.42</t>
  </si>
  <si>
    <t>15319.56</t>
  </si>
  <si>
    <t>3365.2</t>
  </si>
  <si>
    <t>ORD104193</t>
  </si>
  <si>
    <t>CUST12716</t>
  </si>
  <si>
    <t>1760.27</t>
  </si>
  <si>
    <t>4055.57</t>
  </si>
  <si>
    <t>961.2</t>
  </si>
  <si>
    <t>ORD104195</t>
  </si>
  <si>
    <t>CUST12747</t>
  </si>
  <si>
    <t>6989.82</t>
  </si>
  <si>
    <t>5464.29</t>
  </si>
  <si>
    <t>826.55</t>
  </si>
  <si>
    <t>ORD104199</t>
  </si>
  <si>
    <t>CUST13022</t>
  </si>
  <si>
    <t>1152.96</t>
  </si>
  <si>
    <t>1976.82</t>
  </si>
  <si>
    <t>963.23</t>
  </si>
  <si>
    <t>ORD104200</t>
  </si>
  <si>
    <t>CUST10810</t>
  </si>
  <si>
    <t>4966.28</t>
  </si>
  <si>
    <t>6448.19</t>
  </si>
  <si>
    <t>3484.37</t>
  </si>
  <si>
    <t>ORD104207</t>
  </si>
  <si>
    <t>CUST10823</t>
  </si>
  <si>
    <t>717.66</t>
  </si>
  <si>
    <t>1353.81</t>
  </si>
  <si>
    <t>691.52</t>
  </si>
  <si>
    <t>ORD104209</t>
  </si>
  <si>
    <t>CUST13003</t>
  </si>
  <si>
    <t>4785.4799999999996</t>
  </si>
  <si>
    <t>11131.54</t>
  </si>
  <si>
    <t>353.61</t>
  </si>
  <si>
    <t>ORD104210</t>
  </si>
  <si>
    <t>CUST10719</t>
  </si>
  <si>
    <t>3204.52</t>
  </si>
  <si>
    <t>2045.61</t>
  </si>
  <si>
    <t>838.46</t>
  </si>
  <si>
    <t>ORD104212</t>
  </si>
  <si>
    <t>CUST11838</t>
  </si>
  <si>
    <t>47480.66</t>
  </si>
  <si>
    <t>34401.730000000003</t>
  </si>
  <si>
    <t>8330.86</t>
  </si>
  <si>
    <t>ORD104213</t>
  </si>
  <si>
    <t>CUST10093</t>
  </si>
  <si>
    <t>1931.97</t>
  </si>
  <si>
    <t>1228.33</t>
  </si>
  <si>
    <t>413.84</t>
  </si>
  <si>
    <t>ORD104225</t>
  </si>
  <si>
    <t>CUST13362</t>
  </si>
  <si>
    <t>16594.09</t>
  </si>
  <si>
    <t>21754.93</t>
  </si>
  <si>
    <t>8114.43</t>
  </si>
  <si>
    <t>ORD104228</t>
  </si>
  <si>
    <t>CUST10695</t>
  </si>
  <si>
    <t>11084.76</t>
  </si>
  <si>
    <t>6515.4</t>
  </si>
  <si>
    <t>3460.88</t>
  </si>
  <si>
    <t>ORD104230</t>
  </si>
  <si>
    <t>CUST11829</t>
  </si>
  <si>
    <t>5561.51</t>
  </si>
  <si>
    <t>4005.41</t>
  </si>
  <si>
    <t>1556.1</t>
  </si>
  <si>
    <t>ORD104238</t>
  </si>
  <si>
    <t>CUST10319</t>
  </si>
  <si>
    <t>51945.54</t>
  </si>
  <si>
    <t>95013.57</t>
  </si>
  <si>
    <t>60823.05</t>
  </si>
  <si>
    <t>ORD104240</t>
  </si>
  <si>
    <t>CUST11499</t>
  </si>
  <si>
    <t>3888.14</t>
  </si>
  <si>
    <t>5752.93</t>
  </si>
  <si>
    <t>2023.35</t>
  </si>
  <si>
    <t>ORD104242</t>
  </si>
  <si>
    <t>CUST10061</t>
  </si>
  <si>
    <t>11884.42</t>
  </si>
  <si>
    <t>8485.6</t>
  </si>
  <si>
    <t>2804.6</t>
  </si>
  <si>
    <t>ORD104246</t>
  </si>
  <si>
    <t>CUST11673</t>
  </si>
  <si>
    <t>2362.77</t>
  </si>
  <si>
    <t>3405.89</t>
  </si>
  <si>
    <t>1319.65</t>
  </si>
  <si>
    <t>ORD104253</t>
  </si>
  <si>
    <t>CUST11816</t>
  </si>
  <si>
    <t>1714.65</t>
  </si>
  <si>
    <t>1222.1600000000001</t>
  </si>
  <si>
    <t>492.49</t>
  </si>
  <si>
    <t>ORD104256</t>
  </si>
  <si>
    <t>CUST13334</t>
  </si>
  <si>
    <t>2987.74</t>
  </si>
  <si>
    <t>1647.76</t>
  </si>
  <si>
    <t>1339.98</t>
  </si>
  <si>
    <t>ORD104257</t>
  </si>
  <si>
    <t>CUST12676</t>
  </si>
  <si>
    <t>6399.63</t>
  </si>
  <si>
    <t>3681.86</t>
  </si>
  <si>
    <t>2397.79</t>
  </si>
  <si>
    <t>ORD104258</t>
  </si>
  <si>
    <t>CUST12015</t>
  </si>
  <si>
    <t>10360.379999999999</t>
  </si>
  <si>
    <t>11896.02</t>
  </si>
  <si>
    <t>5716.63</t>
  </si>
  <si>
    <t>ORD104261</t>
  </si>
  <si>
    <t>CUST11883</t>
  </si>
  <si>
    <t>73122.38</t>
  </si>
  <si>
    <t>55841.63</t>
  </si>
  <si>
    <t>2656.27</t>
  </si>
  <si>
    <t>ORD104264</t>
  </si>
  <si>
    <t>CUST10638</t>
  </si>
  <si>
    <t>808.31</t>
  </si>
  <si>
    <t>641.55999999999995</t>
  </si>
  <si>
    <t>166.75</t>
  </si>
  <si>
    <t>ORD104268</t>
  </si>
  <si>
    <t>CUST10201</t>
  </si>
  <si>
    <t>4083.06</t>
  </si>
  <si>
    <t>3241.45</t>
  </si>
  <si>
    <t>229.15</t>
  </si>
  <si>
    <t>ORD104273</t>
  </si>
  <si>
    <t>CUST11986</t>
  </si>
  <si>
    <t>21682.5</t>
  </si>
  <si>
    <t>17035.689999999999</t>
  </si>
  <si>
    <t>4646.8100000000004</t>
  </si>
  <si>
    <t>ORD104277</t>
  </si>
  <si>
    <t>CUST10307</t>
  </si>
  <si>
    <t>18854.38</t>
  </si>
  <si>
    <t>11387.15</t>
  </si>
  <si>
    <t>7467.23</t>
  </si>
  <si>
    <t>ORD104278</t>
  </si>
  <si>
    <t>CUST11236</t>
  </si>
  <si>
    <t>1256.1500000000001</t>
  </si>
  <si>
    <t>935.35</t>
  </si>
  <si>
    <t>69.569999999999993</t>
  </si>
  <si>
    <t>ORD104279</t>
  </si>
  <si>
    <t>CUST11586</t>
  </si>
  <si>
    <t>2292.9699999999998</t>
  </si>
  <si>
    <t>3319.02</t>
  </si>
  <si>
    <t>579.03</t>
  </si>
  <si>
    <t>ORD104281</t>
  </si>
  <si>
    <t>CUST13467</t>
  </si>
  <si>
    <t>9509.34</t>
  </si>
  <si>
    <t>7439.99</t>
  </si>
  <si>
    <t>2069.35</t>
  </si>
  <si>
    <t>ORD104287</t>
  </si>
  <si>
    <t>CUST10148</t>
  </si>
  <si>
    <t>4773.8100000000004</t>
  </si>
  <si>
    <t>7929.03</t>
  </si>
  <si>
    <t>5676.33</t>
  </si>
  <si>
    <t>ORD104288</t>
  </si>
  <si>
    <t>CUST11955</t>
  </si>
  <si>
    <t>44300.74</t>
  </si>
  <si>
    <t>55234.15</t>
  </si>
  <si>
    <t>24507.18</t>
  </si>
  <si>
    <t>ORD104291</t>
  </si>
  <si>
    <t>CUST12225</t>
  </si>
  <si>
    <t>11835.07</t>
  </si>
  <si>
    <t>27611.17</t>
  </si>
  <si>
    <t>4343.5200000000004</t>
  </si>
  <si>
    <t>ORD104295</t>
  </si>
  <si>
    <t>CUST11090</t>
  </si>
  <si>
    <t>53683.06</t>
  </si>
  <si>
    <t>115641.98</t>
  </si>
  <si>
    <t>45407.199999999997</t>
  </si>
  <si>
    <t>ORD104299</t>
  </si>
  <si>
    <t>CUST13295</t>
  </si>
  <si>
    <t>11723.17</t>
  </si>
  <si>
    <t>18387.8</t>
  </si>
  <si>
    <t>2713.91</t>
  </si>
  <si>
    <t>ORD104301</t>
  </si>
  <si>
    <t>CUST12177</t>
  </si>
  <si>
    <t>1133.73</t>
  </si>
  <si>
    <t>744.37</t>
  </si>
  <si>
    <t>389.36</t>
  </si>
  <si>
    <t>ORD104305</t>
  </si>
  <si>
    <t>CUST11435</t>
  </si>
  <si>
    <t>57703.26</t>
  </si>
  <si>
    <t>42908.69</t>
  </si>
  <si>
    <t>11909.41</t>
  </si>
  <si>
    <t>ORD104307</t>
  </si>
  <si>
    <t>CUST12310</t>
  </si>
  <si>
    <t>54752.05</t>
  </si>
  <si>
    <t>64638.93</t>
  </si>
  <si>
    <t>28439.55</t>
  </si>
  <si>
    <t>ORD104311</t>
  </si>
  <si>
    <t>CUST11887</t>
  </si>
  <si>
    <t>12538.7</t>
  </si>
  <si>
    <t>7700.99</t>
  </si>
  <si>
    <t>3583.84</t>
  </si>
  <si>
    <t>ORD104318</t>
  </si>
  <si>
    <t>CUST10362</t>
  </si>
  <si>
    <t>46407.45</t>
  </si>
  <si>
    <t>75326.720000000001</t>
  </si>
  <si>
    <t>12847.43</t>
  </si>
  <si>
    <t>ORD104319</t>
  </si>
  <si>
    <t>CUST13353</t>
  </si>
  <si>
    <t>57380.55</t>
  </si>
  <si>
    <t>37534.400000000001</t>
  </si>
  <si>
    <t>11239.07</t>
  </si>
  <si>
    <t>ORD104321</t>
  </si>
  <si>
    <t>CUST10478</t>
  </si>
  <si>
    <t>5769.13</t>
  </si>
  <si>
    <t>3898.02</t>
  </si>
  <si>
    <t>1294.2</t>
  </si>
  <si>
    <t>ORD104326</t>
  </si>
  <si>
    <t>CUST10595</t>
  </si>
  <si>
    <t>10603.06</t>
  </si>
  <si>
    <t>8126.36</t>
  </si>
  <si>
    <t>1416.39</t>
  </si>
  <si>
    <t>ORD104328</t>
  </si>
  <si>
    <t>CUST12997</t>
  </si>
  <si>
    <t>372.42</t>
  </si>
  <si>
    <t>295.54000000000002</t>
  </si>
  <si>
    <t>39.64</t>
  </si>
  <si>
    <t>ORD104330</t>
  </si>
  <si>
    <t>CUST10172</t>
  </si>
  <si>
    <t>55357.05</t>
  </si>
  <si>
    <t>65994.509999999995</t>
  </si>
  <si>
    <t>33648.18</t>
  </si>
  <si>
    <t>ORD104335</t>
  </si>
  <si>
    <t>CUST12618</t>
  </si>
  <si>
    <t>8924.8799999999992</t>
  </si>
  <si>
    <t>6777.15</t>
  </si>
  <si>
    <t>809</t>
  </si>
  <si>
    <t>ORD104337</t>
  </si>
  <si>
    <t>CUST12616</t>
  </si>
  <si>
    <t>42164.25</t>
  </si>
  <si>
    <t>87010.31</t>
  </si>
  <si>
    <t>33157.800000000003</t>
  </si>
  <si>
    <t>ORD104338</t>
  </si>
  <si>
    <t>CUST10116</t>
  </si>
  <si>
    <t>2004.37</t>
  </si>
  <si>
    <t>1373.02</t>
  </si>
  <si>
    <t>430.91</t>
  </si>
  <si>
    <t>ORD104340</t>
  </si>
  <si>
    <t>CUST12692</t>
  </si>
  <si>
    <t>6069.48</t>
  </si>
  <si>
    <t>13168.94</t>
  </si>
  <si>
    <t>5039.5</t>
  </si>
  <si>
    <t>ORD104341</t>
  </si>
  <si>
    <t>CUST11624</t>
  </si>
  <si>
    <t>2206.62</t>
  </si>
  <si>
    <t>1725.19</t>
  </si>
  <si>
    <t>371.1</t>
  </si>
  <si>
    <t>ORD104342</t>
  </si>
  <si>
    <t>CUST12561</t>
  </si>
  <si>
    <t>17624.509999999998</t>
  </si>
  <si>
    <t>11865.36</t>
  </si>
  <si>
    <t>2234.25</t>
  </si>
  <si>
    <t>ORD104344</t>
  </si>
  <si>
    <t>CUST11576</t>
  </si>
  <si>
    <t>6849.15</t>
  </si>
  <si>
    <t>4046.45</t>
  </si>
  <si>
    <t>2802.7</t>
  </si>
  <si>
    <t>ORD104345</t>
  </si>
  <si>
    <t>CUST11607</t>
  </si>
  <si>
    <t>2881.34</t>
  </si>
  <si>
    <t>1744.1</t>
  </si>
  <si>
    <t>993.17</t>
  </si>
  <si>
    <t>ORD104346</t>
  </si>
  <si>
    <t>CUST10698</t>
  </si>
  <si>
    <t>2362.59</t>
  </si>
  <si>
    <t>1835.84</t>
  </si>
  <si>
    <t>290.49</t>
  </si>
  <si>
    <t>ORD104347</t>
  </si>
  <si>
    <t>CUST10781</t>
  </si>
  <si>
    <t>61511.45</t>
  </si>
  <si>
    <t>49856.38</t>
  </si>
  <si>
    <t>5503.92</t>
  </si>
  <si>
    <t>ORD104348</t>
  </si>
  <si>
    <t>CUST11641</t>
  </si>
  <si>
    <t>16596.47</t>
  </si>
  <si>
    <t>38766.379999999997</t>
  </si>
  <si>
    <t>11023.03</t>
  </si>
  <si>
    <t>ORD104349</t>
  </si>
  <si>
    <t>CUST12892</t>
  </si>
  <si>
    <t>5150.6499999999996</t>
  </si>
  <si>
    <t>3205.97</t>
  </si>
  <si>
    <t>1172.08</t>
  </si>
  <si>
    <t>ORD104352</t>
  </si>
  <si>
    <t>CUST11348</t>
  </si>
  <si>
    <t>5271.2</t>
  </si>
  <si>
    <t>3201.87</t>
  </si>
  <si>
    <t>1805.77</t>
  </si>
  <si>
    <t>ORD104353</t>
  </si>
  <si>
    <t>CUST10968</t>
  </si>
  <si>
    <t>47695.12</t>
  </si>
  <si>
    <t>52480.66</t>
  </si>
  <si>
    <t>38140.07</t>
  </si>
  <si>
    <t>ORD104361</t>
  </si>
  <si>
    <t>CUST10430</t>
  </si>
  <si>
    <t>5466.31</t>
  </si>
  <si>
    <t>3294.24</t>
  </si>
  <si>
    <t>1352.12</t>
  </si>
  <si>
    <t>ORD104364</t>
  </si>
  <si>
    <t>CUST13480</t>
  </si>
  <si>
    <t>19285.27</t>
  </si>
  <si>
    <t>10616.66</t>
  </si>
  <si>
    <t>8668.61</t>
  </si>
  <si>
    <t>ORD104367</t>
  </si>
  <si>
    <t>CUST13074</t>
  </si>
  <si>
    <t>65918.509999999995</t>
  </si>
  <si>
    <t>42775.76</t>
  </si>
  <si>
    <t>9959.0499999999993</t>
  </si>
  <si>
    <t>ORD104368</t>
  </si>
  <si>
    <t>CUST12917</t>
  </si>
  <si>
    <t>5696.07</t>
  </si>
  <si>
    <t>4638.1000000000004</t>
  </si>
  <si>
    <t>203.56</t>
  </si>
  <si>
    <t>ORD104369</t>
  </si>
  <si>
    <t>CUST11631</t>
  </si>
  <si>
    <t>55482.43</t>
  </si>
  <si>
    <t>35972.99</t>
  </si>
  <si>
    <t>8412.9500000000007</t>
  </si>
  <si>
    <t>ORD104370</t>
  </si>
  <si>
    <t>CUST10866</t>
  </si>
  <si>
    <t>55933.67</t>
  </si>
  <si>
    <t>89063.05</t>
  </si>
  <si>
    <t>17210.919999999998</t>
  </si>
  <si>
    <t>ORD104373</t>
  </si>
  <si>
    <t>CUST12154</t>
  </si>
  <si>
    <t>1968.74</t>
  </si>
  <si>
    <t>1523.38</t>
  </si>
  <si>
    <t>150.05000000000001</t>
  </si>
  <si>
    <t>ORD104377</t>
  </si>
  <si>
    <t>CUST13195</t>
  </si>
  <si>
    <t>2345.16</t>
  </si>
  <si>
    <t>1893.31</t>
  </si>
  <si>
    <t>334.59</t>
  </si>
  <si>
    <t>ORD104379</t>
  </si>
  <si>
    <t>CUST10098</t>
  </si>
  <si>
    <t>15812.52</t>
  </si>
  <si>
    <t>9144.41</t>
  </si>
  <si>
    <t>5086.8599999999997</t>
  </si>
  <si>
    <t>ORD104388</t>
  </si>
  <si>
    <t>CUST12999</t>
  </si>
  <si>
    <t>20373.37</t>
  </si>
  <si>
    <t>15060.11</t>
  </si>
  <si>
    <t>4294.59</t>
  </si>
  <si>
    <t>ORD104389</t>
  </si>
  <si>
    <t>CUST12944</t>
  </si>
  <si>
    <t>1864.25</t>
  </si>
  <si>
    <t>1457.7</t>
  </si>
  <si>
    <t>313.33999999999997</t>
  </si>
  <si>
    <t>ORD104395</t>
  </si>
  <si>
    <t>CUST11508</t>
  </si>
  <si>
    <t>6079.47</t>
  </si>
  <si>
    <t>7344.39</t>
  </si>
  <si>
    <t>3598.66</t>
  </si>
  <si>
    <t>ORD104397</t>
  </si>
  <si>
    <t>CUST10318</t>
  </si>
  <si>
    <t>58674.94</t>
  </si>
  <si>
    <t>36244.33</t>
  </si>
  <si>
    <t>16563.12</t>
  </si>
  <si>
    <t>ORD104402</t>
  </si>
  <si>
    <t>CUST11467</t>
  </si>
  <si>
    <t>65721.84</t>
  </si>
  <si>
    <t>74056.990000000005</t>
  </si>
  <si>
    <t>37670.14</t>
  </si>
  <si>
    <t>ORD104404</t>
  </si>
  <si>
    <t>CUST13232</t>
  </si>
  <si>
    <t>8652.91</t>
  </si>
  <si>
    <t>4800.93</t>
  </si>
  <si>
    <t>2986.69</t>
  </si>
  <si>
    <t>ORD104406</t>
  </si>
  <si>
    <t>CUST13040</t>
  </si>
  <si>
    <t>3370.55</t>
  </si>
  <si>
    <t>2733.49</t>
  </si>
  <si>
    <t>131.47999999999999</t>
  </si>
  <si>
    <t>ORD104409</t>
  </si>
  <si>
    <t>CUST11811</t>
  </si>
  <si>
    <t>42365.82</t>
  </si>
  <si>
    <t>26821.57</t>
  </si>
  <si>
    <t>11307.67</t>
  </si>
  <si>
    <t>ORD104414</t>
  </si>
  <si>
    <t>CUST12098</t>
  </si>
  <si>
    <t>43600.69</t>
  </si>
  <si>
    <t>27293.84</t>
  </si>
  <si>
    <t>9766.75</t>
  </si>
  <si>
    <t>ORD104417</t>
  </si>
  <si>
    <t>CUST10004</t>
  </si>
  <si>
    <t>5380.22</t>
  </si>
  <si>
    <t>3872.41</t>
  </si>
  <si>
    <t>431.77</t>
  </si>
  <si>
    <t>ORD104422</t>
  </si>
  <si>
    <t>CUST11954</t>
  </si>
  <si>
    <t>7806.68</t>
  </si>
  <si>
    <t>9653.68</t>
  </si>
  <si>
    <t>4398.34</t>
  </si>
  <si>
    <t>ORD104424</t>
  </si>
  <si>
    <t>CUST11524</t>
  </si>
  <si>
    <t>14618.1</t>
  </si>
  <si>
    <t>9212.7099999999991</t>
  </si>
  <si>
    <t>5405.39</t>
  </si>
  <si>
    <t>ORD104425</t>
  </si>
  <si>
    <t>CUST10774</t>
  </si>
  <si>
    <t>4419.76</t>
  </si>
  <si>
    <t>2882.31</t>
  </si>
  <si>
    <t>874.49</t>
  </si>
  <si>
    <t>ORD104429</t>
  </si>
  <si>
    <t>CUST13180</t>
  </si>
  <si>
    <t>47916.57</t>
  </si>
  <si>
    <t>35833.300000000003</t>
  </si>
  <si>
    <t>4895.78</t>
  </si>
  <si>
    <t>ORD104430</t>
  </si>
  <si>
    <t>CUST10276</t>
  </si>
  <si>
    <t>5782.44</t>
  </si>
  <si>
    <t>4692.09</t>
  </si>
  <si>
    <t>801.23</t>
  </si>
  <si>
    <t>ORD104431</t>
  </si>
  <si>
    <t>CUST10703</t>
  </si>
  <si>
    <t>15850.48</t>
  </si>
  <si>
    <t>44100.1</t>
  </si>
  <si>
    <t>16131.72</t>
  </si>
  <si>
    <t>ORD104433</t>
  </si>
  <si>
    <t>CUST10985</t>
  </si>
  <si>
    <t>40882.11</t>
  </si>
  <si>
    <t>25578.39</t>
  </si>
  <si>
    <t>13259.61</t>
  </si>
  <si>
    <t>ORD104434</t>
  </si>
  <si>
    <t>CUST12119</t>
  </si>
  <si>
    <t>14448.17</t>
  </si>
  <si>
    <t>34166.11</t>
  </si>
  <si>
    <t>509.5</t>
  </si>
  <si>
    <t>ORD104442</t>
  </si>
  <si>
    <t>CUST10128</t>
  </si>
  <si>
    <t>3529.43</t>
  </si>
  <si>
    <t>6625.63</t>
  </si>
  <si>
    <t>3433.25</t>
  </si>
  <si>
    <t>ORD104444</t>
  </si>
  <si>
    <t>CUST11267</t>
  </si>
  <si>
    <t>1329.64</t>
  </si>
  <si>
    <t>1069.54</t>
  </si>
  <si>
    <t>127.14</t>
  </si>
  <si>
    <t>ORD104455</t>
  </si>
  <si>
    <t>CUST11851</t>
  </si>
  <si>
    <t>4484.71</t>
  </si>
  <si>
    <t>3330.28</t>
  </si>
  <si>
    <t>705.96</t>
  </si>
  <si>
    <t>ORD104465</t>
  </si>
  <si>
    <t>CUST10553</t>
  </si>
  <si>
    <t>1147.77</t>
  </si>
  <si>
    <t>710.58</t>
  </si>
  <si>
    <t>379.8</t>
  </si>
  <si>
    <t>ORD104466</t>
  </si>
  <si>
    <t>CUST11077</t>
  </si>
  <si>
    <t>8411.49</t>
  </si>
  <si>
    <t>19195.02</t>
  </si>
  <si>
    <t>2254.2800000000002</t>
  </si>
  <si>
    <t>ORD104469</t>
  </si>
  <si>
    <t>CUST12687</t>
  </si>
  <si>
    <t>17185.900000000001</t>
  </si>
  <si>
    <t>13348.67</t>
  </si>
  <si>
    <t>1259.3499999999999</t>
  </si>
  <si>
    <t>ORD104473</t>
  </si>
  <si>
    <t>CUST10971</t>
  </si>
  <si>
    <t>460.94</t>
  </si>
  <si>
    <t>542.03</t>
  </si>
  <si>
    <t>287.66000000000003</t>
  </si>
  <si>
    <t>ORD104477</t>
  </si>
  <si>
    <t>CUST10672</t>
  </si>
  <si>
    <t>4418.2700000000004</t>
  </si>
  <si>
    <t>7118.78</t>
  </si>
  <si>
    <t>1275.93</t>
  </si>
  <si>
    <t>ORD104478</t>
  </si>
  <si>
    <t>CUST10962</t>
  </si>
  <si>
    <t>10785.16</t>
  </si>
  <si>
    <t>16184.97</t>
  </si>
  <si>
    <t>3228.32</t>
  </si>
  <si>
    <t>ORD104486</t>
  </si>
  <si>
    <t>CUST11700</t>
  </si>
  <si>
    <t>60229.67</t>
  </si>
  <si>
    <t>39997.07</t>
  </si>
  <si>
    <t>14209.63</t>
  </si>
  <si>
    <t>ORD104496</t>
  </si>
  <si>
    <t>CUST10808</t>
  </si>
  <si>
    <t>4201.3999999999996</t>
  </si>
  <si>
    <t>9837.31</t>
  </si>
  <si>
    <t>5287.73</t>
  </si>
  <si>
    <t>ORD104502</t>
  </si>
  <si>
    <t>CUST10389</t>
  </si>
  <si>
    <t>15450.48</t>
  </si>
  <si>
    <t>12364.76</t>
  </si>
  <si>
    <t>2313.1999999999998</t>
  </si>
  <si>
    <t>ORD104503</t>
  </si>
  <si>
    <t>CUST10888</t>
  </si>
  <si>
    <t>10356.790000000001</t>
  </si>
  <si>
    <t>6865.35</t>
  </si>
  <si>
    <t>3491.44</t>
  </si>
  <si>
    <t>ORD104504</t>
  </si>
  <si>
    <t>CUST12010</t>
  </si>
  <si>
    <t>2346.5700000000002</t>
  </si>
  <si>
    <t>1515.51</t>
  </si>
  <si>
    <t>596.4</t>
  </si>
  <si>
    <t>ORD104507</t>
  </si>
  <si>
    <t>CUST10841</t>
  </si>
  <si>
    <t>17401.03</t>
  </si>
  <si>
    <t>9926.81</t>
  </si>
  <si>
    <t>6604.17</t>
  </si>
  <si>
    <t>ORD104509</t>
  </si>
  <si>
    <t>CUST11137</t>
  </si>
  <si>
    <t>18573.02</t>
  </si>
  <si>
    <t>12881.46</t>
  </si>
  <si>
    <t>4762.91</t>
  </si>
  <si>
    <t>ORD104514</t>
  </si>
  <si>
    <t>CUST11231</t>
  </si>
  <si>
    <t>4440.24</t>
  </si>
  <si>
    <t>3304.56</t>
  </si>
  <si>
    <t>913.67</t>
  </si>
  <si>
    <t>ORD104515</t>
  </si>
  <si>
    <t>CUST11998</t>
  </si>
  <si>
    <t>3691.84</t>
  </si>
  <si>
    <t>2659.78</t>
  </si>
  <si>
    <t>293.69</t>
  </si>
  <si>
    <t>ORD104516</t>
  </si>
  <si>
    <t>CUST10239</t>
  </si>
  <si>
    <t>5487.03</t>
  </si>
  <si>
    <t>4119.78</t>
  </si>
  <si>
    <t>1367.25</t>
  </si>
  <si>
    <t>ORD104523</t>
  </si>
  <si>
    <t>CUST12035</t>
  </si>
  <si>
    <t>8844.31</t>
  </si>
  <si>
    <t>20016.95</t>
  </si>
  <si>
    <t>15360.29</t>
  </si>
  <si>
    <t>ORD104531</t>
  </si>
  <si>
    <t>CUST11439</t>
  </si>
  <si>
    <t>5483.99</t>
  </si>
  <si>
    <t>7648.21</t>
  </si>
  <si>
    <t>2771.37</t>
  </si>
  <si>
    <t>ORD104537</t>
  </si>
  <si>
    <t>CUST10353</t>
  </si>
  <si>
    <t>15487.17</t>
  </si>
  <si>
    <t>31960.41</t>
  </si>
  <si>
    <t>9854.9500000000007</t>
  </si>
  <si>
    <t>ORD104539</t>
  </si>
  <si>
    <t>CUST12245</t>
  </si>
  <si>
    <t>6610.52</t>
  </si>
  <si>
    <t>4241.2700000000004</t>
  </si>
  <si>
    <t>1377.67</t>
  </si>
  <si>
    <t>ORD104542</t>
  </si>
  <si>
    <t>CUST11104</t>
  </si>
  <si>
    <t>10044.61</t>
  </si>
  <si>
    <t>13141.59</t>
  </si>
  <si>
    <t>4938.71</t>
  </si>
  <si>
    <t>ORD104543</t>
  </si>
  <si>
    <t>CUST11611</t>
  </si>
  <si>
    <t>6954.4</t>
  </si>
  <si>
    <t>4748.1400000000003</t>
  </si>
  <si>
    <t>1858.54</t>
  </si>
  <si>
    <t>ORD104546</t>
  </si>
  <si>
    <t>CUST11338</t>
  </si>
  <si>
    <t>2220.2800000000002</t>
  </si>
  <si>
    <t>1415.02</t>
  </si>
  <si>
    <t>805.26</t>
  </si>
  <si>
    <t>ORD104557</t>
  </si>
  <si>
    <t>CUST11744</t>
  </si>
  <si>
    <t>10814.55</t>
  </si>
  <si>
    <t>8788.19</t>
  </si>
  <si>
    <t>944.9</t>
  </si>
  <si>
    <t>ORD104558</t>
  </si>
  <si>
    <t>CUST10954</t>
  </si>
  <si>
    <t>5165.6000000000004</t>
  </si>
  <si>
    <t>12817.07</t>
  </si>
  <si>
    <t>6812.21</t>
  </si>
  <si>
    <t>ORD104570</t>
  </si>
  <si>
    <t>CUST13385</t>
  </si>
  <si>
    <t>5266.19</t>
  </si>
  <si>
    <t>2947.3</t>
  </si>
  <si>
    <t>1528.96</t>
  </si>
  <si>
    <t>ORD104573</t>
  </si>
  <si>
    <t>CUST11370</t>
  </si>
  <si>
    <t>2266.86</t>
  </si>
  <si>
    <t>1460.1</t>
  </si>
  <si>
    <t>693.42</t>
  </si>
  <si>
    <t>ORD104578</t>
  </si>
  <si>
    <t>CUST12861</t>
  </si>
  <si>
    <t>9543.33</t>
  </si>
  <si>
    <t>5616.79</t>
  </si>
  <si>
    <t>2972.21</t>
  </si>
  <si>
    <t>ORD104579</t>
  </si>
  <si>
    <t>CUST11321</t>
  </si>
  <si>
    <t>2860.92</t>
  </si>
  <si>
    <t>6358.36</t>
  </si>
  <si>
    <t>1366.12</t>
  </si>
  <si>
    <t>ORD104581</t>
  </si>
  <si>
    <t>CUST11760</t>
  </si>
  <si>
    <t>23979.65</t>
  </si>
  <si>
    <t>38435.629999999997</t>
  </si>
  <si>
    <t>7125.71</t>
  </si>
  <si>
    <t>ORD104582</t>
  </si>
  <si>
    <t>CUST13145</t>
  </si>
  <si>
    <t>5242.59</t>
  </si>
  <si>
    <t>3014.54</t>
  </si>
  <si>
    <t>1965.92</t>
  </si>
  <si>
    <t>ORD104589</t>
  </si>
  <si>
    <t>CUST13312</t>
  </si>
  <si>
    <t>2863.51</t>
  </si>
  <si>
    <t>6582.64</t>
  </si>
  <si>
    <t>3726</t>
  </si>
  <si>
    <t>ORD104591</t>
  </si>
  <si>
    <t>CUST11501</t>
  </si>
  <si>
    <t>2913.13</t>
  </si>
  <si>
    <t>1642.56</t>
  </si>
  <si>
    <t>687.94</t>
  </si>
  <si>
    <t>ORD104593</t>
  </si>
  <si>
    <t>CUST11705</t>
  </si>
  <si>
    <t>13537.12</t>
  </si>
  <si>
    <t>30622.83</t>
  </si>
  <si>
    <t>20818.23</t>
  </si>
  <si>
    <t>ORD104594</t>
  </si>
  <si>
    <t>CUST13434</t>
  </si>
  <si>
    <t>9254.09</t>
  </si>
  <si>
    <t>5149.7299999999996</t>
  </si>
  <si>
    <t>4104.3599999999997</t>
  </si>
  <si>
    <t>ORD104595</t>
  </si>
  <si>
    <t>CUST10188</t>
  </si>
  <si>
    <t>8846.49</t>
  </si>
  <si>
    <t>11767.84</t>
  </si>
  <si>
    <t>3271.19</t>
  </si>
  <si>
    <t>ORD104600</t>
  </si>
  <si>
    <t>CUST11172</t>
  </si>
  <si>
    <t>5709.09</t>
  </si>
  <si>
    <t>14608.25</t>
  </si>
  <si>
    <t>ORD104605</t>
  </si>
  <si>
    <t>CUST12947</t>
  </si>
  <si>
    <t>3433.39</t>
  </si>
  <si>
    <t>4653.63</t>
  </si>
  <si>
    <t>2213.15</t>
  </si>
  <si>
    <t>ORD104609</t>
  </si>
  <si>
    <t>CUST12309</t>
  </si>
  <si>
    <t>51909.4</t>
  </si>
  <si>
    <t>104821.14</t>
  </si>
  <si>
    <t>43120.65</t>
  </si>
  <si>
    <t>ORD104612</t>
  </si>
  <si>
    <t>CUST11409</t>
  </si>
  <si>
    <t>6220.02</t>
  </si>
  <si>
    <t>4704.04</t>
  </si>
  <si>
    <t>582.98</t>
  </si>
  <si>
    <t>ORD104614</t>
  </si>
  <si>
    <t>CUST11863</t>
  </si>
  <si>
    <t>56023.99</t>
  </si>
  <si>
    <t>86679.53</t>
  </si>
  <si>
    <t>8561.25</t>
  </si>
  <si>
    <t>ORD104621</t>
  </si>
  <si>
    <t>CUST11139</t>
  </si>
  <si>
    <t>49912.15</t>
  </si>
  <si>
    <t>34466.42</t>
  </si>
  <si>
    <t>10454.52</t>
  </si>
  <si>
    <t>ORD104622</t>
  </si>
  <si>
    <t>CUST11489</t>
  </si>
  <si>
    <t>10463.879999999999</t>
  </si>
  <si>
    <t>6310.88</t>
  </si>
  <si>
    <t>3629.81</t>
  </si>
  <si>
    <t>ORD104627</t>
  </si>
  <si>
    <t>CUST10899</t>
  </si>
  <si>
    <t>73677</t>
  </si>
  <si>
    <t>41372.43</t>
  </si>
  <si>
    <t>24936.87</t>
  </si>
  <si>
    <t>ORD104628</t>
  </si>
  <si>
    <t>CUST13091</t>
  </si>
  <si>
    <t>3225.51</t>
  </si>
  <si>
    <t>2232.62</t>
  </si>
  <si>
    <t>670.34</t>
  </si>
  <si>
    <t>ORD104635</t>
  </si>
  <si>
    <t>CUST11087</t>
  </si>
  <si>
    <t>6973.1</t>
  </si>
  <si>
    <t>4707.3900000000003</t>
  </si>
  <si>
    <t>1917.05</t>
  </si>
  <si>
    <t>ORD104643</t>
  </si>
  <si>
    <t>CUST11031</t>
  </si>
  <si>
    <t>11230.36</t>
  </si>
  <si>
    <t>17309.32</t>
  </si>
  <si>
    <t>2905.33</t>
  </si>
  <si>
    <t>ORD104653</t>
  </si>
  <si>
    <t>CUST11999</t>
  </si>
  <si>
    <t>4210.96</t>
  </si>
  <si>
    <t>2423.85</t>
  </si>
  <si>
    <t>1576.56</t>
  </si>
  <si>
    <t>ORD104654</t>
  </si>
  <si>
    <t>CUST10758</t>
  </si>
  <si>
    <t>12290.12</t>
  </si>
  <si>
    <t>18961.810000000001</t>
  </si>
  <si>
    <t>4389.42</t>
  </si>
  <si>
    <t>ORD104655</t>
  </si>
  <si>
    <t>CUST13011</t>
  </si>
  <si>
    <t>23375.84</t>
  </si>
  <si>
    <t>14323.49</t>
  </si>
  <si>
    <t>7883.56</t>
  </si>
  <si>
    <t>ORD104656</t>
  </si>
  <si>
    <t>CUST12350</t>
  </si>
  <si>
    <t>3135.53</t>
  </si>
  <si>
    <t>2541.7199999999998</t>
  </si>
  <si>
    <t>-33.299999999999997</t>
  </si>
  <si>
    <t>ORD104657</t>
  </si>
  <si>
    <t>CUST13152</t>
  </si>
  <si>
    <t>2771.99</t>
  </si>
  <si>
    <t>1766.29</t>
  </si>
  <si>
    <t>1005.7</t>
  </si>
  <si>
    <t>ORD104660</t>
  </si>
  <si>
    <t>CUST12470</t>
  </si>
  <si>
    <t>2578.62</t>
  </si>
  <si>
    <t>1942.78</t>
  </si>
  <si>
    <t>635.84</t>
  </si>
  <si>
    <t>ORD104661</t>
  </si>
  <si>
    <t>CUST10652</t>
  </si>
  <si>
    <t>11597.23</t>
  </si>
  <si>
    <t>8099.65</t>
  </si>
  <si>
    <t>1758</t>
  </si>
  <si>
    <t>ORD104663</t>
  </si>
  <si>
    <t>CUST11449</t>
  </si>
  <si>
    <t>15554.31</t>
  </si>
  <si>
    <t>11212.18</t>
  </si>
  <si>
    <t>4342.13</t>
  </si>
  <si>
    <t>ORD104664</t>
  </si>
  <si>
    <t>CUST11996</t>
  </si>
  <si>
    <t>5230.72</t>
  </si>
  <si>
    <t>7226.03</t>
  </si>
  <si>
    <t>2712.34</t>
  </si>
  <si>
    <t>ORD104667</t>
  </si>
  <si>
    <t>CUST10960</t>
  </si>
  <si>
    <t>4999.87</t>
  </si>
  <si>
    <t>2938.69</t>
  </si>
  <si>
    <t>1561.19</t>
  </si>
  <si>
    <t>ORD104670</t>
  </si>
  <si>
    <t>CUST12965</t>
  </si>
  <si>
    <t>11380.8</t>
  </si>
  <si>
    <t>15710.46</t>
  </si>
  <si>
    <t>7051.14</t>
  </si>
  <si>
    <t>ORD104675</t>
  </si>
  <si>
    <t>CUST13475</t>
  </si>
  <si>
    <t>6898.69</t>
  </si>
  <si>
    <t>4675.5600000000004</t>
  </si>
  <si>
    <t>1533.26</t>
  </si>
  <si>
    <t>ORD104677</t>
  </si>
  <si>
    <t>CUST11615</t>
  </si>
  <si>
    <t>4700.1000000000004</t>
  </si>
  <si>
    <t>5577.83</t>
  </si>
  <si>
    <t>2882.35</t>
  </si>
  <si>
    <t>ORD104680</t>
  </si>
  <si>
    <t>CUST10875</t>
  </si>
  <si>
    <t>8505.59</t>
  </si>
  <si>
    <t>5012.95</t>
  </si>
  <si>
    <t>2642.08</t>
  </si>
  <si>
    <t>ORD104684</t>
  </si>
  <si>
    <t>CUST10366</t>
  </si>
  <si>
    <t>3239.12</t>
  </si>
  <si>
    <t>2062.41</t>
  </si>
  <si>
    <t>852.8</t>
  </si>
  <si>
    <t>ORD104692</t>
  </si>
  <si>
    <t>CUST12768</t>
  </si>
  <si>
    <t>1706.52</t>
  </si>
  <si>
    <t>978.93</t>
  </si>
  <si>
    <t>556.94000000000005</t>
  </si>
  <si>
    <t>ORD104696</t>
  </si>
  <si>
    <t>CUST10008</t>
  </si>
  <si>
    <t>1239.92</t>
  </si>
  <si>
    <t>960.64</t>
  </si>
  <si>
    <t>279.27999999999997</t>
  </si>
  <si>
    <t>ORD104699</t>
  </si>
  <si>
    <t>CUST10699</t>
  </si>
  <si>
    <t>2200.37</t>
  </si>
  <si>
    <t>1798.1</t>
  </si>
  <si>
    <t>182.23</t>
  </si>
  <si>
    <t>ORD104705</t>
  </si>
  <si>
    <t>CUST11987</t>
  </si>
  <si>
    <t>27767.33</t>
  </si>
  <si>
    <t>17836.96</t>
  </si>
  <si>
    <t>8542</t>
  </si>
  <si>
    <t>ORD104707</t>
  </si>
  <si>
    <t>CUST10521</t>
  </si>
  <si>
    <t>1570.34</t>
  </si>
  <si>
    <t>954.18</t>
  </si>
  <si>
    <t>380.61</t>
  </si>
  <si>
    <t>ORD104711</t>
  </si>
  <si>
    <t>CUST10873</t>
  </si>
  <si>
    <t>9570.7099999999991</t>
  </si>
  <si>
    <t>15297.36</t>
  </si>
  <si>
    <t>3844.06</t>
  </si>
  <si>
    <t>ORD104713</t>
  </si>
  <si>
    <t>CUST13395</t>
  </si>
  <si>
    <t>6774.39</t>
  </si>
  <si>
    <t>4415.4399999999996</t>
  </si>
  <si>
    <t>1342.79</t>
  </si>
  <si>
    <t>ORD104722</t>
  </si>
  <si>
    <t>CUST13285</t>
  </si>
  <si>
    <t>3151.55</t>
  </si>
  <si>
    <t>4880.54</t>
  </si>
  <si>
    <t>792.25</t>
  </si>
  <si>
    <t>ORD104726</t>
  </si>
  <si>
    <t>CUST11924</t>
  </si>
  <si>
    <t>9021.17</t>
  </si>
  <si>
    <t>6769.29</t>
  </si>
  <si>
    <t>2251.88</t>
  </si>
  <si>
    <t>ORD104731</t>
  </si>
  <si>
    <t>CUST10331</t>
  </si>
  <si>
    <t>47574.57</t>
  </si>
  <si>
    <t>83412.92</t>
  </si>
  <si>
    <t>52174.6</t>
  </si>
  <si>
    <t>ORD104735</t>
  </si>
  <si>
    <t>CUST10842</t>
  </si>
  <si>
    <t>503.64</t>
  </si>
  <si>
    <t>772.73</t>
  </si>
  <si>
    <t>133.82</t>
  </si>
  <si>
    <t>ORD104740</t>
  </si>
  <si>
    <t>CUST12286</t>
  </si>
  <si>
    <t>4077.61</t>
  </si>
  <si>
    <t>3075.42</t>
  </si>
  <si>
    <t>798.31</t>
  </si>
  <si>
    <t>ORD104743</t>
  </si>
  <si>
    <t>CUST12993</t>
  </si>
  <si>
    <t>28206.5</t>
  </si>
  <si>
    <t>34317.06</t>
  </si>
  <si>
    <t>22095.94</t>
  </si>
  <si>
    <t>ORD104747</t>
  </si>
  <si>
    <t>CUST10552</t>
  </si>
  <si>
    <t>2443.11</t>
  </si>
  <si>
    <t>1601.92</t>
  </si>
  <si>
    <t>474.72</t>
  </si>
  <si>
    <t>ORD104757</t>
  </si>
  <si>
    <t>CUST10393</t>
  </si>
  <si>
    <t>5210.8</t>
  </si>
  <si>
    <t>3396.02</t>
  </si>
  <si>
    <t>1814.78</t>
  </si>
  <si>
    <t>ORD104758</t>
  </si>
  <si>
    <t>CUST10344</t>
  </si>
  <si>
    <t>1976.35</t>
  </si>
  <si>
    <t>1350.95</t>
  </si>
  <si>
    <t>427.77</t>
  </si>
  <si>
    <t>ORD104761</t>
  </si>
  <si>
    <t>CUST10179</t>
  </si>
  <si>
    <t>17965.84</t>
  </si>
  <si>
    <t>24478.38</t>
  </si>
  <si>
    <t>9656.7199999999993</t>
  </si>
  <si>
    <t>ORD104765</t>
  </si>
  <si>
    <t>CUST10428</t>
  </si>
  <si>
    <t>11437.84</t>
  </si>
  <si>
    <t>16660.919999999998</t>
  </si>
  <si>
    <t>6214.76</t>
  </si>
  <si>
    <t>ORD104770</t>
  </si>
  <si>
    <t>CUST12487</t>
  </si>
  <si>
    <t>18179.54</t>
  </si>
  <si>
    <t>10114.19</t>
  </si>
  <si>
    <t>4429.4399999999996</t>
  </si>
  <si>
    <t>ORD104775</t>
  </si>
  <si>
    <t>CUST11927</t>
  </si>
  <si>
    <t>13761.63</t>
  </si>
  <si>
    <t>10892.61</t>
  </si>
  <si>
    <t>804.78</t>
  </si>
  <si>
    <t>ORD104777</t>
  </si>
  <si>
    <t>CUST11839</t>
  </si>
  <si>
    <t>5855.71</t>
  </si>
  <si>
    <t>6659.61</t>
  </si>
  <si>
    <t>4466.24</t>
  </si>
  <si>
    <t>ORD104778</t>
  </si>
  <si>
    <t>CUST13426</t>
  </si>
  <si>
    <t>908.51</t>
  </si>
  <si>
    <t>627.20000000000005</t>
  </si>
  <si>
    <t>99.61</t>
  </si>
  <si>
    <t>ORD104780</t>
  </si>
  <si>
    <t>CUST12622</t>
  </si>
  <si>
    <t>12339.97</t>
  </si>
  <si>
    <t>18842.21</t>
  </si>
  <si>
    <t>4603.7299999999996</t>
  </si>
  <si>
    <t>ORD104781</t>
  </si>
  <si>
    <t>CUST12132</t>
  </si>
  <si>
    <t>30489.49</t>
  </si>
  <si>
    <t>68582.28</t>
  </si>
  <si>
    <t>22886.19</t>
  </si>
  <si>
    <t>ORD104783</t>
  </si>
  <si>
    <t>CUST12116</t>
  </si>
  <si>
    <t>65773.899999999994</t>
  </si>
  <si>
    <t>96398.18</t>
  </si>
  <si>
    <t>28572.23</t>
  </si>
  <si>
    <t>ORD104784</t>
  </si>
  <si>
    <t>CUST11170</t>
  </si>
  <si>
    <t>70616.009999999995</t>
  </si>
  <si>
    <t>55510.31</t>
  </si>
  <si>
    <t>11574.9</t>
  </si>
  <si>
    <t>ORD104791</t>
  </si>
  <si>
    <t>CUST13177</t>
  </si>
  <si>
    <t>2051.89</t>
  </si>
  <si>
    <t>1588.47</t>
  </si>
  <si>
    <t>258.23</t>
  </si>
  <si>
    <t>ORD104792</t>
  </si>
  <si>
    <t>CUST12761</t>
  </si>
  <si>
    <t>1112.02</t>
  </si>
  <si>
    <t>723.91</t>
  </si>
  <si>
    <t>221.31</t>
  </si>
  <si>
    <t>ORD104798</t>
  </si>
  <si>
    <t>CUST12002</t>
  </si>
  <si>
    <t>4627.26</t>
  </si>
  <si>
    <t>2809.87</t>
  </si>
  <si>
    <t>1586.03</t>
  </si>
  <si>
    <t>ORD104799</t>
  </si>
  <si>
    <t>CUST13443</t>
  </si>
  <si>
    <t>13107.94</t>
  </si>
  <si>
    <t>9573.0499999999993</t>
  </si>
  <si>
    <t>2224.1</t>
  </si>
  <si>
    <t>ORD104801</t>
  </si>
  <si>
    <t>CUST10048</t>
  </si>
  <si>
    <t>36106.43</t>
  </si>
  <si>
    <t>42954.55</t>
  </si>
  <si>
    <t>22037.02</t>
  </si>
  <si>
    <t>ORD104812</t>
  </si>
  <si>
    <t>CUST10641</t>
  </si>
  <si>
    <t>2094.75</t>
  </si>
  <si>
    <t>4906.57</t>
  </si>
  <si>
    <t>749.25</t>
  </si>
  <si>
    <t>ORD104814</t>
  </si>
  <si>
    <t>CUST10790</t>
  </si>
  <si>
    <t>5902.11</t>
  </si>
  <si>
    <t>3621.46</t>
  </si>
  <si>
    <t>1690.44</t>
  </si>
  <si>
    <t>ORD104817</t>
  </si>
  <si>
    <t>CUST12587</t>
  </si>
  <si>
    <t>2763.76</t>
  </si>
  <si>
    <t>1623.53</t>
  </si>
  <si>
    <t>725.67</t>
  </si>
  <si>
    <t>ORD104824</t>
  </si>
  <si>
    <t>CUST11041</t>
  </si>
  <si>
    <t>5896.39</t>
  </si>
  <si>
    <t>4808.8900000000003</t>
  </si>
  <si>
    <t>792.68</t>
  </si>
  <si>
    <t>ORD104830</t>
  </si>
  <si>
    <t>CUST13388</t>
  </si>
  <si>
    <t>4755.8999999999996</t>
  </si>
  <si>
    <t>13547.42</t>
  </si>
  <si>
    <t>4525</t>
  </si>
  <si>
    <t>ORD104836</t>
  </si>
  <si>
    <t>CUST13068</t>
  </si>
  <si>
    <t>4144.33</t>
  </si>
  <si>
    <t>2366.4699999999998</t>
  </si>
  <si>
    <t>1156.21</t>
  </si>
  <si>
    <t>ORD104837</t>
  </si>
  <si>
    <t>CUST12104</t>
  </si>
  <si>
    <t>4740.6000000000004</t>
  </si>
  <si>
    <t>3686.15</t>
  </si>
  <si>
    <t>106.33</t>
  </si>
  <si>
    <t>ORD104845</t>
  </si>
  <si>
    <t>CUST10140</t>
  </si>
  <si>
    <t>13831.6</t>
  </si>
  <si>
    <t>10711.84</t>
  </si>
  <si>
    <t>2428.1799999999998</t>
  </si>
  <si>
    <t>ORD104848</t>
  </si>
  <si>
    <t>CUST12465</t>
  </si>
  <si>
    <t>17200.77</t>
  </si>
  <si>
    <t>26783.13</t>
  </si>
  <si>
    <t>4178.26</t>
  </si>
  <si>
    <t>ORD104851</t>
  </si>
  <si>
    <t>CUST12728</t>
  </si>
  <si>
    <t>56299.53</t>
  </si>
  <si>
    <t>82837.31</t>
  </si>
  <si>
    <t>24131.8</t>
  </si>
  <si>
    <t>ORD104855</t>
  </si>
  <si>
    <t>CUST13423</t>
  </si>
  <si>
    <t>14707.08</t>
  </si>
  <si>
    <t>8441.33</t>
  </si>
  <si>
    <t>4059.69</t>
  </si>
  <si>
    <t>ORD104858</t>
  </si>
  <si>
    <t>CUST11364</t>
  </si>
  <si>
    <t>35786.58</t>
  </si>
  <si>
    <t>27330.22</t>
  </si>
  <si>
    <t>8456.36</t>
  </si>
  <si>
    <t>ORD104865</t>
  </si>
  <si>
    <t>CUST12723</t>
  </si>
  <si>
    <t>36146.550000000003</t>
  </si>
  <si>
    <t>39927.5</t>
  </si>
  <si>
    <t>25136.29</t>
  </si>
  <si>
    <t>ORD104867</t>
  </si>
  <si>
    <t>CUST12780</t>
  </si>
  <si>
    <t>37051</t>
  </si>
  <si>
    <t>29107.69</t>
  </si>
  <si>
    <t>6090.76</t>
  </si>
  <si>
    <t>ORD104873</t>
  </si>
  <si>
    <t>CUST10707</t>
  </si>
  <si>
    <t>53334.61</t>
  </si>
  <si>
    <t>66387.3</t>
  </si>
  <si>
    <t>24281.54</t>
  </si>
  <si>
    <t>ORD104874</t>
  </si>
  <si>
    <t>CUST12802</t>
  </si>
  <si>
    <t>33111.08</t>
  </si>
  <si>
    <t>67616.160000000003</t>
  </si>
  <si>
    <t>31717.08</t>
  </si>
  <si>
    <t>ORD104878</t>
  </si>
  <si>
    <t>CUST13322</t>
  </si>
  <si>
    <t>65793.55</t>
  </si>
  <si>
    <t>75160.789999999994</t>
  </si>
  <si>
    <t>56426.31</t>
  </si>
  <si>
    <t>ORD104882</t>
  </si>
  <si>
    <t>CUST10894</t>
  </si>
  <si>
    <t>1178.3499999999999</t>
  </si>
  <si>
    <t>1612.18</t>
  </si>
  <si>
    <t>744.52</t>
  </si>
  <si>
    <t>ORD104885</t>
  </si>
  <si>
    <t>CUST11626</t>
  </si>
  <si>
    <t>5929.03</t>
  </si>
  <si>
    <t>9460.7999999999993</t>
  </si>
  <si>
    <t>1804.36</t>
  </si>
  <si>
    <t>ORD104886</t>
  </si>
  <si>
    <t>CUST13379</t>
  </si>
  <si>
    <t>4679.79</t>
  </si>
  <si>
    <t>3451.62</t>
  </si>
  <si>
    <t>994.18</t>
  </si>
  <si>
    <t>ORD104887</t>
  </si>
  <si>
    <t>CUST12425</t>
  </si>
  <si>
    <t>4898.8</t>
  </si>
  <si>
    <t>8589.61</t>
  </si>
  <si>
    <t>4637.1499999999996</t>
  </si>
  <si>
    <t>ORD104891</t>
  </si>
  <si>
    <t>CUST12854</t>
  </si>
  <si>
    <t>6338.69</t>
  </si>
  <si>
    <t>15500.73</t>
  </si>
  <si>
    <t>3515.34</t>
  </si>
  <si>
    <t>ORD104893</t>
  </si>
  <si>
    <t>CUST13404</t>
  </si>
  <si>
    <t>6543.93</t>
  </si>
  <si>
    <t>8095.34</t>
  </si>
  <si>
    <t>3683.73</t>
  </si>
  <si>
    <t>ORD104897</t>
  </si>
  <si>
    <t>CUST10252</t>
  </si>
  <si>
    <t>22362.46</t>
  </si>
  <si>
    <t>16309.15</t>
  </si>
  <si>
    <t>1580.82</t>
  </si>
  <si>
    <t>ORD104905</t>
  </si>
  <si>
    <t>CUST13055</t>
  </si>
  <si>
    <t>16659.72</t>
  </si>
  <si>
    <t>12709.1</t>
  </si>
  <si>
    <t>2284.65</t>
  </si>
  <si>
    <t>ORD104906</t>
  </si>
  <si>
    <t>CUST11071</t>
  </si>
  <si>
    <t>3796.86</t>
  </si>
  <si>
    <t>2470.02</t>
  </si>
  <si>
    <t>1326.84</t>
  </si>
  <si>
    <t>ORD104914</t>
  </si>
  <si>
    <t>CUST12954</t>
  </si>
  <si>
    <t>8549.83</t>
  </si>
  <si>
    <t>4764.51</t>
  </si>
  <si>
    <t>3785.32</t>
  </si>
  <si>
    <t>ORD104922</t>
  </si>
  <si>
    <t>CUST11450</t>
  </si>
  <si>
    <t>3244.86</t>
  </si>
  <si>
    <t>4961.8</t>
  </si>
  <si>
    <t>554.46</t>
  </si>
  <si>
    <t>ORD104923</t>
  </si>
  <si>
    <t>CUST11381</t>
  </si>
  <si>
    <t>40973.72</t>
  </si>
  <si>
    <t>53327.57</t>
  </si>
  <si>
    <t>16327.75</t>
  </si>
  <si>
    <t>ORD104927</t>
  </si>
  <si>
    <t>CUST10576</t>
  </si>
  <si>
    <t>10580.78</t>
  </si>
  <si>
    <t>18609.060000000001</t>
  </si>
  <si>
    <t>8371.93</t>
  </si>
  <si>
    <t>ORD104933</t>
  </si>
  <si>
    <t>CUST11291</t>
  </si>
  <si>
    <t>14175.58</t>
  </si>
  <si>
    <t>11526.28</t>
  </si>
  <si>
    <t>1940.52</t>
  </si>
  <si>
    <t>ORD104934</t>
  </si>
  <si>
    <t>CUST11584</t>
  </si>
  <si>
    <t>893.57</t>
  </si>
  <si>
    <t>646.21</t>
  </si>
  <si>
    <t>113.32</t>
  </si>
  <si>
    <t>ORD104936</t>
  </si>
  <si>
    <t>CUST12234</t>
  </si>
  <si>
    <t>60357.34</t>
  </si>
  <si>
    <t>41442.5</t>
  </si>
  <si>
    <t>9861.24</t>
  </si>
  <si>
    <t>ORD104939</t>
  </si>
  <si>
    <t>CUST13250</t>
  </si>
  <si>
    <t>2672.84</t>
  </si>
  <si>
    <t>2017.47</t>
  </si>
  <si>
    <t>254.44</t>
  </si>
  <si>
    <t>ORD104941</t>
  </si>
  <si>
    <t>CUST11223</t>
  </si>
  <si>
    <t>35548.47</t>
  </si>
  <si>
    <t>20634.490000000002</t>
  </si>
  <si>
    <t>13136.56</t>
  </si>
  <si>
    <t>ORD104942</t>
  </si>
  <si>
    <t>CUST12058</t>
  </si>
  <si>
    <t>62203.77</t>
  </si>
  <si>
    <t>41469.160000000003</t>
  </si>
  <si>
    <t>14514.23</t>
  </si>
  <si>
    <t>ORD104949</t>
  </si>
  <si>
    <t>CUST11023</t>
  </si>
  <si>
    <t>6484.43</t>
  </si>
  <si>
    <t>8081.24</t>
  </si>
  <si>
    <t>3590.73</t>
  </si>
  <si>
    <t>ORD104954</t>
  </si>
  <si>
    <t>CUST11900</t>
  </si>
  <si>
    <t>10511.23</t>
  </si>
  <si>
    <t>8422.2800000000007</t>
  </si>
  <si>
    <t>2088.9499999999998</t>
  </si>
  <si>
    <t>ORD104958</t>
  </si>
  <si>
    <t>CUST11493</t>
  </si>
  <si>
    <t>1607.81</t>
  </si>
  <si>
    <t>1259.98</t>
  </si>
  <si>
    <t>347.83</t>
  </si>
  <si>
    <t>ORD104959</t>
  </si>
  <si>
    <t>CUST12798</t>
  </si>
  <si>
    <t>3813.92</t>
  </si>
  <si>
    <t>3044.59</t>
  </si>
  <si>
    <t>197.24</t>
  </si>
  <si>
    <t>ORD104960</t>
  </si>
  <si>
    <t>CUST10523</t>
  </si>
  <si>
    <t>10864.75</t>
  </si>
  <si>
    <t>16664.34</t>
  </si>
  <si>
    <t>5065.16</t>
  </si>
  <si>
    <t>ORD104963</t>
  </si>
  <si>
    <t>CUST10059</t>
  </si>
  <si>
    <t>3986.04</t>
  </si>
  <si>
    <t>11336.52</t>
  </si>
  <si>
    <t>3810.43</t>
  </si>
  <si>
    <t>ORD104964</t>
  </si>
  <si>
    <t>CUST12329</t>
  </si>
  <si>
    <t>5977.33</t>
  </si>
  <si>
    <t>4121.4799999999996</t>
  </si>
  <si>
    <t>959.25</t>
  </si>
  <si>
    <t>ORD104968</t>
  </si>
  <si>
    <t>CUST13392</t>
  </si>
  <si>
    <t>41200.089999999997</t>
  </si>
  <si>
    <t>25058.959999999999</t>
  </si>
  <si>
    <t>16141.13</t>
  </si>
  <si>
    <t>ORD104969</t>
  </si>
  <si>
    <t>CUST13328</t>
  </si>
  <si>
    <t>5818.26</t>
  </si>
  <si>
    <t>17950.59</t>
  </si>
  <si>
    <t>2995.15</t>
  </si>
  <si>
    <t>ORD104983</t>
  </si>
  <si>
    <t>CUST12628</t>
  </si>
  <si>
    <t>3176.71</t>
  </si>
  <si>
    <t>2195.88</t>
  </si>
  <si>
    <t>980.83</t>
  </si>
  <si>
    <t>ORD104992</t>
  </si>
  <si>
    <t>CUST12767</t>
  </si>
  <si>
    <t>58600.84</t>
  </si>
  <si>
    <t>37809.699999999997</t>
  </si>
  <si>
    <t>20791.14</t>
  </si>
  <si>
    <t>ORD104995</t>
  </si>
  <si>
    <t>CUST12519</t>
  </si>
  <si>
    <t>10851.41</t>
  </si>
  <si>
    <t>7865.12</t>
  </si>
  <si>
    <t>1901.15</t>
  </si>
  <si>
    <t>ORD105000</t>
  </si>
  <si>
    <t>CUST11211</t>
  </si>
  <si>
    <t>3337.12</t>
  </si>
  <si>
    <t>5922.8</t>
  </si>
  <si>
    <t>2586.86</t>
  </si>
  <si>
    <t>ORD105003</t>
  </si>
  <si>
    <t>CUST11413</t>
  </si>
  <si>
    <t>642.46</t>
  </si>
  <si>
    <t>490.44</t>
  </si>
  <si>
    <t>87.77</t>
  </si>
  <si>
    <t>ORD105004</t>
  </si>
  <si>
    <t>CUST12112</t>
  </si>
  <si>
    <t>41988.37</t>
  </si>
  <si>
    <t>30654.3</t>
  </si>
  <si>
    <t>7135.23</t>
  </si>
  <si>
    <t>ORD105007</t>
  </si>
  <si>
    <t>CUST10693</t>
  </si>
  <si>
    <t>8165.5</t>
  </si>
  <si>
    <t>21566.240000000002</t>
  </si>
  <si>
    <t>7829.56</t>
  </si>
  <si>
    <t>ORD105008</t>
  </si>
  <si>
    <t>CUST12566</t>
  </si>
  <si>
    <t>61517.05</t>
  </si>
  <si>
    <t>124216.25</t>
  </si>
  <si>
    <t>41879.79</t>
  </si>
  <si>
    <t>ORD105010</t>
  </si>
  <si>
    <t>CUST11436</t>
  </si>
  <si>
    <t>1462.13</t>
  </si>
  <si>
    <t>1622.8</t>
  </si>
  <si>
    <t>1155.25</t>
  </si>
  <si>
    <t>ORD105015</t>
  </si>
  <si>
    <t>CUST12638</t>
  </si>
  <si>
    <t>7197.2</t>
  </si>
  <si>
    <t>5703.75</t>
  </si>
  <si>
    <t>773.73</t>
  </si>
  <si>
    <t>ORD105016</t>
  </si>
  <si>
    <t>CUST12693</t>
  </si>
  <si>
    <t>3166.73</t>
  </si>
  <si>
    <t>4698.53</t>
  </si>
  <si>
    <t>1001.58</t>
  </si>
  <si>
    <t>ORD105017</t>
  </si>
  <si>
    <t>CUST10003</t>
  </si>
  <si>
    <t>8024.61</t>
  </si>
  <si>
    <t>10399.120000000001</t>
  </si>
  <si>
    <t>3242.72</t>
  </si>
  <si>
    <t>ORD105020</t>
  </si>
  <si>
    <t>CUST11451</t>
  </si>
  <si>
    <t>2320.66</t>
  </si>
  <si>
    <t>1310.1199999999999</t>
  </si>
  <si>
    <t>1010.54</t>
  </si>
  <si>
    <t>ORD105028</t>
  </si>
  <si>
    <t>CUST11965</t>
  </si>
  <si>
    <t>8984.24</t>
  </si>
  <si>
    <t>6955.94</t>
  </si>
  <si>
    <t>2028.3</t>
  </si>
  <si>
    <t>ORD105029</t>
  </si>
  <si>
    <t>CUST12022</t>
  </si>
  <si>
    <t>33587.800000000003</t>
  </si>
  <si>
    <t>23226.66</t>
  </si>
  <si>
    <t>10361.14</t>
  </si>
  <si>
    <t>ORD105032</t>
  </si>
  <si>
    <t>CUST10457</t>
  </si>
  <si>
    <t>5781.55</t>
  </si>
  <si>
    <t>14163.05</t>
  </si>
  <si>
    <t>1447.14</t>
  </si>
  <si>
    <t>ORD105041</t>
  </si>
  <si>
    <t>CUST12925</t>
  </si>
  <si>
    <t>41421.89</t>
  </si>
  <si>
    <t>87475.72</t>
  </si>
  <si>
    <t>11936.82</t>
  </si>
  <si>
    <t>ORD105042</t>
  </si>
  <si>
    <t>CUST13309</t>
  </si>
  <si>
    <t>58497.25</t>
  </si>
  <si>
    <t>46133.83</t>
  </si>
  <si>
    <t>9438.56</t>
  </si>
  <si>
    <t>ORD105050</t>
  </si>
  <si>
    <t>CUST13084</t>
  </si>
  <si>
    <t>1230.8800000000001</t>
  </si>
  <si>
    <t>870.59</t>
  </si>
  <si>
    <t>175.66</t>
  </si>
  <si>
    <t>ORD105057</t>
  </si>
  <si>
    <t>CUST12199</t>
  </si>
  <si>
    <t>1820.14</t>
  </si>
  <si>
    <t>1378.33</t>
  </si>
  <si>
    <t>168.79</t>
  </si>
  <si>
    <t>ORD105058</t>
  </si>
  <si>
    <t>CUST12847</t>
  </si>
  <si>
    <t>18019.28</t>
  </si>
  <si>
    <t>12138.5</t>
  </si>
  <si>
    <t>5880.78</t>
  </si>
  <si>
    <t>ORD105060</t>
  </si>
  <si>
    <t>CUST10316</t>
  </si>
  <si>
    <t>38953.35</t>
  </si>
  <si>
    <t>54909.46</t>
  </si>
  <si>
    <t>11311.23</t>
  </si>
  <si>
    <t>ORD105062</t>
  </si>
  <si>
    <t>CUST11391</t>
  </si>
  <si>
    <t>5503.68</t>
  </si>
  <si>
    <t>4496.7700000000004</t>
  </si>
  <si>
    <t>1006.91</t>
  </si>
  <si>
    <t>ORD105069</t>
  </si>
  <si>
    <t>CUST12273</t>
  </si>
  <si>
    <t>50895.77</t>
  </si>
  <si>
    <t>86958.75</t>
  </si>
  <si>
    <t>50459.83</t>
  </si>
  <si>
    <t>ORD105073</t>
  </si>
  <si>
    <t>CUST12466</t>
  </si>
  <si>
    <t>638.59</t>
  </si>
  <si>
    <t>511.25</t>
  </si>
  <si>
    <t>31.55</t>
  </si>
  <si>
    <t>ORD105074</t>
  </si>
  <si>
    <t>CUST10297</t>
  </si>
  <si>
    <t>74525.789999999994</t>
  </si>
  <si>
    <t>43550.49</t>
  </si>
  <si>
    <t>30975.3</t>
  </si>
  <si>
    <t>ORD105080</t>
  </si>
  <si>
    <t>CUST10484</t>
  </si>
  <si>
    <t>5583.12</t>
  </si>
  <si>
    <t>3548.55</t>
  </si>
  <si>
    <t>ORD105082</t>
  </si>
  <si>
    <t>CUST10825</t>
  </si>
  <si>
    <t>9031.98</t>
  </si>
  <si>
    <t>5358.51</t>
  </si>
  <si>
    <t>3221.87</t>
  </si>
  <si>
    <t>ORD105087</t>
  </si>
  <si>
    <t>CUST10012</t>
  </si>
  <si>
    <t>69057.37</t>
  </si>
  <si>
    <t>49369.760000000002</t>
  </si>
  <si>
    <t>16234.74</t>
  </si>
  <si>
    <t>ORD105091</t>
  </si>
  <si>
    <t>CUST11063</t>
  </si>
  <si>
    <t>444.48</t>
  </si>
  <si>
    <t>954.24</t>
  </si>
  <si>
    <t>179.18</t>
  </si>
  <si>
    <t>ORD105094</t>
  </si>
  <si>
    <t>CUST11383</t>
  </si>
  <si>
    <t>11871.63</t>
  </si>
  <si>
    <t>8198.36</t>
  </si>
  <si>
    <t>2486.11</t>
  </si>
  <si>
    <t>ORD105098</t>
  </si>
  <si>
    <t>CUST10053</t>
  </si>
  <si>
    <t>50439.25</t>
  </si>
  <si>
    <t>64005.08</t>
  </si>
  <si>
    <t>26785.57</t>
  </si>
  <si>
    <t>ORD105109</t>
  </si>
  <si>
    <t>CUST11096</t>
  </si>
  <si>
    <t>59113.62</t>
  </si>
  <si>
    <t>39231.93</t>
  </si>
  <si>
    <t>13970.33</t>
  </si>
  <si>
    <t>ORD105112</t>
  </si>
  <si>
    <t>CUST10634</t>
  </si>
  <si>
    <t>9536.0499999999993</t>
  </si>
  <si>
    <t>10819.75</t>
  </si>
  <si>
    <t>6345.14</t>
  </si>
  <si>
    <t>ORD105118</t>
  </si>
  <si>
    <t>CUST11242</t>
  </si>
  <si>
    <t>5555.45</t>
  </si>
  <si>
    <t>3850.87</t>
  </si>
  <si>
    <t>1426.81</t>
  </si>
  <si>
    <t>ORD105120</t>
  </si>
  <si>
    <t>CUST10095</t>
  </si>
  <si>
    <t>2825.25</t>
  </si>
  <si>
    <t>2041.9</t>
  </si>
  <si>
    <t>500.82</t>
  </si>
  <si>
    <t>ORD105121</t>
  </si>
  <si>
    <t>CUST10086</t>
  </si>
  <si>
    <t>17314.810000000001</t>
  </si>
  <si>
    <t>9596.43</t>
  </si>
  <si>
    <t>7718.38</t>
  </si>
  <si>
    <t>ORD105125</t>
  </si>
  <si>
    <t>CUST11064</t>
  </si>
  <si>
    <t>2569.2199999999998</t>
  </si>
  <si>
    <t>1650.48</t>
  </si>
  <si>
    <t>790.28</t>
  </si>
  <si>
    <t>ORD105129</t>
  </si>
  <si>
    <t>CUST12669</t>
  </si>
  <si>
    <t>13253.08</t>
  </si>
  <si>
    <t>25642.080000000002</t>
  </si>
  <si>
    <t>10141.24</t>
  </si>
  <si>
    <t>ORD105130</t>
  </si>
  <si>
    <t>CUST11029</t>
  </si>
  <si>
    <t>74255.58</t>
  </si>
  <si>
    <t>142566.66</t>
  </si>
  <si>
    <t>35646.730000000003</t>
  </si>
  <si>
    <t>ORD105134</t>
  </si>
  <si>
    <t>CUST10946</t>
  </si>
  <si>
    <t>30716.560000000001</t>
  </si>
  <si>
    <t>42993.2</t>
  </si>
  <si>
    <t>15368.26</t>
  </si>
  <si>
    <t>ORD105138</t>
  </si>
  <si>
    <t>CUST12073</t>
  </si>
  <si>
    <t>55409.120000000003</t>
  </si>
  <si>
    <t>130313.56</t>
  </si>
  <si>
    <t>35913.800000000003</t>
  </si>
  <si>
    <t>ORD105147</t>
  </si>
  <si>
    <t>CUST12851</t>
  </si>
  <si>
    <t>4138.18</t>
  </si>
  <si>
    <t>2728.82</t>
  </si>
  <si>
    <t>995.54</t>
  </si>
  <si>
    <t>ORD105158</t>
  </si>
  <si>
    <t>CUST12108</t>
  </si>
  <si>
    <t>4649.6099999999997</t>
  </si>
  <si>
    <t>3028.27</t>
  </si>
  <si>
    <t>923.9</t>
  </si>
  <si>
    <t>ORD105160</t>
  </si>
  <si>
    <t>CUST12351</t>
  </si>
  <si>
    <t>1999.39</t>
  </si>
  <si>
    <t>1462.64</t>
  </si>
  <si>
    <t>336.81</t>
  </si>
  <si>
    <t>ORD105165</t>
  </si>
  <si>
    <t>CUST12835</t>
  </si>
  <si>
    <t>2769.97</t>
  </si>
  <si>
    <t>1932.15</t>
  </si>
  <si>
    <t>699.32</t>
  </si>
  <si>
    <t>ORD105166</t>
  </si>
  <si>
    <t>CUST12173</t>
  </si>
  <si>
    <t>5682.45</t>
  </si>
  <si>
    <t>4510.97</t>
  </si>
  <si>
    <t>603.23</t>
  </si>
  <si>
    <t>ORD105168</t>
  </si>
  <si>
    <t>CUST11359</t>
  </si>
  <si>
    <t>825.47</t>
  </si>
  <si>
    <t>2022.65</t>
  </si>
  <si>
    <t>453.76</t>
  </si>
  <si>
    <t>ORD105170</t>
  </si>
  <si>
    <t>CUST10264</t>
  </si>
  <si>
    <t>3440.71</t>
  </si>
  <si>
    <t>8318.5</t>
  </si>
  <si>
    <t>5444.34</t>
  </si>
  <si>
    <t>ORD105176</t>
  </si>
  <si>
    <t>CUST12985</t>
  </si>
  <si>
    <t>5985.22</t>
  </si>
  <si>
    <t>9252.4599999999991</t>
  </si>
  <si>
    <t>922.41</t>
  </si>
  <si>
    <t>ORD105182</t>
  </si>
  <si>
    <t>CUST12382</t>
  </si>
  <si>
    <t>2476.61</t>
  </si>
  <si>
    <t>3680.01</t>
  </si>
  <si>
    <t>1273.21</t>
  </si>
  <si>
    <t>ORD105183</t>
  </si>
  <si>
    <t>CUST12792</t>
  </si>
  <si>
    <t>62764.65</t>
  </si>
  <si>
    <t>120722.78</t>
  </si>
  <si>
    <t>48741.78</t>
  </si>
  <si>
    <t>ORD105188</t>
  </si>
  <si>
    <t>CUST11765</t>
  </si>
  <si>
    <t>56944.25</t>
  </si>
  <si>
    <t>35898.36</t>
  </si>
  <si>
    <t>15351.46</t>
  </si>
  <si>
    <t>ORD105189</t>
  </si>
  <si>
    <t>CUST10616</t>
  </si>
  <si>
    <t>6291.44</t>
  </si>
  <si>
    <t>8069.23</t>
  </si>
  <si>
    <t>3255.36</t>
  </si>
  <si>
    <t>ORD105190</t>
  </si>
  <si>
    <t>CUST13495</t>
  </si>
  <si>
    <t>16279.04</t>
  </si>
  <si>
    <t>9065.52</t>
  </si>
  <si>
    <t>7213.52</t>
  </si>
  <si>
    <t>ORD105204</t>
  </si>
  <si>
    <t>CUST10166</t>
  </si>
  <si>
    <t>5448.55</t>
  </si>
  <si>
    <t>3845.04</t>
  </si>
  <si>
    <t>786.23</t>
  </si>
  <si>
    <t>ORD105205</t>
  </si>
  <si>
    <t>CUST12820</t>
  </si>
  <si>
    <t>42895.48</t>
  </si>
  <si>
    <t>27255.49</t>
  </si>
  <si>
    <t>9205.67</t>
  </si>
  <si>
    <t>ORD105210</t>
  </si>
  <si>
    <t>CUST12048</t>
  </si>
  <si>
    <t>19780.55</t>
  </si>
  <si>
    <t>47527.83</t>
  </si>
  <si>
    <t>27638.26</t>
  </si>
  <si>
    <t>ORD105214</t>
  </si>
  <si>
    <t>CUST11463</t>
  </si>
  <si>
    <t>3823.68</t>
  </si>
  <si>
    <t>2992.21</t>
  </si>
  <si>
    <t>831.47</t>
  </si>
  <si>
    <t>ORD105223</t>
  </si>
  <si>
    <t>CUST12128</t>
  </si>
  <si>
    <t>2922.9</t>
  </si>
  <si>
    <t>1656.68</t>
  </si>
  <si>
    <t>1120.08</t>
  </si>
  <si>
    <t>ORD105226</t>
  </si>
  <si>
    <t>CUST11419</t>
  </si>
  <si>
    <t>2256.58</t>
  </si>
  <si>
    <t>1297.2</t>
  </si>
  <si>
    <t>620.89</t>
  </si>
  <si>
    <t>ORD105229</t>
  </si>
  <si>
    <t>CUST10623</t>
  </si>
  <si>
    <t>1421.79</t>
  </si>
  <si>
    <t>984.33</t>
  </si>
  <si>
    <t>366.37</t>
  </si>
  <si>
    <t>ORD105233</t>
  </si>
  <si>
    <t>CUST13090</t>
  </si>
  <si>
    <t>1223.47</t>
  </si>
  <si>
    <t>988.73</t>
  </si>
  <si>
    <t>51.22</t>
  </si>
  <si>
    <t>ORD105236</t>
  </si>
  <si>
    <t>CUST10837</t>
  </si>
  <si>
    <t>70206.570000000007</t>
  </si>
  <si>
    <t>51042.64</t>
  </si>
  <si>
    <t>8632.94</t>
  </si>
  <si>
    <t>ORD105248</t>
  </si>
  <si>
    <t>CUST11570</t>
  </si>
  <si>
    <t>30640.81</t>
  </si>
  <si>
    <t>20700.46</t>
  </si>
  <si>
    <t>5344.23</t>
  </si>
  <si>
    <t>ORD105250</t>
  </si>
  <si>
    <t>CUST11787</t>
  </si>
  <si>
    <t>3101.36</t>
  </si>
  <si>
    <t>2459.09</t>
  </si>
  <si>
    <t>642.27</t>
  </si>
  <si>
    <t>ORD105255</t>
  </si>
  <si>
    <t>CUST10619</t>
  </si>
  <si>
    <t>26376.42</t>
  </si>
  <si>
    <t>30623.13</t>
  </si>
  <si>
    <t>19492.07</t>
  </si>
  <si>
    <t>ORD105256</t>
  </si>
  <si>
    <t>CUST13241</t>
  </si>
  <si>
    <t>1454.65</t>
  </si>
  <si>
    <t>2225.15</t>
  </si>
  <si>
    <t>538.69000000000005</t>
  </si>
  <si>
    <t>ORD105259</t>
  </si>
  <si>
    <t>CUST10788</t>
  </si>
  <si>
    <t>6277.1</t>
  </si>
  <si>
    <t>10847.68</t>
  </si>
  <si>
    <t>6100.49</t>
  </si>
  <si>
    <t>ORD105261</t>
  </si>
  <si>
    <t>CUST10821</t>
  </si>
  <si>
    <t>17456.689999999999</t>
  </si>
  <si>
    <t>12072.83</t>
  </si>
  <si>
    <t>4511.03</t>
  </si>
  <si>
    <t>ORD105265</t>
  </si>
  <si>
    <t>CUST11349</t>
  </si>
  <si>
    <t>12996.92</t>
  </si>
  <si>
    <t>9008.92</t>
  </si>
  <si>
    <t>3988</t>
  </si>
  <si>
    <t>ORD105267</t>
  </si>
  <si>
    <t>CUST12203</t>
  </si>
  <si>
    <t>1031.47</t>
  </si>
  <si>
    <t>702.6</t>
  </si>
  <si>
    <t>328.87</t>
  </si>
  <si>
    <t>ORD105270</t>
  </si>
  <si>
    <t>CUST13316</t>
  </si>
  <si>
    <t>1416.85</t>
  </si>
  <si>
    <t>1075.6099999999999</t>
  </si>
  <si>
    <t>199.55</t>
  </si>
  <si>
    <t>ORD105272</t>
  </si>
  <si>
    <t>CUST13498</t>
  </si>
  <si>
    <t>4164.09</t>
  </si>
  <si>
    <t>10390.98</t>
  </si>
  <si>
    <t>5432.56</t>
  </si>
  <si>
    <t>ORD105278</t>
  </si>
  <si>
    <t>CUST10204</t>
  </si>
  <si>
    <t>4888.4399999999996</t>
  </si>
  <si>
    <t>14930.74</t>
  </si>
  <si>
    <t>2667.64</t>
  </si>
  <si>
    <t>ORD105281</t>
  </si>
  <si>
    <t>CUST11469</t>
  </si>
  <si>
    <t>11026.63</t>
  </si>
  <si>
    <t>24248.27</t>
  </si>
  <si>
    <t>3869.64</t>
  </si>
  <si>
    <t>ORD105282</t>
  </si>
  <si>
    <t>CUST12895</t>
  </si>
  <si>
    <t>2245.11</t>
  </si>
  <si>
    <t>3651.87</t>
  </si>
  <si>
    <t>838.35</t>
  </si>
  <si>
    <t>ORD105284</t>
  </si>
  <si>
    <t>CUST12030</t>
  </si>
  <si>
    <t>11175.76</t>
  </si>
  <si>
    <t>12361.23</t>
  </si>
  <si>
    <t>5519.99</t>
  </si>
  <si>
    <t>ORD105302</t>
  </si>
  <si>
    <t>CUST11610</t>
  </si>
  <si>
    <t>6573.83</t>
  </si>
  <si>
    <t>4536.62</t>
  </si>
  <si>
    <t>1708.52</t>
  </si>
  <si>
    <t>ORD105313</t>
  </si>
  <si>
    <t>CUST11629</t>
  </si>
  <si>
    <t>5361.72</t>
  </si>
  <si>
    <t>8010.62</t>
  </si>
  <si>
    <t>2176.65</t>
  </si>
  <si>
    <t>ORD105314</t>
  </si>
  <si>
    <t>CUST11837</t>
  </si>
  <si>
    <t>3251.84</t>
  </si>
  <si>
    <t>7232.67</t>
  </si>
  <si>
    <t>2522.85</t>
  </si>
  <si>
    <t>ORD105317</t>
  </si>
  <si>
    <t>CUST11189</t>
  </si>
  <si>
    <t>1573.54</t>
  </si>
  <si>
    <t>2952.74</t>
  </si>
  <si>
    <t>1531.85</t>
  </si>
  <si>
    <t>ORD105319</t>
  </si>
  <si>
    <t>CUST11690</t>
  </si>
  <si>
    <t>577.20000000000005</t>
  </si>
  <si>
    <t>341.38</t>
  </si>
  <si>
    <t>149.24</t>
  </si>
  <si>
    <t>ORD105322</t>
  </si>
  <si>
    <t>CUST10845</t>
  </si>
  <si>
    <t>1483.75</t>
  </si>
  <si>
    <t>2345.5100000000002</t>
  </si>
  <si>
    <t>473.61</t>
  </si>
  <si>
    <t>ORD105326</t>
  </si>
  <si>
    <t>CUST13064</t>
  </si>
  <si>
    <t>8855.58</t>
  </si>
  <si>
    <t>5681.05</t>
  </si>
  <si>
    <t>1846.19</t>
  </si>
  <si>
    <t>ORD105327</t>
  </si>
  <si>
    <t>CUST10291</t>
  </si>
  <si>
    <t>15222.36</t>
  </si>
  <si>
    <t>12230.79</t>
  </si>
  <si>
    <t>1469.33</t>
  </si>
  <si>
    <t>ORD105334</t>
  </si>
  <si>
    <t>CUST10660</t>
  </si>
  <si>
    <t>6532.01</t>
  </si>
  <si>
    <t>9563.6299999999992</t>
  </si>
  <si>
    <t>3500.39</t>
  </si>
  <si>
    <t>ORD105335</t>
  </si>
  <si>
    <t>CUST12190</t>
  </si>
  <si>
    <t>15125.7</t>
  </si>
  <si>
    <t>10740.56</t>
  </si>
  <si>
    <t>3628.86</t>
  </si>
  <si>
    <t>ORD105338</t>
  </si>
  <si>
    <t>CUST11683</t>
  </si>
  <si>
    <t>7665.75</t>
  </si>
  <si>
    <t>8903.5</t>
  </si>
  <si>
    <t>4128.28</t>
  </si>
  <si>
    <t>ORD105339</t>
  </si>
  <si>
    <t>CUST11593</t>
  </si>
  <si>
    <t>8755.6299999999992</t>
  </si>
  <si>
    <t>6394.13</t>
  </si>
  <si>
    <t>1923.72</t>
  </si>
  <si>
    <t>ORD105341</t>
  </si>
  <si>
    <t>CUST10186</t>
  </si>
  <si>
    <t>3885.02</t>
  </si>
  <si>
    <t>2314.21</t>
  </si>
  <si>
    <t>1570.81</t>
  </si>
  <si>
    <t>ORD105343</t>
  </si>
  <si>
    <t>CUST12845</t>
  </si>
  <si>
    <t>7564.35</t>
  </si>
  <si>
    <t>5204.08</t>
  </si>
  <si>
    <t>2360.27</t>
  </si>
  <si>
    <t>ORD105347</t>
  </si>
  <si>
    <t>CUST12102</t>
  </si>
  <si>
    <t>19183.439999999999</t>
  </si>
  <si>
    <t>51699.06</t>
  </si>
  <si>
    <t>17361.32</t>
  </si>
  <si>
    <t>ORD105351</t>
  </si>
  <si>
    <t>CUST12532</t>
  </si>
  <si>
    <t>14835.49</t>
  </si>
  <si>
    <t>12079.77</t>
  </si>
  <si>
    <t>1272.17</t>
  </si>
  <si>
    <t>ORD105354</t>
  </si>
  <si>
    <t>CUST12725</t>
  </si>
  <si>
    <t>8953.93</t>
  </si>
  <si>
    <t>5333.02</t>
  </si>
  <si>
    <t>2725.52</t>
  </si>
  <si>
    <t>ORD105355</t>
  </si>
  <si>
    <t>CUST10956</t>
  </si>
  <si>
    <t>4480.5200000000004</t>
  </si>
  <si>
    <t>4972.95</t>
  </si>
  <si>
    <t>2643.93</t>
  </si>
  <si>
    <t>ORD105360</t>
  </si>
  <si>
    <t>CUST13429</t>
  </si>
  <si>
    <t>4951.66</t>
  </si>
  <si>
    <t>2972.91</t>
  </si>
  <si>
    <t>1978.75</t>
  </si>
  <si>
    <t>ORD105367</t>
  </si>
  <si>
    <t>CUST10454</t>
  </si>
  <si>
    <t>5914.18</t>
  </si>
  <si>
    <t>10334.950000000001</t>
  </si>
  <si>
    <t>5633.34</t>
  </si>
  <si>
    <t>ORD105369</t>
  </si>
  <si>
    <t>CUST11459</t>
  </si>
  <si>
    <t>6288.15</t>
  </si>
  <si>
    <t>4066.39</t>
  </si>
  <si>
    <t>1592.95</t>
  </si>
  <si>
    <t>ORD105374</t>
  </si>
  <si>
    <t>CUST10860</t>
  </si>
  <si>
    <t>17668.599999999999</t>
  </si>
  <si>
    <t>28078.240000000002</t>
  </si>
  <si>
    <t>1958.38</t>
  </si>
  <si>
    <t>ORD105377</t>
  </si>
  <si>
    <t>CUST11417</t>
  </si>
  <si>
    <t>7216.08</t>
  </si>
  <si>
    <t>4162.29</t>
  </si>
  <si>
    <t>1971.38</t>
  </si>
  <si>
    <t>ORD105384</t>
  </si>
  <si>
    <t>CUST13365</t>
  </si>
  <si>
    <t>4921.79</t>
  </si>
  <si>
    <t>3419.77</t>
  </si>
  <si>
    <t>1255.93</t>
  </si>
  <si>
    <t>ORD105387</t>
  </si>
  <si>
    <t>CUST10884</t>
  </si>
  <si>
    <t>1293.4100000000001</t>
  </si>
  <si>
    <t>931.65</t>
  </si>
  <si>
    <t>297.08999999999997</t>
  </si>
  <si>
    <t>ORD105395</t>
  </si>
  <si>
    <t>CUST12782</t>
  </si>
  <si>
    <t>6919.54</t>
  </si>
  <si>
    <t>4838.91</t>
  </si>
  <si>
    <t>2080.63</t>
  </si>
  <si>
    <t>ORD105396</t>
  </si>
  <si>
    <t>CUST10984</t>
  </si>
  <si>
    <t>2061.8200000000002</t>
  </si>
  <si>
    <t>1234.58</t>
  </si>
  <si>
    <t>621.05999999999995</t>
  </si>
  <si>
    <t>ORD105397</t>
  </si>
  <si>
    <t>CUST11477</t>
  </si>
  <si>
    <t>15361.96</t>
  </si>
  <si>
    <t>17151.04</t>
  </si>
  <si>
    <t>12036.68</t>
  </si>
  <si>
    <t>ORD105402</t>
  </si>
  <si>
    <t>CUST12027</t>
  </si>
  <si>
    <t>4993.05</t>
  </si>
  <si>
    <t>3716.77</t>
  </si>
  <si>
    <t>1276.28</t>
  </si>
  <si>
    <t>ORD105404</t>
  </si>
  <si>
    <t>CUST12596</t>
  </si>
  <si>
    <t>7249.75</t>
  </si>
  <si>
    <t>5694.76</t>
  </si>
  <si>
    <t>467.53</t>
  </si>
  <si>
    <t>ORD105413</t>
  </si>
  <si>
    <t>CUST10609</t>
  </si>
  <si>
    <t>68565.710000000006</t>
  </si>
  <si>
    <t>209090.03</t>
  </si>
  <si>
    <t>65172.81</t>
  </si>
  <si>
    <t>ORD105414</t>
  </si>
  <si>
    <t>CUST11688</t>
  </si>
  <si>
    <t>6161.58</t>
  </si>
  <si>
    <t>6834.25</t>
  </si>
  <si>
    <t>5488.91</t>
  </si>
  <si>
    <t>ORD105422</t>
  </si>
  <si>
    <t>CUST10005</t>
  </si>
  <si>
    <t>4960.16</t>
  </si>
  <si>
    <t>15374.86</t>
  </si>
  <si>
    <t>3473.75</t>
  </si>
  <si>
    <t>ORD105425</t>
  </si>
  <si>
    <t>CUST10775</t>
  </si>
  <si>
    <t>69974.509999999995</t>
  </si>
  <si>
    <t>82835.199999999997</t>
  </si>
  <si>
    <t>57113.82</t>
  </si>
  <si>
    <t>ORD105427</t>
  </si>
  <si>
    <t>CUST11430</t>
  </si>
  <si>
    <t>10121.42</t>
  </si>
  <si>
    <t>20704.21</t>
  </si>
  <si>
    <t>8141.84</t>
  </si>
  <si>
    <t>ORD105428</t>
  </si>
  <si>
    <t>CUST12832</t>
  </si>
  <si>
    <t>4316.1000000000004</t>
  </si>
  <si>
    <t>5291.72</t>
  </si>
  <si>
    <t>3340.48</t>
  </si>
  <si>
    <t>ORD105432</t>
  </si>
  <si>
    <t>CUST11562</t>
  </si>
  <si>
    <t>2322.4699999999998</t>
  </si>
  <si>
    <t>1289.42</t>
  </si>
  <si>
    <t>916.93</t>
  </si>
  <si>
    <t>ORD105434</t>
  </si>
  <si>
    <t>CUST12516</t>
  </si>
  <si>
    <t>16557.5</t>
  </si>
  <si>
    <t>12112.97</t>
  </si>
  <si>
    <t>2788.78</t>
  </si>
  <si>
    <t>ORD105442</t>
  </si>
  <si>
    <t>CUST12184</t>
  </si>
  <si>
    <t>10139.43</t>
  </si>
  <si>
    <t>6764.67</t>
  </si>
  <si>
    <t>2867.79</t>
  </si>
  <si>
    <t>ORD105445</t>
  </si>
  <si>
    <t>CUST11597</t>
  </si>
  <si>
    <t>6498.16</t>
  </si>
  <si>
    <t>3869.07</t>
  </si>
  <si>
    <t>1329.46</t>
  </si>
  <si>
    <t>ORD105453</t>
  </si>
  <si>
    <t>CUST10193</t>
  </si>
  <si>
    <t>5818.04</t>
  </si>
  <si>
    <t>3561.74</t>
  </si>
  <si>
    <t>1383.59</t>
  </si>
  <si>
    <t>ORD105459</t>
  </si>
  <si>
    <t>CUST13318</t>
  </si>
  <si>
    <t>3152.52</t>
  </si>
  <si>
    <t>6099.64</t>
  </si>
  <si>
    <t>2412.16</t>
  </si>
  <si>
    <t>ORD105463</t>
  </si>
  <si>
    <t>CUST10859</t>
  </si>
  <si>
    <t>11575.53</t>
  </si>
  <si>
    <t>9169.25</t>
  </si>
  <si>
    <t>2406.2800000000002</t>
  </si>
  <si>
    <t>ORD105470</t>
  </si>
  <si>
    <t>CUST12162</t>
  </si>
  <si>
    <t>522.35</t>
  </si>
  <si>
    <t>1697.7</t>
  </si>
  <si>
    <t>182.76</t>
  </si>
  <si>
    <t>ORD105472</t>
  </si>
  <si>
    <t>CUST10585</t>
  </si>
  <si>
    <t>2925.66</t>
  </si>
  <si>
    <t>3387.86</t>
  </si>
  <si>
    <t>2463.46</t>
  </si>
  <si>
    <t>ORD105482</t>
  </si>
  <si>
    <t>CUST11633</t>
  </si>
  <si>
    <t>5573.21</t>
  </si>
  <si>
    <t>4079.16</t>
  </si>
  <si>
    <t>1494.05</t>
  </si>
  <si>
    <t>ORD105486</t>
  </si>
  <si>
    <t>CUST10136</t>
  </si>
  <si>
    <t>1580.2</t>
  </si>
  <si>
    <t>1134.3900000000001</t>
  </si>
  <si>
    <t>366.8</t>
  </si>
  <si>
    <t>ORD105492</t>
  </si>
  <si>
    <t>CUST13428</t>
  </si>
  <si>
    <t>5278.86</t>
  </si>
  <si>
    <t>3048.78</t>
  </si>
  <si>
    <t>1702.19</t>
  </si>
  <si>
    <t>ORD105496</t>
  </si>
  <si>
    <t>CUST10779</t>
  </si>
  <si>
    <t>1962.77</t>
  </si>
  <si>
    <t>1523.92</t>
  </si>
  <si>
    <t>242.57</t>
  </si>
  <si>
    <t>ORD105497</t>
  </si>
  <si>
    <t>CUST13155</t>
  </si>
  <si>
    <t>1601.5</t>
  </si>
  <si>
    <t>1140.73</t>
  </si>
  <si>
    <t>300.62</t>
  </si>
  <si>
    <t>ORD105499</t>
  </si>
  <si>
    <t>CUST11771</t>
  </si>
  <si>
    <t>698</t>
  </si>
  <si>
    <t>906.32</t>
  </si>
  <si>
    <t>350.08</t>
  </si>
  <si>
    <t>ORD105500</t>
  </si>
  <si>
    <t>CUST11772</t>
  </si>
  <si>
    <t>5277.08</t>
  </si>
  <si>
    <t>4062.49</t>
  </si>
  <si>
    <t>423.03</t>
  </si>
  <si>
    <t>ORD105505</t>
  </si>
  <si>
    <t>CUST11580</t>
  </si>
  <si>
    <t>1095.21</t>
  </si>
  <si>
    <t>644.07000000000005</t>
  </si>
  <si>
    <t>451.14</t>
  </si>
  <si>
    <t>ORD105514</t>
  </si>
  <si>
    <t>CUST10753</t>
  </si>
  <si>
    <t>4353.2299999999996</t>
  </si>
  <si>
    <t>3197.89</t>
  </si>
  <si>
    <t>1155.3399999999999</t>
  </si>
  <si>
    <t>ORD105522</t>
  </si>
  <si>
    <t>CUST12511</t>
  </si>
  <si>
    <t>461.55</t>
  </si>
  <si>
    <t>307.16000000000003</t>
  </si>
  <si>
    <t>154.38999999999999</t>
  </si>
  <si>
    <t>ORD105525</t>
  </si>
  <si>
    <t>CUST11877</t>
  </si>
  <si>
    <t>2550.5</t>
  </si>
  <si>
    <t>2862.76</t>
  </si>
  <si>
    <t>1218.04</t>
  </si>
  <si>
    <t>ORD105528</t>
  </si>
  <si>
    <t>CUST10390</t>
  </si>
  <si>
    <t>37388.379999999997</t>
  </si>
  <si>
    <t>28370.95</t>
  </si>
  <si>
    <t>5278.59</t>
  </si>
  <si>
    <t>ORD105539</t>
  </si>
  <si>
    <t>CUST11191</t>
  </si>
  <si>
    <t>2279.6999999999998</t>
  </si>
  <si>
    <t>1542.59</t>
  </si>
  <si>
    <t>395.15</t>
  </si>
  <si>
    <t>ORD105549</t>
  </si>
  <si>
    <t>CUST13123</t>
  </si>
  <si>
    <t>64486.5</t>
  </si>
  <si>
    <t>152706.57</t>
  </si>
  <si>
    <t>21406.98</t>
  </si>
  <si>
    <t>ORD105551</t>
  </si>
  <si>
    <t>CUST10146</t>
  </si>
  <si>
    <t>10973.1</t>
  </si>
  <si>
    <t>8530.4599999999991</t>
  </si>
  <si>
    <t>1345.33</t>
  </si>
  <si>
    <t>ORD105557</t>
  </si>
  <si>
    <t>CUST10118</t>
  </si>
  <si>
    <t>27389</t>
  </si>
  <si>
    <t>17095.03</t>
  </si>
  <si>
    <t>6185.62</t>
  </si>
  <si>
    <t>ORD105558</t>
  </si>
  <si>
    <t>CUST10766</t>
  </si>
  <si>
    <t>6235.67</t>
  </si>
  <si>
    <t>4659.6099999999997</t>
  </si>
  <si>
    <t>1576.06</t>
  </si>
  <si>
    <t>ORD105561</t>
  </si>
  <si>
    <t>CUST11256</t>
  </si>
  <si>
    <t>4707.28</t>
  </si>
  <si>
    <t>3525.97</t>
  </si>
  <si>
    <t>475.22</t>
  </si>
  <si>
    <t>ORD105569</t>
  </si>
  <si>
    <t>CUST10306</t>
  </si>
  <si>
    <t>880.17</t>
  </si>
  <si>
    <t>500.83</t>
  </si>
  <si>
    <t>291.32</t>
  </si>
  <si>
    <t>ORD105580</t>
  </si>
  <si>
    <t>CUST12265</t>
  </si>
  <si>
    <t>3989.28</t>
  </si>
  <si>
    <t>6270.72</t>
  </si>
  <si>
    <t>511.06</t>
  </si>
  <si>
    <t>ORD105593</t>
  </si>
  <si>
    <t>CUST13156</t>
  </si>
  <si>
    <t>1832.42</t>
  </si>
  <si>
    <t>2080.19</t>
  </si>
  <si>
    <t>1218.17</t>
  </si>
  <si>
    <t>ORD105597</t>
  </si>
  <si>
    <t>CUST11544</t>
  </si>
  <si>
    <t>44394.55</t>
  </si>
  <si>
    <t>35384.449999999997</t>
  </si>
  <si>
    <t>9010.1</t>
  </si>
  <si>
    <t>ORD105600</t>
  </si>
  <si>
    <t>CUST11638</t>
  </si>
  <si>
    <t>33938.11</t>
  </si>
  <si>
    <t>47784.08</t>
  </si>
  <si>
    <t>13304.52</t>
  </si>
  <si>
    <t>ORD105601</t>
  </si>
  <si>
    <t>CUST12719</t>
  </si>
  <si>
    <t>72014.16</t>
  </si>
  <si>
    <t>57905.19</t>
  </si>
  <si>
    <t>10508.26</t>
  </si>
  <si>
    <t>ORD105603</t>
  </si>
  <si>
    <t>CUST13227</t>
  </si>
  <si>
    <t>4367.8100000000004</t>
  </si>
  <si>
    <t>3564.25</t>
  </si>
  <si>
    <t>366.78</t>
  </si>
  <si>
    <t>ORD105606</t>
  </si>
  <si>
    <t>CUST12152</t>
  </si>
  <si>
    <t>4673.2</t>
  </si>
  <si>
    <t>5146.8999999999996</t>
  </si>
  <si>
    <t>2330.2199999999998</t>
  </si>
  <si>
    <t>ORD105615</t>
  </si>
  <si>
    <t>CUST13139</t>
  </si>
  <si>
    <t>15760.53</t>
  </si>
  <si>
    <t>24155.78</t>
  </si>
  <si>
    <t>7365.28</t>
  </si>
  <si>
    <t>ORD105633</t>
  </si>
  <si>
    <t>CUST10665</t>
  </si>
  <si>
    <t>4955.05</t>
  </si>
  <si>
    <t>3439.16</t>
  </si>
  <si>
    <t>1020.38</t>
  </si>
  <si>
    <t>ORD105635</t>
  </si>
  <si>
    <t>CUST10597</t>
  </si>
  <si>
    <t>2957.32</t>
  </si>
  <si>
    <t>1891.97</t>
  </si>
  <si>
    <t>1065.3499999999999</t>
  </si>
  <si>
    <t>ORD105638</t>
  </si>
  <si>
    <t>CUST10369</t>
  </si>
  <si>
    <t>6162.75</t>
  </si>
  <si>
    <t>4405.83</t>
  </si>
  <si>
    <t>524.37</t>
  </si>
  <si>
    <t>ORD105647</t>
  </si>
  <si>
    <t>CUST11627</t>
  </si>
  <si>
    <t>16575.830000000002</t>
  </si>
  <si>
    <t>25037.61</t>
  </si>
  <si>
    <t>3141.3</t>
  </si>
  <si>
    <t>ORD105657</t>
  </si>
  <si>
    <t>CUST12117</t>
  </si>
  <si>
    <t>3057.3</t>
  </si>
  <si>
    <t>2390.4699999999998</t>
  </si>
  <si>
    <t>666.83</t>
  </si>
  <si>
    <t>ORD105658</t>
  </si>
  <si>
    <t>CUST12839</t>
  </si>
  <si>
    <t>4285.08</t>
  </si>
  <si>
    <t>3059.44</t>
  </si>
  <si>
    <t>1011.39</t>
  </si>
  <si>
    <t>ORD105659</t>
  </si>
  <si>
    <t>CUST10792</t>
  </si>
  <si>
    <t>40525.040000000001</t>
  </si>
  <si>
    <t>62175.99</t>
  </si>
  <si>
    <t>14821.59</t>
  </si>
  <si>
    <t>ORD105681</t>
  </si>
  <si>
    <t>CUST11670</t>
  </si>
  <si>
    <t>33864.53</t>
  </si>
  <si>
    <t>93949.16</t>
  </si>
  <si>
    <t>34736.050000000003</t>
  </si>
  <si>
    <t>ORD105691</t>
  </si>
  <si>
    <t>CUST12558</t>
  </si>
  <si>
    <t>5184.6400000000003</t>
  </si>
  <si>
    <t>8358.2199999999993</t>
  </si>
  <si>
    <t>455.67</t>
  </si>
  <si>
    <t>ORD105692</t>
  </si>
  <si>
    <t>CUST10972</t>
  </si>
  <si>
    <t>8601.02</t>
  </si>
  <si>
    <t>6158.67</t>
  </si>
  <si>
    <t>1582.25</t>
  </si>
  <si>
    <t>ORD105694</t>
  </si>
  <si>
    <t>CUST12341</t>
  </si>
  <si>
    <t>6558.36</t>
  </si>
  <si>
    <t>5076.67</t>
  </si>
  <si>
    <t>1153.77</t>
  </si>
  <si>
    <t>ORD105699</t>
  </si>
  <si>
    <t>CUST10079</t>
  </si>
  <si>
    <t>23497.89</t>
  </si>
  <si>
    <t>16840.77</t>
  </si>
  <si>
    <t>4307.33</t>
  </si>
  <si>
    <t>ORD105702</t>
  </si>
  <si>
    <t>CUST10460</t>
  </si>
  <si>
    <t>36110.65</t>
  </si>
  <si>
    <t>25729.38</t>
  </si>
  <si>
    <t>4964.67</t>
  </si>
  <si>
    <t>ORD105703</t>
  </si>
  <si>
    <t>CUST13175</t>
  </si>
  <si>
    <t>846.17</t>
  </si>
  <si>
    <t>655.4</t>
  </si>
  <si>
    <t>63.84</t>
  </si>
  <si>
    <t>ORD105715</t>
  </si>
  <si>
    <t>CUST10343</t>
  </si>
  <si>
    <t>11341.55</t>
  </si>
  <si>
    <t>16155.39</t>
  </si>
  <si>
    <t>4259.3999999999996</t>
  </si>
  <si>
    <t>ORD105725</t>
  </si>
  <si>
    <t>CUST11830</t>
  </si>
  <si>
    <t>6262.01</t>
  </si>
  <si>
    <t>4550.43</t>
  </si>
  <si>
    <t>1711.58</t>
  </si>
  <si>
    <t>ORD105730</t>
  </si>
  <si>
    <t>CUST11271</t>
  </si>
  <si>
    <t>775.93</t>
  </si>
  <si>
    <t>1095.43</t>
  </si>
  <si>
    <t>378.84</t>
  </si>
  <si>
    <t>ORD105731</t>
  </si>
  <si>
    <t>CUST10857</t>
  </si>
  <si>
    <t>2394.63</t>
  </si>
  <si>
    <t>5514.12</t>
  </si>
  <si>
    <t>951.38</t>
  </si>
  <si>
    <t>ORD105735</t>
  </si>
  <si>
    <t>CUST11209</t>
  </si>
  <si>
    <t>1314.87</t>
  </si>
  <si>
    <t>1025.3599999999999</t>
  </si>
  <si>
    <t>289.51</t>
  </si>
  <si>
    <t>ORD105738</t>
  </si>
  <si>
    <t>CUST12928</t>
  </si>
  <si>
    <t>22578.36</t>
  </si>
  <si>
    <t>16987.48</t>
  </si>
  <si>
    <t>3333.04</t>
  </si>
  <si>
    <t>ORD105741</t>
  </si>
  <si>
    <t>CUST12672</t>
  </si>
  <si>
    <t>62329.24</t>
  </si>
  <si>
    <t>168313.95</t>
  </si>
  <si>
    <t>56071.31</t>
  </si>
  <si>
    <t>ORD105750</t>
  </si>
  <si>
    <t>CUST10679</t>
  </si>
  <si>
    <t>11572.8</t>
  </si>
  <si>
    <t>8582.39</t>
  </si>
  <si>
    <t>1833.13</t>
  </si>
  <si>
    <t>ORD105756</t>
  </si>
  <si>
    <t>CUST13349</t>
  </si>
  <si>
    <t>64040.09</t>
  </si>
  <si>
    <t>43446.29</t>
  </si>
  <si>
    <t>10987.79</t>
  </si>
  <si>
    <t>ORD105760</t>
  </si>
  <si>
    <t>CUST10953</t>
  </si>
  <si>
    <t>61876.97</t>
  </si>
  <si>
    <t>43970.98</t>
  </si>
  <si>
    <t>14812.14</t>
  </si>
  <si>
    <t>ORD105762</t>
  </si>
  <si>
    <t>CUST10361</t>
  </si>
  <si>
    <t>11503.18</t>
  </si>
  <si>
    <t>8311.06</t>
  </si>
  <si>
    <t>2616.96</t>
  </si>
  <si>
    <t>ORD105771</t>
  </si>
  <si>
    <t>CUST10422</t>
  </si>
  <si>
    <t>2402.08</t>
  </si>
  <si>
    <t>1742.45</t>
  </si>
  <si>
    <t>419.42</t>
  </si>
  <si>
    <t>ORD105776</t>
  </si>
  <si>
    <t>CUST10748</t>
  </si>
  <si>
    <t>6679.7</t>
  </si>
  <si>
    <t>3941.99</t>
  </si>
  <si>
    <t>2737.71</t>
  </si>
  <si>
    <t>ORD105781</t>
  </si>
  <si>
    <t>CUST12727</t>
  </si>
  <si>
    <t>37065.24</t>
  </si>
  <si>
    <t>68896.67</t>
  </si>
  <si>
    <t>31179.48</t>
  </si>
  <si>
    <t>ORD105787</t>
  </si>
  <si>
    <t>CUST13031</t>
  </si>
  <si>
    <t>11606.67</t>
  </si>
  <si>
    <t>7173.95</t>
  </si>
  <si>
    <t>3272.05</t>
  </si>
  <si>
    <t>ORD105791</t>
  </si>
  <si>
    <t>CUST10811</t>
  </si>
  <si>
    <t>2890.73</t>
  </si>
  <si>
    <t>1863.41</t>
  </si>
  <si>
    <t>1027.32</t>
  </si>
  <si>
    <t>ORD105802</t>
  </si>
  <si>
    <t>CUST12006</t>
  </si>
  <si>
    <t>5435.71</t>
  </si>
  <si>
    <t>3716.59</t>
  </si>
  <si>
    <t>903.76</t>
  </si>
  <si>
    <t>ORD105814</t>
  </si>
  <si>
    <t>CUST10783</t>
  </si>
  <si>
    <t>25418.74</t>
  </si>
  <si>
    <t>16741</t>
  </si>
  <si>
    <t>6135.87</t>
  </si>
  <si>
    <t>ORD105827</t>
  </si>
  <si>
    <t>CUST12951</t>
  </si>
  <si>
    <t>22805.85</t>
  </si>
  <si>
    <t>16108.24</t>
  </si>
  <si>
    <t>4417.0200000000004</t>
  </si>
  <si>
    <t>ORD105828</t>
  </si>
  <si>
    <t>CUST11596</t>
  </si>
  <si>
    <t>72789.63</t>
  </si>
  <si>
    <t>102297.1</t>
  </si>
  <si>
    <t>21445.27</t>
  </si>
  <si>
    <t>ORD105832</t>
  </si>
  <si>
    <t>CUST11664</t>
  </si>
  <si>
    <t>2889.33</t>
  </si>
  <si>
    <t>1646.87</t>
  </si>
  <si>
    <t>953.53</t>
  </si>
  <si>
    <t>ORD105836</t>
  </si>
  <si>
    <t>CUST13407</t>
  </si>
  <si>
    <t>485.63</t>
  </si>
  <si>
    <t>1307.9100000000001</t>
  </si>
  <si>
    <t>343.23</t>
  </si>
  <si>
    <t>ORD105840</t>
  </si>
  <si>
    <t>CUST13473</t>
  </si>
  <si>
    <t>2333.48</t>
  </si>
  <si>
    <t>1551.69</t>
  </si>
  <si>
    <t>781.79</t>
  </si>
  <si>
    <t>ORD105842</t>
  </si>
  <si>
    <t>CUST10827</t>
  </si>
  <si>
    <t>4860.1499999999996</t>
  </si>
  <si>
    <t>7954.11</t>
  </si>
  <si>
    <t>1766.19</t>
  </si>
  <si>
    <t>ORD105848</t>
  </si>
  <si>
    <t>CUST10112</t>
  </si>
  <si>
    <t>1836.51</t>
  </si>
  <si>
    <t>1225.3699999999999</t>
  </si>
  <si>
    <t>427.49</t>
  </si>
  <si>
    <t>ORD105849</t>
  </si>
  <si>
    <t>CUST10129</t>
  </si>
  <si>
    <t>3583.75</t>
  </si>
  <si>
    <t>4706.83</t>
  </si>
  <si>
    <t>1027.17</t>
  </si>
  <si>
    <t>ORD105853</t>
  </si>
  <si>
    <t>CUST10909</t>
  </si>
  <si>
    <t>4797.87</t>
  </si>
  <si>
    <t>3889.17</t>
  </si>
  <si>
    <t>428.91</t>
  </si>
  <si>
    <t>ORD105854</t>
  </si>
  <si>
    <t>CUST10107</t>
  </si>
  <si>
    <t>4822.17</t>
  </si>
  <si>
    <t>5459.98</t>
  </si>
  <si>
    <t>ORD105855</t>
  </si>
  <si>
    <t>CUST12231</t>
  </si>
  <si>
    <t>30831.64</t>
  </si>
  <si>
    <t>37025.43</t>
  </si>
  <si>
    <t>21554.69</t>
  </si>
  <si>
    <t>ORD105863</t>
  </si>
  <si>
    <t>CUST11375</t>
  </si>
  <si>
    <t>23365.200000000001</t>
  </si>
  <si>
    <t>51593.24</t>
  </si>
  <si>
    <t>4483.24</t>
  </si>
  <si>
    <t>ORD105870</t>
  </si>
  <si>
    <t>CUST13361</t>
  </si>
  <si>
    <t>17610.52</t>
  </si>
  <si>
    <t>10302.68</t>
  </si>
  <si>
    <t>5546.79</t>
  </si>
  <si>
    <t>ORD105873</t>
  </si>
  <si>
    <t>CUST12583</t>
  </si>
  <si>
    <t>70139.45</t>
  </si>
  <si>
    <t>41856.449999999997</t>
  </si>
  <si>
    <t>21269.05</t>
  </si>
  <si>
    <t>ORD105893</t>
  </si>
  <si>
    <t>CUST12607</t>
  </si>
  <si>
    <t>1130.1300000000001</t>
  </si>
  <si>
    <t>870.29</t>
  </si>
  <si>
    <t>ORD105894</t>
  </si>
  <si>
    <t>CUST11454</t>
  </si>
  <si>
    <t>14871.04</t>
  </si>
  <si>
    <t>10477.719999999999</t>
  </si>
  <si>
    <t>2162.66</t>
  </si>
  <si>
    <t>ORD105900</t>
  </si>
  <si>
    <t>CUST10277</t>
  </si>
  <si>
    <t>3247.74</t>
  </si>
  <si>
    <t>2077.66</t>
  </si>
  <si>
    <t>682.92</t>
  </si>
  <si>
    <t>ORD105904</t>
  </si>
  <si>
    <t>CUST12432</t>
  </si>
  <si>
    <t>3863.31</t>
  </si>
  <si>
    <t>2734.37</t>
  </si>
  <si>
    <t>935.77</t>
  </si>
  <si>
    <t>ORD105908</t>
  </si>
  <si>
    <t>CUST10238</t>
  </si>
  <si>
    <t>33385.449999999997</t>
  </si>
  <si>
    <t>25134.04</t>
  </si>
  <si>
    <t>4912.8599999999997</t>
  </si>
  <si>
    <t>ORD105909</t>
  </si>
  <si>
    <t>CUST13398</t>
  </si>
  <si>
    <t>17954.86</t>
  </si>
  <si>
    <t>28455.09</t>
  </si>
  <si>
    <t>5659.14</t>
  </si>
  <si>
    <t>ORD105917</t>
  </si>
  <si>
    <t>CUST12198</t>
  </si>
  <si>
    <t>6282.49</t>
  </si>
  <si>
    <t>13578.09</t>
  </si>
  <si>
    <t>4327.01</t>
  </si>
  <si>
    <t>ORD105931</t>
  </si>
  <si>
    <t>CUST11406</t>
  </si>
  <si>
    <t>15161.49</t>
  </si>
  <si>
    <t>11729.59</t>
  </si>
  <si>
    <t>2673.83</t>
  </si>
  <si>
    <t>ORD105936</t>
  </si>
  <si>
    <t>CUST10604</t>
  </si>
  <si>
    <t>2150.92</t>
  </si>
  <si>
    <t>2869.5</t>
  </si>
  <si>
    <t>571.97</t>
  </si>
  <si>
    <t>ORD105939</t>
  </si>
  <si>
    <t>CUST10997</t>
  </si>
  <si>
    <t>10557.78</t>
  </si>
  <si>
    <t>7675.94</t>
  </si>
  <si>
    <t>1826.06</t>
  </si>
  <si>
    <t>ORD105946</t>
  </si>
  <si>
    <t>CUST11433</t>
  </si>
  <si>
    <t>5311.89</t>
  </si>
  <si>
    <t>6338.85</t>
  </si>
  <si>
    <t>3222.55</t>
  </si>
  <si>
    <t>ORD105959</t>
  </si>
  <si>
    <t>CUST10674</t>
  </si>
  <si>
    <t>3365.84</t>
  </si>
  <si>
    <t>2177.37</t>
  </si>
  <si>
    <t>1188.47</t>
  </si>
  <si>
    <t>ORD105960</t>
  </si>
  <si>
    <t>CUST10932</t>
  </si>
  <si>
    <t>13428.73</t>
  </si>
  <si>
    <t>19819.560000000001</t>
  </si>
  <si>
    <t>5695.03</t>
  </si>
  <si>
    <t>ORD105963</t>
  </si>
  <si>
    <t>CUST10418</t>
  </si>
  <si>
    <t>4215.17</t>
  </si>
  <si>
    <t>2556.23</t>
  </si>
  <si>
    <t>1026.6600000000001</t>
  </si>
  <si>
    <t>ORD105964</t>
  </si>
  <si>
    <t>CUST12501</t>
  </si>
  <si>
    <t>37754.18</t>
  </si>
  <si>
    <t>21060.87</t>
  </si>
  <si>
    <t>14805.6</t>
  </si>
  <si>
    <t>ORD105966</t>
  </si>
  <si>
    <t>CUST13243</t>
  </si>
  <si>
    <t>5182.97</t>
  </si>
  <si>
    <t>8767.9500000000007</t>
  </si>
  <si>
    <t>5226.07</t>
  </si>
  <si>
    <t>ORD105970</t>
  </si>
  <si>
    <t>CUST12890</t>
  </si>
  <si>
    <t>1638.79</t>
  </si>
  <si>
    <t>2411.5300000000002</t>
  </si>
  <si>
    <t>702.17</t>
  </si>
  <si>
    <t>ORD105972</t>
  </si>
  <si>
    <t>CUST11623</t>
  </si>
  <si>
    <t>13291.43</t>
  </si>
  <si>
    <t>30590.19</t>
  </si>
  <si>
    <t>7290.39</t>
  </si>
  <si>
    <t>ORD105975</t>
  </si>
  <si>
    <t>CUST10219</t>
  </si>
  <si>
    <t>4721.6400000000003</t>
  </si>
  <si>
    <t>3539.58</t>
  </si>
  <si>
    <t>709.9</t>
  </si>
  <si>
    <t>ORD105978</t>
  </si>
  <si>
    <t>CUST11894</t>
  </si>
  <si>
    <t>16932.41</t>
  </si>
  <si>
    <t>20039.419999999998</t>
  </si>
  <si>
    <t>10438.92</t>
  </si>
  <si>
    <t>ORD105984</t>
  </si>
  <si>
    <t>CUST10056</t>
  </si>
  <si>
    <t>1493.56</t>
  </si>
  <si>
    <t>ORD105987</t>
  </si>
  <si>
    <t>CUST12709</t>
  </si>
  <si>
    <t>19858.900000000001</t>
  </si>
  <si>
    <t>12114.12</t>
  </si>
  <si>
    <t>3773</t>
  </si>
  <si>
    <t>ORD106004</t>
  </si>
  <si>
    <t>CUST11946</t>
  </si>
  <si>
    <t>34964.51</t>
  </si>
  <si>
    <t>25995.21</t>
  </si>
  <si>
    <t>8969.2999999999993</t>
  </si>
  <si>
    <t>ORD106019</t>
  </si>
  <si>
    <t>CUST11698</t>
  </si>
  <si>
    <t>2812.29</t>
  </si>
  <si>
    <t>1753.27</t>
  </si>
  <si>
    <t>637.17999999999995</t>
  </si>
  <si>
    <t>ORD106020</t>
  </si>
  <si>
    <t>CUST11907</t>
  </si>
  <si>
    <t>3075</t>
  </si>
  <si>
    <t>6650.15</t>
  </si>
  <si>
    <t>729.85</t>
  </si>
  <si>
    <t>ORD106028</t>
  </si>
  <si>
    <t>CUST10583</t>
  </si>
  <si>
    <t>4354.8100000000004</t>
  </si>
  <si>
    <t>2492.5500000000002</t>
  </si>
  <si>
    <t>1209.04</t>
  </si>
  <si>
    <t>ORD106045</t>
  </si>
  <si>
    <t>CUST12368</t>
  </si>
  <si>
    <t>5104.22</t>
  </si>
  <si>
    <t>5946.42</t>
  </si>
  <si>
    <t>3241.18</t>
  </si>
  <si>
    <t>ORD106065</t>
  </si>
  <si>
    <t>CUST11124</t>
  </si>
  <si>
    <t>15230.83</t>
  </si>
  <si>
    <t>11964.93</t>
  </si>
  <si>
    <t>3265.9</t>
  </si>
  <si>
    <t>ORD106069</t>
  </si>
  <si>
    <t>CUST12858</t>
  </si>
  <si>
    <t>585.25</t>
  </si>
  <si>
    <t>1143.06</t>
  </si>
  <si>
    <t>612.69000000000005</t>
  </si>
  <si>
    <t>ORD106071</t>
  </si>
  <si>
    <t>CUST13389</t>
  </si>
  <si>
    <t>3530.66</t>
  </si>
  <si>
    <t>2069.96</t>
  </si>
  <si>
    <t>1284.17</t>
  </si>
  <si>
    <t>ORD106072</t>
  </si>
  <si>
    <t>CUST13162</t>
  </si>
  <si>
    <t>4166.54</t>
  </si>
  <si>
    <t>2785.93</t>
  </si>
  <si>
    <t>963.96</t>
  </si>
  <si>
    <t>ORD106084</t>
  </si>
  <si>
    <t>CUST10432</t>
  </si>
  <si>
    <t>8111.34</t>
  </si>
  <si>
    <t>10755.02</t>
  </si>
  <si>
    <t>3034.26</t>
  </si>
  <si>
    <t>ORD106091</t>
  </si>
  <si>
    <t>CUST10543</t>
  </si>
  <si>
    <t>49629.79</t>
  </si>
  <si>
    <t>38676.769999999997</t>
  </si>
  <si>
    <t>10953.02</t>
  </si>
  <si>
    <t>ORD106096</t>
  </si>
  <si>
    <t>CUST11148</t>
  </si>
  <si>
    <t>973.5</t>
  </si>
  <si>
    <t>587.80999999999995</t>
  </si>
  <si>
    <t>ORD106111</t>
  </si>
  <si>
    <t>CUST11693</t>
  </si>
  <si>
    <t>15772.25</t>
  </si>
  <si>
    <t>8876.9699999999993</t>
  </si>
  <si>
    <t>5318.05</t>
  </si>
  <si>
    <t>ORD106113</t>
  </si>
  <si>
    <t>CUST12943</t>
  </si>
  <si>
    <t>4657.12</t>
  </si>
  <si>
    <t>9898.5</t>
  </si>
  <si>
    <t>3374.29</t>
  </si>
  <si>
    <t>ORD106115</t>
  </si>
  <si>
    <t>CUST11252</t>
  </si>
  <si>
    <t>64473.73</t>
  </si>
  <si>
    <t>174170.12</t>
  </si>
  <si>
    <t>83724.800000000003</t>
  </si>
  <si>
    <t>ORD106118</t>
  </si>
  <si>
    <t>CUST10412</t>
  </si>
  <si>
    <t>2887.93</t>
  </si>
  <si>
    <t>7612.62</t>
  </si>
  <si>
    <t>2783.93</t>
  </si>
  <si>
    <t>ORD106124</t>
  </si>
  <si>
    <t>CUST10280</t>
  </si>
  <si>
    <t>54420.160000000003</t>
  </si>
  <si>
    <t>37298.01</t>
  </si>
  <si>
    <t>8959.1299999999992</t>
  </si>
  <si>
    <t>ORD106127</t>
  </si>
  <si>
    <t>CUST10853</t>
  </si>
  <si>
    <t>3686.02</t>
  </si>
  <si>
    <t>2967.69</t>
  </si>
  <si>
    <t>534.03</t>
  </si>
  <si>
    <t>ORD106129</t>
  </si>
  <si>
    <t>CUST13134</t>
  </si>
  <si>
    <t>1598.29</t>
  </si>
  <si>
    <t>3740.44</t>
  </si>
  <si>
    <t>574.94000000000005</t>
  </si>
  <si>
    <t>ORD106137</t>
  </si>
  <si>
    <t>CUST12056</t>
  </si>
  <si>
    <t>17013.32</t>
  </si>
  <si>
    <t>13365.87</t>
  </si>
  <si>
    <t>2796.78</t>
  </si>
  <si>
    <t>ORD106141</t>
  </si>
  <si>
    <t>CUST11079</t>
  </si>
  <si>
    <t>50271.55</t>
  </si>
  <si>
    <t>61168.99</t>
  </si>
  <si>
    <t>24292.65</t>
  </si>
  <si>
    <t>ORD106154</t>
  </si>
  <si>
    <t>CUST11856</t>
  </si>
  <si>
    <t>22218.400000000001</t>
  </si>
  <si>
    <t>18163.64</t>
  </si>
  <si>
    <t>722</t>
  </si>
  <si>
    <t>ORD106158</t>
  </si>
  <si>
    <t>CUST13245</t>
  </si>
  <si>
    <t>4558.21</t>
  </si>
  <si>
    <t>3013.2</t>
  </si>
  <si>
    <t>1089.19</t>
  </si>
  <si>
    <t>ORD106160</t>
  </si>
  <si>
    <t>CUST12866</t>
  </si>
  <si>
    <t>11772.06</t>
  </si>
  <si>
    <t>7655.04</t>
  </si>
  <si>
    <t>3528.42</t>
  </si>
  <si>
    <t>ORD106161</t>
  </si>
  <si>
    <t>CUST12972</t>
  </si>
  <si>
    <t>9325.2000000000007</t>
  </si>
  <si>
    <t>29232.54</t>
  </si>
  <si>
    <t>8068.26</t>
  </si>
  <si>
    <t>ORD106163</t>
  </si>
  <si>
    <t>CUST12327</t>
  </si>
  <si>
    <t>35220.769999999997</t>
  </si>
  <si>
    <t>42809.5</t>
  </si>
  <si>
    <t>24109.96</t>
  </si>
  <si>
    <t>ORD106164</t>
  </si>
  <si>
    <t>CUST12909</t>
  </si>
  <si>
    <t>13832.89</t>
  </si>
  <si>
    <t>29516.86</t>
  </si>
  <si>
    <t>5757.01</t>
  </si>
  <si>
    <t>ORD106171</t>
  </si>
  <si>
    <t>CUST13154</t>
  </si>
  <si>
    <t>3516.53</t>
  </si>
  <si>
    <t>2549.08</t>
  </si>
  <si>
    <t>615.79999999999995</t>
  </si>
  <si>
    <t>ORD106190</t>
  </si>
  <si>
    <t>CUST12529</t>
  </si>
  <si>
    <t>14826.51</t>
  </si>
  <si>
    <t>10413.450000000001</t>
  </si>
  <si>
    <t>4413.0600000000004</t>
  </si>
  <si>
    <t>ORD106194</t>
  </si>
  <si>
    <t>CUST10996</t>
  </si>
  <si>
    <t>1717.88</t>
  </si>
  <si>
    <t>1060.1300000000001</t>
  </si>
  <si>
    <t>485.96</t>
  </si>
  <si>
    <t>ORD106201</t>
  </si>
  <si>
    <t>CUST10974</t>
  </si>
  <si>
    <t>2438.0100000000002</t>
  </si>
  <si>
    <t>1861.8</t>
  </si>
  <si>
    <t>210.51</t>
  </si>
  <si>
    <t>ORD106205</t>
  </si>
  <si>
    <t>CUST11763</t>
  </si>
  <si>
    <t>7005.17</t>
  </si>
  <si>
    <t>3895.29</t>
  </si>
  <si>
    <t>2409.36</t>
  </si>
  <si>
    <t>ORD106207</t>
  </si>
  <si>
    <t>CUST10838</t>
  </si>
  <si>
    <t>16103.05</t>
  </si>
  <si>
    <t>9268.4500000000007</t>
  </si>
  <si>
    <t>6029.45</t>
  </si>
  <si>
    <t>ORD106211</t>
  </si>
  <si>
    <t>CUST11253</t>
  </si>
  <si>
    <t>3761.91</t>
  </si>
  <si>
    <t>5701.42</t>
  </si>
  <si>
    <t>317.64</t>
  </si>
  <si>
    <t>ORD106215</t>
  </si>
  <si>
    <t>CUST10206</t>
  </si>
  <si>
    <t>19821.55</t>
  </si>
  <si>
    <t>55970.12</t>
  </si>
  <si>
    <t>19351.77</t>
  </si>
  <si>
    <t>ORD106224</t>
  </si>
  <si>
    <t>CUST10209</t>
  </si>
  <si>
    <t>17360.009999999998</t>
  </si>
  <si>
    <t>40289.26</t>
  </si>
  <si>
    <t>1374.76</t>
  </si>
  <si>
    <t>ORD106238</t>
  </si>
  <si>
    <t>CUST10653</t>
  </si>
  <si>
    <t>37399.47</t>
  </si>
  <si>
    <t>64765.59</t>
  </si>
  <si>
    <t>24993.14</t>
  </si>
  <si>
    <t>ORD106239</t>
  </si>
  <si>
    <t>CUST11292</t>
  </si>
  <si>
    <t>67958.8</t>
  </si>
  <si>
    <t>98226.96</t>
  </si>
  <si>
    <t>17303</t>
  </si>
  <si>
    <t>ORD106243</t>
  </si>
  <si>
    <t>CUST11143</t>
  </si>
  <si>
    <t>6082.42</t>
  </si>
  <si>
    <t>3843.72</t>
  </si>
  <si>
    <t>2238.6999999999998</t>
  </si>
  <si>
    <t>ORD106253</t>
  </si>
  <si>
    <t>CUST10562</t>
  </si>
  <si>
    <t>4788.25</t>
  </si>
  <si>
    <t>2774.21</t>
  </si>
  <si>
    <t>1295.8</t>
  </si>
  <si>
    <t>ORD106254</t>
  </si>
  <si>
    <t>CUST12312</t>
  </si>
  <si>
    <t>11270.02</t>
  </si>
  <si>
    <t>24181.03</t>
  </si>
  <si>
    <t>4557.5200000000004</t>
  </si>
  <si>
    <t>ORD106261</t>
  </si>
  <si>
    <t>CUST11122</t>
  </si>
  <si>
    <t>34537.440000000002</t>
  </si>
  <si>
    <t>21173.77</t>
  </si>
  <si>
    <t>8183.05</t>
  </si>
  <si>
    <t>ORD106265</t>
  </si>
  <si>
    <t>CUST12787</t>
  </si>
  <si>
    <t>4684.6899999999996</t>
  </si>
  <si>
    <t>2631.65</t>
  </si>
  <si>
    <t>1116.0999999999999</t>
  </si>
  <si>
    <t>ORD106268</t>
  </si>
  <si>
    <t>CUST12248</t>
  </si>
  <si>
    <t>10281.44</t>
  </si>
  <si>
    <t>12087.77</t>
  </si>
  <si>
    <t>8475.11</t>
  </si>
  <si>
    <t>ORD106270</t>
  </si>
  <si>
    <t>CUST12461</t>
  </si>
  <si>
    <t>41414.199999999997</t>
  </si>
  <si>
    <t>24631.71</t>
  </si>
  <si>
    <t>8499.65</t>
  </si>
  <si>
    <t>ORD106272</t>
  </si>
  <si>
    <t>CUST12915</t>
  </si>
  <si>
    <t>9173.68</t>
  </si>
  <si>
    <t>20680.52</t>
  </si>
  <si>
    <t>4088.42</t>
  </si>
  <si>
    <t>ORD106277</t>
  </si>
  <si>
    <t>CUST11066</t>
  </si>
  <si>
    <t>1745.68</t>
  </si>
  <si>
    <t>2476.06</t>
  </si>
  <si>
    <t>491.6</t>
  </si>
  <si>
    <t>ORD106306</t>
  </si>
  <si>
    <t>CUST10941</t>
  </si>
  <si>
    <t>2680.01</t>
  </si>
  <si>
    <t>1656.22</t>
  </si>
  <si>
    <t>889.79</t>
  </si>
  <si>
    <t>ORD106309</t>
  </si>
  <si>
    <t>CUST13296</t>
  </si>
  <si>
    <t>3125.35</t>
  </si>
  <si>
    <t>4371.58</t>
  </si>
  <si>
    <t>1254.05</t>
  </si>
  <si>
    <t>ORD106312</t>
  </si>
  <si>
    <t>CUST10092</t>
  </si>
  <si>
    <t>4609.6400000000003</t>
  </si>
  <si>
    <t>3730.23</t>
  </si>
  <si>
    <t>879.41</t>
  </si>
  <si>
    <t>ORD106313</t>
  </si>
  <si>
    <t>CUST11530</t>
  </si>
  <si>
    <t>5916.35</t>
  </si>
  <si>
    <t>4476.5</t>
  </si>
  <si>
    <t>1144.03</t>
  </si>
  <si>
    <t>ORD106315</t>
  </si>
  <si>
    <t>CUST10669</t>
  </si>
  <si>
    <t>5358.92</t>
  </si>
  <si>
    <t>4219.12</t>
  </si>
  <si>
    <t>871.85</t>
  </si>
  <si>
    <t>ORD106319</t>
  </si>
  <si>
    <t>CUST11546</t>
  </si>
  <si>
    <t>4785.95</t>
  </si>
  <si>
    <t>3106.02</t>
  </si>
  <si>
    <t>1201.33</t>
  </si>
  <si>
    <t>ORD106342</t>
  </si>
  <si>
    <t>CUST11339</t>
  </si>
  <si>
    <t>17515.7</t>
  </si>
  <si>
    <t>35628.94</t>
  </si>
  <si>
    <t>16918.16</t>
  </si>
  <si>
    <t>ORD106345</t>
  </si>
  <si>
    <t>CUST11290</t>
  </si>
  <si>
    <t>9511.84</t>
  </si>
  <si>
    <t>5326.72</t>
  </si>
  <si>
    <t>3233.94</t>
  </si>
  <si>
    <t>ORD106367</t>
  </si>
  <si>
    <t>CUST11840</t>
  </si>
  <si>
    <t>6234.67</t>
  </si>
  <si>
    <t>4068.81</t>
  </si>
  <si>
    <t>2165.86</t>
  </si>
  <si>
    <t>ORD106368</t>
  </si>
  <si>
    <t>CUST12637</t>
  </si>
  <si>
    <t>14915.07</t>
  </si>
  <si>
    <t>8210.58</t>
  </si>
  <si>
    <t>5958.74</t>
  </si>
  <si>
    <t>ORD106384</t>
  </si>
  <si>
    <t>CUST11269</t>
  </si>
  <si>
    <t>11666.53</t>
  </si>
  <si>
    <t>17040.72</t>
  </si>
  <si>
    <t>2792.38</t>
  </si>
  <si>
    <t>ORD106387</t>
  </si>
  <si>
    <t>CUST12044</t>
  </si>
  <si>
    <t>5885.18</t>
  </si>
  <si>
    <t>3511.88</t>
  </si>
  <si>
    <t>1784.78</t>
  </si>
  <si>
    <t>ORD106396</t>
  </si>
  <si>
    <t>CUST10547</t>
  </si>
  <si>
    <t>13482.72</t>
  </si>
  <si>
    <t>8114.68</t>
  </si>
  <si>
    <t>5368.04</t>
  </si>
  <si>
    <t>ORD106403</t>
  </si>
  <si>
    <t>CUST11272</t>
  </si>
  <si>
    <t>5394.37</t>
  </si>
  <si>
    <t>3843.41</t>
  </si>
  <si>
    <t>1011.52</t>
  </si>
  <si>
    <t>ORD106413</t>
  </si>
  <si>
    <t>CUST13088</t>
  </si>
  <si>
    <t>39895.410000000003</t>
  </si>
  <si>
    <t>24658.47</t>
  </si>
  <si>
    <t>11247.4</t>
  </si>
  <si>
    <t>ORD106416</t>
  </si>
  <si>
    <t>CUST11393</t>
  </si>
  <si>
    <t>1853.76</t>
  </si>
  <si>
    <t>1484.68</t>
  </si>
  <si>
    <t>369.08</t>
  </si>
  <si>
    <t>ORD106425</t>
  </si>
  <si>
    <t>CUST10712</t>
  </si>
  <si>
    <t>50054.41</t>
  </si>
  <si>
    <t>70407.48</t>
  </si>
  <si>
    <t>19690.46</t>
  </si>
  <si>
    <t>ORD106431</t>
  </si>
  <si>
    <t>CUST10844</t>
  </si>
  <si>
    <t>2369.1799999999998</t>
  </si>
  <si>
    <t>1328.52</t>
  </si>
  <si>
    <t>922.2</t>
  </si>
  <si>
    <t>ORD106433</t>
  </si>
  <si>
    <t>CUST10662</t>
  </si>
  <si>
    <t>2736.16</t>
  </si>
  <si>
    <t>1985.3</t>
  </si>
  <si>
    <t>203.63</t>
  </si>
  <si>
    <t>ORD106439</t>
  </si>
  <si>
    <t>CUST12228</t>
  </si>
  <si>
    <t>13951.6</t>
  </si>
  <si>
    <t>16046.4</t>
  </si>
  <si>
    <t>9066.48</t>
  </si>
  <si>
    <t>ORD106457</t>
  </si>
  <si>
    <t>CUST10797</t>
  </si>
  <si>
    <t>61153.26</t>
  </si>
  <si>
    <t>140499.07999999999</t>
  </si>
  <si>
    <t>91883.31</t>
  </si>
  <si>
    <t>ORD106460</t>
  </si>
  <si>
    <t>CUST11092</t>
  </si>
  <si>
    <t>52299.02</t>
  </si>
  <si>
    <t>40954.94</t>
  </si>
  <si>
    <t>884.28</t>
  </si>
  <si>
    <t>ORD106471</t>
  </si>
  <si>
    <t>CUST11401</t>
  </si>
  <si>
    <t>14410.07</t>
  </si>
  <si>
    <t>9451.65</t>
  </si>
  <si>
    <t>4958.42</t>
  </si>
  <si>
    <t>ORD106472</t>
  </si>
  <si>
    <t>CUST10453</t>
  </si>
  <si>
    <t>2182.34</t>
  </si>
  <si>
    <t>1367.4</t>
  </si>
  <si>
    <t>596.71</t>
  </si>
  <si>
    <t>ORD106476</t>
  </si>
  <si>
    <t>CUST10424</t>
  </si>
  <si>
    <t>2312.33</t>
  </si>
  <si>
    <t>2571.61</t>
  </si>
  <si>
    <t>1821.82</t>
  </si>
  <si>
    <t>ORD106484</t>
  </si>
  <si>
    <t>CUST10610</t>
  </si>
  <si>
    <t>1770.16</t>
  </si>
  <si>
    <t>2736.4</t>
  </si>
  <si>
    <t>449.89</t>
  </si>
  <si>
    <t>ORD106493</t>
  </si>
  <si>
    <t>CUST12342</t>
  </si>
  <si>
    <t>2872.55</t>
  </si>
  <si>
    <t>1740.73</t>
  </si>
  <si>
    <t>ORD106499</t>
  </si>
  <si>
    <t>CUST12721</t>
  </si>
  <si>
    <t>416.46</t>
  </si>
  <si>
    <t>1362.46</t>
  </si>
  <si>
    <t>136.80000000000001</t>
  </si>
  <si>
    <t>ORD106502</t>
  </si>
  <si>
    <t>CUST13225</t>
  </si>
  <si>
    <t>2264.7800000000002</t>
  </si>
  <si>
    <t>1677.82</t>
  </si>
  <si>
    <t>473.72</t>
  </si>
  <si>
    <t>ORD106537</t>
  </si>
  <si>
    <t>CUST11724</t>
  </si>
  <si>
    <t>3844.47</t>
  </si>
  <si>
    <t>2477.04</t>
  </si>
  <si>
    <t>1175.21</t>
  </si>
  <si>
    <t>ORD106555</t>
  </si>
  <si>
    <t>CUST12065</t>
  </si>
  <si>
    <t>15679.01</t>
  </si>
  <si>
    <t>24978.21</t>
  </si>
  <si>
    <t>108.21</t>
  </si>
  <si>
    <t>ORD106561</t>
  </si>
  <si>
    <t>CUST12352</t>
  </si>
  <si>
    <t>11585.1</t>
  </si>
  <si>
    <t>16403.88</t>
  </si>
  <si>
    <t>6766.32</t>
  </si>
  <si>
    <t>ORD106563</t>
  </si>
  <si>
    <t>CUST10897</t>
  </si>
  <si>
    <t>2942.96</t>
  </si>
  <si>
    <t>2285.31</t>
  </si>
  <si>
    <t>657.65</t>
  </si>
  <si>
    <t>ORD106570</t>
  </si>
  <si>
    <t>CUST12971</t>
  </si>
  <si>
    <t>11153.97</t>
  </si>
  <si>
    <t>7496.89</t>
  </si>
  <si>
    <t>3657.08</t>
  </si>
  <si>
    <t>ORD106577</t>
  </si>
  <si>
    <t>CUST11928</t>
  </si>
  <si>
    <t>678.67</t>
  </si>
  <si>
    <t>466.02</t>
  </si>
  <si>
    <t>178.72</t>
  </si>
  <si>
    <t>ORD106582</t>
  </si>
  <si>
    <t>CUST11703</t>
  </si>
  <si>
    <t>51889.53</t>
  </si>
  <si>
    <t>70935.94</t>
  </si>
  <si>
    <t>27654.17</t>
  </si>
  <si>
    <t>ORD106591</t>
  </si>
  <si>
    <t>CUST11677</t>
  </si>
  <si>
    <t>7236.11</t>
  </si>
  <si>
    <t>15613.54</t>
  </si>
  <si>
    <t>1753.12</t>
  </si>
  <si>
    <t>ORD106600</t>
  </si>
  <si>
    <t>CUST13448</t>
  </si>
  <si>
    <t>27237.62</t>
  </si>
  <si>
    <t>19119.23</t>
  </si>
  <si>
    <t>5394.63</t>
  </si>
  <si>
    <t>ORD106604</t>
  </si>
  <si>
    <t>CUST11966</t>
  </si>
  <si>
    <t>12089.4</t>
  </si>
  <si>
    <t>8885.34</t>
  </si>
  <si>
    <t>1995.12</t>
  </si>
  <si>
    <t>ORD106607</t>
  </si>
  <si>
    <t>CUST10964</t>
  </si>
  <si>
    <t>67648.39</t>
  </si>
  <si>
    <t>39073.31</t>
  </si>
  <si>
    <t>28575.08</t>
  </si>
  <si>
    <t>ORD106614</t>
  </si>
  <si>
    <t>CUST13023</t>
  </si>
  <si>
    <t>1224.1500000000001</t>
  </si>
  <si>
    <t>939.9</t>
  </si>
  <si>
    <t>223.04</t>
  </si>
  <si>
    <t>ORD106635</t>
  </si>
  <si>
    <t>CUST10987</t>
  </si>
  <si>
    <t>5694.11</t>
  </si>
  <si>
    <t>4528.24</t>
  </si>
  <si>
    <t>1165.8699999999999</t>
  </si>
  <si>
    <t>ORD106636</t>
  </si>
  <si>
    <t>CUST10055</t>
  </si>
  <si>
    <t>1056.6099999999999</t>
  </si>
  <si>
    <t>644.66999999999996</t>
  </si>
  <si>
    <t>306.27999999999997</t>
  </si>
  <si>
    <t>ORD106637</t>
  </si>
  <si>
    <t>CUST12543</t>
  </si>
  <si>
    <t>593.64</t>
  </si>
  <si>
    <t>373.79</t>
  </si>
  <si>
    <t>ORD106640</t>
  </si>
  <si>
    <t>CUST12733</t>
  </si>
  <si>
    <t>15803.3</t>
  </si>
  <si>
    <t>23516.02</t>
  </si>
  <si>
    <t>8090.58</t>
  </si>
  <si>
    <t>ORD106651</t>
  </si>
  <si>
    <t>CUST10057</t>
  </si>
  <si>
    <t>2723.14</t>
  </si>
  <si>
    <t>3930.12</t>
  </si>
  <si>
    <t>699.22</t>
  </si>
  <si>
    <t>ORD106654</t>
  </si>
  <si>
    <t>CUST10363</t>
  </si>
  <si>
    <t>27877.69</t>
  </si>
  <si>
    <t>18844.759999999998</t>
  </si>
  <si>
    <t>7639.05</t>
  </si>
  <si>
    <t>ORD106660</t>
  </si>
  <si>
    <t>CUST12232</t>
  </si>
  <si>
    <t>3405.03</t>
  </si>
  <si>
    <t>2158.79</t>
  </si>
  <si>
    <t>905.74</t>
  </si>
  <si>
    <t>ORD106661</t>
  </si>
  <si>
    <t>CUST10935</t>
  </si>
  <si>
    <t>5036.83</t>
  </si>
  <si>
    <t>7900.57</t>
  </si>
  <si>
    <t>1165.72</t>
  </si>
  <si>
    <t>ORD106664</t>
  </si>
  <si>
    <t>CUST11759</t>
  </si>
  <si>
    <t>9795.11</t>
  </si>
  <si>
    <t>6580.36</t>
  </si>
  <si>
    <t>2235.2399999999998</t>
  </si>
  <si>
    <t>ORD106672</t>
  </si>
  <si>
    <t>CUST12025</t>
  </si>
  <si>
    <t>2073.61</t>
  </si>
  <si>
    <t>1681.94</t>
  </si>
  <si>
    <t>287.99</t>
  </si>
  <si>
    <t>ORD106678</t>
  </si>
  <si>
    <t>CUST12923</t>
  </si>
  <si>
    <t>3424.58</t>
  </si>
  <si>
    <t>4411.24</t>
  </si>
  <si>
    <t>1753</t>
  </si>
  <si>
    <t>ORD106699</t>
  </si>
  <si>
    <t>CUST11317</t>
  </si>
  <si>
    <t>67974.009999999995</t>
  </si>
  <si>
    <t>50787.26</t>
  </si>
  <si>
    <t>10389.35</t>
  </si>
  <si>
    <t>ORD106700</t>
  </si>
  <si>
    <t>CUST12037</t>
  </si>
  <si>
    <t>9123.64</t>
  </si>
  <si>
    <t>6844.14</t>
  </si>
  <si>
    <t>1823.32</t>
  </si>
  <si>
    <t>ORD106703</t>
  </si>
  <si>
    <t>CUST10787</t>
  </si>
  <si>
    <t>5560.75</t>
  </si>
  <si>
    <t>13528.99</t>
  </si>
  <si>
    <t>2319.15</t>
  </si>
  <si>
    <t>ORD106711</t>
  </si>
  <si>
    <t>CUST12505</t>
  </si>
  <si>
    <t>5017.6400000000003</t>
  </si>
  <si>
    <t>9424.24</t>
  </si>
  <si>
    <t>4876.03</t>
  </si>
  <si>
    <t>ORD106716</t>
  </si>
  <si>
    <t>CUST10491</t>
  </si>
  <si>
    <t>3607.4</t>
  </si>
  <si>
    <t>4129.1499999999996</t>
  </si>
  <si>
    <t>2364.17</t>
  </si>
  <si>
    <t>ORD106719</t>
  </si>
  <si>
    <t>CUST13447</t>
  </si>
  <si>
    <t>6597.42</t>
  </si>
  <si>
    <t>3816.47</t>
  </si>
  <si>
    <t>2121.21</t>
  </si>
  <si>
    <t>ORD106723</t>
  </si>
  <si>
    <t>CUST12834</t>
  </si>
  <si>
    <t>3828.05</t>
  </si>
  <si>
    <t>2305.5</t>
  </si>
  <si>
    <t>1522.55</t>
  </si>
  <si>
    <t>ORD106727</t>
  </si>
  <si>
    <t>CUST11968</t>
  </si>
  <si>
    <t>13672.49</t>
  </si>
  <si>
    <t>10479.51</t>
  </si>
  <si>
    <t>1142.1099999999999</t>
  </si>
  <si>
    <t>ORD106742</t>
  </si>
  <si>
    <t>CUST12500</t>
  </si>
  <si>
    <t>4323.05</t>
  </si>
  <si>
    <t>5151.82</t>
  </si>
  <si>
    <t>3061.98</t>
  </si>
  <si>
    <t>ORD106743</t>
  </si>
  <si>
    <t>CUST12141</t>
  </si>
  <si>
    <t>12714.61</t>
  </si>
  <si>
    <t>37190.959999999999</t>
  </si>
  <si>
    <t>13667.48</t>
  </si>
  <si>
    <t>ORD106744</t>
  </si>
  <si>
    <t>CUST12738</t>
  </si>
  <si>
    <t>2282.56</t>
  </si>
  <si>
    <t>1311.15</t>
  </si>
  <si>
    <t>857.28</t>
  </si>
  <si>
    <t>ORD106748</t>
  </si>
  <si>
    <t>CUST11214</t>
  </si>
  <si>
    <t>41744.57</t>
  </si>
  <si>
    <t>65198.64</t>
  </si>
  <si>
    <t>1592.67</t>
  </si>
  <si>
    <t>ORD106752</t>
  </si>
  <si>
    <t>CUST13182</t>
  </si>
  <si>
    <t>5948.41</t>
  </si>
  <si>
    <t>10945.93</t>
  </si>
  <si>
    <t>6007.04</t>
  </si>
  <si>
    <t>ORD106775</t>
  </si>
  <si>
    <t>CUST13101</t>
  </si>
  <si>
    <t>63804.86</t>
  </si>
  <si>
    <t>35219.120000000003</t>
  </si>
  <si>
    <t>25395.5</t>
  </si>
  <si>
    <t>ORD106780</t>
  </si>
  <si>
    <t>CUST10367</t>
  </si>
  <si>
    <t>6261.49</t>
  </si>
  <si>
    <t>8882.1299999999992</t>
  </si>
  <si>
    <t>3014.7</t>
  </si>
  <si>
    <t>ORD106786</t>
  </si>
  <si>
    <t>CUST11978</t>
  </si>
  <si>
    <t>807.5</t>
  </si>
  <si>
    <t>1963.65</t>
  </si>
  <si>
    <t>781.85</t>
  </si>
  <si>
    <t>ORD106792</t>
  </si>
  <si>
    <t>CUST12280</t>
  </si>
  <si>
    <t>61225.69</t>
  </si>
  <si>
    <t>82361.009999999995</t>
  </si>
  <si>
    <t>27845.23</t>
  </si>
  <si>
    <t>ORD106794</t>
  </si>
  <si>
    <t>CUST11858</t>
  </si>
  <si>
    <t>423.35</t>
  </si>
  <si>
    <t>142.69</t>
  </si>
  <si>
    <t>ORD106798</t>
  </si>
  <si>
    <t>CUST11776</t>
  </si>
  <si>
    <t>5587.24</t>
  </si>
  <si>
    <t>4339.12</t>
  </si>
  <si>
    <t>689.4</t>
  </si>
  <si>
    <t>ORD106799</t>
  </si>
  <si>
    <t>CUST10173</t>
  </si>
  <si>
    <t>16060.55</t>
  </si>
  <si>
    <t>27697.57</t>
  </si>
  <si>
    <t>15665.91</t>
  </si>
  <si>
    <t>ORD106801</t>
  </si>
  <si>
    <t>CUST10397</t>
  </si>
  <si>
    <t>3447.49</t>
  </si>
  <si>
    <t>9105.35</t>
  </si>
  <si>
    <t>3995.11</t>
  </si>
  <si>
    <t>ORD106802</t>
  </si>
  <si>
    <t>CUST10463</t>
  </si>
  <si>
    <t>13482.64</t>
  </si>
  <si>
    <t>19616.650000000001</t>
  </si>
  <si>
    <t>1955.57</t>
  </si>
  <si>
    <t>ORD106806</t>
  </si>
  <si>
    <t>CUST12843</t>
  </si>
  <si>
    <t>3707.3</t>
  </si>
  <si>
    <t>2954.62</t>
  </si>
  <si>
    <t>567.32000000000005</t>
  </si>
  <si>
    <t>ORD106810</t>
  </si>
  <si>
    <t>CUST11195</t>
  </si>
  <si>
    <t>1742.68</t>
  </si>
  <si>
    <t>1108.44</t>
  </si>
  <si>
    <t>372.84</t>
  </si>
  <si>
    <t>ORD106813</t>
  </si>
  <si>
    <t>CUST11305</t>
  </si>
  <si>
    <t>688.91</t>
  </si>
  <si>
    <t>1607.97</t>
  </si>
  <si>
    <t>1009.89</t>
  </si>
  <si>
    <t>ORD106814</t>
  </si>
  <si>
    <t>CUST11183</t>
  </si>
  <si>
    <t>4682.97</t>
  </si>
  <si>
    <t>5874.76</t>
  </si>
  <si>
    <t>3022.88</t>
  </si>
  <si>
    <t>ORD106816</t>
  </si>
  <si>
    <t>CUST12708</t>
  </si>
  <si>
    <t>73259.28</t>
  </si>
  <si>
    <t>56648.85</t>
  </si>
  <si>
    <t>9284.5</t>
  </si>
  <si>
    <t>ORD106844</t>
  </si>
  <si>
    <t>CUST13114</t>
  </si>
  <si>
    <t>53447.22</t>
  </si>
  <si>
    <t>40518.839999999997</t>
  </si>
  <si>
    <t>12928.38</t>
  </si>
  <si>
    <t>ORD106854</t>
  </si>
  <si>
    <t>CUST11341</t>
  </si>
  <si>
    <t>997.45</t>
  </si>
  <si>
    <t>753.6</t>
  </si>
  <si>
    <t>193.98</t>
  </si>
  <si>
    <t>ORD106856</t>
  </si>
  <si>
    <t>CUST11533</t>
  </si>
  <si>
    <t>5786.76</t>
  </si>
  <si>
    <t>3702.07</t>
  </si>
  <si>
    <t>1795.35</t>
  </si>
  <si>
    <t>ORD106865</t>
  </si>
  <si>
    <t>CUST12137</t>
  </si>
  <si>
    <t>24523.23</t>
  </si>
  <si>
    <t>15502.33</t>
  </si>
  <si>
    <t>9020.9</t>
  </si>
  <si>
    <t>ORD106880</t>
  </si>
  <si>
    <t>CUST11414</t>
  </si>
  <si>
    <t>3566.17</t>
  </si>
  <si>
    <t>2886.77</t>
  </si>
  <si>
    <t>144.47</t>
  </si>
  <si>
    <t>ORD106886</t>
  </si>
  <si>
    <t>CUST11943</t>
  </si>
  <si>
    <t>10730.82</t>
  </si>
  <si>
    <t>8785.86</t>
  </si>
  <si>
    <t>1408.42</t>
  </si>
  <si>
    <t>ORD106887</t>
  </si>
  <si>
    <t>CUST11218</t>
  </si>
  <si>
    <t>2629.7</t>
  </si>
  <si>
    <t>2925.26</t>
  </si>
  <si>
    <t>2334.14</t>
  </si>
  <si>
    <t>ORD106892</t>
  </si>
  <si>
    <t>CUST11474</t>
  </si>
  <si>
    <t>4748.49</t>
  </si>
  <si>
    <t>3404.85</t>
  </si>
  <si>
    <t>1106.22</t>
  </si>
  <si>
    <t>ORD106893</t>
  </si>
  <si>
    <t>CUST12202</t>
  </si>
  <si>
    <t>7345.59</t>
  </si>
  <si>
    <t>4423.22</t>
  </si>
  <si>
    <t>1820.53</t>
  </si>
  <si>
    <t>ORD106911</t>
  </si>
  <si>
    <t>CUST12573</t>
  </si>
  <si>
    <t>738.92</t>
  </si>
  <si>
    <t>879.05</t>
  </si>
  <si>
    <t>451.01</t>
  </si>
  <si>
    <t>ORD106923</t>
  </si>
  <si>
    <t>CUST10550</t>
  </si>
  <si>
    <t>16367.6</t>
  </si>
  <si>
    <t>12613.6</t>
  </si>
  <si>
    <t>2935.62</t>
  </si>
  <si>
    <t>ORD106927</t>
  </si>
  <si>
    <t>CUST12765</t>
  </si>
  <si>
    <t>526.29</t>
  </si>
  <si>
    <t>658.05</t>
  </si>
  <si>
    <t>ORD106948</t>
  </si>
  <si>
    <t>CUST11361</t>
  </si>
  <si>
    <t>4009.43</t>
  </si>
  <si>
    <t>10300.68</t>
  </si>
  <si>
    <t>4133.2700000000004</t>
  </si>
  <si>
    <t>ORD106949</t>
  </si>
  <si>
    <t>CUST12536</t>
  </si>
  <si>
    <t>2185</t>
  </si>
  <si>
    <t>1720.88</t>
  </si>
  <si>
    <t>354.87</t>
  </si>
  <si>
    <t>ORD106955</t>
  </si>
  <si>
    <t>CUST11905</t>
  </si>
  <si>
    <t>28169.01</t>
  </si>
  <si>
    <t>18847.54</t>
  </si>
  <si>
    <t>5096.12</t>
  </si>
  <si>
    <t>ORD106961</t>
  </si>
  <si>
    <t>CUST10090</t>
  </si>
  <si>
    <t>2453.8200000000002</t>
  </si>
  <si>
    <t>1641.27</t>
  </si>
  <si>
    <t>689.86</t>
  </si>
  <si>
    <t>ORD106964</t>
  </si>
  <si>
    <t>CUST12157</t>
  </si>
  <si>
    <t>16918.240000000002</t>
  </si>
  <si>
    <t>26404.400000000001</t>
  </si>
  <si>
    <t>2356.61</t>
  </si>
  <si>
    <t>ORD106965</t>
  </si>
  <si>
    <t>CUST13323</t>
  </si>
  <si>
    <t>11179.77</t>
  </si>
  <si>
    <t>6232.95</t>
  </si>
  <si>
    <t>3269.85</t>
  </si>
  <si>
    <t>ORD106966</t>
  </si>
  <si>
    <t>CUST12257</t>
  </si>
  <si>
    <t>66657.850000000006</t>
  </si>
  <si>
    <t>51561.46</t>
  </si>
  <si>
    <t>11763.5</t>
  </si>
  <si>
    <t>ORD106976</t>
  </si>
  <si>
    <t>CUST12994</t>
  </si>
  <si>
    <t>6397.2</t>
  </si>
  <si>
    <t>4854.7</t>
  </si>
  <si>
    <t>1542.5</t>
  </si>
  <si>
    <t>ORD106994</t>
  </si>
  <si>
    <t>CUST13493</t>
  </si>
  <si>
    <t>10592.9</t>
  </si>
  <si>
    <t>14722.43</t>
  </si>
  <si>
    <t>3285.5</t>
  </si>
  <si>
    <t>ORD106995</t>
  </si>
  <si>
    <t>CUST10922</t>
  </si>
  <si>
    <t>870.71</t>
  </si>
  <si>
    <t>1558.43</t>
  </si>
  <si>
    <t>661.88</t>
  </si>
  <si>
    <t>ORD106997</t>
  </si>
  <si>
    <t>CUST13024</t>
  </si>
  <si>
    <t>73824.34</t>
  </si>
  <si>
    <t>44937.77</t>
  </si>
  <si>
    <t>17812.919999999998</t>
  </si>
  <si>
    <t>ORD106999</t>
  </si>
  <si>
    <t>CUST11898</t>
  </si>
  <si>
    <t>8207.34</t>
  </si>
  <si>
    <t>18776.099999999999</t>
  </si>
  <si>
    <t>5845.92</t>
  </si>
  <si>
    <t>ORD107004</t>
  </si>
  <si>
    <t>CUST12363</t>
  </si>
  <si>
    <t>69664.08</t>
  </si>
  <si>
    <t>52099.56</t>
  </si>
  <si>
    <t>17564.52</t>
  </si>
  <si>
    <t>ORD107009</t>
  </si>
  <si>
    <t>CUST13092</t>
  </si>
  <si>
    <t>16419.13</t>
  </si>
  <si>
    <t>24107.200000000001</t>
  </si>
  <si>
    <t>8731.06</t>
  </si>
  <si>
    <t>ORD107011</t>
  </si>
  <si>
    <t>CUST11550</t>
  </si>
  <si>
    <t>8554.7000000000007</t>
  </si>
  <si>
    <t>13435.92</t>
  </si>
  <si>
    <t>2818.01</t>
  </si>
  <si>
    <t>ORD107021</t>
  </si>
  <si>
    <t>CUST13265</t>
  </si>
  <si>
    <t>56331.11</t>
  </si>
  <si>
    <t>35042.870000000003</t>
  </si>
  <si>
    <t>15655.13</t>
  </si>
  <si>
    <t>ORD107025</t>
  </si>
  <si>
    <t>CUST10360</t>
  </si>
  <si>
    <t>5696.74</t>
  </si>
  <si>
    <t>4048.57</t>
  </si>
  <si>
    <t>1363.33</t>
  </si>
  <si>
    <t>ORD107036</t>
  </si>
  <si>
    <t>CUST10036</t>
  </si>
  <si>
    <t>8551.66</t>
  </si>
  <si>
    <t>12810.15</t>
  </si>
  <si>
    <t>1727.67</t>
  </si>
  <si>
    <t>ORD107047</t>
  </si>
  <si>
    <t>CUST10801</t>
  </si>
  <si>
    <t>8659.4699999999993</t>
  </si>
  <si>
    <t>19249.830000000002</t>
  </si>
  <si>
    <t>4130.74</t>
  </si>
  <si>
    <t>ORD107049</t>
  </si>
  <si>
    <t>CUST10949</t>
  </si>
  <si>
    <t>11549.14</t>
  </si>
  <si>
    <t>6711.83</t>
  </si>
  <si>
    <t>3682.4</t>
  </si>
  <si>
    <t>ORD107050</t>
  </si>
  <si>
    <t>CUST12626</t>
  </si>
  <si>
    <t>9395.5400000000009</t>
  </si>
  <si>
    <t>5409.71</t>
  </si>
  <si>
    <t>2106.7199999999998</t>
  </si>
  <si>
    <t>ORD107051</t>
  </si>
  <si>
    <t>CUST12241</t>
  </si>
  <si>
    <t>56690.75</t>
  </si>
  <si>
    <t>136975.38</t>
  </si>
  <si>
    <t>7586.03</t>
  </si>
  <si>
    <t>ORD107084</t>
  </si>
  <si>
    <t>CUST11983</t>
  </si>
  <si>
    <t>15905.32</t>
  </si>
  <si>
    <t>12860.7</t>
  </si>
  <si>
    <t>1454.09</t>
  </si>
  <si>
    <t>ORD107092</t>
  </si>
  <si>
    <t>CUST11505</t>
  </si>
  <si>
    <t>3733.99</t>
  </si>
  <si>
    <t>2903.23</t>
  </si>
  <si>
    <t>457.36</t>
  </si>
  <si>
    <t>ORD107097</t>
  </si>
  <si>
    <t>CUST11431</t>
  </si>
  <si>
    <t>5531.89</t>
  </si>
  <si>
    <t>4411.96</t>
  </si>
  <si>
    <t>1119.93</t>
  </si>
  <si>
    <t>ORD107100</t>
  </si>
  <si>
    <t>CUST13374</t>
  </si>
  <si>
    <t>5297.53</t>
  </si>
  <si>
    <t>8295.65</t>
  </si>
  <si>
    <t>710.15</t>
  </si>
  <si>
    <t>ORD107113</t>
  </si>
  <si>
    <t>CUST11895</t>
  </si>
  <si>
    <t>2589.94</t>
  </si>
  <si>
    <t>5965.72</t>
  </si>
  <si>
    <t>4394.04</t>
  </si>
  <si>
    <t>ORD107117</t>
  </si>
  <si>
    <t>CUST13132</t>
  </si>
  <si>
    <t>831.52</t>
  </si>
  <si>
    <t>1307.1500000000001</t>
  </si>
  <si>
    <t>355.89</t>
  </si>
  <si>
    <t>ORD107120</t>
  </si>
  <si>
    <t>CUST11766</t>
  </si>
  <si>
    <t>12377.18</t>
  </si>
  <si>
    <t>15074.92</t>
  </si>
  <si>
    <t>9679.44</t>
  </si>
  <si>
    <t>ORD107137</t>
  </si>
  <si>
    <t>CUST11506</t>
  </si>
  <si>
    <t>4590.7700000000004</t>
  </si>
  <si>
    <t>2947.57</t>
  </si>
  <si>
    <t>1184.1199999999999</t>
  </si>
  <si>
    <t>ORD107150</t>
  </si>
  <si>
    <t>CUST11817</t>
  </si>
  <si>
    <t>5582.68</t>
  </si>
  <si>
    <t>3647.64</t>
  </si>
  <si>
    <t>1097.6400000000001</t>
  </si>
  <si>
    <t>ORD107156</t>
  </si>
  <si>
    <t>CUST11844</t>
  </si>
  <si>
    <t>8490.06</t>
  </si>
  <si>
    <t>6029.41</t>
  </si>
  <si>
    <t>2036.15</t>
  </si>
  <si>
    <t>ORD107170</t>
  </si>
  <si>
    <t>CUST12019</t>
  </si>
  <si>
    <t>6096.49</t>
  </si>
  <si>
    <t>4878.5</t>
  </si>
  <si>
    <t>303.52</t>
  </si>
  <si>
    <t>ORD107176</t>
  </si>
  <si>
    <t>CUST10611</t>
  </si>
  <si>
    <t>1204.53</t>
  </si>
  <si>
    <t>1399.23</t>
  </si>
  <si>
    <t>1009.83</t>
  </si>
  <si>
    <t>ORD107198</t>
  </si>
  <si>
    <t>CUST10929</t>
  </si>
  <si>
    <t>1520.22</t>
  </si>
  <si>
    <t>1099.81</t>
  </si>
  <si>
    <t>344.4</t>
  </si>
  <si>
    <t>ORD107200</t>
  </si>
  <si>
    <t>CUST13157</t>
  </si>
  <si>
    <t>4007.49</t>
  </si>
  <si>
    <t>3143.2</t>
  </si>
  <si>
    <t>263.17</t>
  </si>
  <si>
    <t>ORD107205</t>
  </si>
  <si>
    <t>CUST12604</t>
  </si>
  <si>
    <t>4027.32</t>
  </si>
  <si>
    <t>8267.1299999999992</t>
  </si>
  <si>
    <t>3210.73</t>
  </si>
  <si>
    <t>ORD107207</t>
  </si>
  <si>
    <t>CUST12508</t>
  </si>
  <si>
    <t>5341.87</t>
  </si>
  <si>
    <t>7113.08</t>
  </si>
  <si>
    <t>3036.47</t>
  </si>
  <si>
    <t>ORD107214</t>
  </si>
  <si>
    <t>CUST10298</t>
  </si>
  <si>
    <t>6920.74</t>
  </si>
  <si>
    <t>5182.2700000000004</t>
  </si>
  <si>
    <t>1392.43</t>
  </si>
  <si>
    <t>ORD107234</t>
  </si>
  <si>
    <t>CUST10632</t>
  </si>
  <si>
    <t>11369.86</t>
  </si>
  <si>
    <t>8130.11</t>
  </si>
  <si>
    <t>2102.7600000000002</t>
  </si>
  <si>
    <t>ORD107251</t>
  </si>
  <si>
    <t>CUST12689</t>
  </si>
  <si>
    <t>1093.1600000000001</t>
  </si>
  <si>
    <t>1615.95</t>
  </si>
  <si>
    <t>242.42</t>
  </si>
  <si>
    <t>ORD107255</t>
  </si>
  <si>
    <t>CUST13247</t>
  </si>
  <si>
    <t>1951.48</t>
  </si>
  <si>
    <t>4643.84</t>
  </si>
  <si>
    <t>1991.19</t>
  </si>
  <si>
    <t>ORD107273</t>
  </si>
  <si>
    <t>CUST10043</t>
  </si>
  <si>
    <t>1539.69</t>
  </si>
  <si>
    <t>875.13</t>
  </si>
  <si>
    <t>587.58000000000004</t>
  </si>
  <si>
    <t>ORD107288</t>
  </si>
  <si>
    <t>CUST12359</t>
  </si>
  <si>
    <t>3558.19</t>
  </si>
  <si>
    <t>4054.05</t>
  </si>
  <si>
    <t>2706.51</t>
  </si>
  <si>
    <t>ORD107316</t>
  </si>
  <si>
    <t>CUST12878</t>
  </si>
  <si>
    <t>5131.84</t>
  </si>
  <si>
    <t>14379.83</t>
  </si>
  <si>
    <t>4094.79</t>
  </si>
  <si>
    <t>ORD107331</t>
  </si>
  <si>
    <t>CUST11037</t>
  </si>
  <si>
    <t>4520.67</t>
  </si>
  <si>
    <t>2502.23</t>
  </si>
  <si>
    <t>1566.37</t>
  </si>
  <si>
    <t>ORD107342</t>
  </si>
  <si>
    <t>CUST11658</t>
  </si>
  <si>
    <t>13413.91</t>
  </si>
  <si>
    <t>19490.080000000002</t>
  </si>
  <si>
    <t>3313.57</t>
  </si>
  <si>
    <t>ORD107360</t>
  </si>
  <si>
    <t>CUST13307</t>
  </si>
  <si>
    <t>3226.57</t>
  </si>
  <si>
    <t>7286.24</t>
  </si>
  <si>
    <t>2393.4699999999998</t>
  </si>
  <si>
    <t>ORD107361</t>
  </si>
  <si>
    <t>CUST10918</t>
  </si>
  <si>
    <t>22463.48</t>
  </si>
  <si>
    <t>48184.61</t>
  </si>
  <si>
    <t>19205.830000000002</t>
  </si>
  <si>
    <t>ORD107363</t>
  </si>
  <si>
    <t>CUST10176</t>
  </si>
  <si>
    <t>1044.01</t>
  </si>
  <si>
    <t>749.62</t>
  </si>
  <si>
    <t>242.19</t>
  </si>
  <si>
    <t>ORD107364</t>
  </si>
  <si>
    <t>CUST10531</t>
  </si>
  <si>
    <t>4511.32</t>
  </si>
  <si>
    <t>2679.31</t>
  </si>
  <si>
    <t>1380.88</t>
  </si>
  <si>
    <t>ORD107379</t>
  </si>
  <si>
    <t>CUST13015</t>
  </si>
  <si>
    <t>27656.34</t>
  </si>
  <si>
    <t>17048.490000000002</t>
  </si>
  <si>
    <t>7842.22</t>
  </si>
  <si>
    <t>ORD107387</t>
  </si>
  <si>
    <t>CUST12049</t>
  </si>
  <si>
    <t>4952.87</t>
  </si>
  <si>
    <t>6284.38</t>
  </si>
  <si>
    <t>2630.79</t>
  </si>
  <si>
    <t>ORD107395</t>
  </si>
  <si>
    <t>CUST10981</t>
  </si>
  <si>
    <t>760.65</t>
  </si>
  <si>
    <t>1355.67</t>
  </si>
  <si>
    <t>583.99</t>
  </si>
  <si>
    <t>ORD107398</t>
  </si>
  <si>
    <t>CUST12147</t>
  </si>
  <si>
    <t>6541.63</t>
  </si>
  <si>
    <t>3800.23</t>
  </si>
  <si>
    <t>2087.2399999999998</t>
  </si>
  <si>
    <t>ORD107399</t>
  </si>
  <si>
    <t>CUST10749</t>
  </si>
  <si>
    <t>6630.04</t>
  </si>
  <si>
    <t>8839.6</t>
  </si>
  <si>
    <t>3757.48</t>
  </si>
  <si>
    <t>ORD107402</t>
  </si>
  <si>
    <t>CUST12846</t>
  </si>
  <si>
    <t>16460.09</t>
  </si>
  <si>
    <t>9715.27</t>
  </si>
  <si>
    <t>4275.8100000000004</t>
  </si>
  <si>
    <t>ORD107419</t>
  </si>
  <si>
    <t>CUST13449</t>
  </si>
  <si>
    <t>7692.2</t>
  </si>
  <si>
    <t>21573.97</t>
  </si>
  <si>
    <t>6117.95</t>
  </si>
  <si>
    <t>ORD107427</t>
  </si>
  <si>
    <t>CUST10096</t>
  </si>
  <si>
    <t>9730.89</t>
  </si>
  <si>
    <t>23291.95</t>
  </si>
  <si>
    <t>13685.43</t>
  </si>
  <si>
    <t>ORD107439</t>
  </si>
  <si>
    <t>CUST12667</t>
  </si>
  <si>
    <t>2655.16</t>
  </si>
  <si>
    <t>1764.06</t>
  </si>
  <si>
    <t>ORD107442</t>
  </si>
  <si>
    <t>CUST12982</t>
  </si>
  <si>
    <t>3259.13</t>
  </si>
  <si>
    <t>4120.16</t>
  </si>
  <si>
    <t>1094.45</t>
  </si>
  <si>
    <t>ORD107455</t>
  </si>
  <si>
    <t>CUST10705</t>
  </si>
  <si>
    <t>53017.760000000002</t>
  </si>
  <si>
    <t>36151.33</t>
  </si>
  <si>
    <t>11564.65</t>
  </si>
  <si>
    <t>ORD107456</t>
  </si>
  <si>
    <t>CUST10446</t>
  </si>
  <si>
    <t>5755.18</t>
  </si>
  <si>
    <t>7126.55</t>
  </si>
  <si>
    <t>2657.26</t>
  </si>
  <si>
    <t>ORD107462</t>
  </si>
  <si>
    <t>CUST10162</t>
  </si>
  <si>
    <t>5568.23</t>
  </si>
  <si>
    <t>3292.66</t>
  </si>
  <si>
    <t>1718.75</t>
  </si>
  <si>
    <t>ORD107496</t>
  </si>
  <si>
    <t>CUST12229</t>
  </si>
  <si>
    <t>23571.33</t>
  </si>
  <si>
    <t>14594.78</t>
  </si>
  <si>
    <t>6619.42</t>
  </si>
  <si>
    <t>ORD107498</t>
  </si>
  <si>
    <t>CUST12346</t>
  </si>
  <si>
    <t>11207.36</t>
  </si>
  <si>
    <t>23157.49</t>
  </si>
  <si>
    <t>7102.38</t>
  </si>
  <si>
    <t>ORD107500</t>
  </si>
  <si>
    <t>CUST10066</t>
  </si>
  <si>
    <t>1234.1300000000001</t>
  </si>
  <si>
    <t>870.32</t>
  </si>
  <si>
    <t>116.98</t>
  </si>
  <si>
    <t>ORD107519</t>
  </si>
  <si>
    <t>CUST11043</t>
  </si>
  <si>
    <t>33417.86</t>
  </si>
  <si>
    <t>42937.86</t>
  </si>
  <si>
    <t>17214.29</t>
  </si>
  <si>
    <t>ORD107522</t>
  </si>
  <si>
    <t>CUST12907</t>
  </si>
  <si>
    <t>2057.66</t>
  </si>
  <si>
    <t>1306.23</t>
  </si>
  <si>
    <t>545.66</t>
  </si>
  <si>
    <t>ORD107546</t>
  </si>
  <si>
    <t>CUST11649</t>
  </si>
  <si>
    <t>13936.89</t>
  </si>
  <si>
    <t>26033.200000000001</t>
  </si>
  <si>
    <t>9505.8700000000008</t>
  </si>
  <si>
    <t>ORD107552</t>
  </si>
  <si>
    <t>CUST11706</t>
  </si>
  <si>
    <t>11890.91</t>
  </si>
  <si>
    <t>8207.89</t>
  </si>
  <si>
    <t>3683.02</t>
  </si>
  <si>
    <t>ORD107554</t>
  </si>
  <si>
    <t>CUST12856</t>
  </si>
  <si>
    <t>3462.5</t>
  </si>
  <si>
    <t>5326.18</t>
  </si>
  <si>
    <t>1252.57</t>
  </si>
  <si>
    <t>ORD107559</t>
  </si>
  <si>
    <t>CUST10044</t>
  </si>
  <si>
    <t>11130.74</t>
  </si>
  <si>
    <t>9086.6</t>
  </si>
  <si>
    <t>-182.01</t>
  </si>
  <si>
    <t>ORD107561</t>
  </si>
  <si>
    <t>CUST11736</t>
  </si>
  <si>
    <t>5629.79</t>
  </si>
  <si>
    <t>3318.05</t>
  </si>
  <si>
    <t>2311.7399999999998</t>
  </si>
  <si>
    <t>ORD107566</t>
  </si>
  <si>
    <t>CUST11565</t>
  </si>
  <si>
    <t>1820.65</t>
  </si>
  <si>
    <t>1310.87</t>
  </si>
  <si>
    <t>327.71</t>
  </si>
  <si>
    <t>ORD107570</t>
  </si>
  <si>
    <t>CUST11923</t>
  </si>
  <si>
    <t>17474.27</t>
  </si>
  <si>
    <t>13117</t>
  </si>
  <si>
    <t>2609.84</t>
  </si>
  <si>
    <t>ORD107610</t>
  </si>
  <si>
    <t>CUST10886</t>
  </si>
  <si>
    <t>5922.25</t>
  </si>
  <si>
    <t>4581.01</t>
  </si>
  <si>
    <t>156.79</t>
  </si>
  <si>
    <t>ORD107615</t>
  </si>
  <si>
    <t>CUST11815</t>
  </si>
  <si>
    <t>3478.3</t>
  </si>
  <si>
    <t>4041.14</t>
  </si>
  <si>
    <t>2567.63</t>
  </si>
  <si>
    <t>ORD107623</t>
  </si>
  <si>
    <t>CUST10467</t>
  </si>
  <si>
    <t>2542.4699999999998</t>
  </si>
  <si>
    <t>6049.29</t>
  </si>
  <si>
    <t>2595.11</t>
  </si>
  <si>
    <t>ORD107634</t>
  </si>
  <si>
    <t>CUST11601</t>
  </si>
  <si>
    <t>45059.43</t>
  </si>
  <si>
    <t>71092.78</t>
  </si>
  <si>
    <t>10014.19</t>
  </si>
  <si>
    <t>ORD107638</t>
  </si>
  <si>
    <t>CUST10396</t>
  </si>
  <si>
    <t>5958.55</t>
  </si>
  <si>
    <t>3551.62</t>
  </si>
  <si>
    <t>2406.9299999999998</t>
  </si>
  <si>
    <t>ORD107641</t>
  </si>
  <si>
    <t>CUST11962</t>
  </si>
  <si>
    <t>1510.69</t>
  </si>
  <si>
    <t>1091.48</t>
  </si>
  <si>
    <t>268.14</t>
  </si>
  <si>
    <t>ORD107644</t>
  </si>
  <si>
    <t>CUST12521</t>
  </si>
  <si>
    <t>53092.81</t>
  </si>
  <si>
    <t>123403.72</t>
  </si>
  <si>
    <t>67730.399999999994</t>
  </si>
  <si>
    <t>ORD107646</t>
  </si>
  <si>
    <t>CUST11130</t>
  </si>
  <si>
    <t>41127.480000000003</t>
  </si>
  <si>
    <t>92448.9</t>
  </si>
  <si>
    <t>18595.3</t>
  </si>
  <si>
    <t>ORD107672</t>
  </si>
  <si>
    <t>CUST12462</t>
  </si>
  <si>
    <t>30425.37</t>
  </si>
  <si>
    <t>22383.57</t>
  </si>
  <si>
    <t>6520.53</t>
  </si>
  <si>
    <t>ORD107685</t>
  </si>
  <si>
    <t>CUST10334</t>
  </si>
  <si>
    <t>25557.05</t>
  </si>
  <si>
    <t>14590.65</t>
  </si>
  <si>
    <t>8410.69</t>
  </si>
  <si>
    <t>ORD107690</t>
  </si>
  <si>
    <t>CUST10982</t>
  </si>
  <si>
    <t>44242.05</t>
  </si>
  <si>
    <t>34557.300000000003</t>
  </si>
  <si>
    <t>5260.54</t>
  </si>
  <si>
    <t>ORD107694</t>
  </si>
  <si>
    <t>CUST11167</t>
  </si>
  <si>
    <t>9710.1200000000008</t>
  </si>
  <si>
    <t>5343.43</t>
  </si>
  <si>
    <t>3881.18</t>
  </si>
  <si>
    <t>ORD107695</t>
  </si>
  <si>
    <t>CUST10990</t>
  </si>
  <si>
    <t>14627.84</t>
  </si>
  <si>
    <t>35053.06</t>
  </si>
  <si>
    <t>2247.9299999999998</t>
  </si>
  <si>
    <t>ORD107720</t>
  </si>
  <si>
    <t>CUST10532</t>
  </si>
  <si>
    <t>1416.8</t>
  </si>
  <si>
    <t>1605.67</t>
  </si>
  <si>
    <t>944.57</t>
  </si>
  <si>
    <t>ORD107728</t>
  </si>
  <si>
    <t>CUST12983</t>
  </si>
  <si>
    <t>13120.13</t>
  </si>
  <si>
    <t>29430.93</t>
  </si>
  <si>
    <t>7961.44</t>
  </si>
  <si>
    <t>ORD107737</t>
  </si>
  <si>
    <t>CUST11571</t>
  </si>
  <si>
    <t>7362.06</t>
  </si>
  <si>
    <t>10146.41</t>
  </si>
  <si>
    <t>2369.09</t>
  </si>
  <si>
    <t>ORD107749</t>
  </si>
  <si>
    <t>CUST12492</t>
  </si>
  <si>
    <t>3224.13</t>
  </si>
  <si>
    <t>2498.06</t>
  </si>
  <si>
    <t>564.86</t>
  </si>
  <si>
    <t>ORD107761</t>
  </si>
  <si>
    <t>CUST12933</t>
  </si>
  <si>
    <t>31463.360000000001</t>
  </si>
  <si>
    <t>34801.370000000003</t>
  </si>
  <si>
    <t>24979.01</t>
  </si>
  <si>
    <t>ORD107765</t>
  </si>
  <si>
    <t>CUST12449</t>
  </si>
  <si>
    <t>17895.259999999998</t>
  </si>
  <si>
    <t>25058.53</t>
  </si>
  <si>
    <t>8942.4599999999991</t>
  </si>
  <si>
    <t>ORD107771</t>
  </si>
  <si>
    <t>CUST12064</t>
  </si>
  <si>
    <t>6491.42</t>
  </si>
  <si>
    <t>4030.91</t>
  </si>
  <si>
    <t>2460.5100000000002</t>
  </si>
  <si>
    <t>ORD107772</t>
  </si>
  <si>
    <t>CUST11540</t>
  </si>
  <si>
    <t>400.04</t>
  </si>
  <si>
    <t>232.6</t>
  </si>
  <si>
    <t>127.44</t>
  </si>
  <si>
    <t>ORD107773</t>
  </si>
  <si>
    <t>CUST12388</t>
  </si>
  <si>
    <t>44044.81</t>
  </si>
  <si>
    <t>32225.040000000001</t>
  </si>
  <si>
    <t>3010.81</t>
  </si>
  <si>
    <t>ORD107784</t>
  </si>
  <si>
    <t>CUST12034</t>
  </si>
  <si>
    <t>8383.5300000000007</t>
  </si>
  <si>
    <t>5041.79</t>
  </si>
  <si>
    <t>3341.74</t>
  </si>
  <si>
    <t>ORD107785</t>
  </si>
  <si>
    <t>CUST10795</t>
  </si>
  <si>
    <t>59161.760000000002</t>
  </si>
  <si>
    <t>46555.64</t>
  </si>
  <si>
    <t>12606.12</t>
  </si>
  <si>
    <t>ORD107787</t>
  </si>
  <si>
    <t>CUST13002</t>
  </si>
  <si>
    <t>30454.41</t>
  </si>
  <si>
    <t>35099.870000000003</t>
  </si>
  <si>
    <t>25808.95</t>
  </si>
  <si>
    <t>ORD107796</t>
  </si>
  <si>
    <t>CUST12291</t>
  </si>
  <si>
    <t>52751.14</t>
  </si>
  <si>
    <t>37007.15</t>
  </si>
  <si>
    <t>15743.99</t>
  </si>
  <si>
    <t>ORD107801</t>
  </si>
  <si>
    <t>CUST12164</t>
  </si>
  <si>
    <t>10369.52</t>
  </si>
  <si>
    <t>19077.73</t>
  </si>
  <si>
    <t>8919.9699999999993</t>
  </si>
  <si>
    <t>ORD107810</t>
  </si>
  <si>
    <t>CUST13382</t>
  </si>
  <si>
    <t>15606.64</t>
  </si>
  <si>
    <t>21852.81</t>
  </si>
  <si>
    <t>9360.4699999999993</t>
  </si>
  <si>
    <t>ORD107828</t>
  </si>
  <si>
    <t>CUST13115</t>
  </si>
  <si>
    <t>54091.54</t>
  </si>
  <si>
    <t>118442.25</t>
  </si>
  <si>
    <t>43832.37</t>
  </si>
  <si>
    <t>ORD107830</t>
  </si>
  <si>
    <t>CUST12897</t>
  </si>
  <si>
    <t>8945.08</t>
  </si>
  <si>
    <t>7197.13</t>
  </si>
  <si>
    <t>853.44</t>
  </si>
  <si>
    <t>ORD107839</t>
  </si>
  <si>
    <t>CUST11813</t>
  </si>
  <si>
    <t>1796.16</t>
  </si>
  <si>
    <t>1169.82</t>
  </si>
  <si>
    <t>626.34</t>
  </si>
  <si>
    <t>ORD107841</t>
  </si>
  <si>
    <t>CUST11118</t>
  </si>
  <si>
    <t>1214.23</t>
  </si>
  <si>
    <t>888.32</t>
  </si>
  <si>
    <t>143.78</t>
  </si>
  <si>
    <t>ORD107865</t>
  </si>
  <si>
    <t>CUST11942</t>
  </si>
  <si>
    <t>779.96</t>
  </si>
  <si>
    <t>572.52</t>
  </si>
  <si>
    <t>129.44</t>
  </si>
  <si>
    <t>ORD107872</t>
  </si>
  <si>
    <t>CUST13209</t>
  </si>
  <si>
    <t>4005.43</t>
  </si>
  <si>
    <t>2333.7600000000002</t>
  </si>
  <si>
    <t>1671.67</t>
  </si>
  <si>
    <t>ORD107875</t>
  </si>
  <si>
    <t>CUST12563</t>
  </si>
  <si>
    <t>4869.54</t>
  </si>
  <si>
    <t>3936.98</t>
  </si>
  <si>
    <t>202.13</t>
  </si>
  <si>
    <t>ORD107901</t>
  </si>
  <si>
    <t>CUST11421</t>
  </si>
  <si>
    <t>6805.35</t>
  </si>
  <si>
    <t>4764.46</t>
  </si>
  <si>
    <t>1020.09</t>
  </si>
  <si>
    <t>ORD107912</t>
  </si>
  <si>
    <t>CUST13445</t>
  </si>
  <si>
    <t>3228.91</t>
  </si>
  <si>
    <t>1894.39</t>
  </si>
  <si>
    <t>1334.52</t>
  </si>
  <si>
    <t>ORD107918</t>
  </si>
  <si>
    <t>CUST12258</t>
  </si>
  <si>
    <t>4039.4</t>
  </si>
  <si>
    <t>5284.97</t>
  </si>
  <si>
    <t>1985.95</t>
  </si>
  <si>
    <t>ORD107925</t>
  </si>
  <si>
    <t>CUST11971</t>
  </si>
  <si>
    <t>7838.14</t>
  </si>
  <si>
    <t>5917.76</t>
  </si>
  <si>
    <t>352.75</t>
  </si>
  <si>
    <t>ORD107939</t>
  </si>
  <si>
    <t>CUST11412</t>
  </si>
  <si>
    <t>4770.32</t>
  </si>
  <si>
    <t>2758.92</t>
  </si>
  <si>
    <t>ORD107941</t>
  </si>
  <si>
    <t>CUST11181</t>
  </si>
  <si>
    <t>2119.73</t>
  </si>
  <si>
    <t>1402</t>
  </si>
  <si>
    <t>505.76</t>
  </si>
  <si>
    <t>ORD107948</t>
  </si>
  <si>
    <t>CUST11850</t>
  </si>
  <si>
    <t>39967.17</t>
  </si>
  <si>
    <t>23344.39</t>
  </si>
  <si>
    <t>12626.06</t>
  </si>
  <si>
    <t>ORD107954</t>
  </si>
  <si>
    <t>CUST11600</t>
  </si>
  <si>
    <t>10092.950000000001</t>
  </si>
  <si>
    <t>5883.53</t>
  </si>
  <si>
    <t>2695.48</t>
  </si>
  <si>
    <t>ORD107967</t>
  </si>
  <si>
    <t>CUST11455</t>
  </si>
  <si>
    <t>61335.22</t>
  </si>
  <si>
    <t>37845.089999999997</t>
  </si>
  <si>
    <t>17356.61</t>
  </si>
  <si>
    <t>ORD107978</t>
  </si>
  <si>
    <t>CUST11878</t>
  </si>
  <si>
    <t>5016.09</t>
  </si>
  <si>
    <t>3809.33</t>
  </si>
  <si>
    <t>705.15</t>
  </si>
  <si>
    <t>ORD107995</t>
  </si>
  <si>
    <t>CUST10135</t>
  </si>
  <si>
    <t>6526.77</t>
  </si>
  <si>
    <t>9659.6299999999992</t>
  </si>
  <si>
    <t>1435.88</t>
  </si>
  <si>
    <t>ORD108002</t>
  </si>
  <si>
    <t>CUST11754</t>
  </si>
  <si>
    <t>4921.07</t>
  </si>
  <si>
    <t>8770.49</t>
  </si>
  <si>
    <t>5992.72</t>
  </si>
  <si>
    <t>ORD108022</t>
  </si>
  <si>
    <t>CUST11403</t>
  </si>
  <si>
    <t>71301.52</t>
  </si>
  <si>
    <t>53732.25</t>
  </si>
  <si>
    <t>10439.120000000001</t>
  </si>
  <si>
    <t>ORD108038</t>
  </si>
  <si>
    <t>CUST12741</t>
  </si>
  <si>
    <t>6015.67</t>
  </si>
  <si>
    <t>11306.46</t>
  </si>
  <si>
    <t>3131.15</t>
  </si>
  <si>
    <t>ORD108039</t>
  </si>
  <si>
    <t>CUST13394</t>
  </si>
  <si>
    <t>8290.42</t>
  </si>
  <si>
    <t>6623.61</t>
  </si>
  <si>
    <t>1666.81</t>
  </si>
  <si>
    <t>ORD108041</t>
  </si>
  <si>
    <t>CUST10292</t>
  </si>
  <si>
    <t>4709.6099999999997</t>
  </si>
  <si>
    <t>2673.01</t>
  </si>
  <si>
    <t>1801.12</t>
  </si>
  <si>
    <t>ORD108058</t>
  </si>
  <si>
    <t>CUST10589</t>
  </si>
  <si>
    <t>10858.67</t>
  </si>
  <si>
    <t>21309.21</t>
  </si>
  <si>
    <t>8009.2</t>
  </si>
  <si>
    <t>ORD108061</t>
  </si>
  <si>
    <t>CUST10038</t>
  </si>
  <si>
    <t>14876.06</t>
  </si>
  <si>
    <t>9790.2999999999993</t>
  </si>
  <si>
    <t>3598.15</t>
  </si>
  <si>
    <t>ORD108067</t>
  </si>
  <si>
    <t>CUST10174</t>
  </si>
  <si>
    <t>70646.83</t>
  </si>
  <si>
    <t>48184.56</t>
  </si>
  <si>
    <t>22462.27</t>
  </si>
  <si>
    <t>ORD108069</t>
  </si>
  <si>
    <t>CUST12643</t>
  </si>
  <si>
    <t>14288.95</t>
  </si>
  <si>
    <t>17886.21</t>
  </si>
  <si>
    <t>10691.69</t>
  </si>
  <si>
    <t>ORD108095</t>
  </si>
  <si>
    <t>CUST10739</t>
  </si>
  <si>
    <t>1343.09</t>
  </si>
  <si>
    <t>915.64</t>
  </si>
  <si>
    <t>158.83000000000001</t>
  </si>
  <si>
    <t>ORD108096</t>
  </si>
  <si>
    <t>CUST12722</t>
  </si>
  <si>
    <t>17455.89</t>
  </si>
  <si>
    <t>10320.09</t>
  </si>
  <si>
    <t>7135.8</t>
  </si>
  <si>
    <t>ORD108106</t>
  </si>
  <si>
    <t>CUST13197</t>
  </si>
  <si>
    <t>6178.39</t>
  </si>
  <si>
    <t>9334.15</t>
  </si>
  <si>
    <t>3022.63</t>
  </si>
  <si>
    <t>ORD108108</t>
  </si>
  <si>
    <t>CUST13234</t>
  </si>
  <si>
    <t>14532.6</t>
  </si>
  <si>
    <t>9597.33</t>
  </si>
  <si>
    <t>4208.6400000000003</t>
  </si>
  <si>
    <t>ORD108122</t>
  </si>
  <si>
    <t>CUST11366</t>
  </si>
  <si>
    <t>16821.36</t>
  </si>
  <si>
    <t>33329.550000000003</t>
  </si>
  <si>
    <t>12088.12</t>
  </si>
  <si>
    <t>ORD108132</t>
  </si>
  <si>
    <t>CUST10998</t>
  </si>
  <si>
    <t>4968.0600000000004</t>
  </si>
  <si>
    <t>3328.51</t>
  </si>
  <si>
    <t>1391.15</t>
  </si>
  <si>
    <t>ORD108142</t>
  </si>
  <si>
    <t>CUST13087</t>
  </si>
  <si>
    <t>4428.1499999999996</t>
  </si>
  <si>
    <t>8939.31</t>
  </si>
  <si>
    <t>2352.4699999999998</t>
  </si>
  <si>
    <t>ORD108147</t>
  </si>
  <si>
    <t>CUST12852</t>
  </si>
  <si>
    <t>4508.4399999999996</t>
  </si>
  <si>
    <t>7364.03</t>
  </si>
  <si>
    <t>751.16</t>
  </si>
  <si>
    <t>ORD108154</t>
  </si>
  <si>
    <t>CUST13224</t>
  </si>
  <si>
    <t>5833.82</t>
  </si>
  <si>
    <t>4219.5200000000004</t>
  </si>
  <si>
    <t>1030.92</t>
  </si>
  <si>
    <t>ORD108173</t>
  </si>
  <si>
    <t>CUST10631</t>
  </si>
  <si>
    <t>5913.41</t>
  </si>
  <si>
    <t>4547.8</t>
  </si>
  <si>
    <t>478.6</t>
  </si>
  <si>
    <t>ORD108177</t>
  </si>
  <si>
    <t>CUST10642</t>
  </si>
  <si>
    <t>3537.45</t>
  </si>
  <si>
    <t>5228.8100000000004</t>
  </si>
  <si>
    <t>1138.5999999999999</t>
  </si>
  <si>
    <t>ORD108180</t>
  </si>
  <si>
    <t>CUST12996</t>
  </si>
  <si>
    <t>9074.4699999999993</t>
  </si>
  <si>
    <t>5060.54</t>
  </si>
  <si>
    <t>2199.04</t>
  </si>
  <si>
    <t>ORD108218</t>
  </si>
  <si>
    <t>CUST12973</t>
  </si>
  <si>
    <t>5771.95</t>
  </si>
  <si>
    <t>4015.05</t>
  </si>
  <si>
    <t>1179.71</t>
  </si>
  <si>
    <t>ORD108227</t>
  </si>
  <si>
    <t>CUST12599</t>
  </si>
  <si>
    <t>4936.2</t>
  </si>
  <si>
    <t>3911.93</t>
  </si>
  <si>
    <t>37.03</t>
  </si>
  <si>
    <t>ORD108239</t>
  </si>
  <si>
    <t>CUST10065</t>
  </si>
  <si>
    <t>4279.13</t>
  </si>
  <si>
    <t>13284.9</t>
  </si>
  <si>
    <t>2119.9699999999998</t>
  </si>
  <si>
    <t>ORD108248</t>
  </si>
  <si>
    <t>CUST11939</t>
  </si>
  <si>
    <t>4802.6000000000004</t>
  </si>
  <si>
    <t>3278.58</t>
  </si>
  <si>
    <t>1524.02</t>
  </si>
  <si>
    <t>ORD108251</t>
  </si>
  <si>
    <t>CUST11731</t>
  </si>
  <si>
    <t>532.4</t>
  </si>
  <si>
    <t>353.18</t>
  </si>
  <si>
    <t>179.22</t>
  </si>
  <si>
    <t>ORD108254</t>
  </si>
  <si>
    <t>CUST12699</t>
  </si>
  <si>
    <t>57797.58</t>
  </si>
  <si>
    <t>100523.04</t>
  </si>
  <si>
    <t>55530.43</t>
  </si>
  <si>
    <t>ORD108265</t>
  </si>
  <si>
    <t>CUST13066</t>
  </si>
  <si>
    <t>1187.3599999999999</t>
  </si>
  <si>
    <t>1629.78</t>
  </si>
  <si>
    <t>744.94</t>
  </si>
  <si>
    <t>ORD108267</t>
  </si>
  <si>
    <t>CUST11897</t>
  </si>
  <si>
    <t>5615.44</t>
  </si>
  <si>
    <t>3996.06</t>
  </si>
  <si>
    <t>1057.8399999999999</t>
  </si>
  <si>
    <t>ORD108268</t>
  </si>
  <si>
    <t>CUST10399</t>
  </si>
  <si>
    <t>27744.62</t>
  </si>
  <si>
    <t>16158.9</t>
  </si>
  <si>
    <t>11585.72</t>
  </si>
  <si>
    <t>ORD108288</t>
  </si>
  <si>
    <t>CUST11528</t>
  </si>
  <si>
    <t>2943.22</t>
  </si>
  <si>
    <t>2070.36</t>
  </si>
  <si>
    <t>725.7</t>
  </si>
  <si>
    <t>ORD108315</t>
  </si>
  <si>
    <t>CUST12981</t>
  </si>
  <si>
    <t>6472.82</t>
  </si>
  <si>
    <t>8891.19</t>
  </si>
  <si>
    <t>4054.45</t>
  </si>
  <si>
    <t>ORD108322</t>
  </si>
  <si>
    <t>CUST10235</t>
  </si>
  <si>
    <t>4014.08</t>
  </si>
  <si>
    <t>7047.6</t>
  </si>
  <si>
    <t>3790.42</t>
  </si>
  <si>
    <t>ORD108366</t>
  </si>
  <si>
    <t>CUST13411</t>
  </si>
  <si>
    <t>4472.38</t>
  </si>
  <si>
    <t>3148.72</t>
  </si>
  <si>
    <t>1323.66</t>
  </si>
  <si>
    <t>ORD108367</t>
  </si>
  <si>
    <t>CUST11416</t>
  </si>
  <si>
    <t>4953.6899999999996</t>
  </si>
  <si>
    <t>6815.68</t>
  </si>
  <si>
    <t>2100.96</t>
  </si>
  <si>
    <t>ORD108375</t>
  </si>
  <si>
    <t>CUST12439</t>
  </si>
  <si>
    <t>2170.14</t>
  </si>
  <si>
    <t>1738.22</t>
  </si>
  <si>
    <t>214.91</t>
  </si>
  <si>
    <t>ORD108394</t>
  </si>
  <si>
    <t>CUST10007</t>
  </si>
  <si>
    <t>10943.5</t>
  </si>
  <si>
    <t>8640.89</t>
  </si>
  <si>
    <t>1755.43</t>
  </si>
  <si>
    <t>ORD108399</t>
  </si>
  <si>
    <t>CUST11918</t>
  </si>
  <si>
    <t>7594.42</t>
  </si>
  <si>
    <t>5208.05</t>
  </si>
  <si>
    <t>1247.21</t>
  </si>
  <si>
    <t>ORD108417</t>
  </si>
  <si>
    <t>CUST10519</t>
  </si>
  <si>
    <t>29070.61</t>
  </si>
  <si>
    <t>22426.95</t>
  </si>
  <si>
    <t>5190.13</t>
  </si>
  <si>
    <t>ORD108428</t>
  </si>
  <si>
    <t>CUST13121</t>
  </si>
  <si>
    <t>1500.89</t>
  </si>
  <si>
    <t>1830.4</t>
  </si>
  <si>
    <t>871.2</t>
  </si>
  <si>
    <t>ORD108429</t>
  </si>
  <si>
    <t>CUST10443</t>
  </si>
  <si>
    <t>4804.0200000000004</t>
  </si>
  <si>
    <t>5968.58</t>
  </si>
  <si>
    <t>1717.85</t>
  </si>
  <si>
    <t>ORD108448</t>
  </si>
  <si>
    <t>CUST11336</t>
  </si>
  <si>
    <t>12928.76</t>
  </si>
  <si>
    <t>8443.19</t>
  </si>
  <si>
    <t>1899.82</t>
  </si>
  <si>
    <t>ORD108453</t>
  </si>
  <si>
    <t>CUST11083</t>
  </si>
  <si>
    <t>2745.74</t>
  </si>
  <si>
    <t>1567.74</t>
  </si>
  <si>
    <t>903.43</t>
  </si>
  <si>
    <t>ORD108464</t>
  </si>
  <si>
    <t>CUST10121</t>
  </si>
  <si>
    <t>25262.55</t>
  </si>
  <si>
    <t>39063.25</t>
  </si>
  <si>
    <t>6409.34</t>
  </si>
  <si>
    <t>ORD108467</t>
  </si>
  <si>
    <t>CUST11857</t>
  </si>
  <si>
    <t>2479.16</t>
  </si>
  <si>
    <t>1393.35</t>
  </si>
  <si>
    <t>ORD108482</t>
  </si>
  <si>
    <t>CUST10445</t>
  </si>
  <si>
    <t>1221.71</t>
  </si>
  <si>
    <t>818.41</t>
  </si>
  <si>
    <t>403.3</t>
  </si>
  <si>
    <t>ORD108519</t>
  </si>
  <si>
    <t>CUST12651</t>
  </si>
  <si>
    <t>6715.57</t>
  </si>
  <si>
    <t>8164.26</t>
  </si>
  <si>
    <t>5266.88</t>
  </si>
  <si>
    <t>ORD108522</t>
  </si>
  <si>
    <t>CUST11004</t>
  </si>
  <si>
    <t>14297.48</t>
  </si>
  <si>
    <t>17325.07</t>
  </si>
  <si>
    <t>6980.65</t>
  </si>
  <si>
    <t>ORD108538</t>
  </si>
  <si>
    <t>CUST11884</t>
  </si>
  <si>
    <t>39755.339999999997</t>
  </si>
  <si>
    <t>30149.360000000001</t>
  </si>
  <si>
    <t>5630.45</t>
  </si>
  <si>
    <t>ORD108583</t>
  </si>
  <si>
    <t>CUST10341</t>
  </si>
  <si>
    <t>12857.86</t>
  </si>
  <si>
    <t>17174.11</t>
  </si>
  <si>
    <t>8541.61</t>
  </si>
  <si>
    <t>ORD108610</t>
  </si>
  <si>
    <t>CUST13452</t>
  </si>
  <si>
    <t>2550.34</t>
  </si>
  <si>
    <t>7174.88</t>
  </si>
  <si>
    <t>2006.34</t>
  </si>
  <si>
    <t>ORD108612</t>
  </si>
  <si>
    <t>CUST12163</t>
  </si>
  <si>
    <t>3851.38</t>
  </si>
  <si>
    <t>2754.41</t>
  </si>
  <si>
    <t>711.83</t>
  </si>
  <si>
    <t>ORD108613</t>
  </si>
  <si>
    <t>CUST12384</t>
  </si>
  <si>
    <t>926.75</t>
  </si>
  <si>
    <t>606.92999999999995</t>
  </si>
  <si>
    <t>273.48</t>
  </si>
  <si>
    <t>ORD108614</t>
  </si>
  <si>
    <t>CUST12814</t>
  </si>
  <si>
    <t>3212.36</t>
  </si>
  <si>
    <t>1792.94</t>
  </si>
  <si>
    <t>1419.42</t>
  </si>
  <si>
    <t>ORD108616</t>
  </si>
  <si>
    <t>CUST10421</t>
  </si>
  <si>
    <t>18409.27</t>
  </si>
  <si>
    <t>50784.4</t>
  </si>
  <si>
    <t>22852.68</t>
  </si>
  <si>
    <t>ORD108622</t>
  </si>
  <si>
    <t>CUST13142</t>
  </si>
  <si>
    <t>6345.36</t>
  </si>
  <si>
    <t>5186.99</t>
  </si>
  <si>
    <t>206.57</t>
  </si>
  <si>
    <t>ORD108631</t>
  </si>
  <si>
    <t>CUST10415</t>
  </si>
  <si>
    <t>9357.26</t>
  </si>
  <si>
    <t>12321.6</t>
  </si>
  <si>
    <t>6392.92</t>
  </si>
  <si>
    <t>ORD108639</t>
  </si>
  <si>
    <t>CUST12724</t>
  </si>
  <si>
    <t>8960.49</t>
  </si>
  <si>
    <t>19733.73</t>
  </si>
  <si>
    <t>12524.03</t>
  </si>
  <si>
    <t>ORD108645</t>
  </si>
  <si>
    <t>CUST13213</t>
  </si>
  <si>
    <t>5171.3999999999996</t>
  </si>
  <si>
    <t>4008.32</t>
  </si>
  <si>
    <t>645.94000000000005</t>
  </si>
  <si>
    <t>ORD108649</t>
  </si>
  <si>
    <t>CUST11259</t>
  </si>
  <si>
    <t>73720.59</t>
  </si>
  <si>
    <t>56766.15</t>
  </si>
  <si>
    <t>5896.35</t>
  </si>
  <si>
    <t>ORD108651</t>
  </si>
  <si>
    <t>CUST12743</t>
  </si>
  <si>
    <t>1325.49</t>
  </si>
  <si>
    <t>797.78</t>
  </si>
  <si>
    <t>527.71</t>
  </si>
  <si>
    <t>ORD108659</t>
  </si>
  <si>
    <t>CUST11468</t>
  </si>
  <si>
    <t>39542.910000000003</t>
  </si>
  <si>
    <t>31897.5</t>
  </si>
  <si>
    <t>-263.17</t>
  </si>
  <si>
    <t>ORD108684</t>
  </si>
  <si>
    <t>CUST12523</t>
  </si>
  <si>
    <t>15119.05</t>
  </si>
  <si>
    <t>9413.31</t>
  </si>
  <si>
    <t>5705.74</t>
  </si>
  <si>
    <t>ORD108696</t>
  </si>
  <si>
    <t>CUST11834</t>
  </si>
  <si>
    <t>54895.839999999997</t>
  </si>
  <si>
    <t>41870.92</t>
  </si>
  <si>
    <t>4790.54</t>
  </si>
  <si>
    <t>ORD108709</t>
  </si>
  <si>
    <t>CUST11234</t>
  </si>
  <si>
    <t>32076.02</t>
  </si>
  <si>
    <t>42817.45</t>
  </si>
  <si>
    <t>14919.39</t>
  </si>
  <si>
    <t>ORD108724</t>
  </si>
  <si>
    <t>CUST12171</t>
  </si>
  <si>
    <t>2490.71</t>
  </si>
  <si>
    <t>1472.49</t>
  </si>
  <si>
    <t>769.15</t>
  </si>
  <si>
    <t>ORD108742</t>
  </si>
  <si>
    <t>CUST13144</t>
  </si>
  <si>
    <t>312.13</t>
  </si>
  <si>
    <t>473.6</t>
  </si>
  <si>
    <t>57.02</t>
  </si>
  <si>
    <t>ORD108746</t>
  </si>
  <si>
    <t>CUST11556</t>
  </si>
  <si>
    <t>644.91</t>
  </si>
  <si>
    <t>386.73</t>
  </si>
  <si>
    <t>161.44</t>
  </si>
  <si>
    <t>ORD108757</t>
  </si>
  <si>
    <t>CUST12681</t>
  </si>
  <si>
    <t>3376.98</t>
  </si>
  <si>
    <t>5388.22</t>
  </si>
  <si>
    <t>352.65</t>
  </si>
  <si>
    <t>ORD108784</t>
  </si>
  <si>
    <t>CUST11169</t>
  </si>
  <si>
    <t>4396.51</t>
  </si>
  <si>
    <t>3364.45</t>
  </si>
  <si>
    <t>592.41</t>
  </si>
  <si>
    <t>ORD108795</t>
  </si>
  <si>
    <t>CUST11692</t>
  </si>
  <si>
    <t>2412.5300000000002</t>
  </si>
  <si>
    <t>2809.74</t>
  </si>
  <si>
    <t>1532.81</t>
  </si>
  <si>
    <t>ORD108827</t>
  </si>
  <si>
    <t>CUST11152</t>
  </si>
  <si>
    <t>5728.84</t>
  </si>
  <si>
    <t>9020.67</t>
  </si>
  <si>
    <t>1291.24</t>
  </si>
  <si>
    <t>ORD108843</t>
  </si>
  <si>
    <t>CUST13237</t>
  </si>
  <si>
    <t>14177.01</t>
  </si>
  <si>
    <t>9015.8799999999992</t>
  </si>
  <si>
    <t>3743.43</t>
  </si>
  <si>
    <t>ORD108863</t>
  </si>
  <si>
    <t>CUST10806</t>
  </si>
  <si>
    <t>20318.37</t>
  </si>
  <si>
    <t>14920.15</t>
  </si>
  <si>
    <t>2350.46</t>
  </si>
  <si>
    <t>ORD108878</t>
  </si>
  <si>
    <t>CUST11910</t>
  </si>
  <si>
    <t>11556.52</t>
  </si>
  <si>
    <t>18799.53</t>
  </si>
  <si>
    <t>2002.21</t>
  </si>
  <si>
    <t>ORD108886</t>
  </si>
  <si>
    <t>CUST13311</t>
  </si>
  <si>
    <t>2803.6</t>
  </si>
  <si>
    <t>1549.15</t>
  </si>
  <si>
    <t>974.09</t>
  </si>
  <si>
    <t>ORD108892</t>
  </si>
  <si>
    <t>CUST11162</t>
  </si>
  <si>
    <t>73911.58</t>
  </si>
  <si>
    <t>43447.96</t>
  </si>
  <si>
    <t>23072.46</t>
  </si>
  <si>
    <t>ORD108893</t>
  </si>
  <si>
    <t>CUST10878</t>
  </si>
  <si>
    <t>1432.52</t>
  </si>
  <si>
    <t>945.73</t>
  </si>
  <si>
    <t>343.54</t>
  </si>
  <si>
    <t>ORD108907</t>
  </si>
  <si>
    <t>CUST13041</t>
  </si>
  <si>
    <t>1159.07</t>
  </si>
  <si>
    <t>1932.66</t>
  </si>
  <si>
    <t>1370.69</t>
  </si>
  <si>
    <t>ORD108919</t>
  </si>
  <si>
    <t>CUST11351</t>
  </si>
  <si>
    <t>5773.77</t>
  </si>
  <si>
    <t>3998.75</t>
  </si>
  <si>
    <t>1775.02</t>
  </si>
  <si>
    <t>ORD108923</t>
  </si>
  <si>
    <t>CUST11689</t>
  </si>
  <si>
    <t>1818.24</t>
  </si>
  <si>
    <t>2022.78</t>
  </si>
  <si>
    <t>886.4</t>
  </si>
  <si>
    <t>ORD108934</t>
  </si>
  <si>
    <t>CUST11543</t>
  </si>
  <si>
    <t>2871.48</t>
  </si>
  <si>
    <t>2196.7600000000002</t>
  </si>
  <si>
    <t>387.57</t>
  </si>
  <si>
    <t>ORD108955</t>
  </si>
  <si>
    <t>CUST10682</t>
  </si>
  <si>
    <t>5495.83</t>
  </si>
  <si>
    <t>3734.06</t>
  </si>
  <si>
    <t>1486.98</t>
  </si>
  <si>
    <t>ORD108970</t>
  </si>
  <si>
    <t>CUST12426</t>
  </si>
  <si>
    <t>1043.18</t>
  </si>
  <si>
    <t>272.52</t>
  </si>
  <si>
    <t>ORD108978</t>
  </si>
  <si>
    <t>CUST10403</t>
  </si>
  <si>
    <t>3375.15</t>
  </si>
  <si>
    <t>5092.84</t>
  </si>
  <si>
    <t>1657.46</t>
  </si>
  <si>
    <t>ORD108986</t>
  </si>
  <si>
    <t>CUST11265</t>
  </si>
  <si>
    <t>392.95</t>
  </si>
  <si>
    <t>941.53</t>
  </si>
  <si>
    <t>119.43</t>
  </si>
  <si>
    <t>ORD108988</t>
  </si>
  <si>
    <t>CUST11356</t>
  </si>
  <si>
    <t>1372.84</t>
  </si>
  <si>
    <t>857.66</t>
  </si>
  <si>
    <t>515.17999999999995</t>
  </si>
  <si>
    <t>ORD109007</t>
  </si>
  <si>
    <t>CUST13384</t>
  </si>
  <si>
    <t>5575.02</t>
  </si>
  <si>
    <t>7198.47</t>
  </si>
  <si>
    <t>3951.57</t>
  </si>
  <si>
    <t>ORD109012</t>
  </si>
  <si>
    <t>CUST11720</t>
  </si>
  <si>
    <t>9342.73</t>
  </si>
  <si>
    <t>6499.69</t>
  </si>
  <si>
    <t>2375.9</t>
  </si>
  <si>
    <t>ORD109020</t>
  </si>
  <si>
    <t>CUST13420</t>
  </si>
  <si>
    <t>26528.05</t>
  </si>
  <si>
    <t>15337.74</t>
  </si>
  <si>
    <t>11190.31</t>
  </si>
  <si>
    <t>ORD109034</t>
  </si>
  <si>
    <t>CUST11618</t>
  </si>
  <si>
    <t>63838.31</t>
  </si>
  <si>
    <t>45962.97</t>
  </si>
  <si>
    <t>14683.42</t>
  </si>
  <si>
    <t>ORD109044</t>
  </si>
  <si>
    <t>CUST11462</t>
  </si>
  <si>
    <t>11602.27</t>
  </si>
  <si>
    <t>6476.84</t>
  </si>
  <si>
    <t>2804.98</t>
  </si>
  <si>
    <t>ORD109046</t>
  </si>
  <si>
    <t>CUST11142</t>
  </si>
  <si>
    <t>16104.81</t>
  </si>
  <si>
    <t>9184.4599999999991</t>
  </si>
  <si>
    <t>5309.87</t>
  </si>
  <si>
    <t>ORD109048</t>
  </si>
  <si>
    <t>CUST10268</t>
  </si>
  <si>
    <t>21975.119999999999</t>
  </si>
  <si>
    <t>12963.75</t>
  </si>
  <si>
    <t>6813.86</t>
  </si>
  <si>
    <t>ORD109055</t>
  </si>
  <si>
    <t>CUST10402</t>
  </si>
  <si>
    <t>51018.81</t>
  </si>
  <si>
    <t>38796.339999999997</t>
  </si>
  <si>
    <t>2018.71</t>
  </si>
  <si>
    <t>ORD109061</t>
  </si>
  <si>
    <t>CUST10317</t>
  </si>
  <si>
    <t>30554.18</t>
  </si>
  <si>
    <t>17869.060000000001</t>
  </si>
  <si>
    <t>8101.99</t>
  </si>
  <si>
    <t>ORD109070</t>
  </si>
  <si>
    <t>CUST10243</t>
  </si>
  <si>
    <t>58471.79</t>
  </si>
  <si>
    <t>152087.38</t>
  </si>
  <si>
    <t>81799.78</t>
  </si>
  <si>
    <t>ORD109088</t>
  </si>
  <si>
    <t>CUST11456</t>
  </si>
  <si>
    <t>1664.09</t>
  </si>
  <si>
    <t>1150.8800000000001</t>
  </si>
  <si>
    <t>346.8</t>
  </si>
  <si>
    <t>ORD109089</t>
  </si>
  <si>
    <t>CUST13468</t>
  </si>
  <si>
    <t>4385.01</t>
  </si>
  <si>
    <t>8686.2000000000007</t>
  </si>
  <si>
    <t>2495.58</t>
  </si>
  <si>
    <t>ORD109090</t>
  </si>
  <si>
    <t>CUST11507</t>
  </si>
  <si>
    <t>3251.99</t>
  </si>
  <si>
    <t>5583.6</t>
  </si>
  <si>
    <t>3196.77</t>
  </si>
  <si>
    <t>ORD109095</t>
  </si>
  <si>
    <t>CUST10767</t>
  </si>
  <si>
    <t>5686.84</t>
  </si>
  <si>
    <t>4090.23</t>
  </si>
  <si>
    <t>1312.27</t>
  </si>
  <si>
    <t>ORD109104</t>
  </si>
  <si>
    <t>CUST10091</t>
  </si>
  <si>
    <t>5829.11</t>
  </si>
  <si>
    <t>13642.85</t>
  </si>
  <si>
    <t>3844.48</t>
  </si>
  <si>
    <t>ORD109129</t>
  </si>
  <si>
    <t>CUST10220</t>
  </si>
  <si>
    <t>7985.54</t>
  </si>
  <si>
    <t>5668.47</t>
  </si>
  <si>
    <t>1518.52</t>
  </si>
  <si>
    <t>ORD109131</t>
  </si>
  <si>
    <t>CUST11922</t>
  </si>
  <si>
    <t>4273.3599999999997</t>
  </si>
  <si>
    <t>5390.21</t>
  </si>
  <si>
    <t>1447.17</t>
  </si>
  <si>
    <t>ORD109133</t>
  </si>
  <si>
    <t>CUST12522</t>
  </si>
  <si>
    <t>6874.93</t>
  </si>
  <si>
    <t>13537.43</t>
  </si>
  <si>
    <t>3993.64</t>
  </si>
  <si>
    <t>ORD109134</t>
  </si>
  <si>
    <t>CUST13333</t>
  </si>
  <si>
    <t>5955.29</t>
  </si>
  <si>
    <t>8990.52</t>
  </si>
  <si>
    <t>1133.47</t>
  </si>
  <si>
    <t>ORD109142</t>
  </si>
  <si>
    <t>CUST11852</t>
  </si>
  <si>
    <t>3530.79</t>
  </si>
  <si>
    <t>7470.54</t>
  </si>
  <si>
    <t>2062.59</t>
  </si>
  <si>
    <t>ORD109166</t>
  </si>
  <si>
    <t>CUST10358</t>
  </si>
  <si>
    <t>901</t>
  </si>
  <si>
    <t>508.88</t>
  </si>
  <si>
    <t>392.12</t>
  </si>
  <si>
    <t>ORD109204</t>
  </si>
  <si>
    <t>CUST11612</t>
  </si>
  <si>
    <t>10072.790000000001</t>
  </si>
  <si>
    <t>5556.88</t>
  </si>
  <si>
    <t>3004.99</t>
  </si>
  <si>
    <t>ORD109235</t>
  </si>
  <si>
    <t>CUST12167</t>
  </si>
  <si>
    <t>5681.12</t>
  </si>
  <si>
    <t>4035.14</t>
  </si>
  <si>
    <t>1077.8699999999999</t>
  </si>
  <si>
    <t>ORD109245</t>
  </si>
  <si>
    <t>CUST11404</t>
  </si>
  <si>
    <t>3056.31</t>
  </si>
  <si>
    <t>2244.4699999999998</t>
  </si>
  <si>
    <t>659.02</t>
  </si>
  <si>
    <t>ORD109256</t>
  </si>
  <si>
    <t>CUST12068</t>
  </si>
  <si>
    <t>5580.19</t>
  </si>
  <si>
    <t>4492.6899999999996</t>
  </si>
  <si>
    <t>1087.5</t>
  </si>
  <si>
    <t>ORD109264</t>
  </si>
  <si>
    <t>CUST11446</t>
  </si>
  <si>
    <t>2595.19</t>
  </si>
  <si>
    <t>3540.62</t>
  </si>
  <si>
    <t>ORD109288</t>
  </si>
  <si>
    <t>CUST12213</t>
  </si>
  <si>
    <t>3001.31</t>
  </si>
  <si>
    <t>2090.42</t>
  </si>
  <si>
    <t>460.69</t>
  </si>
  <si>
    <t>ORD109296</t>
  </si>
  <si>
    <t>CUST12205</t>
  </si>
  <si>
    <t>45525.34</t>
  </si>
  <si>
    <t>104613.38</t>
  </si>
  <si>
    <t>77487.98</t>
  </si>
  <si>
    <t>ORD109316</t>
  </si>
  <si>
    <t>CUST10943</t>
  </si>
  <si>
    <t>1926.03</t>
  </si>
  <si>
    <t>2823.07</t>
  </si>
  <si>
    <t>1028.99</t>
  </si>
  <si>
    <t>ORD109346</t>
  </si>
  <si>
    <t>CUST12376</t>
  </si>
  <si>
    <t>5091.99</t>
  </si>
  <si>
    <t>3731.14</t>
  </si>
  <si>
    <t>342.45</t>
  </si>
  <si>
    <t>ORD109365</t>
  </si>
  <si>
    <t>CUST11919</t>
  </si>
  <si>
    <t>3703.82</t>
  </si>
  <si>
    <t>4945.49</t>
  </si>
  <si>
    <t>2091.77</t>
  </si>
  <si>
    <t>ORD109386</t>
  </si>
  <si>
    <t>CUST12700</t>
  </si>
  <si>
    <t>2652.83</t>
  </si>
  <si>
    <t>2144.63</t>
  </si>
  <si>
    <t>ORD109398</t>
  </si>
  <si>
    <t>CUST12083</t>
  </si>
  <si>
    <t>33254.35</t>
  </si>
  <si>
    <t>45651.519999999997</t>
  </si>
  <si>
    <t>20857.18</t>
  </si>
  <si>
    <t>ORD109430</t>
  </si>
  <si>
    <t>CUST11993</t>
  </si>
  <si>
    <t>2946.12</t>
  </si>
  <si>
    <t>4497.6499999999996</t>
  </si>
  <si>
    <t>1099.98</t>
  </si>
  <si>
    <t>ORD109443</t>
  </si>
  <si>
    <t>CUST13355</t>
  </si>
  <si>
    <t>6515.19</t>
  </si>
  <si>
    <t>18414.189999999999</t>
  </si>
  <si>
    <t>5040.49</t>
  </si>
  <si>
    <t>ORD109459</t>
  </si>
  <si>
    <t>CUST10732</t>
  </si>
  <si>
    <t>17592.27</t>
  </si>
  <si>
    <t>56145.53</t>
  </si>
  <si>
    <t>3668.19</t>
  </si>
  <si>
    <t>ORD109475</t>
  </si>
  <si>
    <t>CUST10373</t>
  </si>
  <si>
    <t>36018.1</t>
  </si>
  <si>
    <t>21076.95</t>
  </si>
  <si>
    <t>11339.34</t>
  </si>
  <si>
    <t>ORD109478</t>
  </si>
  <si>
    <t>CUST12077</t>
  </si>
  <si>
    <t>17569.59</t>
  </si>
  <si>
    <t>24017.88</t>
  </si>
  <si>
    <t>9364.34</t>
  </si>
  <si>
    <t>ORD109484</t>
  </si>
  <si>
    <t>CUST11854</t>
  </si>
  <si>
    <t>1623.07</t>
  </si>
  <si>
    <t>2339.36</t>
  </si>
  <si>
    <t>582.16999999999996</t>
  </si>
  <si>
    <t>ORD109487</t>
  </si>
  <si>
    <t>CUST10099</t>
  </si>
  <si>
    <t>40165.53</t>
  </si>
  <si>
    <t>22623.29</t>
  </si>
  <si>
    <t>15533.96</t>
  </si>
  <si>
    <t>ORD109509</t>
  </si>
  <si>
    <t>CUST13233</t>
  </si>
  <si>
    <t>34359.82</t>
  </si>
  <si>
    <t>84275.33</t>
  </si>
  <si>
    <t>3342.21</t>
  </si>
  <si>
    <t>ORD109520</t>
  </si>
  <si>
    <t>CUST11481</t>
  </si>
  <si>
    <t>11178.12</t>
  </si>
  <si>
    <t>9104.4</t>
  </si>
  <si>
    <t>-161.9</t>
  </si>
  <si>
    <t>ORD109533</t>
  </si>
  <si>
    <t>CUST11085</t>
  </si>
  <si>
    <t>15041.54</t>
  </si>
  <si>
    <t>46264.21</t>
  </si>
  <si>
    <t>1868.72</t>
  </si>
  <si>
    <t>ORD109534</t>
  </si>
  <si>
    <t>CUST12047</t>
  </si>
  <si>
    <t>4096.88</t>
  </si>
  <si>
    <t>2784.04</t>
  </si>
  <si>
    <t>1108</t>
  </si>
  <si>
    <t>ORD109538</t>
  </si>
  <si>
    <t>CUST12823</t>
  </si>
  <si>
    <t>5930.83</t>
  </si>
  <si>
    <t>4721.24</t>
  </si>
  <si>
    <t>23.42</t>
  </si>
  <si>
    <t>ORD109545</t>
  </si>
  <si>
    <t>CUST12836</t>
  </si>
  <si>
    <t>68777.119999999995</t>
  </si>
  <si>
    <t>82959.199999999997</t>
  </si>
  <si>
    <t>47717.33</t>
  </si>
  <si>
    <t>ORD109549</t>
  </si>
  <si>
    <t>CUST10752</t>
  </si>
  <si>
    <t>504.03</t>
  </si>
  <si>
    <t>399.04</t>
  </si>
  <si>
    <t>29.39</t>
  </si>
  <si>
    <t>ORD109598</t>
  </si>
  <si>
    <t>CUST11117</t>
  </si>
  <si>
    <t>2104.19</t>
  </si>
  <si>
    <t>1373.57</t>
  </si>
  <si>
    <t>309.77999999999997</t>
  </si>
  <si>
    <t>ORD109613</t>
  </si>
  <si>
    <t>CUST12207</t>
  </si>
  <si>
    <t>52536.68</t>
  </si>
  <si>
    <t>35760.22</t>
  </si>
  <si>
    <t>11522.79</t>
  </si>
  <si>
    <t>ORD109644</t>
  </si>
  <si>
    <t>CUST12911</t>
  </si>
  <si>
    <t>5558.42</t>
  </si>
  <si>
    <t>8408.1</t>
  </si>
  <si>
    <t>2708.74</t>
  </si>
  <si>
    <t>ORD109653</t>
  </si>
  <si>
    <t>CUST10716</t>
  </si>
  <si>
    <t>477.07</t>
  </si>
  <si>
    <t>51.18</t>
  </si>
  <si>
    <t>ORD109656</t>
  </si>
  <si>
    <t>CUST11915</t>
  </si>
  <si>
    <t>7325.54</t>
  </si>
  <si>
    <t>4674.2700000000004</t>
  </si>
  <si>
    <t>2284.9899999999998</t>
  </si>
  <si>
    <t>ORD109666</t>
  </si>
  <si>
    <t>CUST12014</t>
  </si>
  <si>
    <t>5126.1899999999996</t>
  </si>
  <si>
    <t>3830.02</t>
  </si>
  <si>
    <t>783.55</t>
  </si>
  <si>
    <t>ORD109679</t>
  </si>
  <si>
    <t>CUST10580</t>
  </si>
  <si>
    <t>1889.69</t>
  </si>
  <si>
    <t>2278.91</t>
  </si>
  <si>
    <t>1122.53</t>
  </si>
  <si>
    <t>ORD109707</t>
  </si>
  <si>
    <t>CUST13218</t>
  </si>
  <si>
    <t>5545.47</t>
  </si>
  <si>
    <t>3787.08</t>
  </si>
  <si>
    <t>926.57</t>
  </si>
  <si>
    <t>ORD109714</t>
  </si>
  <si>
    <t>CUST10255</t>
  </si>
  <si>
    <t>3458.06</t>
  </si>
  <si>
    <t>2762.79</t>
  </si>
  <si>
    <t>349.46</t>
  </si>
  <si>
    <t>ORD109734</t>
  </si>
  <si>
    <t>CUST11926</t>
  </si>
  <si>
    <t>3017.29</t>
  </si>
  <si>
    <t>2007.63</t>
  </si>
  <si>
    <t>858.8</t>
  </si>
  <si>
    <t>ORD109735</t>
  </si>
  <si>
    <t>CUST11957</t>
  </si>
  <si>
    <t>7980.75</t>
  </si>
  <si>
    <t>2536.5300000000002</t>
  </si>
  <si>
    <t>ORD109748</t>
  </si>
  <si>
    <t>CUST13252</t>
  </si>
  <si>
    <t>2860.89</t>
  </si>
  <si>
    <t>3545.25</t>
  </si>
  <si>
    <t>1890.44</t>
  </si>
  <si>
    <t>ORD109750</t>
  </si>
  <si>
    <t>CUST12512</t>
  </si>
  <si>
    <t>5190.22</t>
  </si>
  <si>
    <t>3117.51</t>
  </si>
  <si>
    <t>1553.69</t>
  </si>
  <si>
    <t>ORD109763</t>
  </si>
  <si>
    <t>CUST11233</t>
  </si>
  <si>
    <t>1195.79</t>
  </si>
  <si>
    <t>1871.21</t>
  </si>
  <si>
    <t>520.37</t>
  </si>
  <si>
    <t>ORD109790</t>
  </si>
  <si>
    <t>CUST12158</t>
  </si>
  <si>
    <t>67516.38</t>
  </si>
  <si>
    <t>102689.95</t>
  </si>
  <si>
    <t>5336.26</t>
  </si>
  <si>
    <t>ORD109837</t>
  </si>
  <si>
    <t>CUST11274</t>
  </si>
  <si>
    <t>11314.84</t>
  </si>
  <si>
    <t>8677.89</t>
  </si>
  <si>
    <t>2071.21</t>
  </si>
  <si>
    <t>ORD109841</t>
  </si>
  <si>
    <t>CUST11355</t>
  </si>
  <si>
    <t>62608.88</t>
  </si>
  <si>
    <t>119547.19</t>
  </si>
  <si>
    <t>58888.12</t>
  </si>
  <si>
    <t>ORD109849</t>
  </si>
  <si>
    <t>CUST13275</t>
  </si>
  <si>
    <t>4040.66</t>
  </si>
  <si>
    <t>3129.88</t>
  </si>
  <si>
    <t>708.75</t>
  </si>
  <si>
    <t>ORD109885</t>
  </si>
  <si>
    <t>CUST12615</t>
  </si>
  <si>
    <t>483.46</t>
  </si>
  <si>
    <t>363.77</t>
  </si>
  <si>
    <t>47.17</t>
  </si>
  <si>
    <t>ORD109939</t>
  </si>
  <si>
    <t>CUST12569</t>
  </si>
  <si>
    <t>5923.88</t>
  </si>
  <si>
    <t>4409.68</t>
  </si>
  <si>
    <t>625.62</t>
  </si>
  <si>
    <t>ORD109956</t>
  </si>
  <si>
    <t>CUST11807</t>
  </si>
  <si>
    <t>5722.96</t>
  </si>
  <si>
    <t>4086.5</t>
  </si>
  <si>
    <t>778.02</t>
  </si>
  <si>
    <t>ORD109971</t>
  </si>
  <si>
    <t>CUST13009</t>
  </si>
  <si>
    <t>11775.61</t>
  </si>
  <si>
    <t>37708.46</t>
  </si>
  <si>
    <t>9393.98</t>
  </si>
  <si>
    <t>ORD109993</t>
  </si>
  <si>
    <t>CUST12701</t>
  </si>
  <si>
    <t>49956.63</t>
  </si>
  <si>
    <t>73802.61</t>
  </si>
  <si>
    <t>26110.65</t>
  </si>
  <si>
    <t>ORD110009</t>
  </si>
  <si>
    <t>CUST12884</t>
  </si>
  <si>
    <t>9477.7099999999991</t>
  </si>
  <si>
    <t>12604.61</t>
  </si>
  <si>
    <t>4455.2700000000004</t>
  </si>
  <si>
    <t>ORD110014</t>
  </si>
  <si>
    <t>CUST12275</t>
  </si>
  <si>
    <t>15735.99</t>
  </si>
  <si>
    <t>25073.67</t>
  </si>
  <si>
    <t>4824.71</t>
  </si>
  <si>
    <t>ORD110044</t>
  </si>
  <si>
    <t>CUST12433</t>
  </si>
  <si>
    <t>2405.79</t>
  </si>
  <si>
    <t>1936.54</t>
  </si>
  <si>
    <t>228.67</t>
  </si>
  <si>
    <t>ORD110050</t>
  </si>
  <si>
    <t>CUST10184</t>
  </si>
  <si>
    <t>68642.13</t>
  </si>
  <si>
    <t>76525.350000000006</t>
  </si>
  <si>
    <t>33302.06</t>
  </si>
  <si>
    <t>ORD110054</t>
  </si>
  <si>
    <t>CUST12200</t>
  </si>
  <si>
    <t>9239.4699999999993</t>
  </si>
  <si>
    <t>10848.71</t>
  </si>
  <si>
    <t>6706.28</t>
  </si>
  <si>
    <t>ORD110075</t>
  </si>
  <si>
    <t>CUST11072</t>
  </si>
  <si>
    <t>358.65</t>
  </si>
  <si>
    <t>880.91</t>
  </si>
  <si>
    <t>338.5</t>
  </si>
  <si>
    <t>ORD110082</t>
  </si>
  <si>
    <t>CUST11353</t>
  </si>
  <si>
    <t>1321.26</t>
  </si>
  <si>
    <t>950.98</t>
  </si>
  <si>
    <t>304.22000000000003</t>
  </si>
  <si>
    <t>ORD110101</t>
  </si>
  <si>
    <t>CUST11318</t>
  </si>
  <si>
    <t>4360.12</t>
  </si>
  <si>
    <t>2455.52</t>
  </si>
  <si>
    <t>1250.58</t>
  </si>
  <si>
    <t>ORD110103</t>
  </si>
  <si>
    <t>CUST12883</t>
  </si>
  <si>
    <t>4795.04</t>
  </si>
  <si>
    <t>7763.6</t>
  </si>
  <si>
    <t>867.47</t>
  </si>
  <si>
    <t>ORD110117</t>
  </si>
  <si>
    <t>CUST12974</t>
  </si>
  <si>
    <t>7650.15</t>
  </si>
  <si>
    <t>5503.61</t>
  </si>
  <si>
    <t>1381.53</t>
  </si>
  <si>
    <t>ORD110118</t>
  </si>
  <si>
    <t>CUST11279</t>
  </si>
  <si>
    <t>10071.39</t>
  </si>
  <si>
    <t>5582.3</t>
  </si>
  <si>
    <t>4489.09</t>
  </si>
  <si>
    <t>ORD110126</t>
  </si>
  <si>
    <t>CUST12308</t>
  </si>
  <si>
    <t>2402.3000000000002</t>
  </si>
  <si>
    <t>1879.56</t>
  </si>
  <si>
    <t>402.62</t>
  </si>
  <si>
    <t>ORD110138</t>
  </si>
  <si>
    <t>CUST11879</t>
  </si>
  <si>
    <t>3219.59</t>
  </si>
  <si>
    <t>2538.36</t>
  </si>
  <si>
    <t>359.27</t>
  </si>
  <si>
    <t>ORD110187</t>
  </si>
  <si>
    <t>CUST11150</t>
  </si>
  <si>
    <t>24741.3</t>
  </si>
  <si>
    <t>17296.330000000002</t>
  </si>
  <si>
    <t>4970.84</t>
  </si>
  <si>
    <t>ORD110213</t>
  </si>
  <si>
    <t>CUST12656</t>
  </si>
  <si>
    <t>1423.36</t>
  </si>
  <si>
    <t>1568.39</t>
  </si>
  <si>
    <t>993.66</t>
  </si>
  <si>
    <t>ORD110234</t>
  </si>
  <si>
    <t>CUST11032</t>
  </si>
  <si>
    <t>7234.67</t>
  </si>
  <si>
    <t>5296.96</t>
  </si>
  <si>
    <t>1937.71</t>
  </si>
  <si>
    <t>ORD110253</t>
  </si>
  <si>
    <t>CUST11210</t>
  </si>
  <si>
    <t>3212.12</t>
  </si>
  <si>
    <t>6250.2</t>
  </si>
  <si>
    <t>1940.71</t>
  </si>
  <si>
    <t>ORD110286</t>
  </si>
  <si>
    <t>CUST10915</t>
  </si>
  <si>
    <t>14962.18</t>
  </si>
  <si>
    <t>22508.03</t>
  </si>
  <si>
    <t>4423.8900000000003</t>
  </si>
  <si>
    <t>ORD110304</t>
  </si>
  <si>
    <t>CUST10912</t>
  </si>
  <si>
    <t>31372.97</t>
  </si>
  <si>
    <t>73993.03</t>
  </si>
  <si>
    <t>10713.99</t>
  </si>
  <si>
    <t>ORD110325</t>
  </si>
  <si>
    <t>CUST12686</t>
  </si>
  <si>
    <t>11881.45</t>
  </si>
  <si>
    <t>25226.36</t>
  </si>
  <si>
    <t>8635.77</t>
  </si>
  <si>
    <t>ORD110328</t>
  </si>
  <si>
    <t>CUST12159</t>
  </si>
  <si>
    <t>7180.12</t>
  </si>
  <si>
    <t>8597.1</t>
  </si>
  <si>
    <t>5763.14</t>
  </si>
  <si>
    <t>ORD110329</t>
  </si>
  <si>
    <t>CUST12313</t>
  </si>
  <si>
    <t>9244.9500000000007</t>
  </si>
  <si>
    <t>14029.47</t>
  </si>
  <si>
    <t>4460.43</t>
  </si>
  <si>
    <t>ORD110347</t>
  </si>
  <si>
    <t>CUST12841</t>
  </si>
  <si>
    <t>27282.71</t>
  </si>
  <si>
    <t>20226.13</t>
  </si>
  <si>
    <t>2964.17</t>
  </si>
  <si>
    <t>ORD110360</t>
  </si>
  <si>
    <t>CUST12647</t>
  </si>
  <si>
    <t>913.24</t>
  </si>
  <si>
    <t>549.91</t>
  </si>
  <si>
    <t>317.67</t>
  </si>
  <si>
    <t>ORD110381</t>
  </si>
  <si>
    <t>CUST11561</t>
  </si>
  <si>
    <t>38916.35</t>
  </si>
  <si>
    <t>95970.79</t>
  </si>
  <si>
    <t>51911.34</t>
  </si>
  <si>
    <t>ORD110403</t>
  </si>
  <si>
    <t>CUST10211</t>
  </si>
  <si>
    <t>36176.89</t>
  </si>
  <si>
    <t>24727.64</t>
  </si>
  <si>
    <t>7831.56</t>
  </si>
  <si>
    <t>ORD110470</t>
  </si>
  <si>
    <t>CUST10183</t>
  </si>
  <si>
    <t>3404.7</t>
  </si>
  <si>
    <t>7760.6</t>
  </si>
  <si>
    <t>921.38</t>
  </si>
  <si>
    <t>ORD110487</t>
  </si>
  <si>
    <t>CUST11232</t>
  </si>
  <si>
    <t>11971.72</t>
  </si>
  <si>
    <t>26148.98</t>
  </si>
  <si>
    <t>9766.18</t>
  </si>
  <si>
    <t>ORD110490</t>
  </si>
  <si>
    <t>CUST12435</t>
  </si>
  <si>
    <t>2821.7</t>
  </si>
  <si>
    <t>4125.92</t>
  </si>
  <si>
    <t>953.14</t>
  </si>
  <si>
    <t>ORD110546</t>
  </si>
  <si>
    <t>CUST10142</t>
  </si>
  <si>
    <t>533.21</t>
  </si>
  <si>
    <t>389.82</t>
  </si>
  <si>
    <t>63.41</t>
  </si>
  <si>
    <t>ORD110600</t>
  </si>
  <si>
    <t>CUST12744</t>
  </si>
  <si>
    <t>5555.74</t>
  </si>
  <si>
    <t>7961.47</t>
  </si>
  <si>
    <t>2594.44</t>
  </si>
  <si>
    <t>ORD110624</t>
  </si>
  <si>
    <t>CUST10933</t>
  </si>
  <si>
    <t>44441.35</t>
  </si>
  <si>
    <t>31450.44</t>
  </si>
  <si>
    <t>10768.84</t>
  </si>
  <si>
    <t>ORD110717</t>
  </si>
  <si>
    <t>CUST10378</t>
  </si>
  <si>
    <t>5655.25</t>
  </si>
  <si>
    <t>8266.64</t>
  </si>
  <si>
    <t>2478.34</t>
  </si>
  <si>
    <t>ORD110731</t>
  </si>
  <si>
    <t>CUST13104</t>
  </si>
  <si>
    <t>2061.4699999999998</t>
  </si>
  <si>
    <t>3010.91</t>
  </si>
  <si>
    <t>1112.03</t>
  </si>
  <si>
    <t>ORD110775</t>
  </si>
  <si>
    <t>CUST11101</t>
  </si>
  <si>
    <t>6932.78</t>
  </si>
  <si>
    <t>5271.39</t>
  </si>
  <si>
    <t>1314.75</t>
  </si>
  <si>
    <t>ORD110779</t>
  </si>
  <si>
    <t>CUST10963</t>
  </si>
  <si>
    <t>36261.910000000003</t>
  </si>
  <si>
    <t>27043.84</t>
  </si>
  <si>
    <t>7404.97</t>
  </si>
  <si>
    <t>ORD110825</t>
  </si>
  <si>
    <t>CUST12178</t>
  </si>
  <si>
    <t>7376.59</t>
  </si>
  <si>
    <t>17395.02</t>
  </si>
  <si>
    <t>3628.26</t>
  </si>
  <si>
    <t>ORD110827</t>
  </si>
  <si>
    <t>CUST12773</t>
  </si>
  <si>
    <t>2837.53</t>
  </si>
  <si>
    <t>2008.49</t>
  </si>
  <si>
    <t>687.16</t>
  </si>
  <si>
    <t>ORD110831</t>
  </si>
  <si>
    <t>CUST12412</t>
  </si>
  <si>
    <t>13982.41</t>
  </si>
  <si>
    <t>9261.34</t>
  </si>
  <si>
    <t>2623.71</t>
  </si>
  <si>
    <t>ORD110851</t>
  </si>
  <si>
    <t>CUST13370</t>
  </si>
  <si>
    <t>61307.91</t>
  </si>
  <si>
    <t>45443.19</t>
  </si>
  <si>
    <t>15864.72</t>
  </si>
  <si>
    <t>ORD110862</t>
  </si>
  <si>
    <t>CUST10999</t>
  </si>
  <si>
    <t>9996.1200000000008</t>
  </si>
  <si>
    <t>6447.85</t>
  </si>
  <si>
    <t>2548.66</t>
  </si>
  <si>
    <t>ORD110869</t>
  </si>
  <si>
    <t>CUST11062</t>
  </si>
  <si>
    <t>26799.4</t>
  </si>
  <si>
    <t>16503.07</t>
  </si>
  <si>
    <t>6276.42</t>
  </si>
  <si>
    <t>ORD110910</t>
  </si>
  <si>
    <t>CUST12472</t>
  </si>
  <si>
    <t>3214.76</t>
  </si>
  <si>
    <t>4166.51</t>
  </si>
  <si>
    <t>1620.06</t>
  </si>
  <si>
    <t>ORD110920</t>
  </si>
  <si>
    <t>CUST11764</t>
  </si>
  <si>
    <t>13854.54</t>
  </si>
  <si>
    <t>11231.65</t>
  </si>
  <si>
    <t>-148.02000000000001</t>
  </si>
  <si>
    <t>ORD110937</t>
  </si>
  <si>
    <t>CUST13364</t>
  </si>
  <si>
    <t>682.05</t>
  </si>
  <si>
    <t>933.29</t>
  </si>
  <si>
    <t>226.19</t>
  </si>
  <si>
    <t>ORD111092</t>
  </si>
  <si>
    <t>CUST10931</t>
  </si>
  <si>
    <t>7976.88</t>
  </si>
  <si>
    <t>5477.56</t>
  </si>
  <si>
    <t>2100.48</t>
  </si>
  <si>
    <t>ORD111093</t>
  </si>
  <si>
    <t>CUST12602</t>
  </si>
  <si>
    <t>1501.88</t>
  </si>
  <si>
    <t>4508.2299999999996</t>
  </si>
  <si>
    <t>898.54</t>
  </si>
  <si>
    <t>ORD111099</t>
  </si>
  <si>
    <t>CUST11934</t>
  </si>
  <si>
    <t>8071.55</t>
  </si>
  <si>
    <t>6341.38</t>
  </si>
  <si>
    <t>923.02</t>
  </si>
  <si>
    <t>ORD111109</t>
  </si>
  <si>
    <t>CUST10072</t>
  </si>
  <si>
    <t>61992.47</t>
  </si>
  <si>
    <t>44416.41</t>
  </si>
  <si>
    <t>8277.19</t>
  </si>
  <si>
    <t>ORD111166</t>
  </si>
  <si>
    <t>CUST11970</t>
  </si>
  <si>
    <t>5907.91</t>
  </si>
  <si>
    <t>8962.26</t>
  </si>
  <si>
    <t>1671.98</t>
  </si>
  <si>
    <t>ORD111206</t>
  </si>
  <si>
    <t>CUST10230</t>
  </si>
  <si>
    <t>18399.46</t>
  </si>
  <si>
    <t>20520.68</t>
  </si>
  <si>
    <t>16278.24</t>
  </si>
  <si>
    <t>ORD111207</t>
  </si>
  <si>
    <t>CUST10347</t>
  </si>
  <si>
    <t>10419.049999999999</t>
  </si>
  <si>
    <t>7422.5</t>
  </si>
  <si>
    <t>2996.55</t>
  </si>
  <si>
    <t>ORD111210</t>
  </si>
  <si>
    <t>CUST13168</t>
  </si>
  <si>
    <t>4035.17</t>
  </si>
  <si>
    <t>2483.2600000000002</t>
  </si>
  <si>
    <t>1148.3900000000001</t>
  </si>
  <si>
    <t>ORD111241</t>
  </si>
  <si>
    <t>CUST12244</t>
  </si>
  <si>
    <t>34590.53</t>
  </si>
  <si>
    <t>27263.13</t>
  </si>
  <si>
    <t>3868.35</t>
  </si>
  <si>
    <t>ORD111245</t>
  </si>
  <si>
    <t>CUST10934</t>
  </si>
  <si>
    <t>14718.27</t>
  </si>
  <si>
    <t>25119.5</t>
  </si>
  <si>
    <t>16827.57</t>
  </si>
  <si>
    <t>ORD111258</t>
  </si>
  <si>
    <t>CUST11685</t>
  </si>
  <si>
    <t>2514.7800000000002</t>
  </si>
  <si>
    <t>1831.37</t>
  </si>
  <si>
    <t>683.41</t>
  </si>
  <si>
    <t>ORD111271</t>
  </si>
  <si>
    <t>CUST11423</t>
  </si>
  <si>
    <t>8610.0300000000007</t>
  </si>
  <si>
    <t>4831.29</t>
  </si>
  <si>
    <t>2917.74</t>
  </si>
  <si>
    <t>ORD111289</t>
  </si>
  <si>
    <t>CUST10546</t>
  </si>
  <si>
    <t>17278.52</t>
  </si>
  <si>
    <t>20986.71</t>
  </si>
  <si>
    <t>11842.48</t>
  </si>
  <si>
    <t>ORD111297</t>
  </si>
  <si>
    <t>CUST12939</t>
  </si>
  <si>
    <t>58269.56</t>
  </si>
  <si>
    <t>124251.24</t>
  </si>
  <si>
    <t>41817.01</t>
  </si>
  <si>
    <t>ORD111301</t>
  </si>
  <si>
    <t>CUST12837</t>
  </si>
  <si>
    <t>60017.46</t>
  </si>
  <si>
    <t>196520.83</t>
  </si>
  <si>
    <t>7538.53</t>
  </si>
  <si>
    <t>ORD111317</t>
  </si>
  <si>
    <t>CUST10050</t>
  </si>
  <si>
    <t>2732.64</t>
  </si>
  <si>
    <t>1543.11</t>
  </si>
  <si>
    <t>916.27</t>
  </si>
  <si>
    <t>ORD111321</t>
  </si>
  <si>
    <t>CUST11040</t>
  </si>
  <si>
    <t>2574.3200000000002</t>
  </si>
  <si>
    <t>2083.59</t>
  </si>
  <si>
    <t>233.3</t>
  </si>
  <si>
    <t>ORD111347</t>
  </si>
  <si>
    <t>CUST11205</t>
  </si>
  <si>
    <t>6036</t>
  </si>
  <si>
    <t>4504.12</t>
  </si>
  <si>
    <t>928.28</t>
  </si>
  <si>
    <t>ORD111358</t>
  </si>
  <si>
    <t>CUST11642</t>
  </si>
  <si>
    <t>12399.84</t>
  </si>
  <si>
    <t>9456.92</t>
  </si>
  <si>
    <t>1702.94</t>
  </si>
  <si>
    <t>ORD111378</t>
  </si>
  <si>
    <t>CUST11791</t>
  </si>
  <si>
    <t>15627.06</t>
  </si>
  <si>
    <t>10842.31</t>
  </si>
  <si>
    <t>4784.75</t>
  </si>
  <si>
    <t>ORD111387</t>
  </si>
  <si>
    <t>CUST12315</t>
  </si>
  <si>
    <t>46457.5</t>
  </si>
  <si>
    <t>31955.52</t>
  </si>
  <si>
    <t>9856.23</t>
  </si>
  <si>
    <t>ORD111391</t>
  </si>
  <si>
    <t>CUST11400</t>
  </si>
  <si>
    <t>5027.5600000000004</t>
  </si>
  <si>
    <t>3440.78</t>
  </si>
  <si>
    <t>1084.02</t>
  </si>
  <si>
    <t>ORD111423</t>
  </si>
  <si>
    <t>CUST10666</t>
  </si>
  <si>
    <t>27033.77</t>
  </si>
  <si>
    <t>37789.949999999997</t>
  </si>
  <si>
    <t>10870.84</t>
  </si>
  <si>
    <t>ORD111485</t>
  </si>
  <si>
    <t>CUST11991</t>
  </si>
  <si>
    <t>1578.76</t>
  </si>
  <si>
    <t>1032.45</t>
  </si>
  <si>
    <t>467.37</t>
  </si>
  <si>
    <t>ORD111522</t>
  </si>
  <si>
    <t>CUST12139</t>
  </si>
  <si>
    <t>1751.3</t>
  </si>
  <si>
    <t>2455.69</t>
  </si>
  <si>
    <t>521.52</t>
  </si>
  <si>
    <t>ORD111532</t>
  </si>
  <si>
    <t>CUST12362</t>
  </si>
  <si>
    <t>1141.8</t>
  </si>
  <si>
    <t>768.31</t>
  </si>
  <si>
    <t>373.49</t>
  </si>
  <si>
    <t>ORD111542</t>
  </si>
  <si>
    <t>CUST12842</t>
  </si>
  <si>
    <t>19162.95</t>
  </si>
  <si>
    <t>15686.78</t>
  </si>
  <si>
    <t>2518.02</t>
  </si>
  <si>
    <t>ORD111581</t>
  </si>
  <si>
    <t>CUST12590</t>
  </si>
  <si>
    <t>5066.95</t>
  </si>
  <si>
    <t>6786.9</t>
  </si>
  <si>
    <t>2840.3</t>
  </si>
  <si>
    <t>ORD111586</t>
  </si>
  <si>
    <t>CUST10627</t>
  </si>
  <si>
    <t>4960.28</t>
  </si>
  <si>
    <t>12463.48</t>
  </si>
  <si>
    <t>7377.64</t>
  </si>
  <si>
    <t>ORD111603</t>
  </si>
  <si>
    <t>CUST11539</t>
  </si>
  <si>
    <t>12309.26</t>
  </si>
  <si>
    <t>7775.16</t>
  </si>
  <si>
    <t>3918.64</t>
  </si>
  <si>
    <t>ORD111631</t>
  </si>
  <si>
    <t>CUST12395</t>
  </si>
  <si>
    <t>53371.12</t>
  </si>
  <si>
    <t>33233.660000000003</t>
  </si>
  <si>
    <t>14800.35</t>
  </si>
  <si>
    <t>ORD111632</t>
  </si>
  <si>
    <t>CUST11078</t>
  </si>
  <si>
    <t>45994.3</t>
  </si>
  <si>
    <t>77922.48</t>
  </si>
  <si>
    <t>46262.13</t>
  </si>
  <si>
    <t>ORD111651</t>
  </si>
  <si>
    <t>CUST11458</t>
  </si>
  <si>
    <t>11529.2</t>
  </si>
  <si>
    <t>16877.810000000001</t>
  </si>
  <si>
    <t>3874.75</t>
  </si>
  <si>
    <t>ORD111661</t>
  </si>
  <si>
    <t>CUST10764</t>
  </si>
  <si>
    <t>69226.25</t>
  </si>
  <si>
    <t>220566.87</t>
  </si>
  <si>
    <t>42492.88</t>
  </si>
  <si>
    <t>ORD111676</t>
  </si>
  <si>
    <t>CUST12242</t>
  </si>
  <si>
    <t>12186.24</t>
  </si>
  <si>
    <t>6717.34</t>
  </si>
  <si>
    <t>4250.28</t>
  </si>
  <si>
    <t>ORD111726</t>
  </si>
  <si>
    <t>CUST11197</t>
  </si>
  <si>
    <t>16762.259999999998</t>
  </si>
  <si>
    <t>12244.84</t>
  </si>
  <si>
    <t>3679.31</t>
  </si>
  <si>
    <t>ORD111757</t>
  </si>
  <si>
    <t>CUST13500</t>
  </si>
  <si>
    <t>52829.67</t>
  </si>
  <si>
    <t>35131.870000000003</t>
  </si>
  <si>
    <t>9773.35</t>
  </si>
  <si>
    <t>ORD111791</t>
  </si>
  <si>
    <t>CUST11761</t>
  </si>
  <si>
    <t>7406.5</t>
  </si>
  <si>
    <t>5348.79</t>
  </si>
  <si>
    <t>2057.71</t>
  </si>
  <si>
    <t>ORD111801</t>
  </si>
  <si>
    <t>CUST10217</t>
  </si>
  <si>
    <t>1248.02</t>
  </si>
  <si>
    <t>1394.35</t>
  </si>
  <si>
    <t>976.89</t>
  </si>
  <si>
    <t>ORD111805</t>
  </si>
  <si>
    <t>CUST10784</t>
  </si>
  <si>
    <t>11074.21</t>
  </si>
  <si>
    <t>8039.89</t>
  </si>
  <si>
    <t>3034.32</t>
  </si>
  <si>
    <t>ORD111828</t>
  </si>
  <si>
    <t>CUST12428</t>
  </si>
  <si>
    <t>19121.18</t>
  </si>
  <si>
    <t>12895.3</t>
  </si>
  <si>
    <t>5269.82</t>
  </si>
  <si>
    <t>ORD111833</t>
  </si>
  <si>
    <t>CUST10304</t>
  </si>
  <si>
    <t>1245.53</t>
  </si>
  <si>
    <t>384.34</t>
  </si>
  <si>
    <t>ORD111849</t>
  </si>
  <si>
    <t>CUST11306</t>
  </si>
  <si>
    <t>11372.52</t>
  </si>
  <si>
    <t>24383.31</t>
  </si>
  <si>
    <t>6322.49</t>
  </si>
  <si>
    <t>ORD111941</t>
  </si>
  <si>
    <t>CUST10352</t>
  </si>
  <si>
    <t>8814.1299999999992</t>
  </si>
  <si>
    <t>13015.93</t>
  </si>
  <si>
    <t>3730.92</t>
  </si>
  <si>
    <t>ORD111962</t>
  </si>
  <si>
    <t>CUST10145</t>
  </si>
  <si>
    <t>54417.2</t>
  </si>
  <si>
    <t>43415.67</t>
  </si>
  <si>
    <t>2838.95</t>
  </si>
  <si>
    <t>ORD112008</t>
  </si>
  <si>
    <t>CUST11422</t>
  </si>
  <si>
    <t>8057.9</t>
  </si>
  <si>
    <t>13595.56</t>
  </si>
  <si>
    <t>8160.77</t>
  </si>
  <si>
    <t>ORD112081</t>
  </si>
  <si>
    <t>CUST13483</t>
  </si>
  <si>
    <t>2051.79</t>
  </si>
  <si>
    <t>2643.07</t>
  </si>
  <si>
    <t>ORD112101</t>
  </si>
  <si>
    <t>CUST10942</t>
  </si>
  <si>
    <t>1970.14</t>
  </si>
  <si>
    <t>5190.42</t>
  </si>
  <si>
    <t>2690.14</t>
  </si>
  <si>
    <t>ORD112122</t>
  </si>
  <si>
    <t>CUST10879</t>
  </si>
  <si>
    <t>4505.0200000000004</t>
  </si>
  <si>
    <t>3333.4</t>
  </si>
  <si>
    <t>721.12</t>
  </si>
  <si>
    <t>ORD112181</t>
  </si>
  <si>
    <t>CUST12610</t>
  </si>
  <si>
    <t>68275.92</t>
  </si>
  <si>
    <t>91087.15</t>
  </si>
  <si>
    <t>31809.51</t>
  </si>
  <si>
    <t>ORD112206</t>
  </si>
  <si>
    <t>CUST11325</t>
  </si>
  <si>
    <t>2443.65</t>
  </si>
  <si>
    <t>1824.02</t>
  </si>
  <si>
    <t>130.9</t>
  </si>
  <si>
    <t>ORD112207</t>
  </si>
  <si>
    <t>CUST10850</t>
  </si>
  <si>
    <t>2415.2600000000002</t>
  </si>
  <si>
    <t>1590.4</t>
  </si>
  <si>
    <t>704.1</t>
  </si>
  <si>
    <t>ORD112252</t>
  </si>
  <si>
    <t>CUST12584</t>
  </si>
  <si>
    <t>1687.72</t>
  </si>
  <si>
    <t>959.38</t>
  </si>
  <si>
    <t>559.57000000000005</t>
  </si>
  <si>
    <t>ORD112266</t>
  </si>
  <si>
    <t>CUST12677</t>
  </si>
  <si>
    <t>45945.45</t>
  </si>
  <si>
    <t>37341.49</t>
  </si>
  <si>
    <t>4009.41</t>
  </si>
  <si>
    <t>ORD112275</t>
  </si>
  <si>
    <t>CUST11726</t>
  </si>
  <si>
    <t>17641.27</t>
  </si>
  <si>
    <t>25592.62</t>
  </si>
  <si>
    <t>6161.67</t>
  </si>
  <si>
    <t>ORD112277</t>
  </si>
  <si>
    <t>CUST13290</t>
  </si>
  <si>
    <t>59028.54</t>
  </si>
  <si>
    <t>95452.57</t>
  </si>
  <si>
    <t>4895.95</t>
  </si>
  <si>
    <t>ORD112293</t>
  </si>
  <si>
    <t>CUST13327</t>
  </si>
  <si>
    <t>4457.1499999999996</t>
  </si>
  <si>
    <t>3046.14</t>
  </si>
  <si>
    <t>965.3</t>
  </si>
  <si>
    <t>ORD112307</t>
  </si>
  <si>
    <t>CUST10427</t>
  </si>
  <si>
    <t>12777.76</t>
  </si>
  <si>
    <t>8098.07</t>
  </si>
  <si>
    <t>3401.91</t>
  </si>
  <si>
    <t>ORD112329</t>
  </si>
  <si>
    <t>CUST10011</t>
  </si>
  <si>
    <t>20979.759999999998</t>
  </si>
  <si>
    <t>13576.81</t>
  </si>
  <si>
    <t>4255.99</t>
  </si>
  <si>
    <t>ORD112330</t>
  </si>
  <si>
    <t>CUST11482</t>
  </si>
  <si>
    <t>18543.900000000001</t>
  </si>
  <si>
    <t>13301.23</t>
  </si>
  <si>
    <t>3388.28</t>
  </si>
  <si>
    <t>ORD112419</t>
  </si>
  <si>
    <t>CUST10993</t>
  </si>
  <si>
    <t>1673.16</t>
  </si>
  <si>
    <t>1181.7</t>
  </si>
  <si>
    <t>156.83000000000001</t>
  </si>
  <si>
    <t>ORD112443</t>
  </si>
  <si>
    <t>CUST11751</t>
  </si>
  <si>
    <t>4231.0600000000004</t>
  </si>
  <si>
    <t>2682.39</t>
  </si>
  <si>
    <t>1548.67</t>
  </si>
  <si>
    <t>ORD112453</t>
  </si>
  <si>
    <t>CUST12497</t>
  </si>
  <si>
    <t>3805.47</t>
  </si>
  <si>
    <t>3080.27</t>
  </si>
  <si>
    <t>154.38</t>
  </si>
  <si>
    <t>ORD112489</t>
  </si>
  <si>
    <t>CUST11176</t>
  </si>
  <si>
    <t>62052.91</t>
  </si>
  <si>
    <t>71258.7</t>
  </si>
  <si>
    <t>40436.54</t>
  </si>
  <si>
    <t>ORD112491</t>
  </si>
  <si>
    <t>CUST10051</t>
  </si>
  <si>
    <t>8339.1299999999992</t>
  </si>
  <si>
    <t>6628.56</t>
  </si>
  <si>
    <t>1293.6099999999999</t>
  </si>
  <si>
    <t>ORD112509</t>
  </si>
  <si>
    <t>CUST12652</t>
  </si>
  <si>
    <t>14615.97</t>
  </si>
  <si>
    <t>9097.58</t>
  </si>
  <si>
    <t>4056.79</t>
  </si>
  <si>
    <t>ORD112529</t>
  </si>
  <si>
    <t>CUST13014</t>
  </si>
  <si>
    <t>5407.56</t>
  </si>
  <si>
    <t>14475.55</t>
  </si>
  <si>
    <t>4991.67</t>
  </si>
  <si>
    <t>ORD112555</t>
  </si>
  <si>
    <t>CUST12518</t>
  </si>
  <si>
    <t>9906.07</t>
  </si>
  <si>
    <t>11974.31</t>
  </si>
  <si>
    <t>4866.01</t>
  </si>
  <si>
    <t>ORD112583</t>
  </si>
  <si>
    <t>CUST12021</t>
  </si>
  <si>
    <t>2599.7399999999998</t>
  </si>
  <si>
    <t>1997.93</t>
  </si>
  <si>
    <t>211.85</t>
  </si>
  <si>
    <t>ORD112589</t>
  </si>
  <si>
    <t>CUST11803</t>
  </si>
  <si>
    <t>3333.65</t>
  </si>
  <si>
    <t>2248.39</t>
  </si>
  <si>
    <t>751.9</t>
  </si>
  <si>
    <t>ORD112611</t>
  </si>
  <si>
    <t>CUST11428</t>
  </si>
  <si>
    <t>5302.44</t>
  </si>
  <si>
    <t>15544.99</t>
  </si>
  <si>
    <t>4604.28</t>
  </si>
  <si>
    <t>ORD112627</t>
  </si>
  <si>
    <t>CUST10700</t>
  </si>
  <si>
    <t>68426.460000000006</t>
  </si>
  <si>
    <t>44145.39</t>
  </si>
  <si>
    <t>10595.78</t>
  </si>
  <si>
    <t>ORD112638</t>
  </si>
  <si>
    <t>CUST10777</t>
  </si>
  <si>
    <t>71106.559999999998</t>
  </si>
  <si>
    <t>50471.34</t>
  </si>
  <si>
    <t>17079.89</t>
  </si>
  <si>
    <t>ORD112664</t>
  </si>
  <si>
    <t>CUST11369</t>
  </si>
  <si>
    <t>59004.52</t>
  </si>
  <si>
    <t>67185.73</t>
  </si>
  <si>
    <t>33121.949999999997</t>
  </si>
  <si>
    <t>ORD112707</t>
  </si>
  <si>
    <t>CUST11133</t>
  </si>
  <si>
    <t>11910.96</t>
  </si>
  <si>
    <t>8159.64</t>
  </si>
  <si>
    <t>3155.77</t>
  </si>
  <si>
    <t>ORD112755</t>
  </si>
  <si>
    <t>CUST10326</t>
  </si>
  <si>
    <t>2953.81</t>
  </si>
  <si>
    <t>3486</t>
  </si>
  <si>
    <t>1830.86</t>
  </si>
  <si>
    <t>ORD112757</t>
  </si>
  <si>
    <t>CUST13280</t>
  </si>
  <si>
    <t>22160.43</t>
  </si>
  <si>
    <t>17557.18</t>
  </si>
  <si>
    <t>4603.25</t>
  </si>
  <si>
    <t>ORD112807</t>
  </si>
  <si>
    <t>CUST11911</t>
  </si>
  <si>
    <t>9466.66</t>
  </si>
  <si>
    <t>7017.2</t>
  </si>
  <si>
    <t>1976.13</t>
  </si>
  <si>
    <t>ORD112830</t>
  </si>
  <si>
    <t>CUST13286</t>
  </si>
  <si>
    <t>12358.09</t>
  </si>
  <si>
    <t>7011.51</t>
  </si>
  <si>
    <t>4728.68</t>
  </si>
  <si>
    <t>ORD112901</t>
  </si>
  <si>
    <t>CUST13341</t>
  </si>
  <si>
    <t>916.02</t>
  </si>
  <si>
    <t>699.11</t>
  </si>
  <si>
    <t>171.11</t>
  </si>
  <si>
    <t>ORD112902</t>
  </si>
  <si>
    <t>CUST12211</t>
  </si>
  <si>
    <t>38397.58</t>
  </si>
  <si>
    <t>59796.37</t>
  </si>
  <si>
    <t>9319.27</t>
  </si>
  <si>
    <t>ORD112924</t>
  </si>
  <si>
    <t>CUST11953</t>
  </si>
  <si>
    <t>31308.18</t>
  </si>
  <si>
    <t>22280.22</t>
  </si>
  <si>
    <t>7462.55</t>
  </si>
  <si>
    <t>ORD112976</t>
  </si>
  <si>
    <t>CUST10134</t>
  </si>
  <si>
    <t>17702.310000000001</t>
  </si>
  <si>
    <t>14382.78</t>
  </si>
  <si>
    <t>664.18</t>
  </si>
  <si>
    <t>ORD113072</t>
  </si>
  <si>
    <t>CUST12614</t>
  </si>
  <si>
    <t>1941.33</t>
  </si>
  <si>
    <t>1555.47</t>
  </si>
  <si>
    <t>385.86</t>
  </si>
  <si>
    <t>ORD113086</t>
  </si>
  <si>
    <t>CUST11465</t>
  </si>
  <si>
    <t>5604.37</t>
  </si>
  <si>
    <t>8349.2199999999993</t>
  </si>
  <si>
    <t>617.77</t>
  </si>
  <si>
    <t>ORD113116</t>
  </si>
  <si>
    <t>CUST10815</t>
  </si>
  <si>
    <t>12945.23</t>
  </si>
  <si>
    <t>10065.780000000001</t>
  </si>
  <si>
    <t>937.67</t>
  </si>
  <si>
    <t>ORD113140</t>
  </si>
  <si>
    <t>CUST12712</t>
  </si>
  <si>
    <t>2914.49</t>
  </si>
  <si>
    <t>2193.38</t>
  </si>
  <si>
    <t>429.66</t>
  </si>
  <si>
    <t>ORD113178</t>
  </si>
  <si>
    <t>CUST10566</t>
  </si>
  <si>
    <t>4481.76</t>
  </si>
  <si>
    <t>2538.84</t>
  </si>
  <si>
    <t>1718.83</t>
  </si>
  <si>
    <t>ORD113282</t>
  </si>
  <si>
    <t>CUST10247</t>
  </si>
  <si>
    <t>3112.96</t>
  </si>
  <si>
    <t>2375.46</t>
  </si>
  <si>
    <t>426.2</t>
  </si>
  <si>
    <t>ORD113303</t>
  </si>
  <si>
    <t>CUST11845</t>
  </si>
  <si>
    <t>4205.46</t>
  </si>
  <si>
    <t>3270.01</t>
  </si>
  <si>
    <t>514.9</t>
  </si>
  <si>
    <t>ORD113375</t>
  </si>
  <si>
    <t>CUST11810</t>
  </si>
  <si>
    <t>3194.62</t>
  </si>
  <si>
    <t>1929.08</t>
  </si>
  <si>
    <t>1265.54</t>
  </si>
  <si>
    <t>ORD113481</t>
  </si>
  <si>
    <t>CUST11248</t>
  </si>
  <si>
    <t>5678.82</t>
  </si>
  <si>
    <t>4034</t>
  </si>
  <si>
    <t>ORD113589</t>
  </si>
  <si>
    <t>CUST12581</t>
  </si>
  <si>
    <t>4765.41</t>
  </si>
  <si>
    <t>6266.52</t>
  </si>
  <si>
    <t>2787.76</t>
  </si>
  <si>
    <t>ORD113638</t>
  </si>
  <si>
    <t>CUST12254</t>
  </si>
  <si>
    <t>5994.14</t>
  </si>
  <si>
    <t>4267.1400000000003</t>
  </si>
  <si>
    <t>827.88</t>
  </si>
  <si>
    <t>ORD113670</t>
  </si>
  <si>
    <t>CUST12594</t>
  </si>
  <si>
    <t>7601.59</t>
  </si>
  <si>
    <t>8982.7199999999993</t>
  </si>
  <si>
    <t>4700.1400000000003</t>
  </si>
  <si>
    <t>ORD113686</t>
  </si>
  <si>
    <t>CUST12991</t>
  </si>
  <si>
    <t>1862.9</t>
  </si>
  <si>
    <t>1476.79</t>
  </si>
  <si>
    <t>386.11</t>
  </si>
  <si>
    <t>ORD113727</t>
  </si>
  <si>
    <t>CUST10629</t>
  </si>
  <si>
    <t>6506.46</t>
  </si>
  <si>
    <t>20307.36</t>
  </si>
  <si>
    <t>3115.9</t>
  </si>
  <si>
    <t>ORD113807</t>
  </si>
  <si>
    <t>CUST13075</t>
  </si>
  <si>
    <t>2629.82</t>
  </si>
  <si>
    <t>6322.8</t>
  </si>
  <si>
    <t>2618.59</t>
  </si>
  <si>
    <t>ORD113946</t>
  </si>
  <si>
    <t>CUST10989</t>
  </si>
  <si>
    <t>8778.93</t>
  </si>
  <si>
    <t>12440.4</t>
  </si>
  <si>
    <t>3361.67</t>
  </si>
  <si>
    <t>ORD113976</t>
  </si>
  <si>
    <t>CUST10041</t>
  </si>
  <si>
    <t>423.84</t>
  </si>
  <si>
    <t>533.86</t>
  </si>
  <si>
    <t>229.05</t>
  </si>
  <si>
    <t>ORD114067</t>
  </si>
  <si>
    <t>CUST11086</t>
  </si>
  <si>
    <t>66615.789999999994</t>
  </si>
  <si>
    <t>39550.03</t>
  </si>
  <si>
    <t>23734.97</t>
  </si>
  <si>
    <t>ORD114137</t>
  </si>
  <si>
    <t>CUST11872</t>
  </si>
  <si>
    <t>1868.83</t>
  </si>
  <si>
    <t>1156.27</t>
  </si>
  <si>
    <t>712.56</t>
  </si>
  <si>
    <t>ORD114336</t>
  </si>
  <si>
    <t>CUST12323</t>
  </si>
  <si>
    <t>2413.2600000000002</t>
  </si>
  <si>
    <t>1696.04</t>
  </si>
  <si>
    <t>596.55999999999995</t>
  </si>
  <si>
    <t>ORD114395</t>
  </si>
  <si>
    <t>CUST12055</t>
  </si>
  <si>
    <t>10900.72</t>
  </si>
  <si>
    <t>17151.7</t>
  </si>
  <si>
    <t>1379.52</t>
  </si>
  <si>
    <t>ORD114398</t>
  </si>
  <si>
    <t>CUST10158</t>
  </si>
  <si>
    <t>20546.47</t>
  </si>
  <si>
    <t>46485.62</t>
  </si>
  <si>
    <t>31590.97</t>
  </si>
  <si>
    <t>ORD114479</t>
  </si>
  <si>
    <t>CUST11794</t>
  </si>
  <si>
    <t>62030.31</t>
  </si>
  <si>
    <t>46190.45</t>
  </si>
  <si>
    <t>12738.34</t>
  </si>
  <si>
    <t>ORD114551</t>
  </si>
  <si>
    <t>CUST10064</t>
  </si>
  <si>
    <t>17722.62</t>
  </si>
  <si>
    <t>12811.81</t>
  </si>
  <si>
    <t>4024.68</t>
  </si>
  <si>
    <t>ORD114603</t>
  </si>
  <si>
    <t>CUST10688</t>
  </si>
  <si>
    <t>1411.04</t>
  </si>
  <si>
    <t>1889.08</t>
  </si>
  <si>
    <t>650.79</t>
  </si>
  <si>
    <t>ORD114713</t>
  </si>
  <si>
    <t>CUST13089</t>
  </si>
  <si>
    <t>17062.38</t>
  </si>
  <si>
    <t>41960.56</t>
  </si>
  <si>
    <t>6667.22</t>
  </si>
  <si>
    <t>ORD114717</t>
  </si>
  <si>
    <t>CUST11587</t>
  </si>
  <si>
    <t>4602.96</t>
  </si>
  <si>
    <t>3038.53</t>
  </si>
  <si>
    <t>1564.43</t>
  </si>
  <si>
    <t>ORD114726</t>
  </si>
  <si>
    <t>CUST13402</t>
  </si>
  <si>
    <t>8315.89</t>
  </si>
  <si>
    <t>4792.67</t>
  </si>
  <si>
    <t>3523.22</t>
  </si>
  <si>
    <t>ORD114743</t>
  </si>
  <si>
    <t>CUST11052</t>
  </si>
  <si>
    <t>5954.92</t>
  </si>
  <si>
    <t>11450.65</t>
  </si>
  <si>
    <t>6414.11</t>
  </si>
  <si>
    <t>ORD114834</t>
  </si>
  <si>
    <t>CUST11893</t>
  </si>
  <si>
    <t>3915.03</t>
  </si>
  <si>
    <t>8895.36</t>
  </si>
  <si>
    <t>2262.48</t>
  </si>
  <si>
    <t>ORD114917</t>
  </si>
  <si>
    <t>CUST12045</t>
  </si>
  <si>
    <t>2997.84</t>
  </si>
  <si>
    <t>1938.27</t>
  </si>
  <si>
    <t>1059.57</t>
  </si>
  <si>
    <t>ORD115129</t>
  </si>
  <si>
    <t>CUST13325</t>
  </si>
  <si>
    <t>28296.799999999999</t>
  </si>
  <si>
    <t>19524.939999999999</t>
  </si>
  <si>
    <t>5942.18</t>
  </si>
  <si>
    <t>ORD115221</t>
  </si>
  <si>
    <t>CUST12838</t>
  </si>
  <si>
    <t>69281.990000000005</t>
  </si>
  <si>
    <t>50632.32</t>
  </si>
  <si>
    <t>8257.3700000000008</t>
  </si>
  <si>
    <t>ORD115308</t>
  </si>
  <si>
    <t>CUST12247</t>
  </si>
  <si>
    <t>4616.97</t>
  </si>
  <si>
    <t>3751.19</t>
  </si>
  <si>
    <t>404.08</t>
  </si>
  <si>
    <t>ORD115369</t>
  </si>
  <si>
    <t>CUST10094</t>
  </si>
  <si>
    <t>6530.56</t>
  </si>
  <si>
    <t>19875.96</t>
  </si>
  <si>
    <t>3634.06</t>
  </si>
  <si>
    <t>ORD115440</t>
  </si>
  <si>
    <t>CUST13366</t>
  </si>
  <si>
    <t>6575.98</t>
  </si>
  <si>
    <t>8907.65</t>
  </si>
  <si>
    <t>3586.71</t>
  </si>
  <si>
    <t>ORD115464</t>
  </si>
  <si>
    <t>CUST10236</t>
  </si>
  <si>
    <t>928.23</t>
  </si>
  <si>
    <t>1311.48</t>
  </si>
  <si>
    <t>452.16</t>
  </si>
  <si>
    <t>ORD115617</t>
  </si>
  <si>
    <t>CUST10337</t>
  </si>
  <si>
    <t>54427.71</t>
  </si>
  <si>
    <t>120989.61</t>
  </si>
  <si>
    <t>25965.21</t>
  </si>
  <si>
    <t>ORD115663</t>
  </si>
  <si>
    <t>CUST13058</t>
  </si>
  <si>
    <t>8318.5400000000009</t>
  </si>
  <si>
    <t>6367.64</t>
  </si>
  <si>
    <t>1119.05</t>
  </si>
  <si>
    <t>ORD115726</t>
  </si>
  <si>
    <t>CUST10178</t>
  </si>
  <si>
    <t>5017.97</t>
  </si>
  <si>
    <t>6038.81</t>
  </si>
  <si>
    <t>3997.13</t>
  </si>
  <si>
    <t>ORD115901</t>
  </si>
  <si>
    <t>CUST10847</t>
  </si>
  <si>
    <t>17943</t>
  </si>
  <si>
    <t>11201.37</t>
  </si>
  <si>
    <t>5844.48</t>
  </si>
  <si>
    <t>ORD115994</t>
  </si>
  <si>
    <t>CUST11628</t>
  </si>
  <si>
    <t>6232.49</t>
  </si>
  <si>
    <t>18932.21</t>
  </si>
  <si>
    <t>2258.2600000000002</t>
  </si>
  <si>
    <t>ORD116209</t>
  </si>
  <si>
    <t>CUST13026</t>
  </si>
  <si>
    <t>5077.3999999999996</t>
  </si>
  <si>
    <t>4112.55</t>
  </si>
  <si>
    <t>457.11</t>
  </si>
  <si>
    <t>ORD116293</t>
  </si>
  <si>
    <t>CUST13284</t>
  </si>
  <si>
    <t>973.12</t>
  </si>
  <si>
    <t>2173.9899999999998</t>
  </si>
  <si>
    <t>745.37</t>
  </si>
  <si>
    <t>ORD116416</t>
  </si>
  <si>
    <t>CUST12298</t>
  </si>
  <si>
    <t>41228.36</t>
  </si>
  <si>
    <t>51779.87</t>
  </si>
  <si>
    <t>22431.18</t>
  </si>
  <si>
    <t>ORD116558</t>
  </si>
  <si>
    <t>CUST12278</t>
  </si>
  <si>
    <t>4062.57</t>
  </si>
  <si>
    <t>9428.9699999999993</t>
  </si>
  <si>
    <t>6821.31</t>
  </si>
  <si>
    <t>ORD116565</t>
  </si>
  <si>
    <t>CUST11963</t>
  </si>
  <si>
    <t>343</t>
  </si>
  <si>
    <t>515.02</t>
  </si>
  <si>
    <t>102.38</t>
  </si>
  <si>
    <t>ORD116742</t>
  </si>
  <si>
    <t>CUST11285</t>
  </si>
  <si>
    <t>61003.77</t>
  </si>
  <si>
    <t>45181.53</t>
  </si>
  <si>
    <t>15822.24</t>
  </si>
  <si>
    <t>ORD116750</t>
  </si>
  <si>
    <t>CUST12008</t>
  </si>
  <si>
    <t>1830.53</t>
  </si>
  <si>
    <t>1215.67</t>
  </si>
  <si>
    <t>523.33000000000004</t>
  </si>
  <si>
    <t>ORD116875</t>
  </si>
  <si>
    <t>CUST12953</t>
  </si>
  <si>
    <t>14104.38</t>
  </si>
  <si>
    <t>9823.8799999999992</t>
  </si>
  <si>
    <t>2164.84</t>
  </si>
  <si>
    <t>ORD116916</t>
  </si>
  <si>
    <t>CUST13000</t>
  </si>
  <si>
    <t>8986.35</t>
  </si>
  <si>
    <t>5763.76</t>
  </si>
  <si>
    <t>2773.27</t>
  </si>
  <si>
    <t>ORD116955</t>
  </si>
  <si>
    <t>CUST12494</t>
  </si>
  <si>
    <t>47220.33</t>
  </si>
  <si>
    <t>31894.720000000001</t>
  </si>
  <si>
    <t>12964.59</t>
  </si>
  <si>
    <t>ORD116965</t>
  </si>
  <si>
    <t>CUST11246</t>
  </si>
  <si>
    <t>69286.16</t>
  </si>
  <si>
    <t>202200.36</t>
  </si>
  <si>
    <t>74944.28</t>
  </si>
  <si>
    <t>ORD117019</t>
  </si>
  <si>
    <t>CUST12387</t>
  </si>
  <si>
    <t>1369.08</t>
  </si>
  <si>
    <t>756.78</t>
  </si>
  <si>
    <t>612.29999999999995</t>
  </si>
  <si>
    <t>ORD117063</t>
  </si>
  <si>
    <t>CUST12460</t>
  </si>
  <si>
    <t>6487.45</t>
  </si>
  <si>
    <t>3615.33</t>
  </si>
  <si>
    <t>2547.75</t>
  </si>
  <si>
    <t>ORD117389</t>
  </si>
  <si>
    <t>CUST11989</t>
  </si>
  <si>
    <t>39979.019999999997</t>
  </si>
  <si>
    <t>23026.11</t>
  </si>
  <si>
    <t>10956.06</t>
  </si>
  <si>
    <t>ORD117406</t>
  </si>
  <si>
    <t>CUST11949</t>
  </si>
  <si>
    <t>3079.47</t>
  </si>
  <si>
    <t>1269.28</t>
  </si>
  <si>
    <t>ORD117449</t>
  </si>
  <si>
    <t>CUST10995</t>
  </si>
  <si>
    <t>1657.99</t>
  </si>
  <si>
    <t>1328.8</t>
  </si>
  <si>
    <t>246.29</t>
  </si>
  <si>
    <t>ORD117550</t>
  </si>
  <si>
    <t>CUST12442</t>
  </si>
  <si>
    <t>1175.58</t>
  </si>
  <si>
    <t>752.2</t>
  </si>
  <si>
    <t>188.26</t>
  </si>
  <si>
    <t>ORD117696</t>
  </si>
  <si>
    <t>CUST12337</t>
  </si>
  <si>
    <t>1360.08</t>
  </si>
  <si>
    <t>2298.41</t>
  </si>
  <si>
    <t>1781.83</t>
  </si>
  <si>
    <t>ORD117744</t>
  </si>
  <si>
    <t>CUST10212</t>
  </si>
  <si>
    <t>8839.2999999999993</t>
  </si>
  <si>
    <t>21710.7</t>
  </si>
  <si>
    <t>-496.38</t>
  </si>
  <si>
    <t>ORD117924</t>
  </si>
  <si>
    <t>CUST11595</t>
  </si>
  <si>
    <t>4954.91</t>
  </si>
  <si>
    <t>10074.370000000001</t>
  </si>
  <si>
    <t>4047.12</t>
  </si>
  <si>
    <t>ORD117971</t>
  </si>
  <si>
    <t>CUST13027</t>
  </si>
  <si>
    <t>785.17</t>
  </si>
  <si>
    <t>627.97</t>
  </si>
  <si>
    <t>78.680000000000007</t>
  </si>
  <si>
    <t>ORD117993</t>
  </si>
  <si>
    <t>CUST10462</t>
  </si>
  <si>
    <t>6180.47</t>
  </si>
  <si>
    <t>4403.71</t>
  </si>
  <si>
    <t>540.66999999999996</t>
  </si>
  <si>
    <t>ORD118064</t>
  </si>
  <si>
    <t>CUST10848</t>
  </si>
  <si>
    <t>2917.34</t>
  </si>
  <si>
    <t>1728.37</t>
  </si>
  <si>
    <t>605.5</t>
  </si>
  <si>
    <t>ORD118456</t>
  </si>
  <si>
    <t>CUST11663</t>
  </si>
  <si>
    <t>3132.55</t>
  </si>
  <si>
    <t>4076.51</t>
  </si>
  <si>
    <t>1875.33</t>
  </si>
  <si>
    <t>ORD118828</t>
  </si>
  <si>
    <t>CUST10785</t>
  </si>
  <si>
    <t>52814.59</t>
  </si>
  <si>
    <t>110945.23</t>
  </si>
  <si>
    <t>39576.35</t>
  </si>
  <si>
    <t>ORD119473</t>
  </si>
  <si>
    <t>CUST10711</t>
  </si>
  <si>
    <t>38218.51</t>
  </si>
  <si>
    <t>70982.98</t>
  </si>
  <si>
    <t>32207</t>
  </si>
  <si>
    <t>ORD119519</t>
  </si>
  <si>
    <t>CUST10123</t>
  </si>
  <si>
    <t>4255.3900000000003</t>
  </si>
  <si>
    <t>6958.86</t>
  </si>
  <si>
    <t>275.3</t>
  </si>
  <si>
    <t>ORD119550</t>
  </si>
  <si>
    <t>CUST12060</t>
  </si>
  <si>
    <t>25074.22</t>
  </si>
  <si>
    <t>19840.580000000002</t>
  </si>
  <si>
    <t>3979.93</t>
  </si>
  <si>
    <t>ORD119895</t>
  </si>
  <si>
    <t>CUST10106</t>
  </si>
  <si>
    <t>15546.93</t>
  </si>
  <si>
    <t>49294</t>
  </si>
  <si>
    <t>12893.72</t>
  </si>
  <si>
    <t>ORD119952</t>
  </si>
  <si>
    <t>CUST11929</t>
  </si>
  <si>
    <t>5172.82</t>
  </si>
  <si>
    <t>3999.21</t>
  </si>
  <si>
    <t>1173.6099999999999</t>
  </si>
  <si>
    <t>Row Labels</t>
  </si>
  <si>
    <t>Grand Total</t>
  </si>
  <si>
    <t>Sum of Sales</t>
  </si>
  <si>
    <t>Count of Order ID</t>
  </si>
  <si>
    <t>Order Month</t>
  </si>
  <si>
    <t>Jan</t>
  </si>
  <si>
    <t>Feb</t>
  </si>
  <si>
    <t>Mar</t>
  </si>
  <si>
    <t>Apr</t>
  </si>
  <si>
    <t>May</t>
  </si>
  <si>
    <t>Jun</t>
  </si>
  <si>
    <t>Jul</t>
  </si>
  <si>
    <t>Aug</t>
  </si>
  <si>
    <t>Sep</t>
  </si>
  <si>
    <t>Oct</t>
  </si>
  <si>
    <t>Nov</t>
  </si>
  <si>
    <t>Dec</t>
  </si>
  <si>
    <t>TOTAL SALES</t>
  </si>
  <si>
    <t>TOTAL ORDERS</t>
  </si>
  <si>
    <t>TOTAL DISCOUNT</t>
  </si>
  <si>
    <t>AVERAGE ORDER VALUE</t>
  </si>
  <si>
    <t>TOTAL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</si>
</sst>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quot;₹&quot;\ #,##0.00"/>
    <numFmt numFmtId="169" formatCode="&quot;₹&quot;\ #,##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0" fontId="1" fillId="2" borderId="1" xfId="0" applyFont="1" applyFill="1" applyBorder="1"/>
    <xf numFmtId="164" fontId="0" fillId="0" borderId="0" xfId="0" applyNumberFormat="1"/>
    <xf numFmtId="0" fontId="0" fillId="0" borderId="0" xfId="0" applyNumberFormat="1"/>
    <xf numFmtId="3" fontId="0" fillId="0" borderId="0" xfId="0" applyNumberFormat="1"/>
    <xf numFmtId="6" fontId="0" fillId="0" borderId="0" xfId="0" applyNumberFormat="1"/>
    <xf numFmtId="169" fontId="0" fillId="0" borderId="0" xfId="0" applyNumberFormat="1"/>
  </cellXfs>
  <cellStyles count="1">
    <cellStyle name="Normal" xfId="0" builtinId="0"/>
  </cellStyles>
  <dxfs count="120">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3" formatCode="#,##0"/>
    </dxf>
    <dxf>
      <numFmt numFmtId="10" formatCode="&quot;₹&quot;\ #,##0;[Red]&quot;₹&quot;\ \-#,##0"/>
    </dxf>
    <dxf>
      <numFmt numFmtId="10" formatCode="&quot;₹&quot;\ #,##0;[Red]&quot;₹&quot;\ \-#,##0"/>
    </dxf>
    <dxf>
      <numFmt numFmtId="3" formatCode="#,##0"/>
    </dxf>
    <dxf>
      <numFmt numFmtId="164" formatCode="&quot;₹&quot;\ #,##0.00"/>
    </dxf>
    <dxf>
      <numFmt numFmtId="164" formatCode="&quot;₹&quot;\ #,##0.00"/>
    </dxf>
    <dxf>
      <numFmt numFmtId="10" formatCode="&quot;₹&quot;\ #,##0;[Red]&quot;₹&quot;\ \-#,##0"/>
    </dxf>
    <dxf>
      <numFmt numFmtId="3"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24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[Ecommerce_Sales_Customer_Cleaned_Analysis.xlsx]PIVOT TABLE!PivotTable1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C000"/>
                </a:solidFill>
                <a:latin typeface="Copperplate Gothic Bold" panose="020E0705020206020404" pitchFamily="34" charset="0"/>
              </a:rPr>
              <a:t>Sales by Category</a:t>
            </a:r>
            <a:endParaRPr lang="en-IN">
              <a:solidFill>
                <a:srgbClr val="FFC000"/>
              </a:solidFill>
              <a:latin typeface="Copperplate Gothic Bold" panose="020E0705020206020404" pitchFamily="34" charset="0"/>
            </a:endParaRPr>
          </a:p>
        </c:rich>
      </c:tx>
      <c:layout>
        <c:manualLayout>
          <c:xMode val="edge"/>
          <c:yMode val="edge"/>
          <c:x val="0.1628660706076403"/>
          <c:y val="5.40603998902465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537091161367797E-2"/>
          <c:y val="0.31436992100208722"/>
          <c:w val="0.88133997654027563"/>
          <c:h val="0.43752149140561403"/>
        </c:manualLayout>
      </c:layout>
      <c:barChart>
        <c:barDir val="col"/>
        <c:grouping val="clustered"/>
        <c:varyColors val="0"/>
        <c:ser>
          <c:idx val="0"/>
          <c:order val="0"/>
          <c:tx>
            <c:strRef>
              <c:f>'PIVOT TABLE'!$B$3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Beauty</c:v>
                </c:pt>
                <c:pt idx="1">
                  <c:v>Electronics</c:v>
                </c:pt>
                <c:pt idx="2">
                  <c:v>Fashion</c:v>
                </c:pt>
                <c:pt idx="3">
                  <c:v>Home &amp; Kitchen</c:v>
                </c:pt>
                <c:pt idx="4">
                  <c:v>Sports</c:v>
                </c:pt>
              </c:strCache>
            </c:strRef>
          </c:cat>
          <c:val>
            <c:numRef>
              <c:f>'PIVOT TABLE'!$B$4:$B$9</c:f>
              <c:numCache>
                <c:formatCode>General</c:formatCode>
                <c:ptCount val="5"/>
                <c:pt idx="0">
                  <c:v>1820579.5704999985</c:v>
                </c:pt>
                <c:pt idx="1">
                  <c:v>56217036.346999988</c:v>
                </c:pt>
                <c:pt idx="2">
                  <c:v>4751812.5384999951</c:v>
                </c:pt>
                <c:pt idx="3">
                  <c:v>10765561.024499997</c:v>
                </c:pt>
                <c:pt idx="4">
                  <c:v>4535805.8814999908</c:v>
                </c:pt>
              </c:numCache>
            </c:numRef>
          </c:val>
          <c:extLst>
            <c:ext xmlns:c16="http://schemas.microsoft.com/office/drawing/2014/chart" uri="{C3380CC4-5D6E-409C-BE32-E72D297353CC}">
              <c16:uniqueId val="{00000000-F339-4E8A-B454-F5F013D28536}"/>
            </c:ext>
          </c:extLst>
        </c:ser>
        <c:dLbls>
          <c:dLblPos val="outEnd"/>
          <c:showLegendKey val="0"/>
          <c:showVal val="1"/>
          <c:showCatName val="0"/>
          <c:showSerName val="0"/>
          <c:showPercent val="0"/>
          <c:showBubbleSize val="0"/>
        </c:dLbls>
        <c:gapWidth val="219"/>
        <c:overlap val="-27"/>
        <c:axId val="1105892528"/>
        <c:axId val="1048027600"/>
      </c:barChart>
      <c:catAx>
        <c:axId val="1105892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en-US"/>
          </a:p>
        </c:txPr>
        <c:crossAx val="1048027600"/>
        <c:crosses val="autoZero"/>
        <c:auto val="1"/>
        <c:lblAlgn val="ctr"/>
        <c:lblOffset val="100"/>
        <c:noMultiLvlLbl val="0"/>
      </c:catAx>
      <c:valAx>
        <c:axId val="1048027600"/>
        <c:scaling>
          <c:orientation val="minMax"/>
        </c:scaling>
        <c:delete val="1"/>
        <c:axPos val="l"/>
        <c:numFmt formatCode="General" sourceLinked="1"/>
        <c:majorTickMark val="out"/>
        <c:minorTickMark val="none"/>
        <c:tickLblPos val="nextTo"/>
        <c:crossAx val="110589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42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[Ecommerce_Sales_Customer_Cleaned_Analysis.xlsx]PIVOT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a:solidFill>
                  <a:srgbClr val="FFC000"/>
                </a:solidFill>
                <a:latin typeface="Copperplate Gothic Bold" panose="020E0705020206020404" pitchFamily="34" charset="0"/>
              </a:rPr>
              <a:t>Top 10 Cities by Sales</a:t>
            </a:r>
            <a:endParaRPr lang="en-US" sz="1100">
              <a:solidFill>
                <a:srgbClr val="FFC000"/>
              </a:solidFill>
              <a:latin typeface="Copperplate Gothic Bold" panose="020E0705020206020404" pitchFamily="34" charset="0"/>
            </a:endParaRPr>
          </a:p>
        </c:rich>
      </c:tx>
      <c:layout>
        <c:manualLayout>
          <c:xMode val="edge"/>
          <c:yMode val="edge"/>
          <c:x val="0.27575216411944609"/>
          <c:y val="9.56608569624655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2424"/>
            </a:solidFill>
          </a:ln>
          <a:effectLst>
            <a:outerShdw blurRad="57150" dist="19050" dir="5400000" algn="ctr" rotWithShape="0">
              <a:srgbClr val="000000">
                <a:alpha val="63000"/>
              </a:srgbClr>
            </a:outerShdw>
          </a:effectLst>
          <a:sp3d>
            <a:contourClr>
              <a:srgbClr val="002424"/>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solidFill>
          <a:srgbClr val="002424"/>
        </a:solidFill>
        <a:ln>
          <a:noFill/>
        </a:ln>
        <a:effectLst/>
        <a:sp3d/>
      </c:spPr>
    </c:backWall>
    <c:plotArea>
      <c:layout>
        <c:manualLayout>
          <c:layoutTarget val="inner"/>
          <c:xMode val="edge"/>
          <c:yMode val="edge"/>
          <c:x val="8.5068110917150552E-2"/>
          <c:y val="0.22453630809748357"/>
          <c:w val="0.87881001069482823"/>
          <c:h val="0.59857082296612352"/>
        </c:manualLayout>
      </c:layout>
      <c:bar3DChart>
        <c:barDir val="col"/>
        <c:grouping val="stacked"/>
        <c:varyColors val="0"/>
        <c:ser>
          <c:idx val="0"/>
          <c:order val="0"/>
          <c:tx>
            <c:strRef>
              <c:f>'PIVOT TABLE'!$E$3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solidFill>
                  <a:srgbClr val="002424"/>
                </a:solidFill>
              </a:ln>
              <a:effectLst>
                <a:outerShdw blurRad="57150" dist="19050" dir="5400000" algn="ctr" rotWithShape="0">
                  <a:srgbClr val="000000">
                    <a:alpha val="63000"/>
                  </a:srgbClr>
                </a:outerShdw>
              </a:effectLst>
              <a:sp3d>
                <a:contourClr>
                  <a:srgbClr val="002424"/>
                </a:contourClr>
              </a:sp3d>
            </c:spPr>
            <c:extLst>
              <c:ext xmlns:c16="http://schemas.microsoft.com/office/drawing/2014/chart" uri="{C3380CC4-5D6E-409C-BE32-E72D297353CC}">
                <c16:uniqueId val="{00000001-4F39-46BF-8AD6-9A6AAFB7A44F}"/>
              </c:ext>
            </c:extLst>
          </c:dPt>
          <c:cat>
            <c:strRef>
              <c:f>'PIVOT TABLE'!$D$4:$D$14</c:f>
              <c:strCache>
                <c:ptCount val="10"/>
                <c:pt idx="0">
                  <c:v>Warangal</c:v>
                </c:pt>
                <c:pt idx="1">
                  <c:v>Trivandrum</c:v>
                </c:pt>
                <c:pt idx="2">
                  <c:v>New Delhi</c:v>
                </c:pt>
                <c:pt idx="3">
                  <c:v>Nagpur</c:v>
                </c:pt>
                <c:pt idx="4">
                  <c:v>Mysuru</c:v>
                </c:pt>
                <c:pt idx="5">
                  <c:v>Kolkata</c:v>
                </c:pt>
                <c:pt idx="6">
                  <c:v>Hyderabad</c:v>
                </c:pt>
                <c:pt idx="7">
                  <c:v>Howrah</c:v>
                </c:pt>
                <c:pt idx="8">
                  <c:v>Delhi</c:v>
                </c:pt>
                <c:pt idx="9">
                  <c:v>Ahmedabad</c:v>
                </c:pt>
              </c:strCache>
            </c:strRef>
          </c:cat>
          <c:val>
            <c:numRef>
              <c:f>'PIVOT TABLE'!$E$4:$E$14</c:f>
              <c:numCache>
                <c:formatCode>0.00</c:formatCode>
                <c:ptCount val="10"/>
                <c:pt idx="0">
                  <c:v>5039381.0309999986</c:v>
                </c:pt>
                <c:pt idx="1">
                  <c:v>3554968.2709999997</c:v>
                </c:pt>
                <c:pt idx="2">
                  <c:v>5454037.0964999935</c:v>
                </c:pt>
                <c:pt idx="3">
                  <c:v>3948588.6579999975</c:v>
                </c:pt>
                <c:pt idx="4">
                  <c:v>4112499.6249999972</c:v>
                </c:pt>
                <c:pt idx="5">
                  <c:v>3934349.9029999976</c:v>
                </c:pt>
                <c:pt idx="6">
                  <c:v>4371050.8139999993</c:v>
                </c:pt>
                <c:pt idx="7">
                  <c:v>4668131.5339999991</c:v>
                </c:pt>
                <c:pt idx="8">
                  <c:v>5355854.8274999969</c:v>
                </c:pt>
                <c:pt idx="9">
                  <c:v>3612496.0699999961</c:v>
                </c:pt>
              </c:numCache>
            </c:numRef>
          </c:val>
          <c:extLst>
            <c:ext xmlns:c16="http://schemas.microsoft.com/office/drawing/2014/chart" uri="{C3380CC4-5D6E-409C-BE32-E72D297353CC}">
              <c16:uniqueId val="{00000000-4F39-46BF-8AD6-9A6AAFB7A44F}"/>
            </c:ext>
          </c:extLst>
        </c:ser>
        <c:dLbls>
          <c:showLegendKey val="0"/>
          <c:showVal val="0"/>
          <c:showCatName val="0"/>
          <c:showSerName val="0"/>
          <c:showPercent val="0"/>
          <c:showBubbleSize val="0"/>
        </c:dLbls>
        <c:gapWidth val="80"/>
        <c:gapDepth val="0"/>
        <c:shape val="box"/>
        <c:axId val="776850768"/>
        <c:axId val="1303728047"/>
        <c:axId val="0"/>
      </c:bar3DChart>
      <c:catAx>
        <c:axId val="776850768"/>
        <c:scaling>
          <c:orientation val="minMax"/>
        </c:scaling>
        <c:delete val="0"/>
        <c:axPos val="b"/>
        <c:numFmt formatCode="General" sourceLinked="1"/>
        <c:majorTickMark val="none"/>
        <c:minorTickMark val="none"/>
        <c:tickLblPos val="nextTo"/>
        <c:spPr>
          <a:solidFill>
            <a:srgbClr val="002424"/>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bg1"/>
                </a:solidFill>
                <a:latin typeface="+mn-lt"/>
                <a:ea typeface="+mn-ea"/>
                <a:cs typeface="+mn-cs"/>
              </a:defRPr>
            </a:pPr>
            <a:endParaRPr lang="en-US"/>
          </a:p>
        </c:txPr>
        <c:crossAx val="1303728047"/>
        <c:crosses val="autoZero"/>
        <c:auto val="1"/>
        <c:lblAlgn val="ctr"/>
        <c:lblOffset val="100"/>
        <c:noMultiLvlLbl val="0"/>
      </c:catAx>
      <c:valAx>
        <c:axId val="1303728047"/>
        <c:scaling>
          <c:orientation val="minMax"/>
        </c:scaling>
        <c:delete val="1"/>
        <c:axPos val="l"/>
        <c:numFmt formatCode="0.00" sourceLinked="1"/>
        <c:majorTickMark val="none"/>
        <c:minorTickMark val="none"/>
        <c:tickLblPos val="nextTo"/>
        <c:crossAx val="77685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42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[Ecommerce_Sales_Customer_Cleaned_Analysis.xlsx]PIVOT TABLE!PivotTable3</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solidFill>
                  <a:srgbClr val="FFC000"/>
                </a:solidFill>
                <a:latin typeface="Copperplate Gothic Bold" panose="020E0705020206020404" pitchFamily="34" charset="0"/>
              </a:rPr>
              <a:t>Monthly Sales Trend</a:t>
            </a:r>
            <a:endParaRPr lang="en-US">
              <a:solidFill>
                <a:srgbClr val="FFC000"/>
              </a:solidFill>
              <a:latin typeface="Copperplate Gothic Bold" panose="020E0705020206020404" pitchFamily="34" charset="0"/>
            </a:endParaRPr>
          </a:p>
        </c:rich>
      </c:tx>
      <c:layout>
        <c:manualLayout>
          <c:xMode val="edge"/>
          <c:yMode val="edge"/>
          <c:x val="0.29098600174978129"/>
          <c:y val="3.2407407407407406E-2"/>
        </c:manualLayout>
      </c:layout>
      <c:overlay val="0"/>
      <c:spPr>
        <a:solidFill>
          <a:srgbClr val="00242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manualLayout>
          <c:layoutTarget val="inner"/>
          <c:xMode val="edge"/>
          <c:yMode val="edge"/>
          <c:x val="4.4013998250218719E-2"/>
          <c:y val="0.15546296296296294"/>
          <c:w val="0.90927149789943551"/>
          <c:h val="0.72824876057159527"/>
        </c:manualLayout>
      </c:layout>
      <c:areaChart>
        <c:grouping val="standard"/>
        <c:varyColors val="0"/>
        <c:ser>
          <c:idx val="0"/>
          <c:order val="0"/>
          <c:tx>
            <c:strRef>
              <c:f>'PIVOT TABLE'!$H$3</c:f>
              <c:strCache>
                <c:ptCount val="1"/>
                <c:pt idx="0">
                  <c:v>Total</c:v>
                </c:pt>
              </c:strCache>
            </c:strRef>
          </c:tx>
          <c:spPr>
            <a:solidFill>
              <a:srgbClr val="FFC000"/>
            </a:solidFill>
            <a:ln>
              <a:noFill/>
            </a:ln>
            <a:effectLst/>
          </c:spPr>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0.00</c:formatCode>
                <c:ptCount val="12"/>
                <c:pt idx="0">
                  <c:v>6783441.628999996</c:v>
                </c:pt>
                <c:pt idx="1">
                  <c:v>6377816.3994999882</c:v>
                </c:pt>
                <c:pt idx="2">
                  <c:v>6835147.4654999916</c:v>
                </c:pt>
                <c:pt idx="3">
                  <c:v>7385630.9575000014</c:v>
                </c:pt>
                <c:pt idx="4">
                  <c:v>6396890.6874999991</c:v>
                </c:pt>
                <c:pt idx="5">
                  <c:v>6470111.5074999984</c:v>
                </c:pt>
                <c:pt idx="6">
                  <c:v>6711673.3454999886</c:v>
                </c:pt>
                <c:pt idx="7">
                  <c:v>6198402.0280000018</c:v>
                </c:pt>
                <c:pt idx="8">
                  <c:v>5740294.0189999994</c:v>
                </c:pt>
                <c:pt idx="9">
                  <c:v>6206015.4429999962</c:v>
                </c:pt>
                <c:pt idx="10">
                  <c:v>6636699.162999996</c:v>
                </c:pt>
                <c:pt idx="11">
                  <c:v>6348672.7169999955</c:v>
                </c:pt>
              </c:numCache>
            </c:numRef>
          </c:val>
          <c:extLst>
            <c:ext xmlns:c16="http://schemas.microsoft.com/office/drawing/2014/chart" uri="{C3380CC4-5D6E-409C-BE32-E72D297353CC}">
              <c16:uniqueId val="{00000000-D9F9-4355-A9B7-F3E8A45F3112}"/>
            </c:ext>
          </c:extLst>
        </c:ser>
        <c:dLbls>
          <c:showLegendKey val="0"/>
          <c:showVal val="0"/>
          <c:showCatName val="0"/>
          <c:showSerName val="0"/>
          <c:showPercent val="0"/>
          <c:showBubbleSize val="0"/>
        </c:dLbls>
        <c:axId val="185815279"/>
        <c:axId val="106018863"/>
      </c:areaChart>
      <c:catAx>
        <c:axId val="18581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018863"/>
        <c:crosses val="autoZero"/>
        <c:auto val="1"/>
        <c:lblAlgn val="ctr"/>
        <c:lblOffset val="100"/>
        <c:noMultiLvlLbl val="0"/>
      </c:catAx>
      <c:valAx>
        <c:axId val="106018863"/>
        <c:scaling>
          <c:orientation val="minMax"/>
        </c:scaling>
        <c:delete val="1"/>
        <c:axPos val="l"/>
        <c:numFmt formatCode="0.00" sourceLinked="1"/>
        <c:majorTickMark val="none"/>
        <c:minorTickMark val="none"/>
        <c:tickLblPos val="nextTo"/>
        <c:crossAx val="1858152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00242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[Ecommerce_Sales_Customer_Cleaned_Analysis.xlsx]PIVOT TABLE!PivotTable5</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a:solidFill>
                  <a:srgbClr val="FFC000"/>
                </a:solidFill>
              </a:rPr>
              <a:t>Orders by Payment Method</a:t>
            </a:r>
            <a:endParaRPr lang="en-US" sz="1400">
              <a:solidFill>
                <a:srgbClr val="FFC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4"/>
          </a:solidFill>
          <a:ln>
            <a:noFill/>
          </a:ln>
          <a:effectLst>
            <a:outerShdw blurRad="254000" sx="102000" sy="102000" algn="ctr" rotWithShape="0">
              <a:prstClr val="black">
                <a:alpha val="20000"/>
              </a:prstClr>
            </a:outerShdw>
          </a:effectLst>
        </c:spPr>
      </c:pivotFmt>
      <c:pivotFmt>
        <c:idx val="17"/>
        <c:spPr>
          <a:solidFill>
            <a:schemeClr val="accent6"/>
          </a:solidFill>
          <a:ln>
            <a:noFill/>
          </a:ln>
          <a:effectLst>
            <a:outerShdw blurRad="254000" sx="102000" sy="102000" algn="ctr" rotWithShape="0">
              <a:prstClr val="black">
                <a:alpha val="20000"/>
              </a:prstClr>
            </a:outerShdw>
          </a:effectLst>
        </c:spPr>
      </c:pivotFmt>
      <c:pivotFmt>
        <c:idx val="18"/>
        <c:spPr>
          <a:solidFill>
            <a:schemeClr val="accent2">
              <a:lumMod val="60000"/>
            </a:schemeClr>
          </a:solidFill>
          <a:ln>
            <a:noFill/>
          </a:ln>
          <a:effectLst>
            <a:outerShdw blurRad="254000" sx="102000" sy="102000" algn="ctr" rotWithShape="0">
              <a:prstClr val="black">
                <a:alpha val="20000"/>
              </a:prstClr>
            </a:outerShdw>
          </a:effectLst>
        </c:spPr>
      </c:pivotFmt>
      <c:pivotFmt>
        <c:idx val="19"/>
        <c:spPr>
          <a:solidFill>
            <a:schemeClr val="accent4">
              <a:lumMod val="60000"/>
            </a:schemeClr>
          </a:solidFill>
          <a:ln>
            <a:noFill/>
          </a:ln>
          <a:effectLst>
            <a:outerShdw blurRad="254000" sx="102000" sy="102000" algn="ctr" rotWithShape="0">
              <a:prstClr val="black">
                <a:alpha val="20000"/>
              </a:prstClr>
            </a:outerShdw>
          </a:effectLst>
        </c:spPr>
      </c:pivotFmt>
      <c:pivotFmt>
        <c:idx val="20"/>
        <c:spPr>
          <a:solidFill>
            <a:schemeClr val="accent6">
              <a:lumMod val="60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TABLE'!$N$3</c:f>
              <c:strCache>
                <c:ptCount val="1"/>
                <c:pt idx="0">
                  <c:v>Total</c:v>
                </c:pt>
              </c:strCache>
            </c:strRef>
          </c:tx>
          <c:explosion val="8"/>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15-4BDF-B1E4-9804F8A181D7}"/>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15-4BDF-B1E4-9804F8A181D7}"/>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15-4BDF-B1E4-9804F8A181D7}"/>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15-4BDF-B1E4-9804F8A181D7}"/>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15-4BDF-B1E4-9804F8A181D7}"/>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415-4BDF-B1E4-9804F8A181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TABLE'!$M$4:$M$10</c:f>
              <c:strCache>
                <c:ptCount val="6"/>
                <c:pt idx="0">
                  <c:v>Cash on Delivery</c:v>
                </c:pt>
                <c:pt idx="1">
                  <c:v>Credit Card</c:v>
                </c:pt>
                <c:pt idx="2">
                  <c:v>Debit Card</c:v>
                </c:pt>
                <c:pt idx="3">
                  <c:v>Net Banking</c:v>
                </c:pt>
                <c:pt idx="4">
                  <c:v>unknown</c:v>
                </c:pt>
                <c:pt idx="5">
                  <c:v>UPI</c:v>
                </c:pt>
              </c:strCache>
            </c:strRef>
          </c:cat>
          <c:val>
            <c:numRef>
              <c:f>'PIVOT TABLE'!$N$4:$N$10</c:f>
              <c:numCache>
                <c:formatCode>General</c:formatCode>
                <c:ptCount val="6"/>
                <c:pt idx="0">
                  <c:v>663</c:v>
                </c:pt>
                <c:pt idx="1">
                  <c:v>677</c:v>
                </c:pt>
                <c:pt idx="2">
                  <c:v>716</c:v>
                </c:pt>
                <c:pt idx="3">
                  <c:v>683</c:v>
                </c:pt>
                <c:pt idx="4">
                  <c:v>20</c:v>
                </c:pt>
                <c:pt idx="5">
                  <c:v>729</c:v>
                </c:pt>
              </c:numCache>
            </c:numRef>
          </c:val>
          <c:extLst>
            <c:ext xmlns:c16="http://schemas.microsoft.com/office/drawing/2014/chart" uri="{C3380CC4-5D6E-409C-BE32-E72D297353CC}">
              <c16:uniqueId val="{0000000C-B415-4BDF-B1E4-9804F8A181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2"/>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Entry>
      <c:layout>
        <c:manualLayout>
          <c:xMode val="edge"/>
          <c:yMode val="edge"/>
          <c:x val="0.64085126715009055"/>
          <c:y val="0.25567014448241776"/>
          <c:w val="0.31521682730350636"/>
          <c:h val="0.64532000421553426"/>
        </c:manualLayout>
      </c:layout>
      <c:overlay val="0"/>
      <c:spPr>
        <a:solidFill>
          <a:srgbClr val="002424"/>
        </a:solid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424"/>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[Ecommerce_Sales_Customer_Cleaned_Analysis.xlsx]PIVOT TABLE!PivotTable4</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200">
                <a:solidFill>
                  <a:srgbClr val="FFC000"/>
                </a:solidFill>
                <a:latin typeface="Copperplate Gothic Bold" panose="020E0705020206020404" pitchFamily="34" charset="0"/>
              </a:rPr>
              <a:t>Orders by Order Status</a:t>
            </a:r>
            <a:endParaRPr lang="en-US" sz="1200">
              <a:solidFill>
                <a:srgbClr val="FFC000"/>
              </a:solidFill>
              <a:latin typeface="Copperplate Gothic Bold" panose="020E0705020206020404" pitchFamily="34" charset="0"/>
            </a:endParaRPr>
          </a:p>
        </c:rich>
      </c:tx>
      <c:layout>
        <c:manualLayout>
          <c:xMode val="edge"/>
          <c:yMode val="edge"/>
          <c:x val="0.14500479362707788"/>
          <c:y val="8.738266076510327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57668083439981"/>
          <c:y val="0.28576055637120412"/>
          <c:w val="0.45435205773167509"/>
          <c:h val="0.59803596816623028"/>
        </c:manualLayout>
      </c:layout>
      <c:doughnutChart>
        <c:varyColors val="1"/>
        <c:ser>
          <c:idx val="0"/>
          <c:order val="0"/>
          <c:tx>
            <c:strRef>
              <c:f>'PIVOT TABLE'!$K$3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7E1-4179-882E-8A98D7CB9BF8}"/>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7E1-4179-882E-8A98D7CB9BF8}"/>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7E1-4179-882E-8A98D7CB9BF8}"/>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7E1-4179-882E-8A98D7CB9BF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TABLE'!$J$4:$J$8</c:f>
              <c:strCache>
                <c:ptCount val="4"/>
                <c:pt idx="0">
                  <c:v>Cancelled</c:v>
                </c:pt>
                <c:pt idx="1">
                  <c:v>Delivered</c:v>
                </c:pt>
                <c:pt idx="2">
                  <c:v>Returned</c:v>
                </c:pt>
                <c:pt idx="3">
                  <c:v>Shipped</c:v>
                </c:pt>
              </c:strCache>
            </c:strRef>
          </c:cat>
          <c:val>
            <c:numRef>
              <c:f>'PIVOT TABLE'!$K$4:$K$8</c:f>
              <c:numCache>
                <c:formatCode>General</c:formatCode>
                <c:ptCount val="4"/>
                <c:pt idx="0">
                  <c:v>239</c:v>
                </c:pt>
                <c:pt idx="1">
                  <c:v>2711</c:v>
                </c:pt>
                <c:pt idx="2">
                  <c:v>165</c:v>
                </c:pt>
                <c:pt idx="3">
                  <c:v>373</c:v>
                </c:pt>
              </c:numCache>
            </c:numRef>
          </c:val>
          <c:extLst>
            <c:ext xmlns:c16="http://schemas.microsoft.com/office/drawing/2014/chart" uri="{C3380CC4-5D6E-409C-BE32-E72D297353CC}">
              <c16:uniqueId val="{00000008-B7E1-4179-882E-8A98D7CB9BF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69167761071867362"/>
          <c:y val="0.29624243568738018"/>
          <c:w val="0.25231589076351413"/>
          <c:h val="0.503741621113748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424"/>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472440</xdr:colOff>
      <xdr:row>1</xdr:row>
      <xdr:rowOff>99060</xdr:rowOff>
    </xdr:from>
    <xdr:to>
      <xdr:col>9</xdr:col>
      <xdr:colOff>68580</xdr:colOff>
      <xdr:row>2</xdr:row>
      <xdr:rowOff>121920</xdr:rowOff>
    </xdr:to>
    <xdr:sp macro="" textlink="">
      <xdr:nvSpPr>
        <xdr:cNvPr id="11" name="TextBox 10">
          <a:extLst>
            <a:ext uri="{FF2B5EF4-FFF2-40B4-BE49-F238E27FC236}">
              <a16:creationId xmlns:a16="http://schemas.microsoft.com/office/drawing/2014/main" id="{1BBCD69C-CDA6-6E94-D7B9-06E74A8E5979}"/>
            </a:ext>
          </a:extLst>
        </xdr:cNvPr>
        <xdr:cNvSpPr txBox="1"/>
      </xdr:nvSpPr>
      <xdr:spPr>
        <a:xfrm>
          <a:off x="5349240" y="281940"/>
          <a:ext cx="20574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Copperplate Gothic Bold" panose="020E0705020206020404" pitchFamily="34" charset="0"/>
            </a:rPr>
            <a:t>🛒 E-COMMERCE SALES DASHBOARD</a:t>
          </a:r>
        </a:p>
      </xdr:txBody>
    </xdr:sp>
    <xdr:clientData/>
  </xdr:twoCellAnchor>
  <xdr:twoCellAnchor editAs="oneCell">
    <xdr:from>
      <xdr:col>0</xdr:col>
      <xdr:colOff>7620</xdr:colOff>
      <xdr:row>0</xdr:row>
      <xdr:rowOff>0</xdr:rowOff>
    </xdr:from>
    <xdr:to>
      <xdr:col>20</xdr:col>
      <xdr:colOff>7620</xdr:colOff>
      <xdr:row>37</xdr:row>
      <xdr:rowOff>91440</xdr:rowOff>
    </xdr:to>
    <xdr:pic>
      <xdr:nvPicPr>
        <xdr:cNvPr id="17" name="Picture 16">
          <a:extLst>
            <a:ext uri="{FF2B5EF4-FFF2-40B4-BE49-F238E27FC236}">
              <a16:creationId xmlns:a16="http://schemas.microsoft.com/office/drawing/2014/main" id="{B4516F24-C24E-4E7F-6526-9E9D2047E2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 y="0"/>
          <a:ext cx="12147826" cy="7037788"/>
        </a:xfrm>
        <a:prstGeom prst="rect">
          <a:avLst/>
        </a:prstGeom>
      </xdr:spPr>
    </xdr:pic>
    <xdr:clientData/>
  </xdr:twoCellAnchor>
  <xdr:twoCellAnchor>
    <xdr:from>
      <xdr:col>0</xdr:col>
      <xdr:colOff>99391</xdr:colOff>
      <xdr:row>0</xdr:row>
      <xdr:rowOff>66260</xdr:rowOff>
    </xdr:from>
    <xdr:to>
      <xdr:col>13</xdr:col>
      <xdr:colOff>231913</xdr:colOff>
      <xdr:row>5</xdr:row>
      <xdr:rowOff>63564</xdr:rowOff>
    </xdr:to>
    <xdr:sp macro="" textlink="">
      <xdr:nvSpPr>
        <xdr:cNvPr id="18" name="TextBox 17">
          <a:extLst>
            <a:ext uri="{FF2B5EF4-FFF2-40B4-BE49-F238E27FC236}">
              <a16:creationId xmlns:a16="http://schemas.microsoft.com/office/drawing/2014/main" id="{F171AEEA-D4C2-002C-A1DB-6FA1F08A4954}"/>
            </a:ext>
          </a:extLst>
        </xdr:cNvPr>
        <xdr:cNvSpPr txBox="1"/>
      </xdr:nvSpPr>
      <xdr:spPr>
        <a:xfrm>
          <a:off x="99391" y="66260"/>
          <a:ext cx="8028609" cy="936000"/>
        </a:xfrm>
        <a:prstGeom prst="rect">
          <a:avLst/>
        </a:prstGeom>
        <a:solidFill>
          <a:srgbClr val="002424"/>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IN" sz="3200">
              <a:latin typeface="Copperplate Gothic Bold" panose="020E0705020206020404" pitchFamily="34" charset="0"/>
            </a:rPr>
            <a:t> </a:t>
          </a:r>
          <a:r>
            <a:rPr lang="en-IN" sz="3200">
              <a:solidFill>
                <a:srgbClr val="FFC000"/>
              </a:solidFill>
              <a:latin typeface="Copperplate Gothic Bold" panose="020E0705020206020404" pitchFamily="34" charset="0"/>
            </a:rPr>
            <a:t>E - Commerce</a:t>
          </a:r>
          <a:r>
            <a:rPr lang="en-IN" sz="3200" baseline="0">
              <a:solidFill>
                <a:srgbClr val="FFC000"/>
              </a:solidFill>
              <a:latin typeface="Copperplate Gothic Bold" panose="020E0705020206020404" pitchFamily="34" charset="0"/>
            </a:rPr>
            <a:t> Sales Dashboard</a:t>
          </a:r>
          <a:endParaRPr lang="en-IN" sz="3200">
            <a:solidFill>
              <a:srgbClr val="FFC000"/>
            </a:solidFill>
            <a:latin typeface="Copperplate Gothic Bold" panose="020E0705020206020404" pitchFamily="34" charset="0"/>
          </a:endParaRPr>
        </a:p>
      </xdr:txBody>
    </xdr:sp>
    <xdr:clientData/>
  </xdr:twoCellAnchor>
  <xdr:twoCellAnchor>
    <xdr:from>
      <xdr:col>10</xdr:col>
      <xdr:colOff>99393</xdr:colOff>
      <xdr:row>6</xdr:row>
      <xdr:rowOff>33131</xdr:rowOff>
    </xdr:from>
    <xdr:to>
      <xdr:col>13</xdr:col>
      <xdr:colOff>265044</xdr:colOff>
      <xdr:row>11</xdr:row>
      <xdr:rowOff>143566</xdr:rowOff>
    </xdr:to>
    <xdr:sp macro="" textlink="'PIVOT TABLE'!A45">
      <xdr:nvSpPr>
        <xdr:cNvPr id="19" name="TextBox 18">
          <a:extLst>
            <a:ext uri="{FF2B5EF4-FFF2-40B4-BE49-F238E27FC236}">
              <a16:creationId xmlns:a16="http://schemas.microsoft.com/office/drawing/2014/main" id="{3F319A2D-09C0-50D7-830A-E84BC04D5928}"/>
            </a:ext>
          </a:extLst>
        </xdr:cNvPr>
        <xdr:cNvSpPr txBox="1"/>
      </xdr:nvSpPr>
      <xdr:spPr>
        <a:xfrm>
          <a:off x="6173306" y="1159566"/>
          <a:ext cx="1987825" cy="1049130"/>
        </a:xfrm>
        <a:prstGeom prst="rect">
          <a:avLst/>
        </a:prstGeom>
        <a:solidFill>
          <a:srgbClr val="0024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553AD7-A23E-4C3D-B625-824A74A1A2D1}" type="TxLink">
            <a:rPr lang="en-US" sz="1400" b="0" i="0" u="none" strike="noStrike">
              <a:solidFill>
                <a:srgbClr val="FFC000"/>
              </a:solidFill>
              <a:latin typeface="Copperplate Gothic Bold" panose="020E0705020206020404" pitchFamily="34" charset="0"/>
            </a:rPr>
            <a:pPr algn="ctr"/>
            <a:t>₹ 7,80,90,795</a:t>
          </a:fld>
          <a:endParaRPr lang="en-US" sz="1400" b="0" i="0" u="none" strike="noStrike">
            <a:solidFill>
              <a:srgbClr val="FFC000"/>
            </a:solidFill>
            <a:latin typeface="Copperplate Gothic Bold" panose="020E0705020206020404" pitchFamily="34" charset="0"/>
          </a:endParaRPr>
        </a:p>
        <a:p>
          <a:pPr algn="ctr"/>
          <a:endParaRPr lang="en-US" sz="2000" b="0" i="0" u="none" strike="noStrike">
            <a:solidFill>
              <a:srgbClr val="FFC000"/>
            </a:solidFill>
            <a:latin typeface="Copperplate Gothic Bold" panose="020E0705020206020404" pitchFamily="34" charset="0"/>
          </a:endParaRPr>
        </a:p>
        <a:p>
          <a:pPr algn="ctr"/>
          <a:r>
            <a:rPr lang="en-IN" sz="1600">
              <a:solidFill>
                <a:srgbClr val="FFC000"/>
              </a:solidFill>
              <a:latin typeface="Copperplate Gothic Bold" panose="020E0705020206020404" pitchFamily="34" charset="0"/>
            </a:rPr>
            <a:t>TOTAL SALES</a:t>
          </a:r>
        </a:p>
      </xdr:txBody>
    </xdr:sp>
    <xdr:clientData/>
  </xdr:twoCellAnchor>
  <xdr:twoCellAnchor>
    <xdr:from>
      <xdr:col>10</xdr:col>
      <xdr:colOff>86143</xdr:colOff>
      <xdr:row>12</xdr:row>
      <xdr:rowOff>64056</xdr:rowOff>
    </xdr:from>
    <xdr:to>
      <xdr:col>13</xdr:col>
      <xdr:colOff>251794</xdr:colOff>
      <xdr:row>17</xdr:row>
      <xdr:rowOff>174491</xdr:rowOff>
    </xdr:to>
    <xdr:sp macro="" textlink="'PIVOT TABLE'!C45">
      <xdr:nvSpPr>
        <xdr:cNvPr id="20" name="TextBox 19">
          <a:extLst>
            <a:ext uri="{FF2B5EF4-FFF2-40B4-BE49-F238E27FC236}">
              <a16:creationId xmlns:a16="http://schemas.microsoft.com/office/drawing/2014/main" id="{B913D190-EB3B-42B2-B0EF-4D0FAEDD39B6}"/>
            </a:ext>
          </a:extLst>
        </xdr:cNvPr>
        <xdr:cNvSpPr txBox="1"/>
      </xdr:nvSpPr>
      <xdr:spPr>
        <a:xfrm>
          <a:off x="6160056" y="2316926"/>
          <a:ext cx="1987825" cy="1049130"/>
        </a:xfrm>
        <a:prstGeom prst="rect">
          <a:avLst/>
        </a:prstGeom>
        <a:solidFill>
          <a:srgbClr val="0024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0C00DA-DA12-472A-93DB-E2EAF168CA42}" type="TxLink">
            <a:rPr lang="en-US" sz="1400" b="0" i="0" u="none" strike="noStrike">
              <a:solidFill>
                <a:srgbClr val="FFC000"/>
              </a:solidFill>
              <a:latin typeface="Copperplate Gothic Bold" panose="020E0705020206020404" pitchFamily="34" charset="0"/>
            </a:rPr>
            <a:t>3488</a:t>
          </a:fld>
          <a:endParaRPr lang="en-US" sz="1400" b="0" i="0" u="none" strike="noStrike">
            <a:solidFill>
              <a:srgbClr val="FFC000"/>
            </a:solidFill>
            <a:latin typeface="Copperplate Gothic Bold" panose="020E0705020206020404" pitchFamily="34" charset="0"/>
          </a:endParaRPr>
        </a:p>
        <a:p>
          <a:pPr algn="ctr"/>
          <a:endParaRPr lang="en-US" sz="1400" b="0" i="0" u="none" strike="noStrike">
            <a:solidFill>
              <a:srgbClr val="FFC000"/>
            </a:solidFill>
            <a:latin typeface="Copperplate Gothic Bold" panose="020E0705020206020404" pitchFamily="34" charset="0"/>
          </a:endParaRPr>
        </a:p>
        <a:p>
          <a:pPr algn="ctr"/>
          <a:r>
            <a:rPr lang="en-IN" sz="1600">
              <a:solidFill>
                <a:srgbClr val="FFC000"/>
              </a:solidFill>
              <a:latin typeface="Copperplate Gothic Bold" panose="020E0705020206020404" pitchFamily="34" charset="0"/>
            </a:rPr>
            <a:t>TOTAL ORDERS</a:t>
          </a:r>
        </a:p>
      </xdr:txBody>
    </xdr:sp>
    <xdr:clientData/>
  </xdr:twoCellAnchor>
  <xdr:twoCellAnchor>
    <xdr:from>
      <xdr:col>10</xdr:col>
      <xdr:colOff>94979</xdr:colOff>
      <xdr:row>18</xdr:row>
      <xdr:rowOff>106022</xdr:rowOff>
    </xdr:from>
    <xdr:to>
      <xdr:col>13</xdr:col>
      <xdr:colOff>260630</xdr:colOff>
      <xdr:row>24</xdr:row>
      <xdr:rowOff>28717</xdr:rowOff>
    </xdr:to>
    <xdr:sp macro="" textlink="'PIVOT TABLE'!E45">
      <xdr:nvSpPr>
        <xdr:cNvPr id="21" name="TextBox 20">
          <a:extLst>
            <a:ext uri="{FF2B5EF4-FFF2-40B4-BE49-F238E27FC236}">
              <a16:creationId xmlns:a16="http://schemas.microsoft.com/office/drawing/2014/main" id="{CF7EC518-7ACA-4B49-B71A-101455F605E8}"/>
            </a:ext>
          </a:extLst>
        </xdr:cNvPr>
        <xdr:cNvSpPr txBox="1"/>
      </xdr:nvSpPr>
      <xdr:spPr>
        <a:xfrm>
          <a:off x="6168892" y="3485326"/>
          <a:ext cx="1987825" cy="1049130"/>
        </a:xfrm>
        <a:prstGeom prst="rect">
          <a:avLst/>
        </a:prstGeom>
        <a:solidFill>
          <a:srgbClr val="0024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9B986F-1E66-4B2B-B20D-EA50E524FB52}" type="TxLink">
            <a:rPr lang="en-US" sz="1400" b="0" i="0" u="none" strike="noStrike">
              <a:solidFill>
                <a:srgbClr val="FFC000"/>
              </a:solidFill>
              <a:latin typeface="Copperplate Gothic Bold" panose="020E0705020206020404" pitchFamily="34" charset="0"/>
            </a:rPr>
            <a:t>₹ 290.20</a:t>
          </a:fld>
          <a:endParaRPr lang="en-US" sz="1400" b="0" i="0" u="none" strike="noStrike">
            <a:solidFill>
              <a:srgbClr val="FFC000"/>
            </a:solidFill>
            <a:latin typeface="Copperplate Gothic Bold" panose="020E0705020206020404" pitchFamily="34" charset="0"/>
          </a:endParaRPr>
        </a:p>
        <a:p>
          <a:pPr algn="ctr"/>
          <a:endParaRPr lang="en-US" sz="1400" b="0" i="0" u="none" strike="noStrike">
            <a:solidFill>
              <a:srgbClr val="FFC000"/>
            </a:solidFill>
            <a:latin typeface="Copperplate Gothic Bold" panose="020E0705020206020404" pitchFamily="34" charset="0"/>
          </a:endParaRPr>
        </a:p>
        <a:p>
          <a:pPr algn="ctr"/>
          <a:r>
            <a:rPr lang="en-IN" sz="1200">
              <a:solidFill>
                <a:srgbClr val="FFC000"/>
              </a:solidFill>
              <a:latin typeface="Copperplate Gothic Bold" panose="020E0705020206020404" pitchFamily="34" charset="0"/>
            </a:rPr>
            <a:t>TOTAL DISCOUNT</a:t>
          </a:r>
        </a:p>
      </xdr:txBody>
    </xdr:sp>
    <xdr:clientData/>
  </xdr:twoCellAnchor>
  <xdr:twoCellAnchor>
    <xdr:from>
      <xdr:col>10</xdr:col>
      <xdr:colOff>81728</xdr:colOff>
      <xdr:row>24</xdr:row>
      <xdr:rowOff>170073</xdr:rowOff>
    </xdr:from>
    <xdr:to>
      <xdr:col>13</xdr:col>
      <xdr:colOff>247379</xdr:colOff>
      <xdr:row>30</xdr:row>
      <xdr:rowOff>92768</xdr:rowOff>
    </xdr:to>
    <xdr:sp macro="" textlink="'PIVOT TABLE'!G45">
      <xdr:nvSpPr>
        <xdr:cNvPr id="22" name="TextBox 21">
          <a:extLst>
            <a:ext uri="{FF2B5EF4-FFF2-40B4-BE49-F238E27FC236}">
              <a16:creationId xmlns:a16="http://schemas.microsoft.com/office/drawing/2014/main" id="{7B9DBAAF-E898-4706-AE5F-FCAE687F43E1}"/>
            </a:ext>
          </a:extLst>
        </xdr:cNvPr>
        <xdr:cNvSpPr txBox="1"/>
      </xdr:nvSpPr>
      <xdr:spPr>
        <a:xfrm>
          <a:off x="6155641" y="4675812"/>
          <a:ext cx="1987825" cy="1049130"/>
        </a:xfrm>
        <a:prstGeom prst="rect">
          <a:avLst/>
        </a:prstGeom>
        <a:solidFill>
          <a:srgbClr val="0024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8D59E5-7EC4-42D2-99FE-FA9354038CDF}" type="TxLink">
            <a:rPr lang="en-US" sz="1400" b="0" i="0" u="none" strike="noStrike">
              <a:solidFill>
                <a:srgbClr val="FFC000"/>
              </a:solidFill>
              <a:latin typeface="Copperplate Gothic Bold" panose="020E0705020206020404" pitchFamily="34" charset="0"/>
            </a:rPr>
            <a:t>22,388</a:t>
          </a:fld>
          <a:endParaRPr lang="en-US" sz="1400" b="0" i="0" u="none" strike="noStrike">
            <a:solidFill>
              <a:srgbClr val="FFC000"/>
            </a:solidFill>
            <a:latin typeface="Copperplate Gothic Bold" panose="020E0705020206020404" pitchFamily="34" charset="0"/>
          </a:endParaRPr>
        </a:p>
        <a:p>
          <a:pPr algn="ctr"/>
          <a:endParaRPr lang="en-US" sz="1400" b="0" i="0" u="none" strike="noStrike">
            <a:solidFill>
              <a:srgbClr val="FFC000"/>
            </a:solidFill>
            <a:latin typeface="Copperplate Gothic Bold" panose="020E0705020206020404" pitchFamily="34" charset="0"/>
          </a:endParaRPr>
        </a:p>
        <a:p>
          <a:pPr algn="ctr"/>
          <a:r>
            <a:rPr lang="en-IN" sz="1200">
              <a:solidFill>
                <a:srgbClr val="FFC000"/>
              </a:solidFill>
              <a:latin typeface="Copperplate Gothic Bold" panose="020E0705020206020404" pitchFamily="34" charset="0"/>
            </a:rPr>
            <a:t>AVG ORDER VALUE</a:t>
          </a:r>
        </a:p>
      </xdr:txBody>
    </xdr:sp>
    <xdr:clientData/>
  </xdr:twoCellAnchor>
  <xdr:twoCellAnchor>
    <xdr:from>
      <xdr:col>10</xdr:col>
      <xdr:colOff>90567</xdr:colOff>
      <xdr:row>31</xdr:row>
      <xdr:rowOff>13255</xdr:rowOff>
    </xdr:from>
    <xdr:to>
      <xdr:col>13</xdr:col>
      <xdr:colOff>256218</xdr:colOff>
      <xdr:row>36</xdr:row>
      <xdr:rowOff>123689</xdr:rowOff>
    </xdr:to>
    <xdr:sp macro="" textlink="'PIVOT TABLE'!G45">
      <xdr:nvSpPr>
        <xdr:cNvPr id="23" name="TextBox 22">
          <a:extLst>
            <a:ext uri="{FF2B5EF4-FFF2-40B4-BE49-F238E27FC236}">
              <a16:creationId xmlns:a16="http://schemas.microsoft.com/office/drawing/2014/main" id="{708E4654-E104-48E5-9166-3616589EDABB}"/>
            </a:ext>
          </a:extLst>
        </xdr:cNvPr>
        <xdr:cNvSpPr txBox="1"/>
      </xdr:nvSpPr>
      <xdr:spPr>
        <a:xfrm>
          <a:off x="6164480" y="5833168"/>
          <a:ext cx="1987825" cy="1049130"/>
        </a:xfrm>
        <a:prstGeom prst="rect">
          <a:avLst/>
        </a:prstGeom>
        <a:solidFill>
          <a:srgbClr val="00242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rgbClr val="FFC000"/>
              </a:solidFill>
              <a:latin typeface="Copperplate Gothic Bold" panose="020E0705020206020404" pitchFamily="34" charset="0"/>
            </a:rPr>
            <a:t>5</a:t>
          </a:r>
        </a:p>
        <a:p>
          <a:pPr algn="ctr"/>
          <a:endParaRPr lang="en-US" sz="1400" b="0" i="0" u="none" strike="noStrike">
            <a:solidFill>
              <a:srgbClr val="FFC000"/>
            </a:solidFill>
            <a:latin typeface="Copperplate Gothic Bold" panose="020E0705020206020404" pitchFamily="34" charset="0"/>
          </a:endParaRPr>
        </a:p>
        <a:p>
          <a:pPr algn="ctr"/>
          <a:r>
            <a:rPr lang="en-US" sz="1200" b="0" i="0" u="none" strike="noStrike">
              <a:solidFill>
                <a:srgbClr val="FFC000"/>
              </a:solidFill>
              <a:latin typeface="Copperplate Gothic Bold" panose="020E0705020206020404" pitchFamily="34" charset="0"/>
            </a:rPr>
            <a:t>TOTAL CATEGORIES</a:t>
          </a:r>
        </a:p>
      </xdr:txBody>
    </xdr:sp>
    <xdr:clientData/>
  </xdr:twoCellAnchor>
  <xdr:twoCellAnchor>
    <xdr:from>
      <xdr:col>0</xdr:col>
      <xdr:colOff>132522</xdr:colOff>
      <xdr:row>6</xdr:row>
      <xdr:rowOff>44172</xdr:rowOff>
    </xdr:from>
    <xdr:to>
      <xdr:col>4</xdr:col>
      <xdr:colOff>574261</xdr:colOff>
      <xdr:row>17</xdr:row>
      <xdr:rowOff>176695</xdr:rowOff>
    </xdr:to>
    <xdr:graphicFrame macro="">
      <xdr:nvGraphicFramePr>
        <xdr:cNvPr id="25" name="Chart 24">
          <a:extLst>
            <a:ext uri="{FF2B5EF4-FFF2-40B4-BE49-F238E27FC236}">
              <a16:creationId xmlns:a16="http://schemas.microsoft.com/office/drawing/2014/main" id="{19F9D094-CC0B-4F8F-8866-967E4B25F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375477</xdr:colOff>
      <xdr:row>15</xdr:row>
      <xdr:rowOff>55217</xdr:rowOff>
    </xdr:from>
    <xdr:to>
      <xdr:col>19</xdr:col>
      <xdr:colOff>463825</xdr:colOff>
      <xdr:row>26</xdr:row>
      <xdr:rowOff>0</xdr:rowOff>
    </xdr:to>
    <xdr:graphicFrame macro="">
      <xdr:nvGraphicFramePr>
        <xdr:cNvPr id="26" name="Chart 25">
          <a:extLst>
            <a:ext uri="{FF2B5EF4-FFF2-40B4-BE49-F238E27FC236}">
              <a16:creationId xmlns:a16="http://schemas.microsoft.com/office/drawing/2014/main" id="{6B00F184-7D1A-45DC-BEEA-6C456132D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165650</xdr:colOff>
      <xdr:row>19</xdr:row>
      <xdr:rowOff>0</xdr:rowOff>
    </xdr:from>
    <xdr:to>
      <xdr:col>9</xdr:col>
      <xdr:colOff>541129</xdr:colOff>
      <xdr:row>36</xdr:row>
      <xdr:rowOff>88347</xdr:rowOff>
    </xdr:to>
    <xdr:graphicFrame macro="">
      <xdr:nvGraphicFramePr>
        <xdr:cNvPr id="28" name="Chart 27">
          <a:extLst>
            <a:ext uri="{FF2B5EF4-FFF2-40B4-BE49-F238E27FC236}">
              <a16:creationId xmlns:a16="http://schemas.microsoft.com/office/drawing/2014/main" id="{600F8ACD-90F4-4777-B264-2E0A95EBE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107011</xdr:colOff>
      <xdr:row>6</xdr:row>
      <xdr:rowOff>22086</xdr:rowOff>
    </xdr:from>
    <xdr:to>
      <xdr:col>9</xdr:col>
      <xdr:colOff>563217</xdr:colOff>
      <xdr:row>18</xdr:row>
      <xdr:rowOff>22087</xdr:rowOff>
    </xdr:to>
    <xdr:graphicFrame macro="">
      <xdr:nvGraphicFramePr>
        <xdr:cNvPr id="29" name="Chart 28">
          <a:extLst>
            <a:ext uri="{FF2B5EF4-FFF2-40B4-BE49-F238E27FC236}">
              <a16:creationId xmlns:a16="http://schemas.microsoft.com/office/drawing/2014/main" id="{40A1CFF6-621B-4C7A-BAF4-58E03D5C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386522</xdr:colOff>
      <xdr:row>26</xdr:row>
      <xdr:rowOff>143566</xdr:rowOff>
    </xdr:from>
    <xdr:to>
      <xdr:col>19</xdr:col>
      <xdr:colOff>463826</xdr:colOff>
      <xdr:row>36</xdr:row>
      <xdr:rowOff>110433</xdr:rowOff>
    </xdr:to>
    <xdr:graphicFrame macro="">
      <xdr:nvGraphicFramePr>
        <xdr:cNvPr id="30" name="Chart 29">
          <a:extLst>
            <a:ext uri="{FF2B5EF4-FFF2-40B4-BE49-F238E27FC236}">
              <a16:creationId xmlns:a16="http://schemas.microsoft.com/office/drawing/2014/main" id="{EB8EED99-C556-49C7-A861-990A7D2AB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364435</xdr:colOff>
      <xdr:row>0</xdr:row>
      <xdr:rowOff>66260</xdr:rowOff>
    </xdr:from>
    <xdr:to>
      <xdr:col>19</xdr:col>
      <xdr:colOff>485913</xdr:colOff>
      <xdr:row>4</xdr:row>
      <xdr:rowOff>154606</xdr:rowOff>
    </xdr:to>
    <mc:AlternateContent xmlns:mc="http://schemas.openxmlformats.org/markup-compatibility/2006">
      <mc:Choice xmlns:a14="http://schemas.microsoft.com/office/drawing/2010/main" Requires="a14">
        <xdr:graphicFrame macro="">
          <xdr:nvGraphicFramePr>
            <xdr:cNvPr id="31" name="Category">
              <a:extLst>
                <a:ext uri="{FF2B5EF4-FFF2-40B4-BE49-F238E27FC236}">
                  <a16:creationId xmlns:a16="http://schemas.microsoft.com/office/drawing/2014/main" id="{102FDF65-A400-4B8C-9B78-9C9D29E379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60522" y="66260"/>
              <a:ext cx="3765826" cy="839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386522</xdr:colOff>
      <xdr:row>5</xdr:row>
      <xdr:rowOff>22086</xdr:rowOff>
    </xdr:from>
    <xdr:to>
      <xdr:col>19</xdr:col>
      <xdr:colOff>508000</xdr:colOff>
      <xdr:row>9</xdr:row>
      <xdr:rowOff>63130</xdr:rowOff>
    </xdr:to>
    <mc:AlternateContent xmlns:mc="http://schemas.openxmlformats.org/markup-compatibility/2006">
      <mc:Choice xmlns:a14="http://schemas.microsoft.com/office/drawing/2010/main" Requires="a14">
        <xdr:graphicFrame macro="">
          <xdr:nvGraphicFramePr>
            <xdr:cNvPr id="34" name="Order Status">
              <a:extLst>
                <a:ext uri="{FF2B5EF4-FFF2-40B4-BE49-F238E27FC236}">
                  <a16:creationId xmlns:a16="http://schemas.microsoft.com/office/drawing/2014/main" id="{BC698A37-DB99-4F99-8DE6-98FAC778728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dr:sp macro="" textlink="">
          <xdr:nvSpPr>
            <xdr:cNvPr id="0" name=""/>
            <xdr:cNvSpPr>
              <a:spLocks noTextEdit="1"/>
            </xdr:cNvSpPr>
          </xdr:nvSpPr>
          <xdr:spPr>
            <a:xfrm>
              <a:off x="8282609" y="960782"/>
              <a:ext cx="3765826"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342348</xdr:colOff>
      <xdr:row>9</xdr:row>
      <xdr:rowOff>154608</xdr:rowOff>
    </xdr:from>
    <xdr:to>
      <xdr:col>19</xdr:col>
      <xdr:colOff>485914</xdr:colOff>
      <xdr:row>14</xdr:row>
      <xdr:rowOff>132520</xdr:rowOff>
    </xdr:to>
    <mc:AlternateContent xmlns:mc="http://schemas.openxmlformats.org/markup-compatibility/2006">
      <mc:Choice xmlns:a14="http://schemas.microsoft.com/office/drawing/2010/main" Requires="a14">
        <xdr:graphicFrame macro="">
          <xdr:nvGraphicFramePr>
            <xdr:cNvPr id="35" name="Payment Method">
              <a:extLst>
                <a:ext uri="{FF2B5EF4-FFF2-40B4-BE49-F238E27FC236}">
                  <a16:creationId xmlns:a16="http://schemas.microsoft.com/office/drawing/2014/main" id="{049234D9-D195-4C36-9E57-E775D01654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238435" y="1844260"/>
              <a:ext cx="3787914" cy="916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in kumar" refreshedDate="46302.677089699071" createdVersion="8" refreshedVersion="8" minRefreshableVersion="3" recordCount="3488" xr:uid="{43C1898A-49D7-41EA-A645-472D847EACC3}">
  <cacheSource type="worksheet">
    <worksheetSource name="Raw_Data"/>
  </cacheSource>
  <cacheFields count="18">
    <cacheField name="Order ID" numFmtId="0">
      <sharedItems/>
    </cacheField>
    <cacheField name="Order Month" numFmtId="0">
      <sharedItems count="12">
        <s v="Jan"/>
        <s v="Feb"/>
        <s v="Dec"/>
        <s v="Mar"/>
        <s v="Apr"/>
        <s v="Sep"/>
        <s v="Jul"/>
        <s v="May"/>
        <s v="Aug"/>
        <s v="Jun"/>
        <s v="Nov"/>
        <s v="Oct"/>
      </sharedItems>
    </cacheField>
    <cacheField name="Order Date" numFmtId="0">
      <sharedItems/>
    </cacheField>
    <cacheField name="Customer ID" numFmtId="0">
      <sharedItems/>
    </cacheField>
    <cacheField name="Customer Segment" numFmtId="0">
      <sharedItems/>
    </cacheField>
    <cacheField name="State" numFmtId="0">
      <sharedItems/>
    </cacheField>
    <cacheField name="City" numFmtId="0">
      <sharedItems count="23">
        <s v="Kolkata"/>
        <s v="Chennai"/>
        <s v="Bengaluru"/>
        <s v="Ahmedabad"/>
        <s v="Nagpur"/>
        <s v="Kozhikode"/>
        <s v="Trivandrum"/>
        <s v="Delhi"/>
        <s v="Coimbatore"/>
        <s v="Howrah"/>
        <s v="Vadodara"/>
        <s v="Madurai"/>
        <s v="New Delhi"/>
        <s v="Trichy"/>
        <s v="Warangal"/>
        <s v="Kochi"/>
        <s v="Hyderabad"/>
        <s v="Mangalore"/>
        <s v="Surat"/>
        <s v="Salem"/>
        <s v="Pune"/>
        <s v="Mumbai"/>
        <s v="Mysuru"/>
      </sharedItems>
    </cacheField>
    <cacheField name="Category" numFmtId="0">
      <sharedItems count="5">
        <s v="Electronics"/>
        <s v="Beauty"/>
        <s v="Fashion"/>
        <s v="Home &amp; Kitchen"/>
        <s v="Sports"/>
      </sharedItems>
    </cacheField>
    <cacheField name="Product" numFmtId="0">
      <sharedItems/>
    </cacheField>
    <cacheField name="Quantity" numFmtId="0">
      <sharedItems/>
    </cacheField>
    <cacheField name="Unit Price" numFmtId="0">
      <sharedItems/>
    </cacheField>
    <cacheField name="Discount" numFmtId="0">
      <sharedItems containsSemiMixedTypes="0" containsString="0" containsNumber="1" minValue="0" maxValue="0.2"/>
    </cacheField>
    <cacheField name="Cost" numFmtId="0">
      <sharedItems/>
    </cacheField>
    <cacheField name="Profit" numFmtId="0">
      <sharedItems containsBlank="1"/>
    </cacheField>
    <cacheField name="Payment Method" numFmtId="0">
      <sharedItems count="6">
        <s v="UPI"/>
        <s v="Net Banking"/>
        <s v="Cash on Delivery"/>
        <s v="Credit Card"/>
        <s v="unknown"/>
        <s v="Debit Card"/>
      </sharedItems>
    </cacheField>
    <cacheField name="Order Status" numFmtId="0">
      <sharedItems count="4">
        <s v="Delivered"/>
        <s v="Returned"/>
        <s v="Shipped"/>
        <s v="Cancelled"/>
      </sharedItems>
    </cacheField>
    <cacheField name="Sales Channel" numFmtId="0">
      <sharedItems/>
    </cacheField>
    <cacheField name="Sales" numFmtId="2">
      <sharedItems containsSemiMixedTypes="0" containsString="0" containsNumber="1" minValue="257.022999999999" maxValue="282123.70399999898"/>
    </cacheField>
  </cacheFields>
  <extLst>
    <ext xmlns:x14="http://schemas.microsoft.com/office/spreadsheetml/2009/9/main" uri="{725AE2AE-9491-48be-B2B4-4EB974FC3084}">
      <x14:pivotCacheDefinition pivotCacheId="494233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88">
  <r>
    <s v="ORD100001"/>
    <x v="0"/>
    <s v="24-01-2025"/>
    <s v="CUST10346"/>
    <s v="Home Office"/>
    <s v="West Bengal"/>
    <x v="0"/>
    <x v="0"/>
    <s v="Tablet"/>
    <s v="1"/>
    <s v="73384.14"/>
    <n v="0.1"/>
    <s v="46464.160000000003"/>
    <s v="19581.57"/>
    <x v="0"/>
    <x v="0"/>
    <s v="Website"/>
    <n v="66045.725999999995"/>
  </r>
  <r>
    <s v="ORD100002"/>
    <x v="1"/>
    <s v="14-02-2025"/>
    <s v="CUST11350"/>
    <s v="Consumer"/>
    <s v="Tamil Nadu"/>
    <x v="1"/>
    <x v="1"/>
    <s v="Face Cream"/>
    <s v="1"/>
    <s v="629.13"/>
    <n v="0.05"/>
    <s v="500.53"/>
    <s v="97.14"/>
    <x v="1"/>
    <x v="0"/>
    <s v="Marketplace"/>
    <n v="597.67349999999999"/>
  </r>
  <r>
    <s v="ORD100003"/>
    <x v="2"/>
    <s v="06-12-2025"/>
    <s v="CUST10945"/>
    <s v="Corporate"/>
    <s v="Tamil Nadu"/>
    <x v="1"/>
    <x v="0"/>
    <s v="Laptop"/>
    <s v="2"/>
    <s v="70372.100000000006"/>
    <n v="0.05"/>
    <s v="92026.35"/>
    <s v="41680.639999999999"/>
    <x v="2"/>
    <x v="0"/>
    <s v="Marketplace"/>
    <n v="133706.99"/>
  </r>
  <r>
    <s v="ORD100004"/>
    <x v="3"/>
    <s v="09-03-2025"/>
    <s v="CUST11244"/>
    <s v="Corporate"/>
    <s v="Karnataka"/>
    <x v="2"/>
    <x v="1"/>
    <s v="Lipstick"/>
    <s v="2"/>
    <s v="2055.4699999999998"/>
    <n v="0.1"/>
    <s v="2567.42"/>
    <s v="1132.43"/>
    <x v="3"/>
    <x v="0"/>
    <s v="Mobile App"/>
    <n v="3699.84599999999"/>
  </r>
  <r>
    <s v="ORD100005"/>
    <x v="4"/>
    <s v="30-04-2025"/>
    <s v="CUST12252"/>
    <s v="Home Office"/>
    <s v="Gujarat"/>
    <x v="3"/>
    <x v="1"/>
    <s v="Hair Dryer"/>
    <s v="1"/>
    <s v="1976.95"/>
    <n v="0.1"/>
    <s v="1420"/>
    <s v="359.26"/>
    <x v="1"/>
    <x v="0"/>
    <s v="Website"/>
    <n v="1779.2550000000001"/>
  </r>
  <r>
    <s v="ORD100006"/>
    <x v="5"/>
    <s v="18-09-2025"/>
    <s v="CUST11836"/>
    <s v="Consumer"/>
    <s v="Maharashtra"/>
    <x v="4"/>
    <x v="2"/>
    <s v="Sneakers"/>
    <s v="4"/>
    <s v="4875.5200000000004"/>
    <n v="0"/>
    <s v="12352.43"/>
    <s v="7149.65"/>
    <x v="1"/>
    <x v="0"/>
    <s v="Mobile App"/>
    <n v="19502.080000000002"/>
  </r>
  <r>
    <s v="ORD100007"/>
    <x v="6"/>
    <s v="18-07-2025"/>
    <s v="CUST10045"/>
    <s v="Corporate"/>
    <s v="Kerala"/>
    <x v="5"/>
    <x v="2"/>
    <s v="Handbag"/>
    <s v="2"/>
    <s v="3868.14"/>
    <n v="0"/>
    <s v="4454.6400000000003"/>
    <s v="3281.64"/>
    <x v="2"/>
    <x v="1"/>
    <s v="Mobile App"/>
    <n v="7736.28"/>
  </r>
  <r>
    <s v="ORD100008"/>
    <x v="4"/>
    <s v="17-04-2025"/>
    <s v="CUST11909"/>
    <s v="Corporate"/>
    <s v="Kerala"/>
    <x v="6"/>
    <x v="2"/>
    <s v="Sneakers"/>
    <s v="3"/>
    <s v="3377.72"/>
    <n v="0"/>
    <s v="7759.27"/>
    <s v="2373.89"/>
    <x v="3"/>
    <x v="0"/>
    <s v="Mobile App"/>
    <n v="10133.16"/>
  </r>
  <r>
    <s v="ORD100009"/>
    <x v="5"/>
    <s v="18-09-2025"/>
    <s v="CUST12524"/>
    <s v="Consumer"/>
    <s v="Delhi"/>
    <x v="7"/>
    <x v="3"/>
    <s v="Vacuum Cleaner"/>
    <s v="1"/>
    <s v="3576.14"/>
    <n v="0.05"/>
    <s v="2779.52"/>
    <s v="617.80999999999995"/>
    <x v="0"/>
    <x v="2"/>
    <s v="Mobile App"/>
    <n v="3397.3329999999901"/>
  </r>
  <r>
    <s v="ORD100010"/>
    <x v="6"/>
    <s v="19-07-2025"/>
    <s v="CUST12134"/>
    <s v="Home Office"/>
    <s v="Delhi"/>
    <x v="7"/>
    <x v="2"/>
    <s v="Jacket"/>
    <s v="2"/>
    <s v="5802.22"/>
    <n v="0.15"/>
    <s v="6404.82"/>
    <s v="3458.95"/>
    <x v="1"/>
    <x v="0"/>
    <s v="Website"/>
    <n v="9863.7739999999994"/>
  </r>
  <r>
    <s v="ORD100011"/>
    <x v="4"/>
    <s v="27-04-2025"/>
    <s v="CUST10476"/>
    <s v="Home Office"/>
    <s v="Tamil Nadu"/>
    <x v="8"/>
    <x v="0"/>
    <s v="Tablet"/>
    <s v="2"/>
    <s v="43898.879999999997"/>
    <n v="0.05"/>
    <s v="67207.600000000006"/>
    <s v="16200.27"/>
    <x v="0"/>
    <x v="2"/>
    <s v="Website"/>
    <n v="83407.871999999901"/>
  </r>
  <r>
    <s v="ORD100012"/>
    <x v="6"/>
    <s v="28-07-2025"/>
    <s v="CUST10561"/>
    <s v="Corporate"/>
    <s v="West Bengal"/>
    <x v="9"/>
    <x v="2"/>
    <s v="Jeans"/>
    <s v="2"/>
    <s v="6833.44"/>
    <n v="0.05"/>
    <s v="8140.78"/>
    <s v="4842.76"/>
    <x v="4"/>
    <x v="0"/>
    <s v="Website"/>
    <n v="12983.5359999999"/>
  </r>
  <r>
    <s v="ORD100013"/>
    <x v="4"/>
    <s v="11-04-2025"/>
    <s v="CUST12477"/>
    <s v="Home Office"/>
    <s v="Gujarat"/>
    <x v="10"/>
    <x v="0"/>
    <s v="Tablet"/>
    <s v="2"/>
    <s v="60741.39"/>
    <n v="0.1"/>
    <s v="72218.289999999994"/>
    <s v="37116.21"/>
    <x v="2"/>
    <x v="0"/>
    <s v="Website"/>
    <n v="109334.50199999999"/>
  </r>
  <r>
    <s v="ORD100014"/>
    <x v="7"/>
    <s v="08-05-2025"/>
    <s v="CUST11452"/>
    <s v="Corporate"/>
    <s v="Kerala"/>
    <x v="6"/>
    <x v="2"/>
    <s v="T-Shirt"/>
    <s v="4"/>
    <s v="3769.13"/>
    <n v="0.05"/>
    <s v="8694.16"/>
    <s v="5628.53"/>
    <x v="3"/>
    <x v="0"/>
    <s v="Website"/>
    <n v="14322.694"/>
  </r>
  <r>
    <s v="ORD100015"/>
    <x v="8"/>
    <s v="12-08-2025"/>
    <s v="CUST10648"/>
    <s v="Consumer"/>
    <s v="Tamil Nadu"/>
    <x v="11"/>
    <x v="4"/>
    <s v="Running Shoes"/>
    <s v="1"/>
    <s v="1231.9100000000001"/>
    <n v="0.05"/>
    <s v="758.34"/>
    <s v="411.97"/>
    <x v="0"/>
    <x v="3"/>
    <s v="Marketplace"/>
    <n v="1170.3145"/>
  </r>
  <r>
    <s v="ORD100016"/>
    <x v="1"/>
    <s v="03-02-2025"/>
    <s v="CUST10332"/>
    <s v="Consumer"/>
    <s v="Delhi"/>
    <x v="12"/>
    <x v="3"/>
    <s v="Vacuum Cleaner"/>
    <s v="1"/>
    <s v="8381.57"/>
    <n v="0.1"/>
    <s v="5093.8"/>
    <s v="2449.61"/>
    <x v="3"/>
    <x v="0"/>
    <s v="Marketplace"/>
    <n v="7543.4129999999996"/>
  </r>
  <r>
    <s v="ORD100018"/>
    <x v="2"/>
    <s v="26-12-2025"/>
    <s v="CUST10248"/>
    <s v="Corporate"/>
    <s v="West Bengal"/>
    <x v="9"/>
    <x v="1"/>
    <s v="Face Cream"/>
    <s v="1"/>
    <s v="5658.25"/>
    <n v="0.15"/>
    <s v="3191.11"/>
    <s v="1618.4"/>
    <x v="5"/>
    <x v="0"/>
    <s v="Website"/>
    <n v="4809.5124999999998"/>
  </r>
  <r>
    <s v="ORD100019"/>
    <x v="0"/>
    <s v="17-01-2025"/>
    <s v="CUST10495"/>
    <s v="Consumer"/>
    <s v="Delhi"/>
    <x v="7"/>
    <x v="1"/>
    <s v="Face Cream"/>
    <s v="1"/>
    <s v="5279.61"/>
    <n v="0.05"/>
    <s v="2909.72"/>
    <s v="2105.91"/>
    <x v="3"/>
    <x v="0"/>
    <s v="Marketplace"/>
    <n v="5015.62949999999"/>
  </r>
  <r>
    <s v="ORD100020"/>
    <x v="9"/>
    <s v="10-06-2025"/>
    <s v="CUST11892"/>
    <s v="Corporate"/>
    <s v="Delhi"/>
    <x v="12"/>
    <x v="0"/>
    <s v="Smartwatch"/>
    <s v="2"/>
    <s v="20655.03"/>
    <n v="0"/>
    <s v="31759.02"/>
    <s v="9551.0400000000009"/>
    <x v="0"/>
    <x v="0"/>
    <s v="Mobile App"/>
    <n v="41310.06"/>
  </r>
  <r>
    <s v="ORD100021"/>
    <x v="5"/>
    <s v="21-09-2025"/>
    <s v="CUST10406"/>
    <s v="Home Office"/>
    <s v="Kerala"/>
    <x v="5"/>
    <x v="2"/>
    <s v="Sneakers"/>
    <s v="1"/>
    <s v="2052.1799999999998"/>
    <n v="0.15"/>
    <s v="1648.15"/>
    <s v="96.2"/>
    <x v="1"/>
    <x v="0"/>
    <s v="Mobile App"/>
    <n v="1744.3529999999901"/>
  </r>
  <r>
    <s v="ORD100022"/>
    <x v="3"/>
    <s v="14-03-2025"/>
    <s v="CUST10910"/>
    <s v="Consumer"/>
    <s v="Tamil Nadu"/>
    <x v="13"/>
    <x v="2"/>
    <s v="Jeans"/>
    <s v="2"/>
    <s v="2032.55"/>
    <n v="0.15"/>
    <s v="2698.16"/>
    <s v="757.18"/>
    <x v="5"/>
    <x v="0"/>
    <s v="Website"/>
    <n v="3455.335"/>
  </r>
  <r>
    <s v="ORD100023"/>
    <x v="1"/>
    <s v="13-02-2025"/>
    <s v="CUST13251"/>
    <s v="Consumer"/>
    <s v="Kerala"/>
    <x v="5"/>
    <x v="1"/>
    <s v="Face Cream"/>
    <s v="1"/>
    <s v="2881.19"/>
    <n v="0.15"/>
    <s v="1629.19"/>
    <s v="819.82"/>
    <x v="5"/>
    <x v="0"/>
    <s v="Mobile App"/>
    <n v="2449.0115000000001"/>
  </r>
  <r>
    <s v="ORD100024"/>
    <x v="0"/>
    <s v="29-01-2025"/>
    <s v="CUST11718"/>
    <s v="Consumer"/>
    <s v="West Bengal"/>
    <x v="9"/>
    <x v="2"/>
    <s v="Jeans"/>
    <s v="2"/>
    <s v="1929.76"/>
    <n v="0.1"/>
    <s v="3134.02"/>
    <s v="339.55"/>
    <x v="3"/>
    <x v="0"/>
    <s v="Website"/>
    <n v="3473.5680000000002"/>
  </r>
  <r>
    <s v="ORD100025"/>
    <x v="9"/>
    <s v="24-06-2025"/>
    <s v="CUST12063"/>
    <s v="Consumer"/>
    <s v="Telangana"/>
    <x v="14"/>
    <x v="2"/>
    <s v="Sneakers"/>
    <s v="1"/>
    <s v="698.87"/>
    <n v="0.05"/>
    <s v="567.11"/>
    <s v="96.82"/>
    <x v="2"/>
    <x v="3"/>
    <s v="Marketplace"/>
    <n v="663.92649999999901"/>
  </r>
  <r>
    <s v="ORD100026"/>
    <x v="10"/>
    <s v="27-11-2025"/>
    <s v="CUST12885"/>
    <s v="Consumer"/>
    <s v="West Bengal"/>
    <x v="0"/>
    <x v="1"/>
    <s v="Perfume"/>
    <s v="1"/>
    <s v="5778.01"/>
    <n v="0.1"/>
    <s v="3245.25"/>
    <s v="1954.96"/>
    <x v="5"/>
    <x v="0"/>
    <s v="Website"/>
    <n v="5200.2089999999998"/>
  </r>
  <r>
    <s v="ORD100027"/>
    <x v="1"/>
    <s v="01-02-2025"/>
    <s v="CUST13441"/>
    <s v="Corporate"/>
    <s v="Kerala"/>
    <x v="15"/>
    <x v="4"/>
    <s v="Running Shoes"/>
    <s v="2"/>
    <s v="2682.94"/>
    <n v="0"/>
    <s v="3874.78"/>
    <s v="1491.1"/>
    <x v="5"/>
    <x v="0"/>
    <s v="Website"/>
    <n v="5365.88"/>
  </r>
  <r>
    <s v="ORD100028"/>
    <x v="11"/>
    <s v="19-10-2025"/>
    <s v="CUST10854"/>
    <s v="Home Office"/>
    <s v="West Bengal"/>
    <x v="9"/>
    <x v="4"/>
    <s v="Cricket Bat"/>
    <s v="1"/>
    <s v="4917.6000000000004"/>
    <n v="0.1"/>
    <s v="3888.68"/>
    <s v="537.16"/>
    <x v="2"/>
    <x v="0"/>
    <s v="Website"/>
    <n v="4425.84"/>
  </r>
  <r>
    <s v="ORD100029"/>
    <x v="2"/>
    <s v="28-12-2025"/>
    <s v="CUST10311"/>
    <s v="Home Office"/>
    <s v="Maharashtra"/>
    <x v="4"/>
    <x v="2"/>
    <s v="T-Shirt"/>
    <s v="3"/>
    <s v="1210.33"/>
    <n v="0.1"/>
    <s v="2330.1"/>
    <s v="937.79"/>
    <x v="5"/>
    <x v="0"/>
    <s v="Marketplace"/>
    <n v="3267.8910000000001"/>
  </r>
  <r>
    <s v="ORD100030"/>
    <x v="11"/>
    <s v="20-10-2025"/>
    <s v="CUST11056"/>
    <s v="Consumer"/>
    <s v="Tamil Nadu"/>
    <x v="1"/>
    <x v="2"/>
    <s v="Sneakers"/>
    <s v="1"/>
    <s v="2787.59"/>
    <n v="0.1"/>
    <s v="2048.17"/>
    <s v="460.66"/>
    <x v="1"/>
    <x v="0"/>
    <s v="Website"/>
    <n v="2508.8310000000001"/>
  </r>
  <r>
    <s v="ORD100031"/>
    <x v="0"/>
    <s v="22-01-2025"/>
    <s v="CUST10615"/>
    <s v="Consumer"/>
    <s v="West Bengal"/>
    <x v="9"/>
    <x v="1"/>
    <s v="Shampoo"/>
    <s v="1"/>
    <s v="4126.1400000000003"/>
    <n v="0"/>
    <s v="2651.36"/>
    <s v="1474.78"/>
    <x v="2"/>
    <x v="2"/>
    <s v="Website"/>
    <n v="4126.1400000000003"/>
  </r>
  <r>
    <s v="ORD100032"/>
    <x v="0"/>
    <s v="01-01-2025"/>
    <s v="CUST10083"/>
    <s v="Corporate"/>
    <s v="West Bengal"/>
    <x v="0"/>
    <x v="0"/>
    <s v="Smartphone"/>
    <s v="1"/>
    <s v="21836.080000000002"/>
    <n v="0.1"/>
    <s v="12176.52"/>
    <s v="7475.95"/>
    <x v="5"/>
    <x v="2"/>
    <s v="Marketplace"/>
    <n v="19652.472000000002"/>
  </r>
  <r>
    <s v="ORD100033"/>
    <x v="2"/>
    <s v="15-12-2025"/>
    <s v="CUST12940"/>
    <s v="Corporate"/>
    <s v="West Bengal"/>
    <x v="9"/>
    <x v="1"/>
    <s v="Shampoo"/>
    <s v="1"/>
    <s v="1174.75"/>
    <n v="0.1"/>
    <s v="902.37"/>
    <s v="154.91"/>
    <x v="0"/>
    <x v="0"/>
    <s v="Marketplace"/>
    <n v="1057.2750000000001"/>
  </r>
  <r>
    <s v="ORD100034"/>
    <x v="0"/>
    <s v="28-01-2025"/>
    <s v="CUST12340"/>
    <s v="Home Office"/>
    <s v="Telangana"/>
    <x v="16"/>
    <x v="3"/>
    <s v="Coffee Maker"/>
    <s v="2"/>
    <s v="13187.87"/>
    <n v="0"/>
    <s v="16006.62"/>
    <s v="10369.120000000001"/>
    <x v="3"/>
    <x v="0"/>
    <s v="Mobile App"/>
    <n v="26375.74"/>
  </r>
  <r>
    <s v="ORD100035"/>
    <x v="3"/>
    <s v="30-03-2025"/>
    <s v="CUST13415"/>
    <s v="Home Office"/>
    <s v="Delhi"/>
    <x v="12"/>
    <x v="0"/>
    <s v="Tablet"/>
    <s v="4"/>
    <s v="5507.77"/>
    <n v="0.1"/>
    <s v="17839.07"/>
    <s v="1988.9"/>
    <x v="1"/>
    <x v="0"/>
    <s v="Website"/>
    <n v="19827.972000000002"/>
  </r>
  <r>
    <s v="ORD100036"/>
    <x v="5"/>
    <s v="06-09-2025"/>
    <s v="CUST13135"/>
    <s v="Consumer"/>
    <s v="Karnataka"/>
    <x v="17"/>
    <x v="2"/>
    <s v="Handbag"/>
    <s v="2"/>
    <s v="2536.14"/>
    <n v="0.1"/>
    <s v="3247.43"/>
    <s v="1317.62"/>
    <x v="0"/>
    <x v="0"/>
    <s v="Mobile App"/>
    <n v="4565.0519999999997"/>
  </r>
  <r>
    <s v="ORD100037"/>
    <x v="6"/>
    <s v="13-07-2025"/>
    <s v="CUST12401"/>
    <s v="Home Office"/>
    <s v="Telangana"/>
    <x v="16"/>
    <x v="3"/>
    <s v="Vacuum Cleaner"/>
    <s v="4"/>
    <s v="2463.7199999999998"/>
    <n v="0.15"/>
    <s v="7702.12"/>
    <s v="674.53"/>
    <x v="2"/>
    <x v="1"/>
    <s v="Marketplace"/>
    <n v="8376.6479999999992"/>
  </r>
  <r>
    <s v="ORD100038"/>
    <x v="7"/>
    <s v="30-05-2025"/>
    <s v="CUST10237"/>
    <s v="Consumer"/>
    <s v="Kerala"/>
    <x v="5"/>
    <x v="0"/>
    <s v="Smartphone"/>
    <s v="1"/>
    <s v="42171.24"/>
    <n v="0.1"/>
    <s v="24419.24"/>
    <s v="13534.88"/>
    <x v="3"/>
    <x v="3"/>
    <s v="Mobile App"/>
    <n v="37954.116000000002"/>
  </r>
  <r>
    <s v="ORD100039"/>
    <x v="1"/>
    <s v="17-02-2025"/>
    <s v="CUST12118"/>
    <s v="Home Office"/>
    <s v="Kerala"/>
    <x v="15"/>
    <x v="4"/>
    <s v="Yoga Mat"/>
    <s v="1"/>
    <s v="11025.81"/>
    <n v="0.05"/>
    <s v="7018.81"/>
    <s v="3455.71"/>
    <x v="5"/>
    <x v="0"/>
    <s v="Mobile App"/>
    <n v="10474.5194999999"/>
  </r>
  <r>
    <s v="ORD100040"/>
    <x v="11"/>
    <s v="31-10-2025"/>
    <s v="CUST13414"/>
    <s v="Home Office"/>
    <s v="Tamil Nadu"/>
    <x v="8"/>
    <x v="4"/>
    <s v="Yoga Mat"/>
    <s v="2"/>
    <s v="1995.44"/>
    <n v="0.05"/>
    <s v="2595.77"/>
    <s v="1195.57"/>
    <x v="2"/>
    <x v="0"/>
    <s v="Website"/>
    <n v="3791.3359999999998"/>
  </r>
  <r>
    <s v="ORD100041"/>
    <x v="0"/>
    <s v="03-01-2025"/>
    <s v="CUST11384"/>
    <s v="Consumer"/>
    <s v="Maharashtra"/>
    <x v="4"/>
    <x v="2"/>
    <s v="T-Shirt"/>
    <s v="1"/>
    <s v="1985.8"/>
    <n v="0.05"/>
    <s v="1201.58"/>
    <s v="684.93"/>
    <x v="0"/>
    <x v="0"/>
    <s v="Marketplace"/>
    <n v="1886.50999999999"/>
  </r>
  <r>
    <s v="ORD100042"/>
    <x v="3"/>
    <s v="27-03-2025"/>
    <s v="CUST10794"/>
    <s v="Corporate"/>
    <s v="Gujarat"/>
    <x v="18"/>
    <x v="4"/>
    <s v="Cricket Bat"/>
    <s v="2"/>
    <s v="10001.32"/>
    <n v="0"/>
    <s v="13724.89"/>
    <s v="6277.75"/>
    <x v="3"/>
    <x v="0"/>
    <s v="Marketplace"/>
    <n v="20002.64"/>
  </r>
  <r>
    <s v="ORD100043"/>
    <x v="6"/>
    <s v="08-07-2025"/>
    <s v="CUST12794"/>
    <s v="Consumer"/>
    <s v="Maharashtra"/>
    <x v="4"/>
    <x v="2"/>
    <s v="Jeans"/>
    <s v="1"/>
    <s v="1398.68"/>
    <n v="0"/>
    <s v="806.1"/>
    <s v="592.58000000000004"/>
    <x v="3"/>
    <x v="0"/>
    <s v="Mobile App"/>
    <n v="1398.68"/>
  </r>
  <r>
    <s v="ORD100044"/>
    <x v="5"/>
    <s v="16-09-2025"/>
    <s v="CUST12735"/>
    <s v="Corporate"/>
    <s v="Delhi"/>
    <x v="12"/>
    <x v="0"/>
    <s v="Headphones"/>
    <s v="1"/>
    <s v="61136.37"/>
    <n v="0.15"/>
    <s v="44067.16"/>
    <s v="7898.75"/>
    <x v="0"/>
    <x v="0"/>
    <s v="Website"/>
    <n v="51965.914499999999"/>
  </r>
  <r>
    <s v="ORD100046"/>
    <x v="5"/>
    <s v="19-09-2025"/>
    <s v="CUST12930"/>
    <s v="Consumer"/>
    <s v="Gujarat"/>
    <x v="3"/>
    <x v="3"/>
    <s v="Coffee Maker"/>
    <s v="1"/>
    <s v="8839.7800000000007"/>
    <n v="0"/>
    <s v="5618.73"/>
    <s v="3221.05"/>
    <x v="5"/>
    <x v="0"/>
    <s v="Marketplace"/>
    <n v="8839.7800000000007"/>
  </r>
  <r>
    <s v="ORD100047"/>
    <x v="4"/>
    <s v="26-04-2025"/>
    <s v="CUST11324"/>
    <s v="Home Office"/>
    <s v="Karnataka"/>
    <x v="17"/>
    <x v="3"/>
    <s v="Coffee Maker"/>
    <s v="1"/>
    <s v="2747.59"/>
    <n v="0"/>
    <s v="1960.61"/>
    <s v="786.98"/>
    <x v="5"/>
    <x v="0"/>
    <s v="Mobile App"/>
    <n v="2747.59"/>
  </r>
  <r>
    <s v="ORD100048"/>
    <x v="6"/>
    <s v="22-07-2025"/>
    <s v="CUST13056"/>
    <s v="Corporate"/>
    <s v="Telangana"/>
    <x v="16"/>
    <x v="2"/>
    <s v="Jacket"/>
    <s v="1"/>
    <s v="6985.5"/>
    <n v="0.05"/>
    <s v="4854.3999999999996"/>
    <s v="1781.82"/>
    <x v="3"/>
    <x v="0"/>
    <s v="Website"/>
    <n v="6636.2249999999904"/>
  </r>
  <r>
    <s v="ORD100049"/>
    <x v="5"/>
    <s v="16-09-2025"/>
    <s v="CUST12551"/>
    <s v="Corporate"/>
    <s v="West Bengal"/>
    <x v="0"/>
    <x v="4"/>
    <s v="Football"/>
    <s v="1"/>
    <s v="5623.75"/>
    <n v="0.15"/>
    <s v="4257.03"/>
    <s v="523.16"/>
    <x v="5"/>
    <x v="0"/>
    <s v="Marketplace"/>
    <n v="4780.1875"/>
  </r>
  <r>
    <s v="ORD100050"/>
    <x v="9"/>
    <s v="17-06-2025"/>
    <s v="CUST11774"/>
    <s v="Corporate"/>
    <s v="Karnataka"/>
    <x v="17"/>
    <x v="0"/>
    <s v="Laptop"/>
    <s v="1"/>
    <s v="29609.52"/>
    <n v="0.15"/>
    <s v="19774.05"/>
    <s v="5394.04"/>
    <x v="5"/>
    <x v="0"/>
    <s v="Mobile App"/>
    <n v="25168.092000000001"/>
  </r>
  <r>
    <s v="ORD100051"/>
    <x v="4"/>
    <s v="23-04-2025"/>
    <s v="CUST12690"/>
    <s v="Corporate"/>
    <s v="Gujarat"/>
    <x v="10"/>
    <x v="3"/>
    <s v="Cookware Set"/>
    <s v="1"/>
    <s v="12029.38"/>
    <n v="0.05"/>
    <s v="7140.78"/>
    <s v="4287.13"/>
    <x v="0"/>
    <x v="0"/>
    <s v="Mobile App"/>
    <n v="11427.9109999999"/>
  </r>
  <r>
    <s v="ORD100052"/>
    <x v="11"/>
    <s v="26-10-2025"/>
    <s v="CUST11866"/>
    <s v="Corporate"/>
    <s v="West Bengal"/>
    <x v="9"/>
    <x v="3"/>
    <s v="Cookware Set"/>
    <s v="1"/>
    <s v="12841.23"/>
    <n v="0.1"/>
    <s v="10118.33"/>
    <s v="1438.78"/>
    <x v="0"/>
    <x v="0"/>
    <s v="Marketplace"/>
    <n v="11557.107"/>
  </r>
  <r>
    <s v="ORD100053"/>
    <x v="6"/>
    <s v="12-07-2025"/>
    <s v="CUST12876"/>
    <s v="Consumer"/>
    <s v="Tamil Nadu"/>
    <x v="11"/>
    <x v="0"/>
    <s v="Tablet"/>
    <s v="3"/>
    <s v="52680.21"/>
    <n v="0.15"/>
    <s v="106120.66"/>
    <s v="28213.88"/>
    <x v="0"/>
    <x v="0"/>
    <s v="Mobile App"/>
    <n v="134334.5355"/>
  </r>
  <r>
    <s v="ORD100054"/>
    <x v="3"/>
    <s v="29-03-2025"/>
    <s v="CUST12575"/>
    <s v="Consumer"/>
    <s v="Delhi"/>
    <x v="7"/>
    <x v="0"/>
    <s v="Tablet"/>
    <s v="1"/>
    <s v="59616.21"/>
    <n v="0.05"/>
    <s v="40469.01"/>
    <s v="16166.39"/>
    <x v="1"/>
    <x v="0"/>
    <s v="Mobile App"/>
    <n v="56635.3995"/>
  </r>
  <r>
    <s v="ORD100056"/>
    <x v="5"/>
    <s v="13-09-2025"/>
    <s v="CUST12050"/>
    <s v="Home Office"/>
    <s v="Gujarat"/>
    <x v="10"/>
    <x v="2"/>
    <s v="Jacket"/>
    <s v="4"/>
    <s v="4533.59"/>
    <n v="0"/>
    <s v="13256.35"/>
    <s v="4878.01"/>
    <x v="5"/>
    <x v="0"/>
    <s v="Mobile App"/>
    <n v="18134.36"/>
  </r>
  <r>
    <s v="ORD100059"/>
    <x v="2"/>
    <s v="06-12-2025"/>
    <s v="CUST13012"/>
    <s v="Consumer"/>
    <s v="West Bengal"/>
    <x v="0"/>
    <x v="0"/>
    <s v="Smartphone"/>
    <s v="1"/>
    <s v="12462.63"/>
    <n v="0.05"/>
    <s v="6927.04"/>
    <s v="4912.46"/>
    <x v="3"/>
    <x v="0"/>
    <s v="Marketplace"/>
    <n v="11839.4984999999"/>
  </r>
  <r>
    <s v="ORD100060"/>
    <x v="6"/>
    <s v="16-07-2025"/>
    <s v="CUST11250"/>
    <s v="Home Office"/>
    <s v="Tamil Nadu"/>
    <x v="19"/>
    <x v="0"/>
    <s v="Smartphone"/>
    <s v="1"/>
    <s v="43205.19"/>
    <n v="0"/>
    <s v="30096.97"/>
    <s v="13108.22"/>
    <x v="3"/>
    <x v="0"/>
    <s v="Marketplace"/>
    <n v="43205.19"/>
  </r>
  <r>
    <s v="ORD100061"/>
    <x v="4"/>
    <s v="15-04-2025"/>
    <s v="CUST12180"/>
    <s v="Corporate"/>
    <s v="Telangana"/>
    <x v="14"/>
    <x v="3"/>
    <s v="Coffee Maker"/>
    <s v="1"/>
    <s v="3146.32"/>
    <n v="0.1"/>
    <s v="2070.4899999999998"/>
    <s v="761.2"/>
    <x v="5"/>
    <x v="2"/>
    <s v="Marketplace"/>
    <n v="2831.6880000000001"/>
  </r>
  <r>
    <s v="ORD100062"/>
    <x v="3"/>
    <s v="16-03-2025"/>
    <s v="CUST12000"/>
    <s v="Home Office"/>
    <s v="West Bengal"/>
    <x v="9"/>
    <x v="2"/>
    <s v="Jeans"/>
    <s v="1"/>
    <s v="6016.85"/>
    <n v="0.1"/>
    <s v="3523.55"/>
    <s v="1891.62"/>
    <x v="2"/>
    <x v="0"/>
    <s v="Marketplace"/>
    <n v="5415.165"/>
  </r>
  <r>
    <s v="ORD100063"/>
    <x v="0"/>
    <s v="30-01-2025"/>
    <s v="CUST12565"/>
    <s v="Home Office"/>
    <s v="Telangana"/>
    <x v="14"/>
    <x v="0"/>
    <s v="Smartwatch"/>
    <s v="1"/>
    <s v="38582.300000000003"/>
    <n v="0.15"/>
    <s v="25262.04"/>
    <s v="7532.92"/>
    <x v="3"/>
    <x v="0"/>
    <s v="Website"/>
    <n v="32794.955000000002"/>
  </r>
  <r>
    <s v="ORD100064"/>
    <x v="5"/>
    <s v="28-09-2025"/>
    <s v="CUST13153"/>
    <s v="Home Office"/>
    <s v="Telangana"/>
    <x v="16"/>
    <x v="4"/>
    <s v="Running Shoes"/>
    <s v="3"/>
    <s v="3822.41"/>
    <n v="0.05"/>
    <s v="7704.43"/>
    <s v="3189.44"/>
    <x v="0"/>
    <x v="0"/>
    <s v="Marketplace"/>
    <n v="10893.8684999999"/>
  </r>
  <r>
    <s v="ORD100065"/>
    <x v="10"/>
    <s v="19-11-2025"/>
    <s v="CUST12123"/>
    <s v="Consumer"/>
    <s v="West Bengal"/>
    <x v="9"/>
    <x v="2"/>
    <s v="T-Shirt"/>
    <s v="1"/>
    <s v="2495.12"/>
    <n v="0.1"/>
    <s v="1769.78"/>
    <s v="475.83"/>
    <x v="5"/>
    <x v="0"/>
    <s v="Mobile App"/>
    <n v="2245.6080000000002"/>
  </r>
  <r>
    <s v="ORD100066"/>
    <x v="3"/>
    <s v="27-03-2025"/>
    <s v="CUST13249"/>
    <s v="Home Office"/>
    <s v="Delhi"/>
    <x v="12"/>
    <x v="0"/>
    <s v="Headphones"/>
    <s v="1"/>
    <s v="39248.18"/>
    <n v="0.1"/>
    <s v="29191.47"/>
    <s v="6131.89"/>
    <x v="3"/>
    <x v="3"/>
    <s v="Marketplace"/>
    <n v="35323.362000000001"/>
  </r>
  <r>
    <s v="ORD100067"/>
    <x v="4"/>
    <s v="16-04-2025"/>
    <s v="CUST10791"/>
    <s v="Home Office"/>
    <s v="Kerala"/>
    <x v="6"/>
    <x v="1"/>
    <s v="Perfume"/>
    <s v="1"/>
    <s v="1741.71"/>
    <n v="0"/>
    <s v="1317.43"/>
    <s v="424.28"/>
    <x v="3"/>
    <x v="0"/>
    <s v="Marketplace"/>
    <n v="1741.71"/>
  </r>
  <r>
    <s v="ORD100068"/>
    <x v="11"/>
    <s v="14-10-2025"/>
    <s v="CUST10400"/>
    <s v="Corporate"/>
    <s v="Delhi"/>
    <x v="7"/>
    <x v="0"/>
    <s v="Laptop"/>
    <s v="1"/>
    <s v="43540.959999999999"/>
    <n v="0.15"/>
    <s v="33312.54"/>
    <s v="3697.28"/>
    <x v="3"/>
    <x v="0"/>
    <s v="Marketplace"/>
    <n v="37009.815999999999"/>
  </r>
  <r>
    <s v="ORD100069"/>
    <x v="9"/>
    <s v="12-06-2025"/>
    <s v="CUST12613"/>
    <s v="Home Office"/>
    <s v="Maharashtra"/>
    <x v="20"/>
    <x v="3"/>
    <s v="Air Fryer"/>
    <s v="1"/>
    <s v="10700.8"/>
    <n v="0.05"/>
    <s v="6566.48"/>
    <s v="3599.28"/>
    <x v="0"/>
    <x v="0"/>
    <s v="Mobile App"/>
    <n v="10165.7599999999"/>
  </r>
  <r>
    <s v="ORD100070"/>
    <x v="11"/>
    <s v="04-10-2025"/>
    <s v="CUST13305"/>
    <s v="Consumer"/>
    <s v="Karnataka"/>
    <x v="2"/>
    <x v="3"/>
    <s v="Air Fryer"/>
    <s v="2"/>
    <s v="11146.18"/>
    <n v="0"/>
    <s v="15322.57"/>
    <s v="6969.79"/>
    <x v="1"/>
    <x v="0"/>
    <s v="Mobile App"/>
    <n v="22292.36"/>
  </r>
  <r>
    <s v="ORD100071"/>
    <x v="0"/>
    <s v="30-01-2025"/>
    <s v="CUST13298"/>
    <s v="Consumer"/>
    <s v="Tamil Nadu"/>
    <x v="8"/>
    <x v="4"/>
    <s v="Cricket Bat"/>
    <s v="1"/>
    <s v="930.1"/>
    <n v="0.1"/>
    <s v="745.92"/>
    <s v="91.17"/>
    <x v="0"/>
    <x v="0"/>
    <s v="Mobile App"/>
    <n v="837.09"/>
  </r>
  <r>
    <s v="ORD100073"/>
    <x v="0"/>
    <s v="02-01-2025"/>
    <s v="CUST12079"/>
    <s v="Corporate"/>
    <s v="Gujarat"/>
    <x v="10"/>
    <x v="2"/>
    <s v="Jeans"/>
    <s v="1"/>
    <s v="2614.9"/>
    <n v="0"/>
    <s v="2139.58"/>
    <s v="475.32"/>
    <x v="1"/>
    <x v="0"/>
    <s v="Marketplace"/>
    <n v="2614.9"/>
  </r>
  <r>
    <s v="ORD100074"/>
    <x v="3"/>
    <s v="23-03-2025"/>
    <s v="CUST10778"/>
    <s v="Corporate"/>
    <s v="Telangana"/>
    <x v="14"/>
    <x v="3"/>
    <s v="Cookware Set"/>
    <s v="2"/>
    <s v="10035.86"/>
    <n v="0.15"/>
    <s v="13266.97"/>
    <s v="3793.99"/>
    <x v="3"/>
    <x v="0"/>
    <s v="Website"/>
    <n v="17060.962"/>
  </r>
  <r>
    <s v="ORD100075"/>
    <x v="7"/>
    <s v="16-05-2025"/>
    <s v="CUST12181"/>
    <s v="Corporate"/>
    <s v="Tamil Nadu"/>
    <x v="13"/>
    <x v="3"/>
    <s v="Air Fryer"/>
    <s v="1"/>
    <s v="3504.56"/>
    <n v="0.15"/>
    <s v="2738.28"/>
    <s v="240.6"/>
    <x v="2"/>
    <x v="0"/>
    <s v="Marketplace"/>
    <n v="2978.8759999999902"/>
  </r>
  <r>
    <s v="ORD100076"/>
    <x v="3"/>
    <s v="26-03-2025"/>
    <s v="CUST11157"/>
    <s v="Home Office"/>
    <s v="Gujarat"/>
    <x v="18"/>
    <x v="1"/>
    <s v="Hair Dryer"/>
    <s v="1"/>
    <s v="546.04999999999995"/>
    <n v="0"/>
    <s v="323.95999999999998"/>
    <s v="222.09"/>
    <x v="2"/>
    <x v="0"/>
    <s v="Website"/>
    <n v="546.04999999999995"/>
  </r>
  <r>
    <s v="ORD100077"/>
    <x v="10"/>
    <s v="18-11-2025"/>
    <s v="CUST12952"/>
    <s v="Corporate"/>
    <s v="Delhi"/>
    <x v="7"/>
    <x v="2"/>
    <s v="Sneakers"/>
    <s v="2"/>
    <s v="2784.89"/>
    <n v="0.05"/>
    <s v="4219.22"/>
    <s v="1072.07"/>
    <x v="1"/>
    <x v="1"/>
    <s v="Website"/>
    <n v="5291.2909999999902"/>
  </r>
  <r>
    <s v="ORD100078"/>
    <x v="10"/>
    <s v="24-11-2025"/>
    <s v="CUST13057"/>
    <s v="Consumer"/>
    <s v="Delhi"/>
    <x v="7"/>
    <x v="3"/>
    <s v="Vacuum Cleaner"/>
    <s v="1"/>
    <s v="9566.0499999999993"/>
    <n v="0.2"/>
    <s v="6662.2"/>
    <s v="990.64"/>
    <x v="5"/>
    <x v="0"/>
    <s v="Website"/>
    <n v="7652.84"/>
  </r>
  <r>
    <s v="ORD100079"/>
    <x v="6"/>
    <s v="14-07-2025"/>
    <s v="CUST10153"/>
    <s v="Corporate"/>
    <s v="Delhi"/>
    <x v="12"/>
    <x v="1"/>
    <s v="Face Cream"/>
    <s v="1"/>
    <s v="5719.66"/>
    <n v="0.1"/>
    <s v="3657.98"/>
    <s v="1489.71"/>
    <x v="3"/>
    <x v="2"/>
    <s v="Website"/>
    <n v="5147.6940000000004"/>
  </r>
  <r>
    <s v="ORD100080"/>
    <x v="8"/>
    <s v="02-08-2025"/>
    <s v="CUST12230"/>
    <s v="Consumer"/>
    <s v="Kerala"/>
    <x v="6"/>
    <x v="2"/>
    <s v="Jacket"/>
    <s v="1"/>
    <s v="6572.13"/>
    <n v="0.1"/>
    <s v="4896.1499999999996"/>
    <s v="1018.77"/>
    <x v="5"/>
    <x v="0"/>
    <s v="Marketplace"/>
    <n v="5914.9170000000004"/>
  </r>
  <r>
    <s v="ORD100081"/>
    <x v="2"/>
    <s v="10-12-2025"/>
    <s v="CUST11825"/>
    <s v="Corporate"/>
    <s v="Delhi"/>
    <x v="7"/>
    <x v="2"/>
    <s v="Handbag"/>
    <s v="2"/>
    <s v="5609.89"/>
    <n v="0.05"/>
    <s v="8663.33"/>
    <s v="1995.46"/>
    <x v="5"/>
    <x v="0"/>
    <s v="Website"/>
    <n v="10658.790999999999"/>
  </r>
  <r>
    <s v="ORD100082"/>
    <x v="2"/>
    <s v="05-12-2025"/>
    <s v="CUST10335"/>
    <s v="Home Office"/>
    <s v="Kerala"/>
    <x v="6"/>
    <x v="2"/>
    <s v="Jacket"/>
    <s v="1"/>
    <s v="2962.49"/>
    <n v="0.15"/>
    <s v="1995.81"/>
    <s v="522.30999999999995"/>
    <x v="0"/>
    <x v="2"/>
    <s v="Website"/>
    <n v="2518.1164999999901"/>
  </r>
  <r>
    <s v="ORD100083"/>
    <x v="4"/>
    <s v="30-04-2025"/>
    <s v="CUST11820"/>
    <s v="Home Office"/>
    <s v="Telangana"/>
    <x v="16"/>
    <x v="3"/>
    <s v="Air Fryer"/>
    <s v="3"/>
    <s v="11676.07"/>
    <n v="0.15"/>
    <s v="27076.7"/>
    <s v="2697.28"/>
    <x v="0"/>
    <x v="0"/>
    <s v="Website"/>
    <n v="29773.978499999899"/>
  </r>
  <r>
    <s v="ORD100084"/>
    <x v="4"/>
    <s v="11-04-2025"/>
    <s v="CUST10726"/>
    <s v="Corporate"/>
    <s v="Kerala"/>
    <x v="6"/>
    <x v="2"/>
    <s v="Jacket"/>
    <s v="2"/>
    <s v="1899.69"/>
    <n v="0"/>
    <s v="2685.19"/>
    <s v="1114.19"/>
    <x v="0"/>
    <x v="1"/>
    <s v="Mobile App"/>
    <n v="3799.38"/>
  </r>
  <r>
    <s v="ORD100085"/>
    <x v="3"/>
    <s v="10-03-2025"/>
    <s v="CUST10574"/>
    <s v="Home Office"/>
    <s v="Gujarat"/>
    <x v="3"/>
    <x v="3"/>
    <s v="Coffee Maker"/>
    <s v="1"/>
    <s v="6337.73"/>
    <n v="0.05"/>
    <s v="4961.32"/>
    <s v="1059.52"/>
    <x v="1"/>
    <x v="3"/>
    <s v="Marketplace"/>
    <n v="6020.8434999999899"/>
  </r>
  <r>
    <s v="ORD100086"/>
    <x v="6"/>
    <s v="02-07-2025"/>
    <s v="CUST12650"/>
    <s v="Consumer"/>
    <s v="Gujarat"/>
    <x v="10"/>
    <x v="2"/>
    <s v="T-Shirt"/>
    <s v="3"/>
    <s v="3412.9"/>
    <n v="0.1"/>
    <s v="7739.35"/>
    <s v="1475.48"/>
    <x v="0"/>
    <x v="0"/>
    <s v="Website"/>
    <n v="9214.83"/>
  </r>
  <r>
    <s v="ORD100087"/>
    <x v="6"/>
    <s v="13-07-2025"/>
    <s v="CUST12720"/>
    <s v="Corporate"/>
    <s v="Maharashtra"/>
    <x v="4"/>
    <x v="3"/>
    <s v="Coffee Maker"/>
    <s v="2"/>
    <s v="14477.4"/>
    <n v="0.15"/>
    <s v="17460.57"/>
    <s v="7151.01"/>
    <x v="2"/>
    <x v="0"/>
    <s v="Website"/>
    <n v="24611.5799999999"/>
  </r>
  <r>
    <s v="ORD100088"/>
    <x v="2"/>
    <s v="29-12-2025"/>
    <s v="CUST10404"/>
    <s v="Consumer"/>
    <s v="Tamil Nadu"/>
    <x v="13"/>
    <x v="4"/>
    <s v="Football"/>
    <s v="1"/>
    <s v="4188.2299999999996"/>
    <n v="0.1"/>
    <s v="2394.0300000000002"/>
    <s v="1375.38"/>
    <x v="2"/>
    <x v="0"/>
    <s v="Website"/>
    <n v="3769.4069999999901"/>
  </r>
  <r>
    <s v="ORD100089"/>
    <x v="3"/>
    <s v="30-03-2025"/>
    <s v="CUST11270"/>
    <s v="Corporate"/>
    <s v="Gujarat"/>
    <x v="3"/>
    <x v="0"/>
    <s v="Smartphone"/>
    <s v="3"/>
    <s v="45073.84"/>
    <n v="0.1"/>
    <s v="74972.38"/>
    <s v="46726.99"/>
    <x v="0"/>
    <x v="0"/>
    <s v="Marketplace"/>
    <n v="121699.367999999"/>
  </r>
  <r>
    <s v="ORD100090"/>
    <x v="11"/>
    <s v="16-10-2025"/>
    <s v="CUST10016"/>
    <s v="Corporate"/>
    <s v="Delhi"/>
    <x v="12"/>
    <x v="0"/>
    <s v="Smartphone"/>
    <s v="1"/>
    <s v="71662.600000000006"/>
    <n v="0.05"/>
    <s v="54716.15"/>
    <s v="13363.32"/>
    <x v="3"/>
    <x v="0"/>
    <s v="Website"/>
    <n v="68079.47"/>
  </r>
  <r>
    <s v="ORD100091"/>
    <x v="11"/>
    <s v="31-10-2025"/>
    <s v="CUST10024"/>
    <s v="Home Office"/>
    <s v="Delhi"/>
    <x v="7"/>
    <x v="3"/>
    <s v="Mixer Grinder"/>
    <s v="1"/>
    <s v="11603.7"/>
    <n v="0"/>
    <s v="6933.9"/>
    <s v="4669.8"/>
    <x v="5"/>
    <x v="0"/>
    <s v="Marketplace"/>
    <n v="11603.7"/>
  </r>
  <r>
    <s v="ORD100092"/>
    <x v="4"/>
    <s v="29-04-2025"/>
    <s v="CUST13464"/>
    <s v="Home Office"/>
    <s v="West Bengal"/>
    <x v="9"/>
    <x v="4"/>
    <s v="Cricket Bat"/>
    <s v="1"/>
    <s v="4051.71"/>
    <n v="0.15"/>
    <s v="2402.5700000000002"/>
    <s v="1041.3800000000001"/>
    <x v="1"/>
    <x v="0"/>
    <s v="Mobile App"/>
    <n v="3443.9535000000001"/>
  </r>
  <r>
    <s v="ORD100093"/>
    <x v="3"/>
    <s v="19-03-2025"/>
    <s v="CUST13383"/>
    <s v="Home Office"/>
    <s v="Gujarat"/>
    <x v="18"/>
    <x v="1"/>
    <s v="Lipstick"/>
    <s v="1"/>
    <s v="5520.45"/>
    <n v="0"/>
    <s v="3694.34"/>
    <s v="1826.11"/>
    <x v="2"/>
    <x v="0"/>
    <s v="Marketplace"/>
    <n v="5520.45"/>
  </r>
  <r>
    <s v="ORD100094"/>
    <x v="0"/>
    <s v="17-01-2025"/>
    <s v="CUST12364"/>
    <s v="Corporate"/>
    <s v="Tamil Nadu"/>
    <x v="13"/>
    <x v="0"/>
    <s v="Tablet"/>
    <s v="1"/>
    <s v="32720.99"/>
    <n v="0.1"/>
    <s v="26280.46"/>
    <s v="3168.43"/>
    <x v="5"/>
    <x v="0"/>
    <s v="Marketplace"/>
    <n v="29448.891"/>
  </r>
  <r>
    <s v="ORD100095"/>
    <x v="11"/>
    <s v="16-10-2025"/>
    <s v="CUST12292"/>
    <s v="Corporate"/>
    <s v="Karnataka"/>
    <x v="2"/>
    <x v="2"/>
    <s v="T-Shirt"/>
    <s v="2"/>
    <s v="6813.41"/>
    <n v="0.05"/>
    <s v="10300.41"/>
    <s v="2645.07"/>
    <x v="0"/>
    <x v="0"/>
    <s v="Website"/>
    <n v="12945.478999999999"/>
  </r>
  <r>
    <s v="ORD100096"/>
    <x v="5"/>
    <s v="25-09-2025"/>
    <s v="CUST11536"/>
    <s v="Corporate"/>
    <s v="Gujarat"/>
    <x v="18"/>
    <x v="2"/>
    <s v="T-Shirt"/>
    <s v="1"/>
    <s v="4961.9799999999996"/>
    <n v="0"/>
    <s v="3287.99"/>
    <s v="1673.99"/>
    <x v="3"/>
    <x v="0"/>
    <s v="Mobile App"/>
    <n v="4961.9799999999996"/>
  </r>
  <r>
    <s v="ORD100097"/>
    <x v="4"/>
    <s v="26-04-2025"/>
    <s v="CUST11127"/>
    <s v="Consumer"/>
    <s v="Kerala"/>
    <x v="15"/>
    <x v="3"/>
    <s v="Air Fryer"/>
    <s v="1"/>
    <s v="11724.05"/>
    <n v="0.15"/>
    <s v="7111.2"/>
    <s v="2854.24"/>
    <x v="3"/>
    <x v="1"/>
    <s v="Marketplace"/>
    <n v="9965.4424999999992"/>
  </r>
  <r>
    <s v="ORD100098"/>
    <x v="11"/>
    <s v="21-10-2025"/>
    <s v="CUST11297"/>
    <s v="Corporate"/>
    <s v="Telangana"/>
    <x v="16"/>
    <x v="2"/>
    <s v="Jacket"/>
    <s v="1"/>
    <s v="6824.99"/>
    <n v="0"/>
    <s v="3843.9"/>
    <s v="2981.09"/>
    <x v="1"/>
    <x v="0"/>
    <s v="Mobile App"/>
    <n v="6824.99"/>
  </r>
  <r>
    <s v="ORD100099"/>
    <x v="6"/>
    <s v="08-07-2025"/>
    <s v="CUST11517"/>
    <s v="Home Office"/>
    <s v="Gujarat"/>
    <x v="3"/>
    <x v="4"/>
    <s v="Cricket Bat"/>
    <s v="1"/>
    <s v="3053.33"/>
    <n v="0.15"/>
    <s v="1847.82"/>
    <s v="747.51"/>
    <x v="1"/>
    <x v="2"/>
    <s v="Marketplace"/>
    <n v="2595.3305"/>
  </r>
  <r>
    <s v="ORD100101"/>
    <x v="2"/>
    <s v="22-12-2025"/>
    <s v="CUST12589"/>
    <s v="Home Office"/>
    <s v="Karnataka"/>
    <x v="17"/>
    <x v="2"/>
    <s v="Handbag"/>
    <s v="1"/>
    <s v="1135.1500000000001"/>
    <n v="0.05"/>
    <s v="856.59"/>
    <s v="221.8"/>
    <x v="3"/>
    <x v="0"/>
    <s v="Website"/>
    <n v="1078.3924999999999"/>
  </r>
  <r>
    <s v="ORD100102"/>
    <x v="2"/>
    <s v="30-12-2025"/>
    <s v="CUST12945"/>
    <s v="Home Office"/>
    <s v="Karnataka"/>
    <x v="17"/>
    <x v="3"/>
    <s v="Cookware Set"/>
    <s v="4"/>
    <s v="15272.13"/>
    <n v="0"/>
    <s v="37695.68"/>
    <s v="23392.84"/>
    <x v="2"/>
    <x v="0"/>
    <s v="Mobile App"/>
    <n v="61088.52"/>
  </r>
  <r>
    <s v="ORD100103"/>
    <x v="11"/>
    <s v="14-10-2025"/>
    <s v="CUST13348"/>
    <s v="Corporate"/>
    <s v="Delhi"/>
    <x v="7"/>
    <x v="2"/>
    <s v="Sneakers"/>
    <s v="1"/>
    <s v="4464.01"/>
    <n v="0.1"/>
    <s v="3320.05"/>
    <s v="697.56"/>
    <x v="2"/>
    <x v="0"/>
    <s v="Marketplace"/>
    <n v="4017.6089999999999"/>
  </r>
  <r>
    <s v="ORD100104"/>
    <x v="10"/>
    <s v="01-11-2025"/>
    <s v="CUST10606"/>
    <s v="Home Office"/>
    <s v="Karnataka"/>
    <x v="17"/>
    <x v="1"/>
    <s v="Face Cream"/>
    <s v="1"/>
    <s v="992.08"/>
    <n v="0.1"/>
    <s v="697.57"/>
    <s v="195.3"/>
    <x v="5"/>
    <x v="0"/>
    <s v="Mobile App"/>
    <n v="892.87199999999996"/>
  </r>
  <r>
    <s v="ORD100105"/>
    <x v="5"/>
    <s v="23-09-2025"/>
    <s v="CUST13345"/>
    <s v="Corporate"/>
    <s v="Telangana"/>
    <x v="14"/>
    <x v="0"/>
    <s v="Smartphone"/>
    <s v="3"/>
    <s v="11713.08"/>
    <n v="0"/>
    <s v="25195.360000000001"/>
    <s v="9943.8799999999992"/>
    <x v="3"/>
    <x v="0"/>
    <s v="Mobile App"/>
    <n v="35139.24"/>
  </r>
  <r>
    <s v="ORD100106"/>
    <x v="0"/>
    <s v="20-01-2025"/>
    <s v="CUST10165"/>
    <s v="Consumer"/>
    <s v="Tamil Nadu"/>
    <x v="1"/>
    <x v="4"/>
    <s v="Running Shoes"/>
    <s v="1"/>
    <s v="11913.02"/>
    <n v="0"/>
    <s v="9122.5499999999993"/>
    <s v="2790.47"/>
    <x v="0"/>
    <x v="0"/>
    <s v="Mobile App"/>
    <n v="11913.02"/>
  </r>
  <r>
    <s v="ORD100107"/>
    <x v="4"/>
    <s v="24-04-2025"/>
    <s v="CUST12898"/>
    <s v="Home Office"/>
    <s v="Kerala"/>
    <x v="15"/>
    <x v="0"/>
    <s v="Smartwatch"/>
    <s v="1"/>
    <s v="15004.21"/>
    <n v="0.05"/>
    <s v="8886.25"/>
    <s v="5367.75"/>
    <x v="0"/>
    <x v="0"/>
    <s v="Mobile App"/>
    <n v="14253.9994999999"/>
  </r>
  <r>
    <s v="ORD100108"/>
    <x v="8"/>
    <s v="16-08-2025"/>
    <s v="CUST11301"/>
    <s v="Consumer"/>
    <s v="Delhi"/>
    <x v="7"/>
    <x v="0"/>
    <s v="Headphones"/>
    <s v="2"/>
    <s v="58225.88"/>
    <n v="0.15"/>
    <s v="87818.94"/>
    <s v="11165.06"/>
    <x v="5"/>
    <x v="3"/>
    <s v="Mobile App"/>
    <n v="98983.995999999999"/>
  </r>
  <r>
    <s v="ORD100109"/>
    <x v="4"/>
    <s v="27-04-2025"/>
    <s v="CUST10085"/>
    <s v="Corporate"/>
    <s v="Delhi"/>
    <x v="12"/>
    <x v="1"/>
    <s v="Lipstick"/>
    <s v="1"/>
    <s v="486"/>
    <n v="0.1"/>
    <s v="366.33"/>
    <s v="71.069999999999993"/>
    <x v="2"/>
    <x v="0"/>
    <s v="Mobile App"/>
    <n v="437.4"/>
  </r>
  <r>
    <s v="ORD100110"/>
    <x v="2"/>
    <s v="15-12-2025"/>
    <s v="CUST11577"/>
    <s v="Home Office"/>
    <s v="Maharashtra"/>
    <x v="4"/>
    <x v="4"/>
    <s v="Cricket Bat"/>
    <s v="1"/>
    <s v="4494.6499999999996"/>
    <n v="0.1"/>
    <s v="2797.49"/>
    <s v="1247.69"/>
    <x v="2"/>
    <x v="0"/>
    <s v="Mobile App"/>
    <n v="4045.1849999999999"/>
  </r>
  <r>
    <s v="ORD100111"/>
    <x v="0"/>
    <s v="30-01-2025"/>
    <s v="CUST12365"/>
    <s v="Corporate"/>
    <s v="West Bengal"/>
    <x v="0"/>
    <x v="0"/>
    <s v="Tablet"/>
    <s v="3"/>
    <s v="46940.62"/>
    <n v="0.1"/>
    <s v="91638.44"/>
    <s v="35101.230000000003"/>
    <x v="0"/>
    <x v="0"/>
    <s v="Marketplace"/>
    <n v="126739.674"/>
  </r>
  <r>
    <s v="ORD100112"/>
    <x v="1"/>
    <s v="15-02-2025"/>
    <s v="CUST10409"/>
    <s v="Corporate"/>
    <s v="Gujarat"/>
    <x v="10"/>
    <x v="4"/>
    <s v="Cricket Bat"/>
    <s v="2"/>
    <s v="1139.6400000000001"/>
    <n v="0"/>
    <s v="1384.48"/>
    <s v="894.8"/>
    <x v="5"/>
    <x v="0"/>
    <s v="Marketplace"/>
    <n v="2279.2800000000002"/>
  </r>
  <r>
    <s v="ORD100113"/>
    <x v="4"/>
    <s v="15-04-2025"/>
    <s v="CUST10594"/>
    <s v="Home Office"/>
    <s v="Gujarat"/>
    <x v="3"/>
    <x v="4"/>
    <s v="Football"/>
    <s v="1"/>
    <s v="998.03"/>
    <n v="0.15"/>
    <s v="578.28"/>
    <s v="270.05"/>
    <x v="3"/>
    <x v="0"/>
    <s v="Mobile App"/>
    <n v="848.32549999999901"/>
  </r>
  <r>
    <s v="ORD100114"/>
    <x v="3"/>
    <s v="06-03-2025"/>
    <s v="CUST12358"/>
    <s v="Corporate"/>
    <s v="Gujarat"/>
    <x v="10"/>
    <x v="4"/>
    <s v="Running Shoes"/>
    <s v="1"/>
    <s v="2275.3000000000002"/>
    <n v="0.1"/>
    <s v="1321.68"/>
    <s v="726.09"/>
    <x v="3"/>
    <x v="0"/>
    <s v="Marketplace"/>
    <n v="2047.77"/>
  </r>
  <r>
    <s v="ORD100115"/>
    <x v="5"/>
    <s v="27-09-2025"/>
    <s v="CUST10381"/>
    <s v="Home Office"/>
    <s v="Telangana"/>
    <x v="16"/>
    <x v="0"/>
    <s v="Tablet"/>
    <s v="1"/>
    <s v="50681.58"/>
    <n v="0"/>
    <s v="35020.18"/>
    <s v="15661.4"/>
    <x v="5"/>
    <x v="0"/>
    <s v="Mobile App"/>
    <n v="50681.58"/>
  </r>
  <r>
    <s v="ORD100116"/>
    <x v="11"/>
    <s v="31-10-2025"/>
    <s v="CUST11891"/>
    <s v="Home Office"/>
    <s v="Delhi"/>
    <x v="7"/>
    <x v="1"/>
    <s v="Face Cream"/>
    <s v="3"/>
    <s v="3496.81"/>
    <n v="0.1"/>
    <s v="5939.96"/>
    <s v="3501.43"/>
    <x v="0"/>
    <x v="0"/>
    <s v="Website"/>
    <n v="9441.3870000000006"/>
  </r>
  <r>
    <s v="ORD100117"/>
    <x v="2"/>
    <s v="28-12-2025"/>
    <s v="CUST13186"/>
    <s v="Home Office"/>
    <s v="Maharashtra"/>
    <x v="21"/>
    <x v="4"/>
    <s v="Cricket Bat"/>
    <s v="1"/>
    <s v="10275.030000000001"/>
    <n v="0.1"/>
    <s v="7499.12"/>
    <s v="1748.41"/>
    <x v="5"/>
    <x v="0"/>
    <s v="Marketplace"/>
    <n v="9247.527"/>
  </r>
  <r>
    <s v="ORD100118"/>
    <x v="11"/>
    <s v="09-10-2025"/>
    <s v="CUST11823"/>
    <s v="Consumer"/>
    <s v="Delhi"/>
    <x v="7"/>
    <x v="4"/>
    <s v="Running Shoes"/>
    <s v="1"/>
    <s v="6848.89"/>
    <n v="0"/>
    <s v="4468.88"/>
    <s v="2380.0100000000002"/>
    <x v="0"/>
    <x v="2"/>
    <s v="Website"/>
    <n v="6848.89"/>
  </r>
  <r>
    <s v="ORD100119"/>
    <x v="5"/>
    <s v="15-09-2025"/>
    <s v="CUST12237"/>
    <s v="Home Office"/>
    <s v="Gujarat"/>
    <x v="18"/>
    <x v="0"/>
    <s v="Laptop"/>
    <s v="1"/>
    <s v="42097.27"/>
    <n v="0.05"/>
    <s v="28168.89"/>
    <s v="11823.52"/>
    <x v="0"/>
    <x v="1"/>
    <s v="Marketplace"/>
    <n v="39992.406499999997"/>
  </r>
  <r>
    <s v="ORD100120"/>
    <x v="2"/>
    <s v="30-12-2025"/>
    <s v="CUST12122"/>
    <s v="Consumer"/>
    <s v="Kerala"/>
    <x v="15"/>
    <x v="1"/>
    <s v="Face Cream"/>
    <s v="1"/>
    <s v="5476.94"/>
    <n v="0.1"/>
    <s v="3156.13"/>
    <s v="1773.12"/>
    <x v="5"/>
    <x v="0"/>
    <s v="Marketplace"/>
    <n v="4929.2460000000001"/>
  </r>
  <r>
    <s v="ORD100121"/>
    <x v="9"/>
    <s v="26-06-2025"/>
    <s v="CUST10624"/>
    <s v="Home Office"/>
    <s v="Kerala"/>
    <x v="5"/>
    <x v="0"/>
    <s v="Smartwatch"/>
    <s v="1"/>
    <s v="50914.17"/>
    <n v="0.15"/>
    <s v="33997.78"/>
    <s v="9279.26"/>
    <x v="3"/>
    <x v="0"/>
    <s v="Mobile App"/>
    <n v="43277.044499999902"/>
  </r>
  <r>
    <s v="ORD100123"/>
    <x v="9"/>
    <s v="12-06-2025"/>
    <s v="CUST10295"/>
    <s v="Home Office"/>
    <s v="Maharashtra"/>
    <x v="20"/>
    <x v="2"/>
    <s v="Jeans"/>
    <s v="1"/>
    <s v="5039.22"/>
    <n v="0.1"/>
    <s v="4076.64"/>
    <s v="458.66"/>
    <x v="3"/>
    <x v="0"/>
    <s v="Mobile App"/>
    <n v="4535.2979999999998"/>
  </r>
  <r>
    <s v="ORD100124"/>
    <x v="9"/>
    <s v="30-06-2025"/>
    <s v="CUST10022"/>
    <s v="Corporate"/>
    <s v="Tamil Nadu"/>
    <x v="1"/>
    <x v="0"/>
    <s v="Laptop"/>
    <s v="1"/>
    <s v="21227.75"/>
    <n v="0"/>
    <s v="15691.45"/>
    <s v="5536.3"/>
    <x v="3"/>
    <x v="0"/>
    <s v="Marketplace"/>
    <n v="21227.75"/>
  </r>
  <r>
    <s v="ORD100125"/>
    <x v="3"/>
    <s v="23-03-2025"/>
    <s v="CUST10345"/>
    <s v="Corporate"/>
    <s v="Kerala"/>
    <x v="6"/>
    <x v="2"/>
    <s v="T-Shirt"/>
    <s v="3"/>
    <s v="846.68"/>
    <n v="0.15"/>
    <s v="1467.05"/>
    <s v="691.98"/>
    <x v="3"/>
    <x v="3"/>
    <s v="Website"/>
    <n v="2159.0340000000001"/>
  </r>
  <r>
    <s v="ORD100126"/>
    <x v="0"/>
    <s v="24-01-2025"/>
    <s v="CUST10265"/>
    <s v="Consumer"/>
    <s v="Kerala"/>
    <x v="6"/>
    <x v="0"/>
    <s v="Tablet"/>
    <s v="1"/>
    <s v="58178.57"/>
    <n v="0.15"/>
    <s v="46560.69"/>
    <s v="2891.09"/>
    <x v="2"/>
    <x v="0"/>
    <s v="Marketplace"/>
    <n v="49451.784500000002"/>
  </r>
  <r>
    <s v="ORD100127"/>
    <x v="0"/>
    <s v="18-01-2025"/>
    <s v="CUST10124"/>
    <s v="Consumer"/>
    <s v="Maharashtra"/>
    <x v="4"/>
    <x v="4"/>
    <s v="Running Shoes"/>
    <s v="1"/>
    <s v="962.63"/>
    <n v="0.05"/>
    <s v="771.96"/>
    <s v="142.54"/>
    <x v="3"/>
    <x v="0"/>
    <s v="Marketplace"/>
    <n v="914.49849999999901"/>
  </r>
  <r>
    <s v="ORD100128"/>
    <x v="2"/>
    <s v="09-12-2025"/>
    <s v="CUST12357"/>
    <s v="Consumer"/>
    <s v="Delhi"/>
    <x v="7"/>
    <x v="2"/>
    <s v="Jeans"/>
    <s v="1"/>
    <s v="2711.28"/>
    <n v="0.15"/>
    <s v="1871.41"/>
    <s v="433.18"/>
    <x v="0"/>
    <x v="0"/>
    <s v="Website"/>
    <n v="2304.5880000000002"/>
  </r>
  <r>
    <s v="ORD100129"/>
    <x v="6"/>
    <s v="23-07-2025"/>
    <s v="CUST10032"/>
    <s v="Consumer"/>
    <s v="West Bengal"/>
    <x v="0"/>
    <x v="3"/>
    <s v="Coffee Maker"/>
    <s v="1"/>
    <s v="6980.13"/>
    <n v="0.2"/>
    <s v="5158.66"/>
    <s v="425.44"/>
    <x v="1"/>
    <x v="0"/>
    <s v="Marketplace"/>
    <n v="5584.1040000000003"/>
  </r>
  <r>
    <s v="ORD100130"/>
    <x v="4"/>
    <s v="20-04-2025"/>
    <s v="CUST11564"/>
    <s v="Corporate"/>
    <s v="Telangana"/>
    <x v="14"/>
    <x v="0"/>
    <s v="Tablet"/>
    <s v="1"/>
    <s v="848.07"/>
    <n v="0.1"/>
    <s v="514.63"/>
    <s v="248.63"/>
    <x v="2"/>
    <x v="2"/>
    <s v="Marketplace"/>
    <n v="763.26300000000003"/>
  </r>
  <r>
    <s v="ORD100131"/>
    <x v="4"/>
    <s v="25-04-2025"/>
    <s v="CUST12948"/>
    <s v="Consumer"/>
    <s v="Karnataka"/>
    <x v="2"/>
    <x v="2"/>
    <s v="Handbag"/>
    <s v="2"/>
    <s v="4942.43"/>
    <n v="0"/>
    <s v="6946.71"/>
    <s v="2938.15"/>
    <x v="2"/>
    <x v="2"/>
    <s v="Website"/>
    <n v="9884.86"/>
  </r>
  <r>
    <s v="ORD100132"/>
    <x v="7"/>
    <s v="03-05-2025"/>
    <s v="CUST10287"/>
    <s v="Home Office"/>
    <s v="Karnataka"/>
    <x v="22"/>
    <x v="0"/>
    <s v="Smartphone"/>
    <s v="1"/>
    <s v="65361.83"/>
    <n v="0.15"/>
    <s v="37924.639999999999"/>
    <s v="17632.919999999998"/>
    <x v="2"/>
    <x v="0"/>
    <s v="Mobile App"/>
    <n v="55557.555500000002"/>
  </r>
  <r>
    <s v="ORD100133"/>
    <x v="7"/>
    <s v="21-05-2025"/>
    <s v="CUST10448"/>
    <s v="Home Office"/>
    <s v="Kerala"/>
    <x v="15"/>
    <x v="1"/>
    <s v="Face Cream"/>
    <s v="1"/>
    <s v="4882.3999999999996"/>
    <n v="0.15"/>
    <s v="3547.83"/>
    <s v="602.21"/>
    <x v="2"/>
    <x v="0"/>
    <s v="Mobile App"/>
    <n v="4150.04"/>
  </r>
  <r>
    <s v="ORD100134"/>
    <x v="3"/>
    <s v="09-03-2025"/>
    <s v="CUST10470"/>
    <s v="Home Office"/>
    <s v="West Bengal"/>
    <x v="9"/>
    <x v="2"/>
    <s v="Jacket"/>
    <s v="1"/>
    <s v="3055.67"/>
    <n v="0.05"/>
    <s v="2123.17"/>
    <s v="779.72"/>
    <x v="3"/>
    <x v="0"/>
    <s v="Website"/>
    <n v="2902.8865000000001"/>
  </r>
  <r>
    <s v="ORD100135"/>
    <x v="11"/>
    <s v="03-10-2025"/>
    <s v="CUST11826"/>
    <s v="Consumer"/>
    <s v="Maharashtra"/>
    <x v="20"/>
    <x v="4"/>
    <s v="Running Shoes"/>
    <s v="2"/>
    <s v="4066.76"/>
    <n v="0.1"/>
    <s v="5069.96"/>
    <s v="2250.21"/>
    <x v="1"/>
    <x v="0"/>
    <s v="Website"/>
    <n v="7320.1679999999997"/>
  </r>
  <r>
    <s v="ORD100136"/>
    <x v="5"/>
    <s v="24-09-2025"/>
    <s v="CUST12103"/>
    <s v="Corporate"/>
    <s v="Gujarat"/>
    <x v="10"/>
    <x v="0"/>
    <s v="Smartphone"/>
    <s v="1"/>
    <s v="5926.5"/>
    <n v="0.1"/>
    <s v="4762.1899999999996"/>
    <s v="571.66"/>
    <x v="5"/>
    <x v="0"/>
    <s v="Website"/>
    <n v="5333.85"/>
  </r>
  <r>
    <s v="ORD100137"/>
    <x v="11"/>
    <s v="03-10-2025"/>
    <s v="CUST11822"/>
    <s v="Corporate"/>
    <s v="Gujarat"/>
    <x v="3"/>
    <x v="3"/>
    <s v="Vacuum Cleaner"/>
    <s v="1"/>
    <s v="15144.33"/>
    <n v="0.1"/>
    <s v="9624.6200000000008"/>
    <s v="4005.28"/>
    <x v="3"/>
    <x v="0"/>
    <s v="Marketplace"/>
    <n v="13629.897000000001"/>
  </r>
  <r>
    <s v="ORD100138"/>
    <x v="1"/>
    <s v="11-02-2025"/>
    <s v="CUST12093"/>
    <s v="Consumer"/>
    <s v="Tamil Nadu"/>
    <x v="8"/>
    <x v="2"/>
    <s v="T-Shirt"/>
    <s v="1"/>
    <s v="3186.71"/>
    <n v="0.05"/>
    <s v="2559.1999999999998"/>
    <s v="468.17"/>
    <x v="0"/>
    <x v="0"/>
    <s v="Mobile App"/>
    <n v="3027.3744999999999"/>
  </r>
  <r>
    <s v="ORD100139"/>
    <x v="10"/>
    <s v="05-11-2025"/>
    <s v="CUST10438"/>
    <s v="Home Office"/>
    <s v="West Bengal"/>
    <x v="0"/>
    <x v="0"/>
    <s v="Smartphone"/>
    <s v="2"/>
    <s v="1716.46"/>
    <n v="0"/>
    <s v="2061.73"/>
    <s v="1371.19"/>
    <x v="1"/>
    <x v="0"/>
    <s v="Mobile App"/>
    <n v="3432.92"/>
  </r>
  <r>
    <s v="ORD100140"/>
    <x v="7"/>
    <s v="08-05-2025"/>
    <s v="CUST11328"/>
    <s v="Home Office"/>
    <s v="Tamil Nadu"/>
    <x v="11"/>
    <x v="0"/>
    <s v="Headphones"/>
    <s v="3"/>
    <s v="73157.039999999994"/>
    <n v="0"/>
    <s v="163614.66"/>
    <s v="55856.46"/>
    <x v="0"/>
    <x v="0"/>
    <s v="Marketplace"/>
    <n v="219471.12"/>
  </r>
  <r>
    <s v="ORD100141"/>
    <x v="1"/>
    <s v="02-02-2025"/>
    <s v="CUST10596"/>
    <s v="Corporate"/>
    <s v="Tamil Nadu"/>
    <x v="13"/>
    <x v="3"/>
    <s v="Vacuum Cleaner"/>
    <s v="1"/>
    <s v="15683.84"/>
    <n v="0.2"/>
    <s v="10566.92"/>
    <s v="1980.15"/>
    <x v="3"/>
    <x v="0"/>
    <s v="Website"/>
    <n v="12547.072"/>
  </r>
  <r>
    <s v="ORD100142"/>
    <x v="2"/>
    <s v="17-12-2025"/>
    <s v="CUST11193"/>
    <s v="Corporate"/>
    <s v="West Bengal"/>
    <x v="9"/>
    <x v="0"/>
    <s v="Smartphone"/>
    <s v="1"/>
    <s v="68375.23"/>
    <n v="0.1"/>
    <s v="48332.86"/>
    <s v="13204.85"/>
    <x v="2"/>
    <x v="0"/>
    <s v="Mobile App"/>
    <n v="61537.7069999999"/>
  </r>
  <r>
    <s v="ORD100143"/>
    <x v="7"/>
    <s v="13-05-2025"/>
    <s v="CUST10354"/>
    <s v="Home Office"/>
    <s v="Telangana"/>
    <x v="14"/>
    <x v="0"/>
    <s v="Smartwatch"/>
    <s v="2"/>
    <s v="10062.17"/>
    <n v="0"/>
    <s v="15491.76"/>
    <s v="4632.58"/>
    <x v="0"/>
    <x v="0"/>
    <s v="Website"/>
    <n v="20124.34"/>
  </r>
  <r>
    <s v="ORD100144"/>
    <x v="3"/>
    <s v="06-03-2025"/>
    <s v="CUST12730"/>
    <s v="Home Office"/>
    <s v="Delhi"/>
    <x v="12"/>
    <x v="4"/>
    <s v="Football"/>
    <s v="1"/>
    <s v="10011.18"/>
    <n v="0.15"/>
    <s v="5748.85"/>
    <s v="2760.65"/>
    <x v="3"/>
    <x v="3"/>
    <s v="Website"/>
    <n v="8509.5030000000006"/>
  </r>
  <r>
    <s v="ORD100146"/>
    <x v="7"/>
    <s v="26-05-2025"/>
    <s v="CUST10273"/>
    <s v="Consumer"/>
    <s v="West Bengal"/>
    <x v="9"/>
    <x v="2"/>
    <s v="T-Shirt"/>
    <s v="1"/>
    <s v="5359.65"/>
    <n v="0.1"/>
    <s v="3418.25"/>
    <s v="1405.43"/>
    <x v="3"/>
    <x v="0"/>
    <s v="Website"/>
    <n v="4823.6849999999904"/>
  </r>
  <r>
    <s v="ORD100147"/>
    <x v="0"/>
    <s v="15-01-2025"/>
    <s v="CUST11712"/>
    <s v="Home Office"/>
    <s v="Kerala"/>
    <x v="6"/>
    <x v="4"/>
    <s v="Football"/>
    <s v="1"/>
    <s v="1729.36"/>
    <n v="0.1"/>
    <s v="1395.17"/>
    <s v="161.25"/>
    <x v="0"/>
    <x v="0"/>
    <s v="Mobile App"/>
    <n v="1556.424"/>
  </r>
  <r>
    <s v="ORD100148"/>
    <x v="10"/>
    <s v="18-11-2025"/>
    <s v="CUST10114"/>
    <s v="Consumer"/>
    <s v="West Bengal"/>
    <x v="0"/>
    <x v="0"/>
    <s v="Smartphone"/>
    <s v="2"/>
    <s v="45279.25"/>
    <n v="0.05"/>
    <s v="50859.47"/>
    <s v="35171.11"/>
    <x v="0"/>
    <x v="0"/>
    <s v="Marketplace"/>
    <n v="86030.574999999997"/>
  </r>
  <r>
    <s v="ORD100149"/>
    <x v="4"/>
    <s v="19-04-2025"/>
    <s v="CUST10392"/>
    <s v="Corporate"/>
    <s v="Tamil Nadu"/>
    <x v="13"/>
    <x v="0"/>
    <s v="Headphones"/>
    <s v="1"/>
    <s v="44721.38"/>
    <n v="0.05"/>
    <s v="30305.06"/>
    <s v="12180.25"/>
    <x v="0"/>
    <x v="0"/>
    <s v="Website"/>
    <n v="42485.3109999999"/>
  </r>
  <r>
    <s v="ORD100150"/>
    <x v="0"/>
    <s v="17-01-2025"/>
    <s v="CUST12072"/>
    <s v="Corporate"/>
    <s v="Kerala"/>
    <x v="6"/>
    <x v="3"/>
    <s v="Mixer Grinder"/>
    <s v="1"/>
    <s v="14743.04"/>
    <n v="0.05"/>
    <s v="9408.66"/>
    <s v="4597.2299999999996"/>
    <x v="1"/>
    <x v="0"/>
    <s v="Mobile App"/>
    <n v="14005.888000000001"/>
  </r>
  <r>
    <s v="ORD100151"/>
    <x v="3"/>
    <s v="26-03-2025"/>
    <s v="CUST11034"/>
    <s v="Consumer"/>
    <s v="Gujarat"/>
    <x v="10"/>
    <x v="0"/>
    <s v="Smartwatch"/>
    <s v="1"/>
    <s v="58489.95"/>
    <n v="0.15"/>
    <s v="41355.79"/>
    <s v="8360.67"/>
    <x v="0"/>
    <x v="0"/>
    <s v="Marketplace"/>
    <n v="49716.457499999997"/>
  </r>
  <r>
    <s v="ORD100152"/>
    <x v="10"/>
    <s v="14-11-2025"/>
    <s v="CUST10520"/>
    <s v="Corporate"/>
    <s v="Maharashtra"/>
    <x v="20"/>
    <x v="2"/>
    <s v="T-Shirt"/>
    <s v="1"/>
    <s v="5335.52"/>
    <n v="0.1"/>
    <s v="3258.36"/>
    <s v="1543.61"/>
    <x v="0"/>
    <x v="0"/>
    <s v="Marketplace"/>
    <n v="4801.9679999999998"/>
  </r>
  <r>
    <s v="ORD100153"/>
    <x v="0"/>
    <s v="13-01-2025"/>
    <s v="CUST13335"/>
    <s v="Corporate"/>
    <s v="Gujarat"/>
    <x v="18"/>
    <x v="2"/>
    <s v="Handbag"/>
    <s v="2"/>
    <s v="1905.62"/>
    <n v="0.15"/>
    <s v="2490.73"/>
    <s v="748.82"/>
    <x v="1"/>
    <x v="3"/>
    <s v="Website"/>
    <n v="3239.5539999999901"/>
  </r>
  <r>
    <s v="ORD100154"/>
    <x v="8"/>
    <s v="10-08-2025"/>
    <s v="CUST12975"/>
    <s v="Consumer"/>
    <s v="Delhi"/>
    <x v="12"/>
    <x v="0"/>
    <s v="Tablet"/>
    <s v="1"/>
    <s v="8225.51"/>
    <n v="0"/>
    <s v="5776.97"/>
    <s v="2448.54"/>
    <x v="3"/>
    <x v="0"/>
    <s v="Website"/>
    <n v="8225.51"/>
  </r>
  <r>
    <s v="ORD100155"/>
    <x v="1"/>
    <s v="27-02-2025"/>
    <s v="CUST10442"/>
    <s v="Consumer"/>
    <s v="Gujarat"/>
    <x v="18"/>
    <x v="0"/>
    <s v="Headphones"/>
    <s v="1"/>
    <s v="2794.88"/>
    <n v="0.1"/>
    <s v="1642.18"/>
    <s v="873.21"/>
    <x v="5"/>
    <x v="2"/>
    <s v="Website"/>
    <n v="2515.3919999999998"/>
  </r>
  <r>
    <s v="ORD100156"/>
    <x v="1"/>
    <s v="04-02-2025"/>
    <s v="CUST13079"/>
    <s v="Corporate"/>
    <s v="West Bengal"/>
    <x v="0"/>
    <x v="4"/>
    <s v="Yoga Mat"/>
    <s v="1"/>
    <s v="2325.54"/>
    <n v="0.1"/>
    <s v="1563.11"/>
    <s v="529.88"/>
    <x v="2"/>
    <x v="0"/>
    <s v="Website"/>
    <n v="2092.9859999999999"/>
  </r>
  <r>
    <s v="ORD100157"/>
    <x v="7"/>
    <s v="11-05-2025"/>
    <s v="CUST11039"/>
    <s v="Home Office"/>
    <s v="Gujarat"/>
    <x v="18"/>
    <x v="4"/>
    <s v="Cricket Bat"/>
    <s v="1"/>
    <s v="11275.28"/>
    <n v="0"/>
    <s v="8371.2900000000009"/>
    <s v="2903.99"/>
    <x v="0"/>
    <x v="0"/>
    <s v="Website"/>
    <n v="11275.28"/>
  </r>
  <r>
    <s v="ORD100158"/>
    <x v="8"/>
    <s v="06-08-2025"/>
    <s v="CUST10293"/>
    <s v="Consumer"/>
    <s v="Maharashtra"/>
    <x v="21"/>
    <x v="2"/>
    <s v="Jacket"/>
    <s v="2"/>
    <s v="2262.36"/>
    <n v="0.1"/>
    <s v="3109.03"/>
    <s v="963.22"/>
    <x v="2"/>
    <x v="0"/>
    <s v="Mobile App"/>
    <n v="4072.248"/>
  </r>
  <r>
    <s v="ORD100159"/>
    <x v="2"/>
    <s v="17-12-2025"/>
    <s v="CUST13201"/>
    <s v="Home Office"/>
    <s v="Maharashtra"/>
    <x v="4"/>
    <x v="0"/>
    <s v="Smartwatch"/>
    <s v="1"/>
    <s v="50442.44"/>
    <n v="0"/>
    <s v="29444.03"/>
    <s v="20998.41"/>
    <x v="3"/>
    <x v="3"/>
    <s v="Mobile App"/>
    <n v="50442.44"/>
  </r>
  <r>
    <s v="ORD100160"/>
    <x v="2"/>
    <s v="21-12-2025"/>
    <s v="CUST12256"/>
    <s v="Corporate"/>
    <s v="Karnataka"/>
    <x v="17"/>
    <x v="3"/>
    <s v="Air Fryer"/>
    <s v="3"/>
    <s v="9362.5300000000007"/>
    <n v="0.1"/>
    <s v="18318.88"/>
    <s v="6959.95"/>
    <x v="0"/>
    <x v="0"/>
    <s v="Website"/>
    <n v="25278.830999999998"/>
  </r>
  <r>
    <s v="ORD100162"/>
    <x v="8"/>
    <s v="29-08-2025"/>
    <s v="CUST13283"/>
    <s v="Corporate"/>
    <s v="Telangana"/>
    <x v="16"/>
    <x v="4"/>
    <s v="Running Shoes"/>
    <s v="1"/>
    <s v="4858.05"/>
    <n v="0"/>
    <s v="3897"/>
    <s v="961.05"/>
    <x v="5"/>
    <x v="2"/>
    <s v="Website"/>
    <n v="4858.05"/>
  </r>
  <r>
    <s v="ORD100163"/>
    <x v="11"/>
    <s v="26-10-2025"/>
    <s v="CUST12771"/>
    <s v="Corporate"/>
    <s v="Karnataka"/>
    <x v="17"/>
    <x v="0"/>
    <s v="Tablet"/>
    <s v="1"/>
    <s v="50630.879999999997"/>
    <n v="0.05"/>
    <s v="34552.57"/>
    <s v="13546.77"/>
    <x v="0"/>
    <x v="1"/>
    <s v="Website"/>
    <n v="48099.335999999901"/>
  </r>
  <r>
    <s v="ORD100164"/>
    <x v="2"/>
    <s v="02-12-2025"/>
    <s v="CUST11185"/>
    <s v="Home Office"/>
    <s v="West Bengal"/>
    <x v="9"/>
    <x v="0"/>
    <s v="Tablet"/>
    <s v="2"/>
    <s v="29427.98"/>
    <n v="0"/>
    <s v="38500.410000000003"/>
    <s v="20355.55"/>
    <x v="0"/>
    <x v="1"/>
    <s v="Website"/>
    <n v="58855.96"/>
  </r>
  <r>
    <s v="ORD100165"/>
    <x v="11"/>
    <s v="19-10-2025"/>
    <s v="CUST11352"/>
    <s v="Consumer"/>
    <s v="West Bengal"/>
    <x v="9"/>
    <x v="4"/>
    <s v="Football"/>
    <s v="1"/>
    <s v="10488.97"/>
    <n v="0.15"/>
    <s v="8505.99"/>
    <s v="409.63"/>
    <x v="5"/>
    <x v="0"/>
    <s v="Marketplace"/>
    <n v="8915.6244999999999"/>
  </r>
  <r>
    <s v="ORD100166"/>
    <x v="5"/>
    <s v="28-09-2025"/>
    <s v="CUST11640"/>
    <s v="Consumer"/>
    <s v="Delhi"/>
    <x v="12"/>
    <x v="3"/>
    <s v="Mixer Grinder"/>
    <s v="1"/>
    <s v="5388.99"/>
    <n v="0.1"/>
    <s v="3310.76"/>
    <s v="1539.33"/>
    <x v="2"/>
    <x v="0"/>
    <s v="Website"/>
    <n v="4850.0910000000003"/>
  </r>
  <r>
    <s v="ORD100167"/>
    <x v="5"/>
    <s v="27-09-2025"/>
    <s v="CUST12950"/>
    <s v="Home Office"/>
    <s v="Tamil Nadu"/>
    <x v="11"/>
    <x v="1"/>
    <s v="Lipstick"/>
    <s v="1"/>
    <s v="5970.65"/>
    <n v="0.2"/>
    <s v="4737.9799999999996"/>
    <s v="38.54"/>
    <x v="1"/>
    <x v="2"/>
    <s v="Marketplace"/>
    <n v="4776.5199999999904"/>
  </r>
  <r>
    <s v="ORD100168"/>
    <x v="2"/>
    <s v="11-12-2025"/>
    <s v="CUST12042"/>
    <s v="Home Office"/>
    <s v="Maharashtra"/>
    <x v="4"/>
    <x v="0"/>
    <s v="Laptop"/>
    <s v="1"/>
    <s v="46084.53"/>
    <n v="0.05"/>
    <s v="32500.9"/>
    <s v="11279.4"/>
    <x v="0"/>
    <x v="0"/>
    <s v="Marketplace"/>
    <n v="43780.3034999999"/>
  </r>
  <r>
    <s v="ORD100169"/>
    <x v="10"/>
    <s v="25-11-2025"/>
    <s v="CUST11798"/>
    <s v="Corporate"/>
    <s v="West Bengal"/>
    <x v="0"/>
    <x v="3"/>
    <s v="Cookware Set"/>
    <s v="1"/>
    <s v="7709.15"/>
    <n v="0.05"/>
    <s v="4888.28"/>
    <s v="2435.41"/>
    <x v="2"/>
    <x v="0"/>
    <s v="Website"/>
    <n v="7323.6924999999901"/>
  </r>
  <r>
    <s v="ORD100170"/>
    <x v="0"/>
    <s v="25-01-2025"/>
    <s v="CUST12675"/>
    <s v="Consumer"/>
    <s v="Telangana"/>
    <x v="16"/>
    <x v="0"/>
    <s v="Tablet"/>
    <s v="1"/>
    <s v="23759.17"/>
    <n v="0"/>
    <s v="13889.25"/>
    <s v="9869.92"/>
    <x v="1"/>
    <x v="0"/>
    <s v="Mobile App"/>
    <n v="23759.17"/>
  </r>
  <r>
    <s v="ORD100171"/>
    <x v="3"/>
    <s v="18-03-2025"/>
    <s v="CUST11160"/>
    <s v="Consumer"/>
    <s v="Tamil Nadu"/>
    <x v="8"/>
    <x v="2"/>
    <s v="Jacket"/>
    <s v="1"/>
    <s v="5883.03"/>
    <n v="0.15"/>
    <s v="4424.17"/>
    <s v="576.41"/>
    <x v="1"/>
    <x v="0"/>
    <s v="Marketplace"/>
    <n v="5000.5754999999999"/>
  </r>
  <r>
    <s v="ORD100172"/>
    <x v="0"/>
    <s v="24-01-2025"/>
    <s v="CUST12127"/>
    <s v="Corporate"/>
    <s v="Karnataka"/>
    <x v="22"/>
    <x v="0"/>
    <s v="Tablet"/>
    <s v="4"/>
    <s v="1904.11"/>
    <n v="0.05"/>
    <s v="5281.25"/>
    <s v="1954.37"/>
    <x v="3"/>
    <x v="0"/>
    <s v="Website"/>
    <n v="7235.6179999999904"/>
  </r>
  <r>
    <s v="ORD100173"/>
    <x v="3"/>
    <s v="06-03-2025"/>
    <s v="CUST10880"/>
    <s v="Corporate"/>
    <s v="West Bengal"/>
    <x v="0"/>
    <x v="4"/>
    <s v="Football"/>
    <s v="2"/>
    <s v="4091.33"/>
    <n v="0"/>
    <s v="5345.63"/>
    <s v="2837.03"/>
    <x v="5"/>
    <x v="0"/>
    <s v="Mobile App"/>
    <n v="8182.66"/>
  </r>
  <r>
    <s v="ORD100174"/>
    <x v="11"/>
    <s v="21-10-2025"/>
    <s v="CUST11268"/>
    <s v="Consumer"/>
    <s v="West Bengal"/>
    <x v="0"/>
    <x v="2"/>
    <s v="Sneakers"/>
    <s v="1"/>
    <s v="3343.4"/>
    <n v="0.1"/>
    <s v="1916.82"/>
    <s v="1092.24"/>
    <x v="3"/>
    <x v="1"/>
    <s v="Website"/>
    <n v="3009.06"/>
  </r>
  <r>
    <s v="ORD100175"/>
    <x v="11"/>
    <s v="19-10-2025"/>
    <s v="CUST11583"/>
    <s v="Consumer"/>
    <s v="Karnataka"/>
    <x v="22"/>
    <x v="4"/>
    <s v="Running Shoes"/>
    <s v="1"/>
    <s v="4069.45"/>
    <n v="0"/>
    <s v="2322.65"/>
    <s v="1746.8"/>
    <x v="0"/>
    <x v="0"/>
    <s v="Mobile App"/>
    <n v="4069.45"/>
  </r>
  <r>
    <s v="ORD100177"/>
    <x v="9"/>
    <s v="19-06-2025"/>
    <s v="CUST10167"/>
    <s v="Corporate"/>
    <s v="Kerala"/>
    <x v="6"/>
    <x v="0"/>
    <s v="Smartphone"/>
    <s v="2"/>
    <s v="72659.27"/>
    <n v="0.1"/>
    <s v="95241.64"/>
    <s v="35545.050000000003"/>
    <x v="2"/>
    <x v="0"/>
    <s v="Mobile App"/>
    <n v="130786.686"/>
  </r>
  <r>
    <s v="ORD100178"/>
    <x v="8"/>
    <s v="19-08-2025"/>
    <s v="CUST13240"/>
    <s v="Consumer"/>
    <s v="Karnataka"/>
    <x v="22"/>
    <x v="2"/>
    <s v="Jacket"/>
    <s v="4"/>
    <s v="4130.8999999999996"/>
    <n v="0.05"/>
    <s v="13303.93"/>
    <s v="2393.4899999999998"/>
    <x v="5"/>
    <x v="0"/>
    <s v="Mobile App"/>
    <n v="15697.4199999999"/>
  </r>
  <r>
    <s v="ORD100179"/>
    <x v="11"/>
    <s v="17-10-2025"/>
    <s v="CUST10656"/>
    <s v="Home Office"/>
    <s v="Maharashtra"/>
    <x v="21"/>
    <x v="4"/>
    <s v="Fitness Band"/>
    <s v="2"/>
    <s v="6968.96"/>
    <n v="0.2"/>
    <s v="7895.06"/>
    <s v="3255.28"/>
    <x v="0"/>
    <x v="0"/>
    <s v="Website"/>
    <n v="11150.335999999999"/>
  </r>
  <r>
    <s v="ORD100180"/>
    <x v="5"/>
    <s v="28-09-2025"/>
    <s v="CUST12660"/>
    <s v="Home Office"/>
    <s v="Maharashtra"/>
    <x v="21"/>
    <x v="2"/>
    <s v="Sneakers"/>
    <s v="1"/>
    <s v="440.47"/>
    <n v="0.1"/>
    <s v="306.42"/>
    <s v="90"/>
    <x v="3"/>
    <x v="0"/>
    <s v="Marketplace"/>
    <n v="396.423"/>
  </r>
  <r>
    <s v="ORD100181"/>
    <x v="1"/>
    <s v="27-02-2025"/>
    <s v="CUST11559"/>
    <s v="Consumer"/>
    <s v="Tamil Nadu"/>
    <x v="11"/>
    <x v="0"/>
    <s v="Headphones"/>
    <s v="2"/>
    <s v="17474.169999999998"/>
    <n v="0.1"/>
    <s v="21956.240000000002"/>
    <s v="9497.27"/>
    <x v="2"/>
    <x v="0"/>
    <s v="Mobile App"/>
    <n v="31453.505999999899"/>
  </r>
  <r>
    <s v="ORD100182"/>
    <x v="11"/>
    <s v="01-10-2025"/>
    <s v="CUST10720"/>
    <s v="Consumer"/>
    <s v="Delhi"/>
    <x v="12"/>
    <x v="1"/>
    <s v="Perfume"/>
    <s v="1"/>
    <s v="3032.13"/>
    <n v="0.1"/>
    <s v="1849.26"/>
    <s v="879.66"/>
    <x v="5"/>
    <x v="0"/>
    <s v="Mobile App"/>
    <n v="2728.9169999999999"/>
  </r>
  <r>
    <s v="ORD100183"/>
    <x v="2"/>
    <s v="02-12-2025"/>
    <s v="CUST10851"/>
    <s v="Corporate"/>
    <s v="Tamil Nadu"/>
    <x v="1"/>
    <x v="0"/>
    <s v="Laptop"/>
    <s v="4"/>
    <s v="38655.97"/>
    <n v="0.1"/>
    <s v="121216.76"/>
    <s v="17944.73"/>
    <x v="1"/>
    <x v="0"/>
    <s v="Website"/>
    <n v="139161.492"/>
  </r>
  <r>
    <s v="ORD100184"/>
    <x v="1"/>
    <s v="18-02-2025"/>
    <s v="CUST13462"/>
    <s v="Home Office"/>
    <s v="Gujarat"/>
    <x v="3"/>
    <x v="1"/>
    <s v="Perfume"/>
    <s v="1"/>
    <s v="4695.53"/>
    <n v="0.05"/>
    <s v="2852.51"/>
    <s v="1608.24"/>
    <x v="2"/>
    <x v="0"/>
    <s v="Marketplace"/>
    <n v="4460.7534999999998"/>
  </r>
  <r>
    <s v="ORD100185"/>
    <x v="2"/>
    <s v="03-12-2025"/>
    <s v="CUST10852"/>
    <s v="Home Office"/>
    <s v="Maharashtra"/>
    <x v="4"/>
    <x v="0"/>
    <s v="Headphones"/>
    <s v="2"/>
    <s v="29723.73"/>
    <n v="0"/>
    <s v="42771.55"/>
    <s v="16675.91"/>
    <x v="5"/>
    <x v="0"/>
    <s v="Marketplace"/>
    <n v="59447.46"/>
  </r>
  <r>
    <s v="ORD100186"/>
    <x v="10"/>
    <s v="24-11-2025"/>
    <s v="CUST12251"/>
    <s v="Corporate"/>
    <s v="Delhi"/>
    <x v="12"/>
    <x v="4"/>
    <s v="Football"/>
    <s v="2"/>
    <s v="7886.02"/>
    <n v="0.15"/>
    <s v="12542.51"/>
    <s v="863.72"/>
    <x v="3"/>
    <x v="0"/>
    <s v="Mobile App"/>
    <n v="13406.234"/>
  </r>
  <r>
    <s v="ORD100187"/>
    <x v="8"/>
    <s v="28-08-2025"/>
    <s v="CUST13046"/>
    <s v="Consumer"/>
    <s v="Tamil Nadu"/>
    <x v="11"/>
    <x v="1"/>
    <s v="Perfume"/>
    <s v="3"/>
    <s v="922.88"/>
    <n v="0.1"/>
    <s v="1954.1"/>
    <s v="537.67999999999995"/>
    <x v="1"/>
    <x v="0"/>
    <s v="Marketplace"/>
    <n v="2491.7759999999998"/>
  </r>
  <r>
    <s v="ORD100188"/>
    <x v="1"/>
    <s v="01-02-2025"/>
    <s v="CUST10327"/>
    <s v="Corporate"/>
    <s v="Telangana"/>
    <x v="14"/>
    <x v="0"/>
    <s v="Coffee Maker"/>
    <s v="2"/>
    <s v="9717.0400000000009"/>
    <n v="0.1"/>
    <s v="13399.37"/>
    <s v="4091.3"/>
    <x v="5"/>
    <x v="0"/>
    <s v="Website"/>
    <n v="17490.671999999999"/>
  </r>
  <r>
    <s v="ORD100189"/>
    <x v="10"/>
    <s v="11-11-2025"/>
    <s v="CUST11795"/>
    <s v="Consumer"/>
    <s v="Gujarat"/>
    <x v="18"/>
    <x v="1"/>
    <s v="Perfume"/>
    <s v="1"/>
    <s v="3537.33"/>
    <n v="0.1"/>
    <s v="2577.61"/>
    <s v="605.99"/>
    <x v="0"/>
    <x v="1"/>
    <s v="Mobile App"/>
    <n v="3183.5970000000002"/>
  </r>
  <r>
    <s v="ORD100190"/>
    <x v="10"/>
    <s v="29-11-2025"/>
    <s v="CUST10227"/>
    <s v="Corporate"/>
    <s v="Telangana"/>
    <x v="14"/>
    <x v="0"/>
    <s v="Smartphone"/>
    <s v="1"/>
    <s v="20807.86"/>
    <n v="0.15"/>
    <s v="14553.6"/>
    <s v="3133.08"/>
    <x v="1"/>
    <x v="0"/>
    <s v="Mobile App"/>
    <n v="17686.681"/>
  </r>
  <r>
    <s v="ORD100191"/>
    <x v="3"/>
    <s v="28-03-2025"/>
    <s v="CUST13047"/>
    <s v="Corporate"/>
    <s v="West Bengal"/>
    <x v="0"/>
    <x v="0"/>
    <s v="Smartwatch"/>
    <s v="1"/>
    <s v="39777.25"/>
    <n v="0.1"/>
    <s v="32546.59"/>
    <s v="3252.93"/>
    <x v="3"/>
    <x v="0"/>
    <s v="Mobile App"/>
    <n v="35799.525000000001"/>
  </r>
  <r>
    <s v="ORD100192"/>
    <x v="0"/>
    <s v="13-01-2025"/>
    <s v="CUST10348"/>
    <s v="Home Office"/>
    <s v="Kerala"/>
    <x v="5"/>
    <x v="3"/>
    <s v="Mixer Grinder"/>
    <s v="1"/>
    <s v="11208.68"/>
    <n v="0.05"/>
    <s v="7139.12"/>
    <s v="3509.13"/>
    <x v="5"/>
    <x v="2"/>
    <s v="Website"/>
    <n v="10648.245999999999"/>
  </r>
  <r>
    <s v="ORD100193"/>
    <x v="4"/>
    <s v="15-04-2025"/>
    <s v="CUST12540"/>
    <s v="Home Office"/>
    <s v="Gujarat"/>
    <x v="3"/>
    <x v="3"/>
    <s v="Mixer Grinder"/>
    <s v="3"/>
    <s v="9815.09"/>
    <n v="0.05"/>
    <s v="19527.96"/>
    <s v="8445.0499999999993"/>
    <x v="1"/>
    <x v="0"/>
    <s v="Mobile App"/>
    <n v="27973.0065"/>
  </r>
  <r>
    <s v="ORD100194"/>
    <x v="10"/>
    <s v="12-11-2025"/>
    <s v="CUST12446"/>
    <s v="Corporate"/>
    <s v="Gujarat"/>
    <x v="3"/>
    <x v="4"/>
    <s v="Running Shoes"/>
    <s v="2"/>
    <s v="2450.8200000000002"/>
    <n v="0.15"/>
    <s v="3953.86"/>
    <s v="212.53"/>
    <x v="1"/>
    <x v="0"/>
    <s v="Marketplace"/>
    <n v="4166.3940000000002"/>
  </r>
  <r>
    <s v="ORD100195"/>
    <x v="5"/>
    <s v="27-09-2025"/>
    <s v="CUST10033"/>
    <s v="Home Office"/>
    <s v="Gujarat"/>
    <x v="10"/>
    <x v="3"/>
    <s v="Air Fryer"/>
    <s v="3"/>
    <s v="17413.16"/>
    <n v="0"/>
    <s v="41832.410000000003"/>
    <s v="10407.07"/>
    <x v="2"/>
    <x v="1"/>
    <s v="Marketplace"/>
    <n v="52239.479999999901"/>
  </r>
  <r>
    <s v="ORD100196"/>
    <x v="8"/>
    <s v="04-08-2025"/>
    <s v="CUST10039"/>
    <s v="Corporate"/>
    <s v="Tamil Nadu"/>
    <x v="19"/>
    <x v="0"/>
    <s v="Smartwatch"/>
    <s v="1"/>
    <s v="54140.02"/>
    <n v="0.2"/>
    <s v="35085.86"/>
    <s v="8226.16"/>
    <x v="0"/>
    <x v="0"/>
    <s v="Mobile App"/>
    <n v="43312.016000000003"/>
  </r>
  <r>
    <s v="ORD100197"/>
    <x v="2"/>
    <s v="05-12-2025"/>
    <s v="CUST12612"/>
    <s v="Consumer"/>
    <s v="Kerala"/>
    <x v="5"/>
    <x v="0"/>
    <s v="Smartphone"/>
    <s v="1"/>
    <s v="58667.09"/>
    <n v="0"/>
    <s v="47385.26"/>
    <s v="11281.83"/>
    <x v="1"/>
    <x v="0"/>
    <s v="Marketplace"/>
    <n v="58667.09"/>
  </r>
  <r>
    <s v="ORD100198"/>
    <x v="1"/>
    <s v="02-02-2025"/>
    <s v="CUST11475"/>
    <s v="Corporate"/>
    <s v="West Bengal"/>
    <x v="0"/>
    <x v="3"/>
    <s v="Cookware Set"/>
    <s v="1"/>
    <s v="3848.36"/>
    <n v="0"/>
    <s v="2201.1999999999998"/>
    <s v="1647.16"/>
    <x v="1"/>
    <x v="0"/>
    <s v="Website"/>
    <n v="3848.36"/>
  </r>
  <r>
    <s v="ORD100199"/>
    <x v="11"/>
    <s v="08-10-2025"/>
    <s v="CUST10028"/>
    <s v="Consumer"/>
    <s v="Gujarat"/>
    <x v="10"/>
    <x v="4"/>
    <s v="Running Shoes"/>
    <s v="1"/>
    <s v="7511.17"/>
    <n v="0"/>
    <s v="4230.6499999999996"/>
    <s v="3280.52"/>
    <x v="5"/>
    <x v="3"/>
    <s v="Mobile App"/>
    <n v="7511.17"/>
  </r>
  <r>
    <s v="ORD100200"/>
    <x v="8"/>
    <s v="29-08-2025"/>
    <s v="CUST11977"/>
    <s v="Corporate"/>
    <s v="Karnataka"/>
    <x v="17"/>
    <x v="1"/>
    <s v="Face Cream"/>
    <s v="2"/>
    <s v="880.67"/>
    <n v="0"/>
    <s v="1430.74"/>
    <s v="330.6"/>
    <x v="1"/>
    <x v="3"/>
    <s v="Marketplace"/>
    <n v="1761.34"/>
  </r>
  <r>
    <s v="ORD100201"/>
    <x v="10"/>
    <s v="27-11-2025"/>
    <s v="CUST13179"/>
    <s v="Corporate"/>
    <s v="Kerala"/>
    <x v="6"/>
    <x v="3"/>
    <s v="Coffee Maker"/>
    <s v="2"/>
    <s v="2556.1799999999998"/>
    <n v="0.2"/>
    <s v="3722.82"/>
    <s v="367.07"/>
    <x v="2"/>
    <x v="0"/>
    <s v="Marketplace"/>
    <n v="4089.8879999999999"/>
  </r>
  <r>
    <s v="ORD100202"/>
    <x v="4"/>
    <s v="23-04-2025"/>
    <s v="CUST11203"/>
    <s v="Consumer"/>
    <s v="Tamil Nadu"/>
    <x v="1"/>
    <x v="2"/>
    <s v="Jacket"/>
    <s v="1"/>
    <s v="878.07"/>
    <n v="0.1"/>
    <s v="522"/>
    <s v="268.26"/>
    <x v="3"/>
    <x v="0"/>
    <s v="Website"/>
    <n v="790.26300000000003"/>
  </r>
  <r>
    <s v="ORD100203"/>
    <x v="5"/>
    <s v="26-09-2025"/>
    <s v="CUST12217"/>
    <s v="Corporate"/>
    <s v="Maharashtra"/>
    <x v="21"/>
    <x v="2"/>
    <s v="T-Shirt"/>
    <s v="1"/>
    <s v="1349.38"/>
    <n v="0.05"/>
    <s v="955.5"/>
    <s v="326.41000000000003"/>
    <x v="1"/>
    <x v="2"/>
    <s v="Mobile App"/>
    <n v="1281.9110000000001"/>
  </r>
  <r>
    <s v="ORD100204"/>
    <x v="10"/>
    <s v="08-11-2025"/>
    <s v="CUST10556"/>
    <s v="Home Office"/>
    <s v="Karnataka"/>
    <x v="17"/>
    <x v="2"/>
    <s v="Jacket"/>
    <s v="1"/>
    <s v="3285.25"/>
    <n v="0.05"/>
    <s v="2067.9299999999998"/>
    <s v="1053.06"/>
    <x v="0"/>
    <x v="0"/>
    <s v="Marketplace"/>
    <n v="3120.9874999999902"/>
  </r>
  <r>
    <s v="ORD100205"/>
    <x v="10"/>
    <s v="09-11-2025"/>
    <s v="CUST13357"/>
    <s v="Home Office"/>
    <s v="Maharashtra"/>
    <x v="4"/>
    <x v="1"/>
    <s v="Shampoo"/>
    <s v="2"/>
    <s v="2326.92"/>
    <n v="0.05"/>
    <s v="3759.92"/>
    <s v="661.23"/>
    <x v="2"/>
    <x v="0"/>
    <s v="Website"/>
    <n v="4421.1480000000001"/>
  </r>
  <r>
    <s v="ORD100206"/>
    <x v="6"/>
    <s v="27-07-2025"/>
    <s v="CUST11001"/>
    <s v="Consumer"/>
    <s v="Kerala"/>
    <x v="15"/>
    <x v="0"/>
    <s v="Smartwatch"/>
    <s v="1"/>
    <s v="47339.99"/>
    <n v="0.15"/>
    <s v="36585.01"/>
    <s v="3653.98"/>
    <x v="0"/>
    <x v="0"/>
    <s v="Website"/>
    <n v="40238.991499999996"/>
  </r>
  <r>
    <s v="ORD100207"/>
    <x v="3"/>
    <s v="22-03-2025"/>
    <s v="CUST12004"/>
    <s v="Corporate"/>
    <s v="Delhi"/>
    <x v="7"/>
    <x v="0"/>
    <s v="Laptop"/>
    <s v="3"/>
    <s v="64410.61"/>
    <n v="0.2"/>
    <s v="149696.26999999999"/>
    <s v="4889.1899999999996"/>
    <x v="1"/>
    <x v="0"/>
    <s v="Mobile App"/>
    <n v="154585.46400000001"/>
  </r>
  <r>
    <s v="ORD100208"/>
    <x v="1"/>
    <s v="13-02-2025"/>
    <s v="CUST13019"/>
    <s v="Consumer"/>
    <s v="Maharashtra"/>
    <x v="20"/>
    <x v="2"/>
    <s v="Sneakers"/>
    <s v="1"/>
    <s v="5384.36"/>
    <n v="0.05"/>
    <s v="3868.88"/>
    <s v="1246.26"/>
    <x v="1"/>
    <x v="2"/>
    <s v="Mobile App"/>
    <n v="5115.1419999999998"/>
  </r>
  <r>
    <s v="ORD100209"/>
    <x v="11"/>
    <s v="06-10-2025"/>
    <s v="CUST11914"/>
    <s v="Corporate"/>
    <s v="Gujarat"/>
    <x v="3"/>
    <x v="0"/>
    <s v="Smartwatch"/>
    <s v="1"/>
    <s v="4544.59"/>
    <n v="0.1"/>
    <s v="2946.45"/>
    <s v="1143.68"/>
    <x v="0"/>
    <x v="0"/>
    <s v="Mobile App"/>
    <n v="4090.1309999999999"/>
  </r>
  <r>
    <s v="ORD100210"/>
    <x v="2"/>
    <s v="14-12-2025"/>
    <s v="CUST10863"/>
    <s v="Consumer"/>
    <s v="Gujarat"/>
    <x v="3"/>
    <x v="0"/>
    <s v="Smartwatch"/>
    <s v="2"/>
    <s v="40725.980000000003"/>
    <n v="0"/>
    <s v="62939.28"/>
    <s v="18512.68"/>
    <x v="5"/>
    <x v="0"/>
    <s v="Mobile App"/>
    <n v="81451.960000000006"/>
  </r>
  <r>
    <s v="ORD100211"/>
    <x v="11"/>
    <s v="13-10-2025"/>
    <s v="CUST11165"/>
    <s v="Consumer"/>
    <s v="Telangana"/>
    <x v="14"/>
    <x v="4"/>
    <s v="Running Shoes"/>
    <s v="1"/>
    <s v="6816.62"/>
    <n v="0.05"/>
    <s v="4188.25"/>
    <s v="2287.54"/>
    <x v="2"/>
    <x v="0"/>
    <s v="Marketplace"/>
    <n v="6475.7889999999998"/>
  </r>
  <r>
    <s v="ORD100213"/>
    <x v="8"/>
    <s v="22-08-2025"/>
    <s v="CUST10509"/>
    <s v="Home Office"/>
    <s v="Telangana"/>
    <x v="16"/>
    <x v="2"/>
    <s v="T-Shirt"/>
    <s v="3"/>
    <s v="1092.48"/>
    <n v="0.15"/>
    <s v="2166.81"/>
    <s v="619.01"/>
    <x v="0"/>
    <x v="0"/>
    <s v="Marketplace"/>
    <n v="2785.8240000000001"/>
  </r>
  <r>
    <s v="ORD100214"/>
    <x v="9"/>
    <s v="01-06-2025"/>
    <s v="CUST10426"/>
    <s v="Consumer"/>
    <s v="West Bengal"/>
    <x v="0"/>
    <x v="3"/>
    <s v="Cookware Set"/>
    <s v="1"/>
    <s v="9343.9699999999993"/>
    <n v="0.05"/>
    <s v="6241.98"/>
    <s v="2634.79"/>
    <x v="3"/>
    <x v="0"/>
    <s v="Mobile App"/>
    <n v="8876.7714999999898"/>
  </r>
  <r>
    <s v="ORD100215"/>
    <x v="7"/>
    <s v="22-05-2025"/>
    <s v="CUST13181"/>
    <s v="Corporate"/>
    <s v="West Bengal"/>
    <x v="9"/>
    <x v="2"/>
    <s v="Sneakers"/>
    <s v="2"/>
    <s v="3972.71"/>
    <n v="0"/>
    <s v="5854.73"/>
    <s v="2090.69"/>
    <x v="2"/>
    <x v="0"/>
    <s v="Mobile App"/>
    <n v="7945.42"/>
  </r>
  <r>
    <s v="ORD100216"/>
    <x v="7"/>
    <s v="11-05-2025"/>
    <s v="CUST13403"/>
    <s v="Consumer"/>
    <s v="West Bengal"/>
    <x v="9"/>
    <x v="0"/>
    <s v="Laptop"/>
    <s v="1"/>
    <s v="40586.160000000003"/>
    <n v="0.15"/>
    <s v="31234.81"/>
    <s v="3263.43"/>
    <x v="0"/>
    <x v="0"/>
    <s v="Marketplace"/>
    <n v="34498.235999999997"/>
  </r>
  <r>
    <s v="ORD100217"/>
    <x v="1"/>
    <s v="16-02-2025"/>
    <s v="CUST12826"/>
    <s v="Corporate"/>
    <s v="Gujarat"/>
    <x v="18"/>
    <x v="3"/>
    <s v="Air Fryer"/>
    <s v="1"/>
    <s v="17381.98"/>
    <n v="0"/>
    <s v="11780.52"/>
    <s v="5601.46"/>
    <x v="5"/>
    <x v="0"/>
    <s v="Website"/>
    <n v="17381.98"/>
  </r>
  <r>
    <s v="ORD100218"/>
    <x v="9"/>
    <s v="28-06-2025"/>
    <s v="CUST10441"/>
    <s v="Consumer"/>
    <s v="Maharashtra"/>
    <x v="4"/>
    <x v="1"/>
    <s v="Lipstick"/>
    <s v="2"/>
    <s v="4975.58"/>
    <n v="0.05"/>
    <s v="5523.93"/>
    <s v="3929.67"/>
    <x v="2"/>
    <x v="1"/>
    <s v="Mobile App"/>
    <n v="9453.6019999999899"/>
  </r>
  <r>
    <s v="ORD100219"/>
    <x v="5"/>
    <s v="11-09-2025"/>
    <s v="CUST12859"/>
    <s v="Home Office"/>
    <s v="Gujarat"/>
    <x v="18"/>
    <x v="4"/>
    <s v="Fitness Band"/>
    <s v="1"/>
    <s v="1413.17"/>
    <n v="0.15"/>
    <s v="814.83"/>
    <s v="386.36"/>
    <x v="3"/>
    <x v="2"/>
    <s v="Mobile App"/>
    <n v="1201.1945000000001"/>
  </r>
  <r>
    <s v="ORD100220"/>
    <x v="2"/>
    <s v="14-12-2025"/>
    <s v="CUST10727"/>
    <s v="Consumer"/>
    <s v="Tamil Nadu"/>
    <x v="1"/>
    <x v="3"/>
    <s v="Vacuum Cleaner"/>
    <s v="2"/>
    <s v="4191.42"/>
    <n v="0.05"/>
    <s v="6673.43"/>
    <s v="1290.27"/>
    <x v="2"/>
    <x v="2"/>
    <s v="Website"/>
    <n v="7963.6979999999903"/>
  </r>
  <r>
    <s v="ORD100221"/>
    <x v="1"/>
    <s v="16-02-2025"/>
    <s v="CUST10504"/>
    <s v="Corporate"/>
    <s v="Delhi"/>
    <x v="7"/>
    <x v="2"/>
    <s v="Jeans"/>
    <s v="1"/>
    <s v="3529.67"/>
    <n v="0.15"/>
    <s v="2812.62"/>
    <s v="187.6"/>
    <x v="1"/>
    <x v="0"/>
    <s v="Marketplace"/>
    <n v="3000.2195000000002"/>
  </r>
  <r>
    <s v="ORD100222"/>
    <x v="0"/>
    <s v="16-01-2025"/>
    <s v="CUST13354"/>
    <s v="Home Office"/>
    <s v="Maharashtra"/>
    <x v="20"/>
    <x v="3"/>
    <s v="Cookware Set"/>
    <s v="1"/>
    <s v="13278.76"/>
    <n v="0"/>
    <s v="10755.46"/>
    <s v="2523.3000000000002"/>
    <x v="0"/>
    <x v="0"/>
    <s v="Website"/>
    <n v="13278.76"/>
  </r>
  <r>
    <s v="ORD100223"/>
    <x v="4"/>
    <s v="30-04-2025"/>
    <s v="CUST11303"/>
    <s v="Home Office"/>
    <s v="West Bengal"/>
    <x v="9"/>
    <x v="3"/>
    <s v="Coffee Maker"/>
    <s v="1"/>
    <s v="2660.77"/>
    <n v="0.15"/>
    <s v="1792.72"/>
    <s v="468.93"/>
    <x v="1"/>
    <x v="0"/>
    <s v="Website"/>
    <n v="2261.6545000000001"/>
  </r>
  <r>
    <s v="ORD100224"/>
    <x v="4"/>
    <s v="18-04-2025"/>
    <s v="CUST12328"/>
    <s v="Consumer"/>
    <s v="Delhi"/>
    <x v="12"/>
    <x v="0"/>
    <s v="Headphones"/>
    <s v="1"/>
    <s v="74968.429999999993"/>
    <n v="0.1"/>
    <s v="44631.23"/>
    <s v="22840.36"/>
    <x v="5"/>
    <x v="2"/>
    <s v="Mobile App"/>
    <n v="67471.587"/>
  </r>
  <r>
    <s v="ORD100225"/>
    <x v="8"/>
    <s v="05-08-2025"/>
    <s v="CUST11944"/>
    <s v="Consumer"/>
    <s v="Gujarat"/>
    <x v="10"/>
    <x v="4"/>
    <s v="Running Shoes"/>
    <s v="1"/>
    <s v="9758.2900000000009"/>
    <n v="0.2"/>
    <s v="7896.02"/>
    <s v="-89.39"/>
    <x v="0"/>
    <x v="0"/>
    <s v="Marketplace"/>
    <n v="7806.6319999999996"/>
  </r>
  <r>
    <s v="ORD100226"/>
    <x v="2"/>
    <s v="04-12-2025"/>
    <s v="CUST10015"/>
    <s v="Home Office"/>
    <s v="Karnataka"/>
    <x v="22"/>
    <x v="2"/>
    <s v="Handbag"/>
    <s v="1"/>
    <s v="5221.93"/>
    <n v="0.1"/>
    <s v="3132.61"/>
    <s v="1567.13"/>
    <x v="0"/>
    <x v="0"/>
    <s v="Marketplace"/>
    <n v="4699.7370000000001"/>
  </r>
  <r>
    <s v="ORD100227"/>
    <x v="4"/>
    <s v="16-04-2025"/>
    <s v="CUST11473"/>
    <s v="Corporate"/>
    <s v="Delhi"/>
    <x v="7"/>
    <x v="2"/>
    <s v="Jacket"/>
    <s v="2"/>
    <s v="2034.57"/>
    <n v="0"/>
    <s v="2823.52"/>
    <s v="1245.6199999999999"/>
    <x v="0"/>
    <x v="2"/>
    <s v="Marketplace"/>
    <n v="4069.14"/>
  </r>
  <r>
    <s v="ORD100228"/>
    <x v="10"/>
    <s v="20-11-2025"/>
    <s v="CUST11333"/>
    <s v="Home Office"/>
    <s v="Kerala"/>
    <x v="15"/>
    <x v="0"/>
    <s v="Laptop"/>
    <s v="1"/>
    <s v="4736.3"/>
    <n v="0.05"/>
    <s v="3280.39"/>
    <s v="1219.0899999999999"/>
    <x v="0"/>
    <x v="0"/>
    <s v="Marketplace"/>
    <n v="4499.4849999999997"/>
  </r>
  <r>
    <s v="ORD100229"/>
    <x v="1"/>
    <s v="22-02-2025"/>
    <s v="CUST13205"/>
    <s v="Home Office"/>
    <s v="Tamil Nadu"/>
    <x v="19"/>
    <x v="3"/>
    <s v="Coffee Maker"/>
    <s v="1"/>
    <s v="4894.78"/>
    <n v="0.1"/>
    <s v="2922.38"/>
    <s v="1482.92"/>
    <x v="2"/>
    <x v="0"/>
    <s v="Website"/>
    <n v="4405.3019999999997"/>
  </r>
  <r>
    <s v="ORD100230"/>
    <x v="9"/>
    <s v="22-06-2025"/>
    <s v="CUST11890"/>
    <s v="Home Office"/>
    <s v="Delhi"/>
    <x v="12"/>
    <x v="0"/>
    <s v="Headphones"/>
    <s v="1"/>
    <s v="8673.9699999999993"/>
    <n v="0.05"/>
    <s v="7032.13"/>
    <s v="1208.1400000000001"/>
    <x v="5"/>
    <x v="0"/>
    <s v="Marketplace"/>
    <n v="8240.2714999999898"/>
  </r>
  <r>
    <s v="ORD100231"/>
    <x v="7"/>
    <s v="02-05-2025"/>
    <s v="CUST11368"/>
    <s v="Home Office"/>
    <s v="Maharashtra"/>
    <x v="21"/>
    <x v="2"/>
    <s v="Handbag"/>
    <s v="1"/>
    <s v="2350.56"/>
    <n v="0"/>
    <s v="1375.77"/>
    <s v="974.79"/>
    <x v="1"/>
    <x v="0"/>
    <s v="Website"/>
    <n v="2350.56"/>
  </r>
  <r>
    <s v="ORD100232"/>
    <x v="5"/>
    <s v="27-09-2025"/>
    <s v="CUST13001"/>
    <s v="Corporate"/>
    <s v="Tamil Nadu"/>
    <x v="11"/>
    <x v="3"/>
    <s v="Cookware Set"/>
    <s v="1"/>
    <s v="5393.3"/>
    <n v="0.05"/>
    <s v="4288.59"/>
    <s v="835.05"/>
    <x v="5"/>
    <x v="0"/>
    <s v="Mobile App"/>
    <n v="5123.6350000000002"/>
  </r>
  <r>
    <s v="ORD100233"/>
    <x v="10"/>
    <s v="17-11-2025"/>
    <s v="CUST12240"/>
    <s v="Consumer"/>
    <s v="Kerala"/>
    <x v="5"/>
    <x v="1"/>
    <s v="Face Cream"/>
    <s v="2"/>
    <s v="5607.64"/>
    <n v="0.05"/>
    <s v="7445.94"/>
    <s v="3208.58"/>
    <x v="2"/>
    <x v="0"/>
    <s v="Mobile App"/>
    <n v="10654.516"/>
  </r>
  <r>
    <s v="ORD100234"/>
    <x v="4"/>
    <s v="20-04-2025"/>
    <s v="CUST10137"/>
    <s v="Home Office"/>
    <s v="Karnataka"/>
    <x v="17"/>
    <x v="4"/>
    <s v="Football"/>
    <s v="1"/>
    <s v="3874.81"/>
    <n v="0.15"/>
    <s v="2905.52"/>
    <s v="388.07"/>
    <x v="0"/>
    <x v="0"/>
    <s v="Mobile App"/>
    <n v="3293.5884999999998"/>
  </r>
  <r>
    <s v="ORD100235"/>
    <x v="8"/>
    <s v="29-08-2025"/>
    <s v="CUST12338"/>
    <s v="Corporate"/>
    <s v="Tamil Nadu"/>
    <x v="8"/>
    <x v="2"/>
    <s v="T-Shirt"/>
    <s v="1"/>
    <s v="5702.53"/>
    <n v="0.1"/>
    <s v="4421.6899999999996"/>
    <s v="710.59"/>
    <x v="0"/>
    <x v="0"/>
    <s v="Website"/>
    <n v="5132.277"/>
  </r>
  <r>
    <s v="ORD100238"/>
    <x v="6"/>
    <s v="16-07-2025"/>
    <s v="CUST10586"/>
    <s v="Home Office"/>
    <s v="Telangana"/>
    <x v="14"/>
    <x v="1"/>
    <s v="Lipstick"/>
    <s v="2"/>
    <s v="2425.27"/>
    <n v="0.1"/>
    <s v="2866.85"/>
    <s v="1498.64"/>
    <x v="3"/>
    <x v="0"/>
    <s v="Marketplace"/>
    <n v="4365.4859999999999"/>
  </r>
  <r>
    <s v="ORD100239"/>
    <x v="2"/>
    <s v="01-12-2025"/>
    <s v="CUST12860"/>
    <s v="Consumer"/>
    <s v="Telangana"/>
    <x v="16"/>
    <x v="4"/>
    <s v="Fitness Band"/>
    <s v="1"/>
    <s v="1129.32"/>
    <n v="0.1"/>
    <s v="842.89"/>
    <s v="173.5"/>
    <x v="5"/>
    <x v="2"/>
    <s v="Mobile App"/>
    <n v="1016.38799999999"/>
  </r>
  <r>
    <s v="ORD100240"/>
    <x v="11"/>
    <s v="29-10-2025"/>
    <s v="CUST11841"/>
    <s v="Corporate"/>
    <s v="West Bengal"/>
    <x v="0"/>
    <x v="3"/>
    <s v="Coffee Maker"/>
    <s v="1"/>
    <s v="12751.12"/>
    <n v="0.15"/>
    <s v="9474.44"/>
    <s v="1364.01"/>
    <x v="2"/>
    <x v="0"/>
    <s v="Marketplace"/>
    <n v="10838.451999999999"/>
  </r>
  <r>
    <s v="ORD100241"/>
    <x v="2"/>
    <s v="22-12-2025"/>
    <s v="CUST11238"/>
    <s v="Consumer"/>
    <s v="Telangana"/>
    <x v="14"/>
    <x v="2"/>
    <s v="Handbag"/>
    <s v="2"/>
    <s v="6016.9"/>
    <n v="0.05"/>
    <s v="7475.26"/>
    <s v="3956.85"/>
    <x v="0"/>
    <x v="0"/>
    <s v="Mobile App"/>
    <n v="11432.109999999901"/>
  </r>
  <r>
    <s v="ORD100242"/>
    <x v="5"/>
    <s v="14-09-2025"/>
    <s v="CUST10385"/>
    <s v="Consumer"/>
    <s v="Maharashtra"/>
    <x v="20"/>
    <x v="0"/>
    <s v="Headphones"/>
    <s v="2"/>
    <s v="38976.76"/>
    <n v="0.1"/>
    <s v="61876.11"/>
    <s v="8282.06"/>
    <x v="5"/>
    <x v="0"/>
    <s v="Mobile App"/>
    <n v="70158.168000000005"/>
  </r>
  <r>
    <s v="ORD100243"/>
    <x v="8"/>
    <s v="13-08-2025"/>
    <s v="CUST13496"/>
    <s v="Corporate"/>
    <s v="Kerala"/>
    <x v="15"/>
    <x v="3"/>
    <s v="Air Fryer"/>
    <s v="1"/>
    <s v="16317.71"/>
    <n v="0"/>
    <s v="9992.17"/>
    <s v="6325.54"/>
    <x v="2"/>
    <x v="0"/>
    <s v="Website"/>
    <n v="16317.71"/>
  </r>
  <r>
    <s v="ORD100244"/>
    <x v="1"/>
    <s v="04-02-2025"/>
    <s v="CUST13044"/>
    <s v="Consumer"/>
    <s v="Karnataka"/>
    <x v="22"/>
    <x v="3"/>
    <s v="Mixer Grinder"/>
    <s v="1"/>
    <s v="15812.79"/>
    <n v="0.05"/>
    <s v="9830.07"/>
    <s v="5192.08"/>
    <x v="1"/>
    <x v="0"/>
    <s v="Website"/>
    <n v="15022.1505"/>
  </r>
  <r>
    <s v="ORD100245"/>
    <x v="0"/>
    <s v="12-01-2025"/>
    <s v="CUST13396"/>
    <s v="Consumer"/>
    <s v="Delhi"/>
    <x v="12"/>
    <x v="2"/>
    <s v="Jeans"/>
    <s v="1"/>
    <s v="4255.21"/>
    <n v="0.1"/>
    <s v="2543.5100000000002"/>
    <s v="1286.18"/>
    <x v="2"/>
    <x v="0"/>
    <s v="Mobile App"/>
    <n v="3829.6889999999999"/>
  </r>
  <r>
    <s v="ORD100246"/>
    <x v="7"/>
    <s v="25-05-2025"/>
    <s v="CUST10013"/>
    <s v="Consumer"/>
    <s v="Kerala"/>
    <x v="5"/>
    <x v="2"/>
    <s v="Sneakers"/>
    <s v="2"/>
    <s v="2764.71"/>
    <n v="0.1"/>
    <s v="3045.37"/>
    <s v="1931.11"/>
    <x v="3"/>
    <x v="0"/>
    <s v="Mobile App"/>
    <n v="4976.4780000000001"/>
  </r>
  <r>
    <s v="ORD100247"/>
    <x v="8"/>
    <s v="31-08-2025"/>
    <s v="CUST10312"/>
    <s v="Corporate"/>
    <s v="Karnataka"/>
    <x v="2"/>
    <x v="2"/>
    <s v="Jeans"/>
    <s v="1"/>
    <s v="788.19"/>
    <n v="0.1"/>
    <s v="578.57000000000005"/>
    <s v="130.80000000000001"/>
    <x v="1"/>
    <x v="0"/>
    <s v="Mobile App"/>
    <n v="709.37099999999998"/>
  </r>
  <r>
    <s v="ORD100248"/>
    <x v="2"/>
    <s v="09-12-2025"/>
    <s v="CUST13037"/>
    <s v="Corporate"/>
    <s v="Kerala"/>
    <x v="15"/>
    <x v="0"/>
    <s v="Laptop"/>
    <s v="2"/>
    <s v="5884.75"/>
    <n v="0.1"/>
    <s v="9017.0400000000009"/>
    <s v="1575.51"/>
    <x v="1"/>
    <x v="2"/>
    <s v="Mobile App"/>
    <n v="10592.55"/>
  </r>
  <r>
    <s v="ORD100249"/>
    <x v="3"/>
    <s v="29-03-2025"/>
    <s v="CUST13288"/>
    <s v="Home Office"/>
    <s v="Karnataka"/>
    <x v="2"/>
    <x v="4"/>
    <s v="Cricket Bat"/>
    <s v="1"/>
    <s v="5011.6099999999997"/>
    <n v="0.05"/>
    <s v="4031.06"/>
    <s v="729.97"/>
    <x v="2"/>
    <x v="0"/>
    <s v="Mobile App"/>
    <n v="4761.0294999999996"/>
  </r>
  <r>
    <s v="ORD100250"/>
    <x v="8"/>
    <s v="08-08-2025"/>
    <s v="CUST10538"/>
    <s v="Consumer"/>
    <s v="Tamil Nadu"/>
    <x v="8"/>
    <x v="4"/>
    <s v="Cricket Bat"/>
    <s v="2"/>
    <s v="7854.72"/>
    <n v="0.1"/>
    <s v="10571.71"/>
    <s v="3566.79"/>
    <x v="1"/>
    <x v="0"/>
    <s v="Website"/>
    <n v="14138.495999999999"/>
  </r>
  <r>
    <s v="ORD100251"/>
    <x v="4"/>
    <s v="01-04-2025"/>
    <s v="CUST10515"/>
    <s v="Consumer"/>
    <s v="Maharashtra"/>
    <x v="4"/>
    <x v="4"/>
    <s v="Football"/>
    <s v="4"/>
    <s v="10791.53"/>
    <n v="0.1"/>
    <s v="32126.17"/>
    <s v="6723.34"/>
    <x v="0"/>
    <x v="0"/>
    <s v="Marketplace"/>
    <n v="38849.508000000002"/>
  </r>
  <r>
    <s v="ORD100252"/>
    <x v="8"/>
    <s v="11-08-2025"/>
    <s v="CUST12296"/>
    <s v="Home Office"/>
    <s v="West Bengal"/>
    <x v="0"/>
    <x v="0"/>
    <s v="Laptop"/>
    <s v="1"/>
    <s v="15647.55"/>
    <n v="0.15"/>
    <s v="10169.08"/>
    <s v="3131.34"/>
    <x v="3"/>
    <x v="0"/>
    <s v="Marketplace"/>
    <n v="13300.4175"/>
  </r>
  <r>
    <s v="ORD100253"/>
    <x v="3"/>
    <s v="25-03-2025"/>
    <s v="CUST12869"/>
    <s v="Corporate"/>
    <s v="Tamil Nadu"/>
    <x v="8"/>
    <x v="2"/>
    <s v="T-Shirt"/>
    <s v="1"/>
    <s v="6815.14"/>
    <n v="0"/>
    <s v="4776.78"/>
    <s v="2038.36"/>
    <x v="5"/>
    <x v="0"/>
    <s v="Mobile App"/>
    <n v="6815.14"/>
  </r>
  <r>
    <s v="ORD100254"/>
    <x v="4"/>
    <s v="05-04-2025"/>
    <s v="CUST11992"/>
    <s v="Corporate"/>
    <s v="Tamil Nadu"/>
    <x v="19"/>
    <x v="2"/>
    <s v="Jeans"/>
    <s v="1"/>
    <s v="4774.33"/>
    <n v="0.15"/>
    <s v="2880"/>
    <s v="1178.18"/>
    <x v="3"/>
    <x v="0"/>
    <s v="Marketplace"/>
    <n v="4058.1804999999999"/>
  </r>
  <r>
    <s v="ORD100255"/>
    <x v="7"/>
    <s v="27-05-2025"/>
    <s v="CUST13416"/>
    <s v="Home Office"/>
    <s v="Gujarat"/>
    <x v="18"/>
    <x v="1"/>
    <s v="Perfume"/>
    <s v="1"/>
    <s v="2190.1999999999998"/>
    <n v="0.1"/>
    <s v="1286.6500000000001"/>
    <s v="684.53"/>
    <x v="5"/>
    <x v="0"/>
    <s v="Mobile App"/>
    <n v="1971.1799999999901"/>
  </r>
  <r>
    <s v="ORD100256"/>
    <x v="0"/>
    <s v="25-01-2025"/>
    <s v="CUST10885"/>
    <s v="Corporate"/>
    <s v="Maharashtra"/>
    <x v="21"/>
    <x v="2"/>
    <s v="Sneakers"/>
    <s v="2"/>
    <s v="2832.49"/>
    <n v="0.15"/>
    <s v="4024.36"/>
    <s v="790.87"/>
    <x v="5"/>
    <x v="0"/>
    <s v="Website"/>
    <n v="4815.2329999999902"/>
  </r>
  <r>
    <s v="ORD100257"/>
    <x v="5"/>
    <s v="27-09-2025"/>
    <s v="CUST10895"/>
    <s v="Home Office"/>
    <s v="Telangana"/>
    <x v="16"/>
    <x v="0"/>
    <s v="Tablet"/>
    <s v="3"/>
    <s v="28898.33"/>
    <n v="0"/>
    <s v="62826.879999999997"/>
    <s v="23868.11"/>
    <x v="5"/>
    <x v="0"/>
    <s v="Mobile App"/>
    <n v="86694.99"/>
  </r>
  <r>
    <s v="ORD100258"/>
    <x v="10"/>
    <s v="05-11-2025"/>
    <s v="CUST10551"/>
    <s v="Corporate"/>
    <s v="Kerala"/>
    <x v="6"/>
    <x v="2"/>
    <s v="Sneakers"/>
    <s v="1"/>
    <s v="6663.39"/>
    <n v="0.1"/>
    <s v="4313.43"/>
    <s v="1683.62"/>
    <x v="5"/>
    <x v="0"/>
    <s v="Website"/>
    <n v="5997.0510000000004"/>
  </r>
  <r>
    <s v="ORD100259"/>
    <x v="8"/>
    <s v="22-08-2025"/>
    <s v="CUST11976"/>
    <s v="Home Office"/>
    <s v="West Bengal"/>
    <x v="9"/>
    <x v="1"/>
    <s v="Perfume"/>
    <s v="2"/>
    <s v="2884.91"/>
    <n v="0.05"/>
    <s v="4350.24"/>
    <s v="1131.0899999999999"/>
    <x v="2"/>
    <x v="2"/>
    <s v="Website"/>
    <n v="5481.3289999999997"/>
  </r>
  <r>
    <s v="ORD100261"/>
    <x v="7"/>
    <s v="31-05-2025"/>
    <s v="CUST10469"/>
    <s v="Corporate"/>
    <s v="Delhi"/>
    <x v="12"/>
    <x v="4"/>
    <s v="Running Shoes"/>
    <s v="2"/>
    <s v="2850.04"/>
    <n v="0.15"/>
    <s v="3849.8"/>
    <s v="995.27"/>
    <x v="4"/>
    <x v="0"/>
    <s v="Website"/>
    <n v="4845.0680000000002"/>
  </r>
  <r>
    <s v="ORD100262"/>
    <x v="2"/>
    <s v="28-12-2025"/>
    <s v="CUST10525"/>
    <s v="Home Office"/>
    <s v="Delhi"/>
    <x v="7"/>
    <x v="4"/>
    <s v="Fitness Band"/>
    <s v="1"/>
    <s v="6646.47"/>
    <n v="0.15"/>
    <s v="4356.17"/>
    <s v="1293.33"/>
    <x v="3"/>
    <x v="0"/>
    <s v="Website"/>
    <n v="5649.4994999999999"/>
  </r>
  <r>
    <s v="ORD100263"/>
    <x v="7"/>
    <s v="29-05-2025"/>
    <s v="CUST11483"/>
    <s v="Consumer"/>
    <s v="Telangana"/>
    <x v="14"/>
    <x v="0"/>
    <s v="Headphones"/>
    <s v="1"/>
    <s v="10637.69"/>
    <n v="0.1"/>
    <s v="6788.74"/>
    <s v="2785.18"/>
    <x v="2"/>
    <x v="0"/>
    <s v="Mobile App"/>
    <n v="9573.9210000000003"/>
  </r>
  <r>
    <s v="ORD100264"/>
    <x v="2"/>
    <s v="07-12-2025"/>
    <s v="CUST12444"/>
    <s v="Corporate"/>
    <s v="Karnataka"/>
    <x v="2"/>
    <x v="3"/>
    <s v="Mixer Grinder"/>
    <s v="2"/>
    <s v="16370.36"/>
    <n v="0.15"/>
    <s v="20016.21"/>
    <s v="7813.4"/>
    <x v="1"/>
    <x v="0"/>
    <s v="Mobile App"/>
    <n v="27829.612000000001"/>
  </r>
  <r>
    <s v="ORD100265"/>
    <x v="9"/>
    <s v="23-06-2025"/>
    <s v="CUST11357"/>
    <s v="Corporate"/>
    <s v="Delhi"/>
    <x v="7"/>
    <x v="1"/>
    <s v="Face Cream"/>
    <s v="2"/>
    <s v="930.48"/>
    <n v="0.1"/>
    <s v="1350.67"/>
    <s v="324.19"/>
    <x v="2"/>
    <x v="3"/>
    <s v="Marketplace"/>
    <n v="1674.864"/>
  </r>
  <r>
    <s v="ORD100266"/>
    <x v="3"/>
    <s v="12-03-2025"/>
    <s v="CUST11713"/>
    <s v="Home Office"/>
    <s v="Tamil Nadu"/>
    <x v="1"/>
    <x v="0"/>
    <s v="Smartphone"/>
    <s v="1"/>
    <s v="60550.400000000001"/>
    <n v="0"/>
    <s v="43476.47"/>
    <s v="17073.93"/>
    <x v="0"/>
    <x v="0"/>
    <s v="Marketplace"/>
    <n v="60550.400000000001"/>
  </r>
  <r>
    <s v="ORD100267"/>
    <x v="7"/>
    <s v="28-05-2025"/>
    <s v="CUST12238"/>
    <s v="Home Office"/>
    <s v="Tamil Nadu"/>
    <x v="11"/>
    <x v="1"/>
    <s v="Face Cream"/>
    <s v="1"/>
    <s v="1335.93"/>
    <n v="0.05"/>
    <s v="924.12"/>
    <s v="345.01"/>
    <x v="0"/>
    <x v="0"/>
    <s v="Marketplace"/>
    <n v="1269.1334999999999"/>
  </r>
  <r>
    <s v="ORD100268"/>
    <x v="5"/>
    <s v="17-09-2025"/>
    <s v="CUST13408"/>
    <s v="Consumer"/>
    <s v="Tamil Nadu"/>
    <x v="8"/>
    <x v="0"/>
    <s v="Laptop"/>
    <s v="1"/>
    <s v="58672.42"/>
    <n v="0.05"/>
    <s v="39870.14"/>
    <s v="15868.66"/>
    <x v="3"/>
    <x v="0"/>
    <s v="Marketplace"/>
    <n v="55738.798999999999"/>
  </r>
  <r>
    <s v="ORD100269"/>
    <x v="0"/>
    <s v="03-01-2025"/>
    <s v="CUST12253"/>
    <s v="Consumer"/>
    <s v="Maharashtra"/>
    <x v="21"/>
    <x v="3"/>
    <s v="Air Fryer"/>
    <s v="3"/>
    <s v="17108.43"/>
    <n v="0"/>
    <s v="30944.3"/>
    <s v="20380.990000000002"/>
    <x v="1"/>
    <x v="0"/>
    <s v="Website"/>
    <n v="51325.29"/>
  </r>
  <r>
    <s v="ORD100270"/>
    <x v="10"/>
    <s v="24-11-2025"/>
    <s v="CUST10937"/>
    <s v="Home Office"/>
    <s v="Delhi"/>
    <x v="12"/>
    <x v="3"/>
    <s v="Air Fryer"/>
    <s v="1"/>
    <s v="16205.95"/>
    <n v="0.05"/>
    <s v="9587.7800000000007"/>
    <s v="5807.87"/>
    <x v="1"/>
    <x v="0"/>
    <s v="Website"/>
    <n v="15395.6525"/>
  </r>
  <r>
    <s v="ORD100271"/>
    <x v="8"/>
    <s v="22-08-2025"/>
    <s v="CUST12640"/>
    <s v="Consumer"/>
    <s v="Kerala"/>
    <x v="5"/>
    <x v="0"/>
    <s v="Smartwatch"/>
    <s v="1"/>
    <s v="24877.74"/>
    <n v="0.05"/>
    <s v="17511.330000000002"/>
    <s v="6122.52"/>
    <x v="0"/>
    <x v="0"/>
    <s v="Mobile App"/>
    <n v="23633.852999999999"/>
  </r>
  <r>
    <s v="ORD100272"/>
    <x v="8"/>
    <s v="08-08-2025"/>
    <s v="CUST11000"/>
    <s v="Corporate"/>
    <s v="Gujarat"/>
    <x v="3"/>
    <x v="0"/>
    <s v="Headphones"/>
    <s v="2"/>
    <s v="17921.060000000001"/>
    <n v="0.15"/>
    <s v="23165.48"/>
    <s v="7300.32"/>
    <x v="5"/>
    <x v="0"/>
    <s v="Website"/>
    <n v="30465.802"/>
  </r>
  <r>
    <s v="ORD100273"/>
    <x v="3"/>
    <s v="29-03-2025"/>
    <s v="CUST11125"/>
    <s v="Corporate"/>
    <s v="Delhi"/>
    <x v="7"/>
    <x v="4"/>
    <s v="Fitness Band"/>
    <s v="2"/>
    <s v="6064.15"/>
    <n v="0.2"/>
    <s v="8916.1"/>
    <s v="786.54"/>
    <x v="3"/>
    <x v="0"/>
    <s v="Mobile App"/>
    <n v="9702.64"/>
  </r>
  <r>
    <s v="ORD100274"/>
    <x v="5"/>
    <s v="09-09-2025"/>
    <s v="CUST12507"/>
    <s v="Consumer"/>
    <s v="Maharashtra"/>
    <x v="4"/>
    <x v="2"/>
    <s v="T-Shirt"/>
    <s v="3"/>
    <s v="6916.27"/>
    <n v="0.1"/>
    <s v="16939.96"/>
    <s v="1733.97"/>
    <x v="0"/>
    <x v="0"/>
    <s v="Mobile App"/>
    <n v="18673.929"/>
  </r>
  <r>
    <s v="ORD100275"/>
    <x v="7"/>
    <s v="16-05-2025"/>
    <s v="CUST13149"/>
    <s v="Corporate"/>
    <s v="Delhi"/>
    <x v="7"/>
    <x v="3"/>
    <s v="Mixer Grinder"/>
    <s v="1"/>
    <s v="3722.26"/>
    <n v="0.15"/>
    <s v="2168.6799999999998"/>
    <s v="995.24"/>
    <x v="2"/>
    <x v="0"/>
    <s v="Marketplace"/>
    <n v="3163.9209999999998"/>
  </r>
  <r>
    <s v="ORD100276"/>
    <x v="0"/>
    <s v="22-01-2025"/>
    <s v="CUST13110"/>
    <s v="Consumer"/>
    <s v="Delhi"/>
    <x v="12"/>
    <x v="2"/>
    <s v="Handbag"/>
    <s v="3"/>
    <s v="1138.4100000000001"/>
    <n v="0.05"/>
    <s v="1901.95"/>
    <s v="1342.52"/>
    <x v="2"/>
    <x v="0"/>
    <s v="Website"/>
    <n v="3244.4684999999999"/>
  </r>
  <r>
    <s v="ORD100277"/>
    <x v="5"/>
    <s v="20-09-2025"/>
    <s v="CUST11889"/>
    <s v="Home Office"/>
    <s v="Tamil Nadu"/>
    <x v="19"/>
    <x v="4"/>
    <s v="Running Shoes"/>
    <s v="3"/>
    <s v="11219.52"/>
    <n v="0.05"/>
    <s v="26743.64"/>
    <s v="5231.99"/>
    <x v="0"/>
    <x v="0"/>
    <s v="Website"/>
    <n v="31975.6319999999"/>
  </r>
  <r>
    <s v="ORD100278"/>
    <x v="9"/>
    <s v="23-06-2025"/>
    <s v="CUST10805"/>
    <s v="Consumer"/>
    <s v="Maharashtra"/>
    <x v="21"/>
    <x v="1"/>
    <s v="Perfume"/>
    <s v="1"/>
    <s v="2103.67"/>
    <n v="0.05"/>
    <s v="1692.78"/>
    <s v="305.70999999999998"/>
    <x v="0"/>
    <x v="0"/>
    <s v="Mobile App"/>
    <n v="1998.4865"/>
  </r>
  <r>
    <s v="ORD100279"/>
    <x v="6"/>
    <s v="12-07-2025"/>
    <s v="CUST11061"/>
    <s v="Home Office"/>
    <s v="West Bengal"/>
    <x v="9"/>
    <x v="0"/>
    <s v="Tablet"/>
    <s v="2"/>
    <s v="58332.61"/>
    <n v="0.1"/>
    <s v="86942.95"/>
    <s v="18055.75"/>
    <x v="5"/>
    <x v="0"/>
    <s v="Marketplace"/>
    <n v="104998.698"/>
  </r>
  <r>
    <s v="ORD100280"/>
    <x v="4"/>
    <s v="26-04-2025"/>
    <s v="CUST10435"/>
    <s v="Consumer"/>
    <s v="Karnataka"/>
    <x v="2"/>
    <x v="0"/>
    <s v="Smartwatch"/>
    <s v="1"/>
    <s v="53953.37"/>
    <n v="0.05"/>
    <s v="40752.339999999997"/>
    <s v="10503.36"/>
    <x v="5"/>
    <x v="0"/>
    <s v="Marketplace"/>
    <n v="51255.701500000003"/>
  </r>
  <r>
    <s v="ORD100281"/>
    <x v="2"/>
    <s v="29-12-2025"/>
    <s v="CUST13119"/>
    <s v="Corporate"/>
    <s v="West Bengal"/>
    <x v="9"/>
    <x v="3"/>
    <s v="Coffee Maker"/>
    <s v="1"/>
    <s v="17734.939999999999"/>
    <n v="0.2"/>
    <s v="11783.05"/>
    <s v="2404.9"/>
    <x v="2"/>
    <x v="0"/>
    <s v="Website"/>
    <n v="14187.951999999999"/>
  </r>
  <r>
    <s v="ORD100283"/>
    <x v="3"/>
    <s v="27-03-2025"/>
    <s v="CUST12633"/>
    <s v="Consumer"/>
    <s v="Maharashtra"/>
    <x v="21"/>
    <x v="4"/>
    <s v="Football"/>
    <s v="3"/>
    <s v="7185.8"/>
    <n v="0.15"/>
    <s v="15334.07"/>
    <s v="2989.72"/>
    <x v="3"/>
    <x v="0"/>
    <s v="Marketplace"/>
    <n v="18323.79"/>
  </r>
  <r>
    <s v="ORD100284"/>
    <x v="7"/>
    <s v="02-05-2025"/>
    <s v="CUST11460"/>
    <s v="Home Office"/>
    <s v="West Bengal"/>
    <x v="0"/>
    <x v="2"/>
    <s v="Jacket"/>
    <s v="1"/>
    <s v="4787.83"/>
    <n v="0.1"/>
    <s v="3599.95"/>
    <s v="709.1"/>
    <x v="2"/>
    <x v="0"/>
    <s v="Mobile App"/>
    <n v="4309.0469999999996"/>
  </r>
  <r>
    <s v="ORD100285"/>
    <x v="0"/>
    <s v="28-01-2025"/>
    <s v="CUST10765"/>
    <s v="Consumer"/>
    <s v="Tamil Nadu"/>
    <x v="8"/>
    <x v="1"/>
    <s v="Shampoo"/>
    <s v="2"/>
    <s v="2570.63"/>
    <n v="0.05"/>
    <s v="2862.58"/>
    <s v="2021.62"/>
    <x v="0"/>
    <x v="3"/>
    <s v="Mobile App"/>
    <n v="4884.1970000000001"/>
  </r>
  <r>
    <s v="ORD100286"/>
    <x v="1"/>
    <s v="15-02-2025"/>
    <s v="CUST10709"/>
    <s v="Corporate"/>
    <s v="Telangana"/>
    <x v="14"/>
    <x v="3"/>
    <s v="Cookware Set"/>
    <s v="1"/>
    <s v="11059.52"/>
    <n v="0.15"/>
    <s v="7015.96"/>
    <s v="2384.63"/>
    <x v="3"/>
    <x v="0"/>
    <s v="Marketplace"/>
    <n v="9400.5920000000006"/>
  </r>
  <r>
    <s v="ORD100287"/>
    <x v="5"/>
    <s v="12-09-2025"/>
    <s v="CUST12138"/>
    <s v="Consumer"/>
    <s v="Telangana"/>
    <x v="16"/>
    <x v="4"/>
    <s v="Running Shoes"/>
    <s v="2"/>
    <s v="8165.48"/>
    <n v="0"/>
    <s v="13141.2"/>
    <s v="3189.76"/>
    <x v="3"/>
    <x v="0"/>
    <s v="Mobile App"/>
    <n v="16330.96"/>
  </r>
  <r>
    <s v="ORD100288"/>
    <x v="10"/>
    <s v="09-11-2025"/>
    <s v="CUST11470"/>
    <s v="Home Office"/>
    <s v="West Bengal"/>
    <x v="0"/>
    <x v="4"/>
    <s v="Fitness Band"/>
    <s v="1"/>
    <s v="11032.98"/>
    <n v="0.15"/>
    <s v="6295.34"/>
    <s v="3082.69"/>
    <x v="0"/>
    <x v="0"/>
    <s v="Mobile App"/>
    <n v="9378.0329999999994"/>
  </r>
  <r>
    <s v="ORD100289"/>
    <x v="10"/>
    <s v="26-11-2025"/>
    <s v="CUST11447"/>
    <s v="Home Office"/>
    <s v="Gujarat"/>
    <x v="10"/>
    <x v="1"/>
    <s v="Face Cream"/>
    <s v="2"/>
    <s v="2553.87"/>
    <n v="0.05"/>
    <s v="4030.7"/>
    <s v="821.65"/>
    <x v="2"/>
    <x v="0"/>
    <s v="Website"/>
    <n v="4852.3529999999901"/>
  </r>
  <r>
    <s v="ORD100290"/>
    <x v="8"/>
    <s v="15-08-2025"/>
    <s v="CUST12475"/>
    <s v="Consumer"/>
    <s v="Gujarat"/>
    <x v="10"/>
    <x v="2"/>
    <s v="T-Shirt"/>
    <s v="1"/>
    <s v="1562.77"/>
    <n v="0"/>
    <s v="1060.26"/>
    <s v="502.51"/>
    <x v="1"/>
    <x v="0"/>
    <s v="Mobile App"/>
    <n v="1562.77"/>
  </r>
  <r>
    <s v="ORD100291"/>
    <x v="7"/>
    <s v="13-05-2025"/>
    <s v="CUST12099"/>
    <s v="Consumer"/>
    <s v="West Bengal"/>
    <x v="9"/>
    <x v="0"/>
    <s v="Laptop"/>
    <s v="3"/>
    <s v="52080.55"/>
    <n v="0.15"/>
    <s v="103477.57"/>
    <s v="29327.83"/>
    <x v="2"/>
    <x v="0"/>
    <s v="Mobile App"/>
    <n v="132805.4025"/>
  </r>
  <r>
    <s v="ORD100292"/>
    <x v="11"/>
    <s v="17-10-2025"/>
    <s v="CUST11950"/>
    <s v="Home Office"/>
    <s v="Maharashtra"/>
    <x v="21"/>
    <x v="2"/>
    <s v="Sneakers"/>
    <s v="2"/>
    <s v="419.76"/>
    <n v="0"/>
    <s v="514.03"/>
    <s v="325.49"/>
    <x v="0"/>
    <x v="0"/>
    <s v="Mobile App"/>
    <n v="839.52"/>
  </r>
  <r>
    <s v="ORD100293"/>
    <x v="0"/>
    <s v="29-01-2025"/>
    <s v="CUST13098"/>
    <s v="Consumer"/>
    <s v="West Bengal"/>
    <x v="0"/>
    <x v="1"/>
    <s v="Lipstick"/>
    <s v="1"/>
    <s v="3325.79"/>
    <n v="0.1"/>
    <s v="2220.5500000000002"/>
    <s v="772.66"/>
    <x v="3"/>
    <x v="0"/>
    <s v="Marketplace"/>
    <n v="2993.2109999999998"/>
  </r>
  <r>
    <s v="ORD100294"/>
    <x v="11"/>
    <s v="08-10-2025"/>
    <s v="CUST12848"/>
    <s v="Home Office"/>
    <s v="West Bengal"/>
    <x v="0"/>
    <x v="3"/>
    <s v="Vacuum Cleaner"/>
    <s v="2"/>
    <s v="14855.19"/>
    <n v="0.15"/>
    <s v="21413.11"/>
    <s v="3840.71"/>
    <x v="1"/>
    <x v="0"/>
    <s v="Mobile App"/>
    <n v="25253.823"/>
  </r>
  <r>
    <s v="ORD100295"/>
    <x v="5"/>
    <s v="14-09-2025"/>
    <s v="CUST10822"/>
    <s v="Consumer"/>
    <s v="Kerala"/>
    <x v="5"/>
    <x v="2"/>
    <s v="T-Shirt"/>
    <s v="3"/>
    <s v="3629.65"/>
    <n v="0.05"/>
    <s v="8728.6"/>
    <s v="1615.9"/>
    <x v="5"/>
    <x v="0"/>
    <s v="Mobile App"/>
    <n v="10344.502500000001"/>
  </r>
  <r>
    <s v="ORD100296"/>
    <x v="8"/>
    <s v="18-08-2025"/>
    <s v="CUST11519"/>
    <s v="Corporate"/>
    <s v="Gujarat"/>
    <x v="18"/>
    <x v="4"/>
    <s v="Fitness Band"/>
    <s v="1"/>
    <s v="11312.27"/>
    <n v="0.1"/>
    <s v="6520.99"/>
    <s v="3660.05"/>
    <x v="5"/>
    <x v="0"/>
    <s v="Mobile App"/>
    <n v="10181.043"/>
  </r>
  <r>
    <s v="ORD100297"/>
    <x v="4"/>
    <s v="22-04-2025"/>
    <s v="CUST11789"/>
    <s v="Corporate"/>
    <s v="Tamil Nadu"/>
    <x v="13"/>
    <x v="4"/>
    <s v="Yoga Mat"/>
    <s v="2"/>
    <s v="5787.79"/>
    <n v="0.1"/>
    <s v="8192.39"/>
    <s v="2225.63"/>
    <x v="5"/>
    <x v="2"/>
    <s v="Mobile App"/>
    <n v="10418.022000000001"/>
  </r>
  <r>
    <s v="ORD100298"/>
    <x v="1"/>
    <s v="18-02-2025"/>
    <s v="CUST11835"/>
    <s v="Home Office"/>
    <s v="West Bengal"/>
    <x v="0"/>
    <x v="0"/>
    <s v="Smartwatch"/>
    <s v="3"/>
    <s v="32444.92"/>
    <n v="0"/>
    <s v="69183.48"/>
    <s v="28151.279999999999"/>
    <x v="2"/>
    <x v="0"/>
    <s v="Website"/>
    <n v="97334.76"/>
  </r>
  <r>
    <s v="ORD100299"/>
    <x v="10"/>
    <s v="02-11-2025"/>
    <s v="CUST11808"/>
    <s v="Home Office"/>
    <s v="Delhi"/>
    <x v="7"/>
    <x v="0"/>
    <s v="Laptop"/>
    <s v="2"/>
    <s v="39064.080000000002"/>
    <n v="0.1"/>
    <s v="49475.65"/>
    <s v="20839.689999999999"/>
    <x v="1"/>
    <x v="0"/>
    <s v="Mobile App"/>
    <n v="70315.343999999997"/>
  </r>
  <r>
    <s v="ORD100300"/>
    <x v="8"/>
    <s v="26-08-2025"/>
    <s v="CUST13206"/>
    <s v="Home Office"/>
    <s v="Tamil Nadu"/>
    <x v="13"/>
    <x v="0"/>
    <s v="Smartwatch"/>
    <s v="1"/>
    <s v="41731.199999999997"/>
    <n v="0.1"/>
    <s v="29143.86"/>
    <s v="8414.2199999999993"/>
    <x v="3"/>
    <x v="0"/>
    <s v="Marketplace"/>
    <n v="37558.080000000002"/>
  </r>
  <r>
    <s v="ORD100301"/>
    <x v="1"/>
    <s v="13-02-2025"/>
    <s v="CUST10613"/>
    <s v="Consumer"/>
    <s v="Tamil Nadu"/>
    <x v="1"/>
    <x v="4"/>
    <s v="Yoga Mat"/>
    <s v="1"/>
    <s v="4757.13"/>
    <n v="0"/>
    <s v="2910.05"/>
    <s v="1847.08"/>
    <x v="0"/>
    <x v="0"/>
    <s v="Marketplace"/>
    <n v="4757.13"/>
  </r>
  <r>
    <s v="ORD100302"/>
    <x v="5"/>
    <s v="08-09-2025"/>
    <s v="CUST12504"/>
    <s v="Home Office"/>
    <s v="Kerala"/>
    <x v="5"/>
    <x v="2"/>
    <s v="Sneakers"/>
    <s v="1"/>
    <s v="2991.59"/>
    <n v="0.1"/>
    <s v="1829.31"/>
    <s v="863.12"/>
    <x v="2"/>
    <x v="0"/>
    <s v="Marketplace"/>
    <n v="2692.431"/>
  </r>
  <r>
    <s v="ORD100303"/>
    <x v="7"/>
    <s v="27-05-2025"/>
    <s v="CUST12144"/>
    <s v="Corporate"/>
    <s v="Tamil Nadu"/>
    <x v="1"/>
    <x v="0"/>
    <s v="Smartphone"/>
    <s v="1"/>
    <s v="37489.43"/>
    <n v="0.2"/>
    <s v="21599.85"/>
    <s v="8391.69"/>
    <x v="5"/>
    <x v="0"/>
    <s v="Website"/>
    <n v="29991.544000000002"/>
  </r>
  <r>
    <s v="ORD100304"/>
    <x v="9"/>
    <s v="16-06-2025"/>
    <s v="CUST12609"/>
    <s v="Corporate"/>
    <s v="Delhi"/>
    <x v="7"/>
    <x v="4"/>
    <s v="Running Shoes"/>
    <s v="1"/>
    <s v="10413.08"/>
    <n v="0.05"/>
    <s v="6134.89"/>
    <s v="3757.54"/>
    <x v="5"/>
    <x v="2"/>
    <s v="Marketplace"/>
    <n v="9892.4259999999995"/>
  </r>
  <r>
    <s v="ORD100305"/>
    <x v="10"/>
    <s v="10-11-2025"/>
    <s v="CUST10017"/>
    <s v="Home Office"/>
    <s v="West Bengal"/>
    <x v="0"/>
    <x v="1"/>
    <s v="Lipstick"/>
    <s v="1"/>
    <s v="828.91"/>
    <n v="0.05"/>
    <s v="633.91999999999996"/>
    <s v="153.54"/>
    <x v="5"/>
    <x v="0"/>
    <s v="Marketplace"/>
    <n v="787.46449999999902"/>
  </r>
  <r>
    <s v="ORD100306"/>
    <x v="2"/>
    <s v="10-12-2025"/>
    <s v="CUST13450"/>
    <s v="Consumer"/>
    <s v="Tamil Nadu"/>
    <x v="19"/>
    <x v="3"/>
    <s v="Air Fryer"/>
    <s v="1"/>
    <s v="5018.41"/>
    <n v="0.1"/>
    <s v="3888.9"/>
    <s v="627.66999999999996"/>
    <x v="0"/>
    <x v="2"/>
    <s v="Website"/>
    <n v="4516.5690000000004"/>
  </r>
  <r>
    <s v="ORD100307"/>
    <x v="8"/>
    <s v="16-08-2025"/>
    <s v="CUST11549"/>
    <s v="Consumer"/>
    <s v="Delhi"/>
    <x v="7"/>
    <x v="0"/>
    <s v="Headphones"/>
    <s v="2"/>
    <s v="49816.6"/>
    <n v="0.05"/>
    <s v="63579.23"/>
    <s v="31072.31"/>
    <x v="2"/>
    <x v="0"/>
    <s v="Website"/>
    <n v="94651.54"/>
  </r>
  <r>
    <s v="ORD100308"/>
    <x v="1"/>
    <s v="15-02-2025"/>
    <s v="CUST10529"/>
    <s v="Home Office"/>
    <s v="West Bengal"/>
    <x v="9"/>
    <x v="2"/>
    <s v="Jacket"/>
    <s v="1"/>
    <s v="5311.35"/>
    <n v="0"/>
    <s v="3865.24"/>
    <s v="1446.11"/>
    <x v="0"/>
    <x v="0"/>
    <s v="Website"/>
    <n v="5311.35"/>
  </r>
  <r>
    <s v="ORD100309"/>
    <x v="0"/>
    <s v="17-01-2025"/>
    <s v="CUST11049"/>
    <s v="Corporate"/>
    <s v="Delhi"/>
    <x v="12"/>
    <x v="0"/>
    <s v="Tablet"/>
    <s v="3"/>
    <s v="36463.47"/>
    <n v="0.1"/>
    <s v="73986.53"/>
    <s v="24464.84"/>
    <x v="0"/>
    <x v="2"/>
    <s v="Marketplace"/>
    <n v="98451.369000000006"/>
  </r>
  <r>
    <s v="ORD100310"/>
    <x v="8"/>
    <s v="03-08-2025"/>
    <s v="CUST11229"/>
    <s v="Home Office"/>
    <s v="Tamil Nadu"/>
    <x v="19"/>
    <x v="0"/>
    <s v="Smartwatch"/>
    <s v="1"/>
    <s v="14132.33"/>
    <n v="0.15"/>
    <s v="10296.41"/>
    <s v="1716.07"/>
    <x v="0"/>
    <x v="2"/>
    <s v="Marketplace"/>
    <n v="12012.4805"/>
  </r>
  <r>
    <s v="ORD100311"/>
    <x v="11"/>
    <s v="01-10-2025"/>
    <s v="CUST11036"/>
    <s v="Home Office"/>
    <s v="Kerala"/>
    <x v="6"/>
    <x v="0"/>
    <s v="Smartphone"/>
    <s v="3"/>
    <s v="39579.980000000003"/>
    <n v="0.1"/>
    <s v="93772.21"/>
    <s v="13093.74"/>
    <x v="3"/>
    <x v="0"/>
    <s v="Marketplace"/>
    <n v="106865.946"/>
  </r>
  <r>
    <s v="ORD100312"/>
    <x v="2"/>
    <s v="25-12-2025"/>
    <s v="CUST12076"/>
    <s v="Corporate"/>
    <s v="West Bengal"/>
    <x v="0"/>
    <x v="2"/>
    <s v="T-Shirt"/>
    <s v="2"/>
    <s v="5907.73"/>
    <n v="0"/>
    <s v="8191.88"/>
    <s v="3623.58"/>
    <x v="5"/>
    <x v="0"/>
    <s v="Website"/>
    <n v="11815.46"/>
  </r>
  <r>
    <s v="ORD100313"/>
    <x v="10"/>
    <s v="06-11-2025"/>
    <s v="CUST11009"/>
    <s v="Corporate"/>
    <s v="Telangana"/>
    <x v="16"/>
    <x v="0"/>
    <s v="Laptop"/>
    <s v="1"/>
    <s v="28147.67"/>
    <n v="0.15"/>
    <s v="19967.55"/>
    <s v="3957.97"/>
    <x v="2"/>
    <x v="0"/>
    <s v="Mobile App"/>
    <n v="23925.519499999999"/>
  </r>
  <r>
    <s v="ORD100315"/>
    <x v="7"/>
    <s v="05-05-2025"/>
    <s v="CUST13141"/>
    <s v="Home Office"/>
    <s v="Karnataka"/>
    <x v="17"/>
    <x v="4"/>
    <s v="Fitness Band"/>
    <s v="2"/>
    <s v="11198.21"/>
    <n v="0"/>
    <s v="14331.92"/>
    <s v="8064.5"/>
    <x v="3"/>
    <x v="0"/>
    <s v="Website"/>
    <n v="22396.42"/>
  </r>
  <r>
    <s v="ORD100316"/>
    <x v="3"/>
    <s v="25-03-2025"/>
    <s v="CUST11880"/>
    <s v="Corporate"/>
    <s v="Kerala"/>
    <x v="15"/>
    <x v="2"/>
    <s v="T-Shirt"/>
    <s v="1"/>
    <s v="5882.79"/>
    <n v="0.2"/>
    <s v="3694.73"/>
    <s v="1011.5"/>
    <x v="1"/>
    <x v="1"/>
    <s v="Mobile App"/>
    <n v="4706.232"/>
  </r>
  <r>
    <s v="ORD100317"/>
    <x v="10"/>
    <s v="05-11-2025"/>
    <s v="CUST12605"/>
    <s v="Consumer"/>
    <s v="Gujarat"/>
    <x v="3"/>
    <x v="0"/>
    <s v="Tablet"/>
    <s v="4"/>
    <s v="74773.149999999994"/>
    <n v="0.1"/>
    <s v="228464.02"/>
    <s v="40719.32"/>
    <x v="3"/>
    <x v="0"/>
    <s v="Website"/>
    <n v="269183.33999999898"/>
  </r>
  <r>
    <s v="ORD100318"/>
    <x v="1"/>
    <s v="04-02-2025"/>
    <s v="CUST11728"/>
    <s v="Consumer"/>
    <s v="Maharashtra"/>
    <x v="4"/>
    <x v="2"/>
    <s v="T-Shirt"/>
    <s v="1"/>
    <s v="1454.74"/>
    <n v="0.1"/>
    <s v="1164.26"/>
    <s v="145.01"/>
    <x v="1"/>
    <x v="1"/>
    <s v="Marketplace"/>
    <n v="1309.2660000000001"/>
  </r>
  <r>
    <s v="ORD100319"/>
    <x v="11"/>
    <s v="05-10-2025"/>
    <s v="CUST13200"/>
    <s v="Consumer"/>
    <s v="Maharashtra"/>
    <x v="4"/>
    <x v="0"/>
    <s v="Smartphone"/>
    <s v="1"/>
    <s v="9155.68"/>
    <n v="0.1"/>
    <s v="5654.28"/>
    <s v="2585.83"/>
    <x v="3"/>
    <x v="0"/>
    <s v="Website"/>
    <n v="8240.1119999999992"/>
  </r>
  <r>
    <s v="ORD100321"/>
    <x v="3"/>
    <s v="04-03-2025"/>
    <s v="CUST11245"/>
    <s v="Corporate"/>
    <s v="West Bengal"/>
    <x v="0"/>
    <x v="3"/>
    <s v="Air Fryer"/>
    <s v="2"/>
    <s v="3140.56"/>
    <n v="0.1"/>
    <s v="4381.6000000000004"/>
    <s v="1271.4100000000001"/>
    <x v="1"/>
    <x v="0"/>
    <s v="Website"/>
    <n v="5653.0079999999998"/>
  </r>
  <r>
    <s v="ORD100322"/>
    <x v="4"/>
    <s v="16-04-2025"/>
    <s v="CUST10914"/>
    <s v="Corporate"/>
    <s v="Kerala"/>
    <x v="5"/>
    <x v="3"/>
    <s v="Vacuum Cleaner"/>
    <s v="1"/>
    <s v="6529.84"/>
    <n v="0"/>
    <s v="4570"/>
    <s v="1959.84"/>
    <x v="2"/>
    <x v="0"/>
    <s v="Website"/>
    <n v="6529.84"/>
  </r>
  <r>
    <s v="ORD100323"/>
    <x v="2"/>
    <s v="31-12-2025"/>
    <s v="CUST12416"/>
    <s v="Home Office"/>
    <s v="Delhi"/>
    <x v="12"/>
    <x v="3"/>
    <s v="Cookware Set"/>
    <s v="1"/>
    <s v="10490.91"/>
    <n v="0.1"/>
    <s v="8349"/>
    <s v="1092.82"/>
    <x v="5"/>
    <x v="0"/>
    <s v="Website"/>
    <n v="9441.8189999999995"/>
  </r>
  <r>
    <s v="ORD100324"/>
    <x v="2"/>
    <s v="10-12-2025"/>
    <s v="CUST10322"/>
    <s v="Corporate"/>
    <s v="Tamil Nadu"/>
    <x v="8"/>
    <x v="0"/>
    <s v="Tablet"/>
    <s v="1"/>
    <s v="57050.87"/>
    <n v="0.15"/>
    <s v="38727.15"/>
    <s v="9766.09"/>
    <x v="3"/>
    <x v="0"/>
    <s v="Mobile App"/>
    <n v="48493.239500000003"/>
  </r>
  <r>
    <s v="ORD100325"/>
    <x v="4"/>
    <s v="24-04-2025"/>
    <s v="CUST12636"/>
    <s v="Corporate"/>
    <s v="Delhi"/>
    <x v="7"/>
    <x v="2"/>
    <s v="Jacket"/>
    <s v="4"/>
    <s v="2060.73"/>
    <n v="0.1"/>
    <s v="5462.06"/>
    <s v="1956.57"/>
    <x v="3"/>
    <x v="0"/>
    <s v="Website"/>
    <n v="7418.6279999999997"/>
  </r>
  <r>
    <s v="ORD100326"/>
    <x v="8"/>
    <s v="15-08-2025"/>
    <s v="CUST12226"/>
    <s v="Home Office"/>
    <s v="Maharashtra"/>
    <x v="20"/>
    <x v="1"/>
    <s v="Hair Dryer"/>
    <s v="3"/>
    <s v="4300.37"/>
    <n v="0.05"/>
    <s v="10204.42"/>
    <s v="2051.63"/>
    <x v="1"/>
    <x v="1"/>
    <s v="Mobile App"/>
    <n v="12256.0545"/>
  </r>
  <r>
    <s v="ORD100327"/>
    <x v="8"/>
    <s v="01-08-2025"/>
    <s v="CUST11972"/>
    <s v="Home Office"/>
    <s v="Telangana"/>
    <x v="14"/>
    <x v="3"/>
    <s v="Mixer Grinder"/>
    <s v="2"/>
    <s v="3423.86"/>
    <n v="0.2"/>
    <s v="5493.56"/>
    <s v="-15.38"/>
    <x v="0"/>
    <x v="0"/>
    <s v="Marketplace"/>
    <n v="5478.1760000000004"/>
  </r>
  <r>
    <s v="ORD100328"/>
    <x v="11"/>
    <s v="22-10-2025"/>
    <s v="CUST12514"/>
    <s v="Home Office"/>
    <s v="Tamil Nadu"/>
    <x v="13"/>
    <x v="2"/>
    <s v="Jacket"/>
    <s v="1"/>
    <s v="6805.1"/>
    <n v="0.2"/>
    <s v="4033.73"/>
    <s v="1410.35"/>
    <x v="5"/>
    <x v="0"/>
    <s v="Marketplace"/>
    <n v="5444.08"/>
  </r>
  <r>
    <s v="ORD100329"/>
    <x v="7"/>
    <s v="25-05-2025"/>
    <s v="CUST12592"/>
    <s v="Consumer"/>
    <s v="Gujarat"/>
    <x v="18"/>
    <x v="0"/>
    <s v="Laptop"/>
    <s v="4"/>
    <s v="9360.33"/>
    <n v="0.15"/>
    <s v="24389.360000000001"/>
    <s v="7435.76"/>
    <x v="2"/>
    <x v="0"/>
    <s v="Marketplace"/>
    <n v="31825.121999999999"/>
  </r>
  <r>
    <s v="ORD100330"/>
    <x v="3"/>
    <s v="23-03-2025"/>
    <s v="CUST10475"/>
    <s v="Corporate"/>
    <s v="Karnataka"/>
    <x v="22"/>
    <x v="0"/>
    <s v="Headphones"/>
    <s v="1"/>
    <s v="40828.03"/>
    <n v="0.05"/>
    <s v="25733.75"/>
    <s v="13052.88"/>
    <x v="2"/>
    <x v="0"/>
    <s v="Mobile App"/>
    <n v="38786.628499999999"/>
  </r>
  <r>
    <s v="ORD100331"/>
    <x v="9"/>
    <s v="18-06-2025"/>
    <s v="CUST11448"/>
    <s v="Home Office"/>
    <s v="Tamil Nadu"/>
    <x v="1"/>
    <x v="0"/>
    <s v="Smartphone"/>
    <s v="1"/>
    <s v="22987.32"/>
    <n v="0"/>
    <s v="13955.44"/>
    <s v="9031.8799999999992"/>
    <x v="1"/>
    <x v="0"/>
    <s v="Mobile App"/>
    <n v="22987.32"/>
  </r>
  <r>
    <s v="ORD100333"/>
    <x v="0"/>
    <s v="18-01-2025"/>
    <s v="CUST12266"/>
    <s v="Home Office"/>
    <s v="Maharashtra"/>
    <x v="4"/>
    <x v="2"/>
    <s v="Sneakers"/>
    <s v="1"/>
    <s v="3781.08"/>
    <n v="0.1"/>
    <s v="2247.12"/>
    <s v="1155.8499999999999"/>
    <x v="1"/>
    <x v="0"/>
    <s v="Marketplace"/>
    <n v="3402.9720000000002"/>
  </r>
  <r>
    <s v="ORD100334"/>
    <x v="9"/>
    <s v="24-06-2025"/>
    <s v="CUST10535"/>
    <s v="Corporate"/>
    <s v="Karnataka"/>
    <x v="2"/>
    <x v="4"/>
    <s v="Running Shoes"/>
    <s v="2"/>
    <s v="3059.67"/>
    <n v="0.1"/>
    <s v="4693.8900000000003"/>
    <s v="813.52"/>
    <x v="5"/>
    <x v="0"/>
    <s v="Marketplace"/>
    <n v="5507.4059999999999"/>
  </r>
  <r>
    <s v="ORD100335"/>
    <x v="0"/>
    <s v="06-01-2025"/>
    <s v="CUST13417"/>
    <s v="Consumer"/>
    <s v="Delhi"/>
    <x v="12"/>
    <x v="0"/>
    <s v="Laptop"/>
    <s v="1"/>
    <s v="18339.740000000002"/>
    <n v="0.05"/>
    <s v="12729.01"/>
    <s v="4693.74"/>
    <x v="5"/>
    <x v="0"/>
    <s v="Website"/>
    <n v="17422.753000000001"/>
  </r>
  <r>
    <s v="ORD100336"/>
    <x v="9"/>
    <s v="16-06-2025"/>
    <s v="CUST13105"/>
    <s v="Home Office"/>
    <s v="Telangana"/>
    <x v="14"/>
    <x v="2"/>
    <s v="Handbag"/>
    <s v="2"/>
    <s v="4730.37"/>
    <n v="0.05"/>
    <s v="6786.09"/>
    <s v="2201.61"/>
    <x v="2"/>
    <x v="0"/>
    <s v="Website"/>
    <n v="8987.7029999999995"/>
  </r>
  <r>
    <s v="ORD100337"/>
    <x v="3"/>
    <s v="04-03-2025"/>
    <s v="CUST13491"/>
    <s v="Home Office"/>
    <s v="Gujarat"/>
    <x v="10"/>
    <x v="2"/>
    <s v="Handbag"/>
    <s v="1"/>
    <s v="6627.64"/>
    <n v="0.2"/>
    <s v="5034.96"/>
    <s v="267.14999999999998"/>
    <x v="0"/>
    <x v="0"/>
    <s v="Marketplace"/>
    <n v="5302.1120000000001"/>
  </r>
  <r>
    <s v="ORD100338"/>
    <x v="2"/>
    <s v="06-12-2025"/>
    <s v="CUST12486"/>
    <s v="Home Office"/>
    <s v="Tamil Nadu"/>
    <x v="19"/>
    <x v="3"/>
    <s v="Cookware Set"/>
    <s v="1"/>
    <s v="9331.9599999999991"/>
    <n v="0.1"/>
    <s v="7137"/>
    <s v="1261.76"/>
    <x v="3"/>
    <x v="0"/>
    <s v="Mobile App"/>
    <n v="8398.7639999999992"/>
  </r>
  <r>
    <s v="ORD100339"/>
    <x v="8"/>
    <s v="01-08-2025"/>
    <s v="CUST13131"/>
    <s v="Corporate"/>
    <s v="Maharashtra"/>
    <x v="20"/>
    <x v="0"/>
    <s v="Tablet"/>
    <s v="1"/>
    <s v="70797.759999999995"/>
    <n v="0.05"/>
    <s v="56161.61"/>
    <s v="11096.26"/>
    <x v="3"/>
    <x v="0"/>
    <s v="Marketplace"/>
    <n v="67257.871999999901"/>
  </r>
  <r>
    <s v="ORD100340"/>
    <x v="4"/>
    <s v="08-04-2025"/>
    <s v="CUST13111"/>
    <s v="Corporate"/>
    <s v="Maharashtra"/>
    <x v="4"/>
    <x v="0"/>
    <s v="Tablet"/>
    <s v="1"/>
    <s v="14825.67"/>
    <n v="0"/>
    <s v="11715.16"/>
    <s v="3110.51"/>
    <x v="2"/>
    <x v="0"/>
    <s v="Mobile App"/>
    <n v="14825.67"/>
  </r>
  <r>
    <s v="ORD100342"/>
    <x v="6"/>
    <s v="22-07-2025"/>
    <s v="CUST10283"/>
    <s v="Consumer"/>
    <s v="Telangana"/>
    <x v="16"/>
    <x v="0"/>
    <s v="Headphones"/>
    <s v="3"/>
    <s v="18946.3"/>
    <n v="0.1"/>
    <s v="36215.61"/>
    <s v="14939.4"/>
    <x v="3"/>
    <x v="2"/>
    <s v="Marketplace"/>
    <n v="51155.0099999999"/>
  </r>
  <r>
    <s v="ORD100343"/>
    <x v="3"/>
    <s v="15-03-2025"/>
    <s v="CUST11217"/>
    <s v="Home Office"/>
    <s v="Delhi"/>
    <x v="12"/>
    <x v="4"/>
    <s v="Cricket Bat"/>
    <s v="2"/>
    <s v="7165.45"/>
    <n v="0.15"/>
    <s v="10984.37"/>
    <s v="1196.8900000000001"/>
    <x v="2"/>
    <x v="0"/>
    <s v="Marketplace"/>
    <n v="12181.264999999999"/>
  </r>
  <r>
    <s v="ORD100344"/>
    <x v="6"/>
    <s v="25-07-2025"/>
    <s v="CUST11608"/>
    <s v="Home Office"/>
    <s v="Maharashtra"/>
    <x v="4"/>
    <x v="2"/>
    <s v="Jacket"/>
    <s v="3"/>
    <s v="6866.97"/>
    <n v="0.1"/>
    <s v="16662.96"/>
    <s v="1877.86"/>
    <x v="3"/>
    <x v="0"/>
    <s v="Marketplace"/>
    <n v="18540.819"/>
  </r>
  <r>
    <s v="ORD100345"/>
    <x v="1"/>
    <s v="16-02-2025"/>
    <s v="CUST10829"/>
    <s v="Consumer"/>
    <s v="Telangana"/>
    <x v="14"/>
    <x v="2"/>
    <s v="Handbag"/>
    <s v="1"/>
    <s v="4948.2299999999996"/>
    <n v="0.05"/>
    <s v="3289.01"/>
    <s v="1411.81"/>
    <x v="3"/>
    <x v="0"/>
    <s v="Website"/>
    <n v="4700.8184999999903"/>
  </r>
  <r>
    <s v="ORD100346"/>
    <x v="8"/>
    <s v="31-08-2025"/>
    <s v="CUST10605"/>
    <s v="Home Office"/>
    <s v="West Bengal"/>
    <x v="0"/>
    <x v="1"/>
    <s v="Hair Dryer"/>
    <s v="1"/>
    <s v="3719.8"/>
    <n v="0"/>
    <s v="2692.84"/>
    <s v="1026.96"/>
    <x v="3"/>
    <x v="0"/>
    <s v="Marketplace"/>
    <n v="3719.8"/>
  </r>
  <r>
    <s v="ORD100347"/>
    <x v="7"/>
    <s v="23-05-2025"/>
    <s v="CUST10109"/>
    <s v="Consumer"/>
    <s v="Kerala"/>
    <x v="6"/>
    <x v="4"/>
    <s v="Fitness Band"/>
    <s v="4"/>
    <s v="8588.58"/>
    <n v="0.15"/>
    <s v="22436.16"/>
    <s v="6765.01"/>
    <x v="3"/>
    <x v="0"/>
    <s v="Mobile App"/>
    <n v="29201.171999999999"/>
  </r>
  <r>
    <s v="ORD100348"/>
    <x v="8"/>
    <s v="14-08-2025"/>
    <s v="CUST10300"/>
    <s v="Corporate"/>
    <s v="Maharashtra"/>
    <x v="20"/>
    <x v="0"/>
    <s v="Smartphone"/>
    <s v="1"/>
    <s v="18539.64"/>
    <n v="0.05"/>
    <s v="12953.1"/>
    <s v="4659.5600000000004"/>
    <x v="3"/>
    <x v="1"/>
    <s v="Mobile App"/>
    <n v="17612.657999999999"/>
  </r>
  <r>
    <s v="ORD100349"/>
    <x v="0"/>
    <s v="04-01-2025"/>
    <s v="CUST12212"/>
    <s v="Home Office"/>
    <s v="Telangana"/>
    <x v="14"/>
    <x v="4"/>
    <s v="Running Shoes"/>
    <s v="1"/>
    <s v="4839.38"/>
    <n v="0"/>
    <s v="3543.62"/>
    <s v="1295.76"/>
    <x v="2"/>
    <x v="0"/>
    <s v="Website"/>
    <n v="4839.38"/>
  </r>
  <r>
    <s v="ORD100350"/>
    <x v="0"/>
    <s v="06-01-2025"/>
    <s v="CUST10026"/>
    <s v="Corporate"/>
    <s v="Delhi"/>
    <x v="7"/>
    <x v="2"/>
    <s v="T-Shirt"/>
    <s v="2"/>
    <s v="3298.33"/>
    <n v="0"/>
    <s v="3632.29"/>
    <s v="2964.37"/>
    <x v="0"/>
    <x v="0"/>
    <s v="Marketplace"/>
    <n v="6596.66"/>
  </r>
  <r>
    <s v="ORD100351"/>
    <x v="7"/>
    <s v="29-05-2025"/>
    <s v="CUST10256"/>
    <s v="Consumer"/>
    <s v="Maharashtra"/>
    <x v="20"/>
    <x v="3"/>
    <s v="Coffee Maker"/>
    <s v="1"/>
    <s v="15966.83"/>
    <n v="0.2"/>
    <s v="10720.2"/>
    <s v="2053.2600000000002"/>
    <x v="0"/>
    <x v="3"/>
    <s v="Website"/>
    <n v="12773.464"/>
  </r>
  <r>
    <s v="ORD100352"/>
    <x v="8"/>
    <s v="12-08-2025"/>
    <s v="CUST10493"/>
    <s v="Corporate"/>
    <s v="Kerala"/>
    <x v="15"/>
    <x v="1"/>
    <s v="Face Cream"/>
    <s v="1"/>
    <s v="1579.37"/>
    <n v="0.1"/>
    <s v="1061.17"/>
    <s v="360.26"/>
    <x v="0"/>
    <x v="0"/>
    <s v="Marketplace"/>
    <n v="1421.433"/>
  </r>
  <r>
    <s v="ORD100354"/>
    <x v="0"/>
    <s v="17-01-2025"/>
    <s v="CUST11802"/>
    <s v="Consumer"/>
    <s v="Maharashtra"/>
    <x v="20"/>
    <x v="0"/>
    <s v="Smartwatch"/>
    <s v="1"/>
    <s v="74630.53"/>
    <n v="0.1"/>
    <s v="47898.31"/>
    <s v="19269.169999999998"/>
    <x v="2"/>
    <x v="0"/>
    <s v="Website"/>
    <n v="67167.476999999999"/>
  </r>
  <r>
    <s v="ORD100355"/>
    <x v="2"/>
    <s v="25-12-2025"/>
    <s v="CUST11331"/>
    <s v="Home Office"/>
    <s v="Gujarat"/>
    <x v="10"/>
    <x v="4"/>
    <s v="Fitness Band"/>
    <s v="2"/>
    <s v="5553.44"/>
    <n v="0"/>
    <s v="7101.83"/>
    <s v="4005.05"/>
    <x v="5"/>
    <x v="0"/>
    <s v="Mobile App"/>
    <n v="11106.88"/>
  </r>
  <r>
    <s v="ORD100356"/>
    <x v="5"/>
    <s v="28-09-2025"/>
    <s v="CUST10568"/>
    <s v="Home Office"/>
    <s v="Telangana"/>
    <x v="16"/>
    <x v="3"/>
    <s v="Coffee Maker"/>
    <s v="2"/>
    <s v="6433.01"/>
    <n v="0.05"/>
    <s v="10313.25"/>
    <s v="1909.47"/>
    <x v="0"/>
    <x v="0"/>
    <s v="Website"/>
    <n v="12222.718999999999"/>
  </r>
  <r>
    <s v="ORD100357"/>
    <x v="7"/>
    <s v="17-05-2025"/>
    <s v="CUST11722"/>
    <s v="Corporate"/>
    <s v="Delhi"/>
    <x v="7"/>
    <x v="3"/>
    <s v="Vacuum Cleaner"/>
    <s v="1"/>
    <s v="8426.02"/>
    <n v="0.05"/>
    <s v="5549.67"/>
    <s v="2455.0500000000002"/>
    <x v="3"/>
    <x v="0"/>
    <s v="Mobile App"/>
    <n v="8004.7190000000001"/>
  </r>
  <r>
    <s v="ORD100358"/>
    <x v="11"/>
    <s v="15-10-2025"/>
    <s v="CUST10926"/>
    <s v="Home Office"/>
    <s v="Tamil Nadu"/>
    <x v="8"/>
    <x v="0"/>
    <s v="Smartphone"/>
    <s v="3"/>
    <s v="56765.23"/>
    <n v="0"/>
    <s v="132678.51"/>
    <s v="37617.18"/>
    <x v="1"/>
    <x v="2"/>
    <s v="Marketplace"/>
    <n v="170295.69"/>
  </r>
  <r>
    <s v="ORD100359"/>
    <x v="8"/>
    <s v="22-08-2025"/>
    <s v="CUST10868"/>
    <s v="Corporate"/>
    <s v="Kerala"/>
    <x v="5"/>
    <x v="0"/>
    <s v="Smartphone"/>
    <s v="1"/>
    <s v="45821.95"/>
    <n v="0.05"/>
    <s v="34785.040000000001"/>
    <s v="8745.81"/>
    <x v="5"/>
    <x v="0"/>
    <s v="Website"/>
    <n v="43530.852499999899"/>
  </r>
  <r>
    <s v="ORD100361"/>
    <x v="11"/>
    <s v="21-10-2025"/>
    <s v="CUST11154"/>
    <s v="Home Office"/>
    <s v="Telangana"/>
    <x v="14"/>
    <x v="0"/>
    <s v="Laptop"/>
    <s v="4"/>
    <s v="7280.82"/>
    <n v="0"/>
    <s v="16508.73"/>
    <s v="11158.39"/>
    <x v="3"/>
    <x v="0"/>
    <s v="Website"/>
    <n v="29123.279999999999"/>
  </r>
  <r>
    <s v="ORD100362"/>
    <x v="9"/>
    <s v="24-06-2025"/>
    <s v="CUST11394"/>
    <s v="Home Office"/>
    <s v="Delhi"/>
    <x v="12"/>
    <x v="0"/>
    <s v="Smartphone"/>
    <s v="2"/>
    <s v="33827.64"/>
    <n v="0.15"/>
    <s v="54234.67"/>
    <s v="3272.32"/>
    <x v="5"/>
    <x v="0"/>
    <s v="Marketplace"/>
    <n v="57506.987999999998"/>
  </r>
  <r>
    <s v="ORD100363"/>
    <x v="8"/>
    <s v="12-08-2025"/>
    <s v="CUST12606"/>
    <s v="Consumer"/>
    <s v="West Bengal"/>
    <x v="9"/>
    <x v="4"/>
    <s v="Yoga Mat"/>
    <s v="2"/>
    <s v="2200.81"/>
    <n v="0.05"/>
    <s v="3424.06"/>
    <s v="757.48"/>
    <x v="1"/>
    <x v="0"/>
    <s v="Marketplace"/>
    <n v="4181.5389999999998"/>
  </r>
  <r>
    <s v="ORD100364"/>
    <x v="7"/>
    <s v="25-05-2025"/>
    <s v="CUST12440"/>
    <s v="Corporate"/>
    <s v="Tamil Nadu"/>
    <x v="8"/>
    <x v="2"/>
    <s v="Jacket"/>
    <s v="1"/>
    <s v="2015.49"/>
    <n v="0.15"/>
    <s v="1593.5"/>
    <s v="119.67"/>
    <x v="5"/>
    <x v="0"/>
    <s v="Website"/>
    <n v="1713.1665"/>
  </r>
  <r>
    <s v="ORD100365"/>
    <x v="5"/>
    <s v="13-09-2025"/>
    <s v="CUST11748"/>
    <s v="Home Office"/>
    <s v="West Bengal"/>
    <x v="0"/>
    <x v="3"/>
    <s v="Cookware Set"/>
    <s v="2"/>
    <s v="16457.88"/>
    <n v="0.05"/>
    <s v="21849.08"/>
    <s v="9420.89"/>
    <x v="2"/>
    <x v="0"/>
    <s v="Marketplace"/>
    <n v="31269.972000000002"/>
  </r>
  <r>
    <s v="ORD100366"/>
    <x v="10"/>
    <s v="11-11-2025"/>
    <s v="CUST13352"/>
    <s v="Home Office"/>
    <s v="West Bengal"/>
    <x v="0"/>
    <x v="4"/>
    <s v="Yoga Mat"/>
    <s v="1"/>
    <s v="2404.67"/>
    <n v="0.1"/>
    <s v="1859.58"/>
    <s v="304.62"/>
    <x v="2"/>
    <x v="0"/>
    <s v="Mobile App"/>
    <n v="2164.203"/>
  </r>
  <r>
    <s v="ORD100367"/>
    <x v="7"/>
    <s v="03-05-2025"/>
    <s v="CUST11606"/>
    <s v="Consumer"/>
    <s v="Telangana"/>
    <x v="16"/>
    <x v="0"/>
    <s v="Headphones"/>
    <s v="1"/>
    <s v="55940.67"/>
    <n v="0.2"/>
    <s v="34340.57"/>
    <s v="10411.969999999999"/>
    <x v="0"/>
    <x v="3"/>
    <s v="Marketplace"/>
    <n v="44752.536"/>
  </r>
  <r>
    <s v="ORD100368"/>
    <x v="3"/>
    <s v="26-03-2025"/>
    <s v="CUST12545"/>
    <s v="Consumer"/>
    <s v="Maharashtra"/>
    <x v="21"/>
    <x v="3"/>
    <s v="Air Fryer"/>
    <s v="1"/>
    <s v="10307.61"/>
    <n v="0.05"/>
    <s v="6905.42"/>
    <s v="2886.81"/>
    <x v="0"/>
    <x v="0"/>
    <s v="Marketplace"/>
    <n v="9792.2294999999995"/>
  </r>
  <r>
    <s v="ORD100371"/>
    <x v="9"/>
    <s v="16-06-2025"/>
    <s v="CUST11019"/>
    <s v="Home Office"/>
    <s v="Gujarat"/>
    <x v="3"/>
    <x v="2"/>
    <s v="Sneakers"/>
    <s v="4"/>
    <s v="3480.13"/>
    <n v="0.1"/>
    <s v="7684.32"/>
    <s v="4844.1499999999996"/>
    <x v="3"/>
    <x v="0"/>
    <s v="Website"/>
    <n v="12528.468000000001"/>
  </r>
  <r>
    <s v="ORD100372"/>
    <x v="2"/>
    <s v="02-12-2025"/>
    <s v="CUST11289"/>
    <s v="Consumer"/>
    <s v="Maharashtra"/>
    <x v="4"/>
    <x v="0"/>
    <s v="Tablet"/>
    <s v="2"/>
    <s v="33822.74"/>
    <n v="0.15"/>
    <s v="48553.77"/>
    <s v="8944.89"/>
    <x v="0"/>
    <x v="0"/>
    <s v="Website"/>
    <n v="57498.657999999901"/>
  </r>
  <r>
    <s v="ORD100373"/>
    <x v="11"/>
    <s v="28-10-2025"/>
    <s v="CUST11294"/>
    <s v="Home Office"/>
    <s v="Gujarat"/>
    <x v="3"/>
    <x v="2"/>
    <s v="Jacket"/>
    <s v="1"/>
    <s v="3629.85"/>
    <n v="0.1"/>
    <s v="2175.5"/>
    <s v="1091.3599999999999"/>
    <x v="3"/>
    <x v="0"/>
    <s v="Marketplace"/>
    <n v="3266.8649999999998"/>
  </r>
  <r>
    <s v="ORD100374"/>
    <x v="0"/>
    <s v="13-01-2025"/>
    <s v="CUST13172"/>
    <s v="Consumer"/>
    <s v="Delhi"/>
    <x v="7"/>
    <x v="4"/>
    <s v="Fitness Band"/>
    <s v="1"/>
    <s v="6929.42"/>
    <n v="0.1"/>
    <s v="5285.08"/>
    <s v="951.4"/>
    <x v="1"/>
    <x v="0"/>
    <s v="Mobile App"/>
    <n v="6236.4780000000001"/>
  </r>
  <r>
    <s v="ORD100375"/>
    <x v="1"/>
    <s v="18-02-2025"/>
    <s v="CUST10883"/>
    <s v="Corporate"/>
    <s v="Gujarat"/>
    <x v="10"/>
    <x v="4"/>
    <s v="Cricket Bat"/>
    <s v="1"/>
    <s v="3059.22"/>
    <n v="0.1"/>
    <s v="1794.64"/>
    <s v="958.66"/>
    <x v="1"/>
    <x v="0"/>
    <s v="Website"/>
    <n v="2753.2979999999998"/>
  </r>
  <r>
    <s v="ORD100376"/>
    <x v="9"/>
    <s v="15-06-2025"/>
    <s v="CUST11853"/>
    <s v="Consumer"/>
    <s v="West Bengal"/>
    <x v="9"/>
    <x v="0"/>
    <s v="Laptop"/>
    <s v="2"/>
    <s v="11685.62"/>
    <n v="0.05"/>
    <s v="12857.01"/>
    <s v="9345.67"/>
    <x v="1"/>
    <x v="0"/>
    <s v="Mobile App"/>
    <n v="22202.678"/>
  </r>
  <r>
    <s v="ORD100377"/>
    <x v="3"/>
    <s v="16-03-2025"/>
    <s v="CUST12043"/>
    <s v="Corporate"/>
    <s v="Karnataka"/>
    <x v="17"/>
    <x v="2"/>
    <s v="Jacket"/>
    <s v="2"/>
    <s v="5892.5"/>
    <n v="0.05"/>
    <s v="9081.36"/>
    <s v="2114.39"/>
    <x v="5"/>
    <x v="0"/>
    <s v="Mobile App"/>
    <n v="11195.75"/>
  </r>
  <r>
    <s v="ORD100378"/>
    <x v="5"/>
    <s v="09-09-2025"/>
    <s v="CUST13499"/>
    <s v="Consumer"/>
    <s v="Karnataka"/>
    <x v="17"/>
    <x v="0"/>
    <s v="Smartphone"/>
    <s v="1"/>
    <s v="18317.259999999998"/>
    <n v="0.05"/>
    <s v="11986.17"/>
    <s v="5415.23"/>
    <x v="0"/>
    <x v="0"/>
    <s v="Website"/>
    <n v="17401.396999999899"/>
  </r>
  <r>
    <s v="ORD100379"/>
    <x v="5"/>
    <s v="21-09-2025"/>
    <s v="CUST12322"/>
    <s v="Consumer"/>
    <s v="West Bengal"/>
    <x v="0"/>
    <x v="0"/>
    <s v="Smartwatch"/>
    <s v="2"/>
    <s v="4706.12"/>
    <n v="0"/>
    <s v="6667.9"/>
    <s v="2744.34"/>
    <x v="2"/>
    <x v="0"/>
    <s v="Marketplace"/>
    <n v="9412.24"/>
  </r>
  <r>
    <s v="ORD100380"/>
    <x v="7"/>
    <s v="04-05-2025"/>
    <s v="CUST11725"/>
    <s v="Home Office"/>
    <s v="Kerala"/>
    <x v="15"/>
    <x v="2"/>
    <s v="Handbag"/>
    <s v="4"/>
    <s v="2798.75"/>
    <n v="0"/>
    <s v="8689.7000000000007"/>
    <s v="2505.3000000000002"/>
    <x v="5"/>
    <x v="0"/>
    <s v="Marketplace"/>
    <n v="11195"/>
  </r>
  <r>
    <s v="ORD100382"/>
    <x v="4"/>
    <s v="21-04-2025"/>
    <s v="CUST12586"/>
    <s v="Consumer"/>
    <s v="Delhi"/>
    <x v="12"/>
    <x v="1"/>
    <s v="Lipstick"/>
    <s v="1"/>
    <s v="2214.6999999999998"/>
    <n v="0.1"/>
    <s v="1288.82"/>
    <s v="704.41"/>
    <x v="0"/>
    <x v="0"/>
    <s v="Mobile App"/>
    <n v="1993.22999999999"/>
  </r>
  <r>
    <s v="ORD100383"/>
    <x v="4"/>
    <s v="10-04-2025"/>
    <s v="CUST11575"/>
    <s v="Consumer"/>
    <s v="West Bengal"/>
    <x v="0"/>
    <x v="2"/>
    <s v="Jacket"/>
    <s v="4"/>
    <s v="1982.88"/>
    <n v="0"/>
    <s v="4790.8999999999996"/>
    <s v="3140.62"/>
    <x v="3"/>
    <x v="0"/>
    <s v="Marketplace"/>
    <n v="7931.52"/>
  </r>
  <r>
    <s v="ORD100384"/>
    <x v="8"/>
    <s v="19-08-2025"/>
    <s v="CUST12335"/>
    <s v="Home Office"/>
    <s v="Telangana"/>
    <x v="16"/>
    <x v="3"/>
    <s v="Mixer Grinder"/>
    <s v="1"/>
    <s v="2364.96"/>
    <n v="0.05"/>
    <s v="1499.8"/>
    <s v="746.91"/>
    <x v="1"/>
    <x v="0"/>
    <s v="Marketplace"/>
    <n v="2246.712"/>
  </r>
  <r>
    <s v="ORD100385"/>
    <x v="8"/>
    <s v="21-08-2025"/>
    <s v="CUST10286"/>
    <s v="Corporate"/>
    <s v="Tamil Nadu"/>
    <x v="13"/>
    <x v="1"/>
    <s v="Hair Dryer"/>
    <s v="1"/>
    <s v="5760.55"/>
    <n v="0.1"/>
    <s v="3567.72"/>
    <s v="1616.78"/>
    <x v="5"/>
    <x v="0"/>
    <s v="Marketplace"/>
    <n v="5184.4949999999999"/>
  </r>
  <r>
    <s v="ORD100386"/>
    <x v="11"/>
    <s v="01-10-2025"/>
    <s v="CUST10338"/>
    <s v="Home Office"/>
    <s v="Gujarat"/>
    <x v="10"/>
    <x v="0"/>
    <s v="Tablet"/>
    <s v="2"/>
    <s v="67307.05"/>
    <n v="0.1"/>
    <s v="95084.58"/>
    <s v="26068.11"/>
    <x v="1"/>
    <x v="3"/>
    <s v="Website"/>
    <n v="121152.69"/>
  </r>
  <r>
    <s v="ORD100387"/>
    <x v="3"/>
    <s v="16-03-2025"/>
    <s v="CUST10115"/>
    <s v="Home Office"/>
    <s v="Maharashtra"/>
    <x v="20"/>
    <x v="2"/>
    <s v="T-Shirt"/>
    <s v="1"/>
    <s v="3245.6"/>
    <n v="0.15"/>
    <s v="2054.02"/>
    <s v="704.74"/>
    <x v="1"/>
    <x v="0"/>
    <s v="Website"/>
    <n v="2758.7599999999902"/>
  </r>
  <r>
    <s v="ORD100388"/>
    <x v="5"/>
    <s v="06-09-2025"/>
    <s v="CUST12630"/>
    <s v="Home Office"/>
    <s v="Telangana"/>
    <x v="16"/>
    <x v="2"/>
    <s v="Jeans"/>
    <s v="1"/>
    <s v="1967.18"/>
    <n v="0"/>
    <s v="1196.25"/>
    <s v="770.93"/>
    <x v="3"/>
    <x v="0"/>
    <s v="Marketplace"/>
    <n v="1967.18"/>
  </r>
  <r>
    <s v="ORD100389"/>
    <x v="1"/>
    <s v="26-02-2025"/>
    <s v="CUST12377"/>
    <s v="Home Office"/>
    <s v="Maharashtra"/>
    <x v="4"/>
    <x v="1"/>
    <s v="Face Cream"/>
    <s v="4"/>
    <s v="2527.6"/>
    <n v="0.15"/>
    <s v="5753.25"/>
    <s v="2840.59"/>
    <x v="4"/>
    <x v="3"/>
    <s v="Website"/>
    <n v="8593.84"/>
  </r>
  <r>
    <s v="ORD100390"/>
    <x v="8"/>
    <s v="09-08-2025"/>
    <s v="CUST11753"/>
    <s v="Corporate"/>
    <s v="Maharashtra"/>
    <x v="20"/>
    <x v="1"/>
    <s v="Shampoo"/>
    <s v="1"/>
    <s v="3878.41"/>
    <n v="0.1"/>
    <s v="2985.88"/>
    <s v="504.69"/>
    <x v="3"/>
    <x v="0"/>
    <s v="Marketplace"/>
    <n v="3490.569"/>
  </r>
  <r>
    <s v="ORD100391"/>
    <x v="1"/>
    <s v="10-02-2025"/>
    <s v="CUST12349"/>
    <s v="Home Office"/>
    <s v="Kerala"/>
    <x v="6"/>
    <x v="3"/>
    <s v="Mixer Grinder"/>
    <s v="2"/>
    <s v="10413.719999999999"/>
    <n v="0"/>
    <s v="14521.3"/>
    <s v="6306.14"/>
    <x v="5"/>
    <x v="2"/>
    <s v="Mobile App"/>
    <n v="20827.439999999999"/>
  </r>
  <r>
    <s v="ORD100392"/>
    <x v="5"/>
    <s v="01-09-2025"/>
    <s v="CUST11342"/>
    <s v="Corporate"/>
    <s v="Tamil Nadu"/>
    <x v="1"/>
    <x v="2"/>
    <s v="T-Shirt"/>
    <s v="1"/>
    <s v="6741.17"/>
    <n v="0"/>
    <s v="5168.1000000000004"/>
    <s v="1573.07"/>
    <x v="5"/>
    <x v="0"/>
    <s v="Marketplace"/>
    <n v="6741.17"/>
  </r>
  <r>
    <s v="ORD100393"/>
    <x v="9"/>
    <s v="29-06-2025"/>
    <s v="CUST10773"/>
    <s v="Home Office"/>
    <s v="Karnataka"/>
    <x v="17"/>
    <x v="2"/>
    <s v="T-Shirt"/>
    <s v="3"/>
    <s v="4426.25"/>
    <n v="0.1"/>
    <s v="9330.26"/>
    <s v="2620.62"/>
    <x v="2"/>
    <x v="0"/>
    <s v="Website"/>
    <n v="11950.875"/>
  </r>
  <r>
    <s v="ORD100394"/>
    <x v="9"/>
    <s v="21-06-2025"/>
    <s v="CUST11257"/>
    <s v="Corporate"/>
    <s v="Delhi"/>
    <x v="12"/>
    <x v="3"/>
    <s v="Air Fryer"/>
    <s v="2"/>
    <s v="3652.72"/>
    <n v="0.15"/>
    <s v="5641.86"/>
    <s v="567.76"/>
    <x v="5"/>
    <x v="2"/>
    <s v="Mobile App"/>
    <n v="6209.6239999999998"/>
  </r>
  <r>
    <s v="ORD100395"/>
    <x v="8"/>
    <s v="02-08-2025"/>
    <s v="CUST10019"/>
    <s v="Consumer"/>
    <s v="Maharashtra"/>
    <x v="21"/>
    <x v="3"/>
    <s v="Coffee Maker"/>
    <s v="1"/>
    <s v="6845.82"/>
    <n v="0.1"/>
    <s v="5440.93"/>
    <s v="720.31"/>
    <x v="3"/>
    <x v="0"/>
    <s v="Website"/>
    <n v="6161.2380000000003"/>
  </r>
  <r>
    <s v="ORD100396"/>
    <x v="7"/>
    <s v="24-05-2025"/>
    <s v="CUST12844"/>
    <s v="Corporate"/>
    <s v="Karnataka"/>
    <x v="22"/>
    <x v="3"/>
    <s v="Vacuum Cleaner"/>
    <s v="3"/>
    <s v="9530.27"/>
    <n v="0.2"/>
    <s v="19123.240000000002"/>
    <s v="3749.41"/>
    <x v="2"/>
    <x v="0"/>
    <s v="Website"/>
    <n v="22872.648000000001"/>
  </r>
  <r>
    <s v="ORD100397"/>
    <x v="3"/>
    <s v="31-03-2025"/>
    <s v="CUST10869"/>
    <s v="Home Office"/>
    <s v="Karnataka"/>
    <x v="22"/>
    <x v="3"/>
    <s v="Mixer Grinder"/>
    <s v="1"/>
    <s v="4460.1899999999996"/>
    <n v="0"/>
    <s v="3164.49"/>
    <s v="1295.7"/>
    <x v="2"/>
    <x v="2"/>
    <s v="Website"/>
    <n v="4460.1899999999996"/>
  </r>
  <r>
    <s v="ORD100398"/>
    <x v="8"/>
    <s v="05-08-2025"/>
    <s v="CUST12646"/>
    <s v="Home Office"/>
    <s v="Gujarat"/>
    <x v="18"/>
    <x v="4"/>
    <s v="Football"/>
    <s v="3"/>
    <s v="2544.5700000000002"/>
    <n v="0.05"/>
    <s v="5467.52"/>
    <s v="1784.5"/>
    <x v="2"/>
    <x v="2"/>
    <s v="Marketplace"/>
    <n v="7252.0245000000004"/>
  </r>
  <r>
    <s v="ORD100399"/>
    <x v="11"/>
    <s v="04-10-2025"/>
    <s v="CUST12799"/>
    <s v="Consumer"/>
    <s v="West Bengal"/>
    <x v="9"/>
    <x v="0"/>
    <s v="Tablet"/>
    <s v="2"/>
    <s v="16136.54"/>
    <n v="0"/>
    <s v="23631.34"/>
    <s v="8641.74"/>
    <x v="2"/>
    <x v="0"/>
    <s v="Mobile App"/>
    <n v="32273.08"/>
  </r>
  <r>
    <s v="ORD100400"/>
    <x v="8"/>
    <s v="19-08-2025"/>
    <s v="CUST11800"/>
    <s v="Consumer"/>
    <s v="Delhi"/>
    <x v="7"/>
    <x v="2"/>
    <s v="Handbag"/>
    <s v="1"/>
    <s v="3339.56"/>
    <n v="0.05"/>
    <s v="1909.93"/>
    <s v="1262.6500000000001"/>
    <x v="5"/>
    <x v="0"/>
    <s v="Mobile App"/>
    <n v="3172.5819999999999"/>
  </r>
  <r>
    <s v="ORD100402"/>
    <x v="2"/>
    <s v="03-12-2025"/>
    <s v="CUST12808"/>
    <s v="Home Office"/>
    <s v="Kerala"/>
    <x v="15"/>
    <x v="4"/>
    <s v="Running Shoes"/>
    <s v="1"/>
    <s v="4564.93"/>
    <n v="0.15"/>
    <s v="2947.56"/>
    <s v="932.63"/>
    <x v="5"/>
    <x v="0"/>
    <s v="Website"/>
    <n v="3880.1905000000002"/>
  </r>
  <r>
    <s v="ORD100403"/>
    <x v="2"/>
    <s v="08-12-2025"/>
    <s v="CUST12107"/>
    <s v="Consumer"/>
    <s v="Maharashtra"/>
    <x v="4"/>
    <x v="1"/>
    <s v="Lipstick"/>
    <s v="4"/>
    <s v="945.48"/>
    <n v="0.05"/>
    <s v="2575.5500000000002"/>
    <s v="1017.27"/>
    <x v="2"/>
    <x v="0"/>
    <s v="Marketplace"/>
    <n v="3592.8240000000001"/>
  </r>
  <r>
    <s v="ORD100404"/>
    <x v="0"/>
    <s v="06-01-2025"/>
    <s v="CUST10675"/>
    <s v="Consumer"/>
    <s v="Gujarat"/>
    <x v="18"/>
    <x v="4"/>
    <s v="Football"/>
    <s v="2"/>
    <s v="8225.27"/>
    <n v="0.15"/>
    <s v="12714.27"/>
    <s v="1268.69"/>
    <x v="5"/>
    <x v="0"/>
    <s v="Mobile App"/>
    <n v="13982.959000000001"/>
  </r>
  <r>
    <s v="ORD100405"/>
    <x v="11"/>
    <s v="12-10-2025"/>
    <s v="CUST11696"/>
    <s v="Home Office"/>
    <s v="Karnataka"/>
    <x v="17"/>
    <x v="3"/>
    <s v="Mixer Grinder"/>
    <s v="3"/>
    <s v="6989.93"/>
    <n v="0.1"/>
    <s v="16905.95"/>
    <s v="1966.86"/>
    <x v="3"/>
    <x v="0"/>
    <s v="Website"/>
    <n v="18872.811000000002"/>
  </r>
  <r>
    <s v="ORD100406"/>
    <x v="9"/>
    <s v="04-06-2025"/>
    <s v="CUST11472"/>
    <s v="Corporate"/>
    <s v="West Bengal"/>
    <x v="0"/>
    <x v="3"/>
    <s v="Vacuum Cleaner"/>
    <s v="1"/>
    <s v="9409.09"/>
    <n v="0.05"/>
    <s v="7327.55"/>
    <s v="1611.09"/>
    <x v="0"/>
    <x v="0"/>
    <s v="Marketplace"/>
    <n v="8938.6355000000003"/>
  </r>
  <r>
    <s v="ORD100407"/>
    <x v="7"/>
    <s v="03-05-2025"/>
    <s v="CUST12736"/>
    <s v="Corporate"/>
    <s v="Kerala"/>
    <x v="5"/>
    <x v="1"/>
    <s v="Lipstick"/>
    <s v="1"/>
    <s v="5109.05"/>
    <n v="0.1"/>
    <s v="3917.83"/>
    <s v="680.32"/>
    <x v="3"/>
    <x v="0"/>
    <s v="Mobile App"/>
    <n v="4598.1450000000004"/>
  </r>
  <r>
    <s v="ORD100408"/>
    <x v="0"/>
    <s v="29-01-2025"/>
    <s v="CUST12766"/>
    <s v="Home Office"/>
    <s v="Delhi"/>
    <x v="12"/>
    <x v="4"/>
    <s v="Yoga Mat"/>
    <s v="1"/>
    <s v="6061.79"/>
    <n v="0.1"/>
    <s v="4245"/>
    <s v="1210.6099999999999"/>
    <x v="2"/>
    <x v="0"/>
    <s v="Marketplace"/>
    <n v="5455.6109999999999"/>
  </r>
  <r>
    <s v="ORD100409"/>
    <x v="3"/>
    <s v="16-03-2025"/>
    <s v="CUST10861"/>
    <s v="Consumer"/>
    <s v="Telangana"/>
    <x v="14"/>
    <x v="0"/>
    <s v="Laptop"/>
    <s v="2"/>
    <s v="14022.19"/>
    <n v="0.05"/>
    <s v="20392.490000000002"/>
    <s v="6249.67"/>
    <x v="1"/>
    <x v="0"/>
    <s v="Marketplace"/>
    <n v="26642.161"/>
  </r>
  <r>
    <s v="ORD100410"/>
    <x v="3"/>
    <s v="20-03-2025"/>
    <s v="CUST11044"/>
    <s v="Corporate"/>
    <s v="Karnataka"/>
    <x v="22"/>
    <x v="4"/>
    <s v="Running Shoes"/>
    <s v="2"/>
    <s v="5911.62"/>
    <n v="0.1"/>
    <s v="8947.08"/>
    <s v="1693.84"/>
    <x v="1"/>
    <x v="0"/>
    <s v="Mobile App"/>
    <n v="10640.915999999999"/>
  </r>
  <r>
    <s v="ORD100411"/>
    <x v="5"/>
    <s v="21-09-2025"/>
    <s v="CUST11985"/>
    <s v="Consumer"/>
    <s v="Telangana"/>
    <x v="16"/>
    <x v="2"/>
    <s v="Jacket"/>
    <s v="2"/>
    <s v="2383.83"/>
    <n v="0.15"/>
    <s v="2984.84"/>
    <s v="1067.67"/>
    <x v="5"/>
    <x v="0"/>
    <s v="Marketplace"/>
    <n v="4052.511"/>
  </r>
  <r>
    <s v="ORD100412"/>
    <x v="11"/>
    <s v="02-10-2025"/>
    <s v="CUST11018"/>
    <s v="Corporate"/>
    <s v="West Bengal"/>
    <x v="0"/>
    <x v="3"/>
    <s v="Mixer Grinder"/>
    <s v="2"/>
    <s v="2159.59"/>
    <n v="0.1"/>
    <s v="2952.59"/>
    <s v="934.67"/>
    <x v="1"/>
    <x v="0"/>
    <s v="Marketplace"/>
    <n v="3887.2620000000002"/>
  </r>
  <r>
    <s v="ORD100413"/>
    <x v="6"/>
    <s v="11-07-2025"/>
    <s v="CUST10130"/>
    <s v="Consumer"/>
    <s v="Delhi"/>
    <x v="12"/>
    <x v="0"/>
    <s v="Tablet"/>
    <s v="2"/>
    <s v="68091.539999999994"/>
    <n v="0.15"/>
    <s v="89213.86"/>
    <s v="26541.759999999998"/>
    <x v="3"/>
    <x v="2"/>
    <s v="Marketplace"/>
    <n v="115755.617999999"/>
  </r>
  <r>
    <s v="ORD100414"/>
    <x v="8"/>
    <s v="08-08-2025"/>
    <s v="CUST12881"/>
    <s v="Home Office"/>
    <s v="Tamil Nadu"/>
    <x v="11"/>
    <x v="2"/>
    <s v="Jacket"/>
    <s v="1"/>
    <s v="3776.57"/>
    <n v="0.05"/>
    <s v="2504.1799999999998"/>
    <s v="1083.56"/>
    <x v="0"/>
    <x v="0"/>
    <s v="Mobile App"/>
    <n v="3587.7415000000001"/>
  </r>
  <r>
    <s v="ORD100415"/>
    <x v="9"/>
    <s v="13-06-2025"/>
    <s v="CUST13412"/>
    <s v="Home Office"/>
    <s v="Delhi"/>
    <x v="7"/>
    <x v="0"/>
    <s v="Tablet"/>
    <s v="2"/>
    <s v="33089.17"/>
    <n v="0.05"/>
    <s v="49115.25"/>
    <s v="13754.17"/>
    <x v="0"/>
    <x v="0"/>
    <s v="Website"/>
    <n v="62869.422999999901"/>
  </r>
  <r>
    <s v="ORD100416"/>
    <x v="8"/>
    <s v="21-08-2025"/>
    <s v="CUST12304"/>
    <s v="Home Office"/>
    <s v="Delhi"/>
    <x v="7"/>
    <x v="2"/>
    <s v="Sneakers"/>
    <s v="1"/>
    <s v="5663.69"/>
    <n v="0.1"/>
    <s v="3995.17"/>
    <s v="1102.1500000000001"/>
    <x v="1"/>
    <x v="0"/>
    <s v="Marketplace"/>
    <n v="5097.3209999999999"/>
  </r>
  <r>
    <s v="ORD100417"/>
    <x v="10"/>
    <s v="19-11-2025"/>
    <s v="CUST13059"/>
    <s v="Consumer"/>
    <s v="Tamil Nadu"/>
    <x v="11"/>
    <x v="2"/>
    <s v="T-Shirt"/>
    <s v="2"/>
    <s v="3041.4"/>
    <n v="0"/>
    <s v="4900.88"/>
    <s v="1181.92"/>
    <x v="5"/>
    <x v="0"/>
    <s v="Mobile App"/>
    <n v="6082.8"/>
  </r>
  <r>
    <s v="ORD100419"/>
    <x v="4"/>
    <s v="16-04-2025"/>
    <s v="CUST10340"/>
    <s v="Corporate"/>
    <s v="Maharashtra"/>
    <x v="20"/>
    <x v="2"/>
    <s v="T-Shirt"/>
    <s v="1"/>
    <s v="330.21"/>
    <n v="0.1"/>
    <s v="183.22"/>
    <s v="113.97"/>
    <x v="1"/>
    <x v="0"/>
    <s v="Marketplace"/>
    <n v="297.188999999999"/>
  </r>
  <r>
    <s v="ORD100420"/>
    <x v="3"/>
    <s v="21-03-2025"/>
    <s v="CUST13246"/>
    <s v="Home Office"/>
    <s v="Tamil Nadu"/>
    <x v="13"/>
    <x v="2"/>
    <s v="Handbag"/>
    <s v="1"/>
    <s v="5828"/>
    <n v="0.05"/>
    <s v="4190.12"/>
    <s v="1346.48"/>
    <x v="5"/>
    <x v="0"/>
    <s v="Website"/>
    <n v="5536.5999999999904"/>
  </r>
  <r>
    <s v="ORD100421"/>
    <x v="7"/>
    <s v="14-05-2025"/>
    <s v="CUST11694"/>
    <s v="Home Office"/>
    <s v="Kerala"/>
    <x v="15"/>
    <x v="2"/>
    <s v="Jeans"/>
    <s v="1"/>
    <s v="2028.81"/>
    <n v="0.15"/>
    <s v="1478.16"/>
    <s v="246.33"/>
    <x v="2"/>
    <x v="0"/>
    <s v="Marketplace"/>
    <n v="1724.4884999999999"/>
  </r>
  <r>
    <s v="ORD100423"/>
    <x v="6"/>
    <s v="21-07-2025"/>
    <s v="CUST12919"/>
    <s v="Corporate"/>
    <s v="Kerala"/>
    <x v="6"/>
    <x v="3"/>
    <s v="Coffee Maker"/>
    <s v="2"/>
    <s v="1443.16"/>
    <n v="0.1"/>
    <s v="2315.16"/>
    <s v="282.52999999999997"/>
    <x v="1"/>
    <x v="0"/>
    <s v="Website"/>
    <n v="2597.6880000000001"/>
  </r>
  <r>
    <s v="ORD100424"/>
    <x v="0"/>
    <s v="25-01-2025"/>
    <s v="CUST10425"/>
    <s v="Consumer"/>
    <s v="Tamil Nadu"/>
    <x v="19"/>
    <x v="2"/>
    <s v="Sneakers"/>
    <s v="2"/>
    <s v="5660.17"/>
    <n v="0"/>
    <s v="8229.8799999999992"/>
    <s v="3090.46"/>
    <x v="0"/>
    <x v="0"/>
    <s v="Mobile App"/>
    <n v="11320.34"/>
  </r>
  <r>
    <s v="ORD100425"/>
    <x v="11"/>
    <s v="27-10-2025"/>
    <s v="CUST12023"/>
    <s v="Consumer"/>
    <s v="Kerala"/>
    <x v="15"/>
    <x v="1"/>
    <s v="Face Cream"/>
    <s v="1"/>
    <s v="1979.04"/>
    <n v="0.05"/>
    <s v="1545.95"/>
    <s v="334.14"/>
    <x v="0"/>
    <x v="1"/>
    <s v="Marketplace"/>
    <n v="1880.088"/>
  </r>
  <r>
    <s v="ORD100426"/>
    <x v="0"/>
    <s v="06-01-2025"/>
    <s v="CUST10761"/>
    <s v="Corporate"/>
    <s v="West Bengal"/>
    <x v="0"/>
    <x v="3"/>
    <s v="Coffee Maker"/>
    <s v="1"/>
    <s v="2484.48"/>
    <n v="0.05"/>
    <s v="1802.17"/>
    <s v="558.09"/>
    <x v="0"/>
    <x v="0"/>
    <s v="Mobile App"/>
    <n v="2360.2559999999999"/>
  </r>
  <r>
    <s v="ORD100427"/>
    <x v="8"/>
    <s v="04-08-2025"/>
    <s v="CUST11140"/>
    <s v="Consumer"/>
    <s v="Karnataka"/>
    <x v="22"/>
    <x v="4"/>
    <s v="Running Shoes"/>
    <s v="1"/>
    <s v="1332.14"/>
    <n v="0.15"/>
    <s v="889.93"/>
    <s v="242.39"/>
    <x v="1"/>
    <x v="0"/>
    <s v="Mobile App"/>
    <n v="1132.319"/>
  </r>
  <r>
    <s v="ORD100428"/>
    <x v="2"/>
    <s v="27-12-2025"/>
    <s v="CUST10270"/>
    <s v="Consumer"/>
    <s v="West Bengal"/>
    <x v="0"/>
    <x v="2"/>
    <s v="Sneakers"/>
    <s v="1"/>
    <s v="1041.58"/>
    <n v="0"/>
    <s v="729.19"/>
    <s v="312.39"/>
    <x v="5"/>
    <x v="0"/>
    <s v="Website"/>
    <n v="1041.58"/>
  </r>
  <r>
    <s v="ORD100429"/>
    <x v="4"/>
    <s v="02-04-2025"/>
    <s v="CUST11862"/>
    <s v="Corporate"/>
    <s v="Telangana"/>
    <x v="14"/>
    <x v="4"/>
    <s v="Fitness Band"/>
    <s v="1"/>
    <s v="2456.6"/>
    <n v="0.1"/>
    <s v="1794.49"/>
    <s v="416.45"/>
    <x v="5"/>
    <x v="0"/>
    <s v="Website"/>
    <n v="2210.94"/>
  </r>
  <r>
    <s v="ORD100430"/>
    <x v="5"/>
    <s v="27-09-2025"/>
    <s v="CUST11060"/>
    <s v="Consumer"/>
    <s v="West Bengal"/>
    <x v="0"/>
    <x v="2"/>
    <s v="T-Shirt"/>
    <s v="1"/>
    <s v="1696.79"/>
    <n v="0"/>
    <s v="1302.26"/>
    <s v="394.53"/>
    <x v="3"/>
    <x v="0"/>
    <s v="Mobile App"/>
    <n v="1696.79"/>
  </r>
  <r>
    <s v="ORD100431"/>
    <x v="6"/>
    <s v="10-07-2025"/>
    <s v="CUST12052"/>
    <s v="Consumer"/>
    <s v="Karnataka"/>
    <x v="17"/>
    <x v="4"/>
    <s v="Football"/>
    <s v="2"/>
    <s v="911.04"/>
    <n v="0.1"/>
    <s v="1297.3699999999999"/>
    <s v="342.5"/>
    <x v="3"/>
    <x v="1"/>
    <s v="Marketplace"/>
    <n v="1639.8720000000001"/>
  </r>
  <r>
    <s v="ORD100432"/>
    <x v="7"/>
    <s v="18-05-2025"/>
    <s v="CUST11551"/>
    <s v="Home Office"/>
    <s v="Delhi"/>
    <x v="12"/>
    <x v="2"/>
    <s v="Jeans"/>
    <s v="1"/>
    <s v="1485.21"/>
    <n v="0"/>
    <s v="1067.21"/>
    <s v="418"/>
    <x v="2"/>
    <x v="0"/>
    <s v="Marketplace"/>
    <n v="1485.21"/>
  </r>
  <r>
    <s v="ORD100433"/>
    <x v="1"/>
    <s v="24-02-2025"/>
    <s v="CUST10965"/>
    <s v="Consumer"/>
    <s v="Tamil Nadu"/>
    <x v="1"/>
    <x v="3"/>
    <s v="Coffee Maker"/>
    <s v="1"/>
    <s v="12219.83"/>
    <n v="0.15"/>
    <s v="9432.93"/>
    <s v="953.93"/>
    <x v="1"/>
    <x v="0"/>
    <s v="Marketplace"/>
    <n v="10386.8555"/>
  </r>
  <r>
    <s v="ORD100434"/>
    <x v="5"/>
    <s v="14-09-2025"/>
    <s v="CUST11582"/>
    <s v="Home Office"/>
    <s v="West Bengal"/>
    <x v="9"/>
    <x v="2"/>
    <s v="T-Shirt"/>
    <s v="2"/>
    <s v="2210.4"/>
    <n v="0.2"/>
    <s v="2911.5"/>
    <s v="625.14"/>
    <x v="5"/>
    <x v="0"/>
    <s v="Marketplace"/>
    <n v="3536.64"/>
  </r>
  <r>
    <s v="ORD100435"/>
    <x v="6"/>
    <s v="04-07-2025"/>
    <s v="CUST13191"/>
    <s v="Consumer"/>
    <s v="Karnataka"/>
    <x v="17"/>
    <x v="3"/>
    <s v="Cookware Set"/>
    <s v="1"/>
    <s v="11408.18"/>
    <n v="0.15"/>
    <s v="7593.64"/>
    <s v="2103.31"/>
    <x v="0"/>
    <x v="0"/>
    <s v="Mobile App"/>
    <n v="9696.9529999999995"/>
  </r>
  <r>
    <s v="ORD100438"/>
    <x v="9"/>
    <s v="08-06-2025"/>
    <s v="CUST10207"/>
    <s v="Corporate"/>
    <s v="Maharashtra"/>
    <x v="20"/>
    <x v="4"/>
    <s v="Football"/>
    <s v="1"/>
    <s v="8588.7800000000007"/>
    <n v="0.05"/>
    <s v="5265.17"/>
    <s v="2894.17"/>
    <x v="3"/>
    <x v="0"/>
    <s v="Website"/>
    <n v="8159.3410000000003"/>
  </r>
  <r>
    <s v="ORD100439"/>
    <x v="0"/>
    <s v="29-01-2025"/>
    <s v="CUST10490"/>
    <s v="Consumer"/>
    <s v="Tamil Nadu"/>
    <x v="19"/>
    <x v="0"/>
    <s v="Headphones"/>
    <s v="1"/>
    <s v="14156.99"/>
    <n v="0.05"/>
    <s v="9526.7199999999993"/>
    <s v="3922.42"/>
    <x v="3"/>
    <x v="1"/>
    <s v="Marketplace"/>
    <n v="13449.1405"/>
  </r>
  <r>
    <s v="ORD100440"/>
    <x v="11"/>
    <s v="22-10-2025"/>
    <s v="CUST10892"/>
    <s v="Corporate"/>
    <s v="Karnataka"/>
    <x v="2"/>
    <x v="0"/>
    <s v="Headphones"/>
    <s v="2"/>
    <s v="20234.53"/>
    <n v="0"/>
    <s v="30268.11"/>
    <s v="10200.950000000001"/>
    <x v="2"/>
    <x v="0"/>
    <s v="Marketplace"/>
    <n v="40469.06"/>
  </r>
  <r>
    <s v="ORD100441"/>
    <x v="4"/>
    <s v="20-04-2025"/>
    <s v="CUST10625"/>
    <s v="Home Office"/>
    <s v="Maharashtra"/>
    <x v="4"/>
    <x v="0"/>
    <s v="Laptop"/>
    <s v="2"/>
    <s v="60224.92"/>
    <n v="0.1"/>
    <s v="75105.289999999994"/>
    <s v="33299.57"/>
    <x v="3"/>
    <x v="2"/>
    <s v="Marketplace"/>
    <n v="108404.856"/>
  </r>
  <r>
    <s v="ORD100442"/>
    <x v="1"/>
    <s v="07-02-2025"/>
    <s v="CUST10524"/>
    <s v="Corporate"/>
    <s v="Kerala"/>
    <x v="5"/>
    <x v="2"/>
    <s v="Sneakers"/>
    <s v="2"/>
    <s v="2711.72"/>
    <n v="0"/>
    <s v="4306.42"/>
    <s v="1117.02"/>
    <x v="1"/>
    <x v="3"/>
    <s v="Mobile App"/>
    <n v="5423.44"/>
  </r>
  <r>
    <s v="ORD100443"/>
    <x v="5"/>
    <s v="23-09-2025"/>
    <s v="CUST12922"/>
    <s v="Home Office"/>
    <s v="Tamil Nadu"/>
    <x v="11"/>
    <x v="0"/>
    <s v="Headphones"/>
    <s v="2"/>
    <s v="59866.85"/>
    <n v="0.1"/>
    <s v="88457.59"/>
    <s v="19302.740000000002"/>
    <x v="5"/>
    <x v="0"/>
    <s v="Website"/>
    <n v="107760.33"/>
  </r>
  <r>
    <s v="ORD100446"/>
    <x v="1"/>
    <s v="23-02-2025"/>
    <s v="CUST11427"/>
    <s v="Home Office"/>
    <s v="Kerala"/>
    <x v="5"/>
    <x v="0"/>
    <s v="Smartphone"/>
    <s v="1"/>
    <s v="59251.76"/>
    <n v="0.15"/>
    <s v="43060.24"/>
    <s v="7303.76"/>
    <x v="2"/>
    <x v="0"/>
    <s v="Mobile App"/>
    <n v="50363.995999999999"/>
  </r>
  <r>
    <s v="ORD100447"/>
    <x v="6"/>
    <s v="15-07-2025"/>
    <s v="CUST13477"/>
    <s v="Consumer"/>
    <s v="West Bengal"/>
    <x v="0"/>
    <x v="4"/>
    <s v="Football"/>
    <s v="1"/>
    <s v="10501.13"/>
    <n v="0"/>
    <s v="7822.34"/>
    <s v="2678.79"/>
    <x v="5"/>
    <x v="0"/>
    <s v="Marketplace"/>
    <n v="10501.13"/>
  </r>
  <r>
    <s v="ORD100448"/>
    <x v="7"/>
    <s v="04-05-2025"/>
    <s v="CUST12075"/>
    <s v="Consumer"/>
    <s v="Karnataka"/>
    <x v="2"/>
    <x v="4"/>
    <s v="Cricket Bat"/>
    <s v="1"/>
    <s v="8768.17"/>
    <n v="0.1"/>
    <s v="6397.9"/>
    <s v="1493.45"/>
    <x v="0"/>
    <x v="0"/>
    <s v="Marketplace"/>
    <n v="7891.3530000000001"/>
  </r>
  <r>
    <s v="ORD100449"/>
    <x v="1"/>
    <s v="10-02-2025"/>
    <s v="CUST13187"/>
    <s v="Corporate"/>
    <s v="Tamil Nadu"/>
    <x v="1"/>
    <x v="0"/>
    <s v="Laptop"/>
    <s v="1"/>
    <s v="30468.95"/>
    <n v="0.1"/>
    <s v="23180.35"/>
    <s v="4241.71"/>
    <x v="0"/>
    <x v="3"/>
    <s v="Website"/>
    <n v="27422.055"/>
  </r>
  <r>
    <s v="ORD100451"/>
    <x v="11"/>
    <s v="10-10-2025"/>
    <s v="CUST12333"/>
    <s v="Corporate"/>
    <s v="West Bengal"/>
    <x v="0"/>
    <x v="3"/>
    <s v="Vacuum Cleaner"/>
    <s v="3"/>
    <s v="14566.96"/>
    <n v="0"/>
    <s v="30327.06"/>
    <s v="13373.82"/>
    <x v="2"/>
    <x v="0"/>
    <s v="Mobile App"/>
    <n v="43700.88"/>
  </r>
  <r>
    <s v="ORD100452"/>
    <x v="11"/>
    <s v="25-10-2025"/>
    <s v="CUST12289"/>
    <s v="Corporate"/>
    <s v="Kerala"/>
    <x v="15"/>
    <x v="2"/>
    <s v="Handbag"/>
    <s v="2"/>
    <s v="501.52"/>
    <n v="0"/>
    <s v="717.3"/>
    <s v="285.74"/>
    <x v="5"/>
    <x v="0"/>
    <s v="Mobile App"/>
    <n v="1003.04"/>
  </r>
  <r>
    <s v="ORD100453"/>
    <x v="5"/>
    <s v="27-09-2025"/>
    <s v="CUST12812"/>
    <s v="Home Office"/>
    <s v="Maharashtra"/>
    <x v="20"/>
    <x v="3"/>
    <s v="Cookware Set"/>
    <s v="1"/>
    <s v="8085.89"/>
    <n v="0.1"/>
    <s v="6231.17"/>
    <s v="1046.1300000000001"/>
    <x v="1"/>
    <x v="0"/>
    <s v="Mobile App"/>
    <n v="7277.3010000000004"/>
  </r>
  <r>
    <s v="ORD100454"/>
    <x v="0"/>
    <s v="16-01-2025"/>
    <s v="CUST11053"/>
    <s v="Home Office"/>
    <s v="Tamil Nadu"/>
    <x v="13"/>
    <x v="3"/>
    <s v="Coffee Maker"/>
    <s v="3"/>
    <s v="6079.69"/>
    <n v="0.1"/>
    <s v="11128.35"/>
    <s v="5286.81"/>
    <x v="0"/>
    <x v="0"/>
    <s v="Website"/>
    <n v="16415.163"/>
  </r>
  <r>
    <s v="ORD100455"/>
    <x v="9"/>
    <s v="24-06-2025"/>
    <s v="CUST12663"/>
    <s v="Consumer"/>
    <s v="West Bengal"/>
    <x v="0"/>
    <x v="1"/>
    <s v="Face Cream"/>
    <s v="1"/>
    <s v="2374.96"/>
    <n v="0"/>
    <s v="1332.97"/>
    <s v="1041.99"/>
    <x v="3"/>
    <x v="0"/>
    <s v="Mobile App"/>
    <n v="2374.96"/>
  </r>
  <r>
    <s v="ORD100456"/>
    <x v="4"/>
    <s v="19-04-2025"/>
    <s v="CUST10849"/>
    <s v="Home Office"/>
    <s v="Telangana"/>
    <x v="14"/>
    <x v="0"/>
    <s v="Headphones"/>
    <s v="1"/>
    <s v="59180.49"/>
    <n v="0.1"/>
    <s v="46067.91"/>
    <s v="7194.53"/>
    <x v="3"/>
    <x v="0"/>
    <s v="Marketplace"/>
    <n v="53262.440999999999"/>
  </r>
  <r>
    <s v="ORD100457"/>
    <x v="0"/>
    <s v="31-01-2025"/>
    <s v="CUST11022"/>
    <s v="Consumer"/>
    <s v="Tamil Nadu"/>
    <x v="19"/>
    <x v="1"/>
    <s v="Perfume"/>
    <s v="2"/>
    <s v="4334.7700000000004"/>
    <n v="0.1"/>
    <s v="6363.23"/>
    <s v="1439.36"/>
    <x v="5"/>
    <x v="2"/>
    <s v="Mobile App"/>
    <n v="7802.5860000000002"/>
  </r>
  <r>
    <s v="ORD100458"/>
    <x v="5"/>
    <s v="28-09-2025"/>
    <s v="CUST11920"/>
    <s v="Home Office"/>
    <s v="Kerala"/>
    <x v="15"/>
    <x v="4"/>
    <s v="Fitness Band"/>
    <s v="1"/>
    <s v="5002.8100000000004"/>
    <n v="0"/>
    <s v="3201.98"/>
    <s v="1800.83"/>
    <x v="5"/>
    <x v="2"/>
    <s v="Marketplace"/>
    <n v="5002.8100000000004"/>
  </r>
  <r>
    <s v="ORD100460"/>
    <x v="0"/>
    <s v="22-01-2025"/>
    <s v="CUST12685"/>
    <s v="Home Office"/>
    <s v="West Bengal"/>
    <x v="9"/>
    <x v="3"/>
    <s v="Mixer Grinder"/>
    <s v="1"/>
    <s v="2222.56"/>
    <n v="0"/>
    <s v="1272.8599999999999"/>
    <s v="949.7"/>
    <x v="5"/>
    <x v="0"/>
    <s v="Marketplace"/>
    <n v="2222.56"/>
  </r>
  <r>
    <s v="ORD100461"/>
    <x v="9"/>
    <s v="30-06-2025"/>
    <s v="CUST10728"/>
    <s v="Corporate"/>
    <s v="Karnataka"/>
    <x v="22"/>
    <x v="4"/>
    <s v="Cricket Bat"/>
    <s v="1"/>
    <s v="9351.57"/>
    <n v="0.15"/>
    <s v="7445.51"/>
    <s v="503.32"/>
    <x v="0"/>
    <x v="0"/>
    <s v="Website"/>
    <n v="7948.8344999999999"/>
  </r>
  <r>
    <s v="ORD100462"/>
    <x v="9"/>
    <s v="28-06-2025"/>
    <s v="CUST11387"/>
    <s v="Corporate"/>
    <s v="Telangana"/>
    <x v="14"/>
    <x v="3"/>
    <s v="Mixer Grinder"/>
    <s v="1"/>
    <s v="8796.59"/>
    <n v="0.05"/>
    <s v="5323.57"/>
    <s v="3033.19"/>
    <x v="2"/>
    <x v="0"/>
    <s v="Mobile App"/>
    <n v="8356.7605000000003"/>
  </r>
  <r>
    <s v="ORD100463"/>
    <x v="0"/>
    <s v="06-01-2025"/>
    <s v="CUST10992"/>
    <s v="Corporate"/>
    <s v="Maharashtra"/>
    <x v="4"/>
    <x v="0"/>
    <s v="Tablet"/>
    <s v="2"/>
    <s v="23376.26"/>
    <n v="0.05"/>
    <s v="34052.71"/>
    <s v="10362.18"/>
    <x v="3"/>
    <x v="0"/>
    <s v="Marketplace"/>
    <n v="44414.893999999898"/>
  </r>
  <r>
    <s v="ORD100464"/>
    <x v="8"/>
    <s v="04-08-2025"/>
    <s v="CUST13444"/>
    <s v="Consumer"/>
    <s v="Karnataka"/>
    <x v="22"/>
    <x v="4"/>
    <s v="Fitness Band"/>
    <s v="2"/>
    <s v="9989.06"/>
    <n v="0.1"/>
    <s v="15746.72"/>
    <s v="2233.59"/>
    <x v="3"/>
    <x v="0"/>
    <s v="Mobile App"/>
    <n v="17980.308000000001"/>
  </r>
  <r>
    <s v="ORD100465"/>
    <x v="5"/>
    <s v="15-09-2025"/>
    <s v="CUST11106"/>
    <s v="Consumer"/>
    <s v="Telangana"/>
    <x v="16"/>
    <x v="0"/>
    <s v="Smartwatch"/>
    <s v="1"/>
    <s v="33716.11"/>
    <n v="0.1"/>
    <s v="19733.2"/>
    <s v="10611.3"/>
    <x v="5"/>
    <x v="0"/>
    <s v="Mobile App"/>
    <n v="30344.499"/>
  </r>
  <r>
    <s v="ORD100466"/>
    <x v="11"/>
    <s v="01-10-2025"/>
    <s v="CUST10497"/>
    <s v="Corporate"/>
    <s v="Delhi"/>
    <x v="7"/>
    <x v="2"/>
    <s v="Sneakers"/>
    <s v="1"/>
    <s v="677.98"/>
    <n v="0.05"/>
    <s v="390.27"/>
    <s v="253.81"/>
    <x v="5"/>
    <x v="0"/>
    <s v="Marketplace"/>
    <n v="644.08100000000002"/>
  </r>
  <r>
    <s v="ORD100467"/>
    <x v="10"/>
    <s v="27-11-2025"/>
    <s v="CUST12611"/>
    <s v="Consumer"/>
    <s v="Delhi"/>
    <x v="7"/>
    <x v="1"/>
    <s v="Perfume"/>
    <s v="2"/>
    <s v="2438.66"/>
    <n v="0.05"/>
    <s v="3365.93"/>
    <s v="1267.52"/>
    <x v="3"/>
    <x v="3"/>
    <s v="Marketplace"/>
    <n v="4633.4539999999997"/>
  </r>
  <r>
    <s v="ORD100468"/>
    <x v="1"/>
    <s v="25-02-2025"/>
    <s v="CUST10185"/>
    <s v="Corporate"/>
    <s v="Tamil Nadu"/>
    <x v="11"/>
    <x v="0"/>
    <s v="Smartwatch"/>
    <s v="1"/>
    <s v="64617.78"/>
    <n v="0"/>
    <s v="45728.46"/>
    <s v="18889.32"/>
    <x v="5"/>
    <x v="0"/>
    <s v="Marketplace"/>
    <n v="64617.78"/>
  </r>
  <r>
    <s v="ORD100469"/>
    <x v="7"/>
    <s v="16-05-2025"/>
    <s v="CUST10200"/>
    <s v="Corporate"/>
    <s v="Karnataka"/>
    <x v="2"/>
    <x v="0"/>
    <s v="Laptop"/>
    <s v="2"/>
    <s v="63600.94"/>
    <n v="0.15"/>
    <s v="71043.78"/>
    <s v="37077.82"/>
    <x v="1"/>
    <x v="0"/>
    <s v="Marketplace"/>
    <n v="108121.598"/>
  </r>
  <r>
    <s v="ORD100470"/>
    <x v="1"/>
    <s v="26-02-2025"/>
    <s v="CUST10308"/>
    <s v="Home Office"/>
    <s v="Tamil Nadu"/>
    <x v="1"/>
    <x v="0"/>
    <s v="Smartwatch"/>
    <s v="2"/>
    <s v="19600.53"/>
    <n v="0.1"/>
    <s v="30768.37"/>
    <s v="4512.58"/>
    <x v="3"/>
    <x v="3"/>
    <s v="Marketplace"/>
    <n v="35280.953999999998"/>
  </r>
  <r>
    <s v="ORD100471"/>
    <x v="1"/>
    <s v="18-02-2025"/>
    <s v="CUST11121"/>
    <s v="Corporate"/>
    <s v="Delhi"/>
    <x v="12"/>
    <x v="0"/>
    <s v="Laptop"/>
    <s v="3"/>
    <s v="70319.8"/>
    <n v="0.1"/>
    <s v="172610.24"/>
    <s v="17253.22"/>
    <x v="1"/>
    <x v="2"/>
    <s v="Website"/>
    <n v="189863.46"/>
  </r>
  <r>
    <s v="ORD100473"/>
    <x v="9"/>
    <s v="21-06-2025"/>
    <s v="CUST10199"/>
    <s v="Home Office"/>
    <s v="Delhi"/>
    <x v="7"/>
    <x v="0"/>
    <s v="Headphones"/>
    <s v="1"/>
    <s v="5783.69"/>
    <n v="0.15"/>
    <s v="3731.72"/>
    <s v="1184.42"/>
    <x v="3"/>
    <x v="0"/>
    <s v="Marketplace"/>
    <n v="4916.1364999999996"/>
  </r>
  <r>
    <s v="ORD100474"/>
    <x v="6"/>
    <s v="16-07-2025"/>
    <s v="CUST12463"/>
    <s v="Corporate"/>
    <s v="West Bengal"/>
    <x v="0"/>
    <x v="0"/>
    <s v="Laptop"/>
    <s v="1"/>
    <s v="17153.71"/>
    <n v="0.15"/>
    <s v="13953.73"/>
    <s v="626.91999999999996"/>
    <x v="2"/>
    <x v="1"/>
    <s v="Website"/>
    <n v="14580.6534999999"/>
  </r>
  <r>
    <s v="ORD100475"/>
    <x v="9"/>
    <s v="05-06-2025"/>
    <s v="CUST12115"/>
    <s v="Home Office"/>
    <s v="Telangana"/>
    <x v="14"/>
    <x v="3"/>
    <s v="Air Fryer"/>
    <s v="2"/>
    <s v="13466.59"/>
    <n v="0.05"/>
    <s v="19549.89"/>
    <s v="6036.63"/>
    <x v="5"/>
    <x v="0"/>
    <s v="Marketplace"/>
    <n v="25586.521000000001"/>
  </r>
  <r>
    <s v="ORD100476"/>
    <x v="4"/>
    <s v="07-04-2025"/>
    <s v="CUST10030"/>
    <s v="Corporate"/>
    <s v="Maharashtra"/>
    <x v="4"/>
    <x v="3"/>
    <s v="Cookware Set"/>
    <s v="2"/>
    <s v="10825.58"/>
    <n v="0"/>
    <s v="13440.57"/>
    <s v="8210.59"/>
    <x v="3"/>
    <x v="0"/>
    <s v="Mobile App"/>
    <n v="21651.16"/>
  </r>
  <r>
    <s v="ORD100477"/>
    <x v="2"/>
    <s v="20-12-2025"/>
    <s v="CUST10591"/>
    <s v="Consumer"/>
    <s v="Gujarat"/>
    <x v="18"/>
    <x v="3"/>
    <s v="Coffee Maker"/>
    <s v="1"/>
    <s v="9041.1"/>
    <n v="0.1"/>
    <s v="5559.41"/>
    <s v="2577.58"/>
    <x v="1"/>
    <x v="0"/>
    <s v="Website"/>
    <n v="8136.99"/>
  </r>
  <r>
    <s v="ORD100478"/>
    <x v="8"/>
    <s v="06-08-2025"/>
    <s v="CUST12166"/>
    <s v="Home Office"/>
    <s v="Maharashtra"/>
    <x v="4"/>
    <x v="3"/>
    <s v="Vacuum Cleaner"/>
    <s v="1"/>
    <s v="9655.67"/>
    <n v="0.15"/>
    <s v="5958.82"/>
    <s v="2248.5"/>
    <x v="5"/>
    <x v="0"/>
    <s v="Website"/>
    <n v="8207.3194999999996"/>
  </r>
  <r>
    <s v="ORD100480"/>
    <x v="5"/>
    <s v="30-09-2025"/>
    <s v="CUST10208"/>
    <s v="Consumer"/>
    <s v="Tamil Nadu"/>
    <x v="13"/>
    <x v="2"/>
    <s v="Cookware Set"/>
    <s v="1"/>
    <s v="6555.84"/>
    <n v="0.05"/>
    <s v="3683.15"/>
    <s v="2544.9"/>
    <x v="5"/>
    <x v="0"/>
    <s v="Mobile App"/>
    <n v="6228.0479999999998"/>
  </r>
  <r>
    <s v="ORD100481"/>
    <x v="11"/>
    <s v="05-10-2025"/>
    <s v="CUST12918"/>
    <s v="Corporate"/>
    <s v="Maharashtra"/>
    <x v="21"/>
    <x v="3"/>
    <s v="Cookware Set"/>
    <s v="2"/>
    <s v="2111.9499999999998"/>
    <n v="0.15"/>
    <s v="2449.84"/>
    <s v="1140.47"/>
    <x v="3"/>
    <x v="0"/>
    <s v="Marketplace"/>
    <n v="3590.3149999999901"/>
  </r>
  <r>
    <s v="ORD100482"/>
    <x v="1"/>
    <s v="10-02-2025"/>
    <s v="CUST11750"/>
    <s v="Home Office"/>
    <s v="Telangana"/>
    <x v="14"/>
    <x v="3"/>
    <s v="Perfume"/>
    <s v="1"/>
    <s v="4709"/>
    <n v="0.2"/>
    <s v="2771.91"/>
    <s v="995.29"/>
    <x v="5"/>
    <x v="0"/>
    <s v="Marketplace"/>
    <n v="3767.2"/>
  </r>
  <r>
    <s v="ORD100483"/>
    <x v="9"/>
    <s v="25-06-2025"/>
    <s v="CUST13386"/>
    <s v="Corporate"/>
    <s v="Delhi"/>
    <x v="7"/>
    <x v="4"/>
    <s v="Yoga Mat"/>
    <s v="1"/>
    <s v="3879.93"/>
    <n v="0.1"/>
    <s v="2670.26"/>
    <s v="821.68"/>
    <x v="2"/>
    <x v="3"/>
    <s v="Website"/>
    <n v="3491.9369999999999"/>
  </r>
  <r>
    <s v="ORD100484"/>
    <x v="2"/>
    <s v="11-12-2025"/>
    <s v="CUST12080"/>
    <s v="Corporate"/>
    <s v="Karnataka"/>
    <x v="2"/>
    <x v="0"/>
    <s v="Headphones"/>
    <s v="1"/>
    <s v="69917.960000000006"/>
    <n v="0.05"/>
    <s v="54476.47"/>
    <s v="11945.59"/>
    <x v="0"/>
    <x v="0"/>
    <s v="Website"/>
    <n v="66422.062000000005"/>
  </r>
  <r>
    <s v="ORD100485"/>
    <x v="4"/>
    <s v="17-04-2025"/>
    <s v="CUST11161"/>
    <s v="Home Office"/>
    <s v="Kerala"/>
    <x v="6"/>
    <x v="1"/>
    <s v="Face Cream"/>
    <s v="1"/>
    <s v="289.27999999999997"/>
    <n v="0.1"/>
    <s v="167.86"/>
    <s v="92.49"/>
    <x v="5"/>
    <x v="0"/>
    <s v="Website"/>
    <n v="260.35199999999998"/>
  </r>
  <r>
    <s v="ORD100486"/>
    <x v="0"/>
    <s v="21-01-2025"/>
    <s v="CUST13424"/>
    <s v="Consumer"/>
    <s v="Karnataka"/>
    <x v="2"/>
    <x v="4"/>
    <s v="Fitness Band"/>
    <s v="2"/>
    <s v="2681.99"/>
    <n v="0.1"/>
    <s v="3401.2"/>
    <s v="1426.38"/>
    <x v="2"/>
    <x v="2"/>
    <s v="Marketplace"/>
    <n v="4827.5819999999903"/>
  </r>
  <r>
    <s v="ORD100487"/>
    <x v="5"/>
    <s v="10-09-2025"/>
    <s v="CUST12959"/>
    <s v="Home Office"/>
    <s v="Tamil Nadu"/>
    <x v="19"/>
    <x v="0"/>
    <s v="Smartwatch"/>
    <s v="1"/>
    <s v="56377.75"/>
    <n v="0.15"/>
    <s v="33148.82"/>
    <s v="14772.27"/>
    <x v="1"/>
    <x v="2"/>
    <s v="Marketplace"/>
    <n v="47921.087500000001"/>
  </r>
  <r>
    <s v="ORD100488"/>
    <x v="9"/>
    <s v="30-06-2025"/>
    <s v="CUST11102"/>
    <s v="Home Office"/>
    <s v="Gujarat"/>
    <x v="10"/>
    <x v="0"/>
    <s v="Headphones"/>
    <s v="1"/>
    <s v="13247.78"/>
    <n v="0.15"/>
    <s v="7550.98"/>
    <s v="3709.63"/>
    <x v="1"/>
    <x v="0"/>
    <s v="Marketplace"/>
    <n v="11260.612999999999"/>
  </r>
  <r>
    <s v="ORD100489"/>
    <x v="7"/>
    <s v="17-05-2025"/>
    <s v="CUST13269"/>
    <s v="Corporate"/>
    <s v="Telangana"/>
    <x v="14"/>
    <x v="2"/>
    <s v="Sneakers"/>
    <s v="1"/>
    <s v="1152.53"/>
    <n v="0.2"/>
    <s v="709.87"/>
    <s v="212.15"/>
    <x v="1"/>
    <x v="0"/>
    <s v="Website"/>
    <n v="922.024"/>
  </r>
  <r>
    <s v="ORD100490"/>
    <x v="11"/>
    <s v="25-10-2025"/>
    <s v="CUST12301"/>
    <s v="Home Office"/>
    <s v="West Bengal"/>
    <x v="9"/>
    <x v="1"/>
    <s v="Shampoo"/>
    <s v="4"/>
    <s v="5217.05"/>
    <n v="0.05"/>
    <s v="16802"/>
    <s v="3022.79"/>
    <x v="2"/>
    <x v="1"/>
    <s v="Website"/>
    <n v="19824.79"/>
  </r>
  <r>
    <s v="ORD100491"/>
    <x v="9"/>
    <s v="21-06-2025"/>
    <s v="CUST11388"/>
    <s v="Consumer"/>
    <s v="Tamil Nadu"/>
    <x v="8"/>
    <x v="1"/>
    <s v="Hair Dryer"/>
    <s v="4"/>
    <s v="4308.83"/>
    <n v="0.05"/>
    <s v="10695.95"/>
    <s v="5677.6"/>
    <x v="1"/>
    <x v="0"/>
    <s v="Marketplace"/>
    <n v="16373.5539999999"/>
  </r>
  <r>
    <s v="ORD100492"/>
    <x v="11"/>
    <s v="22-10-2025"/>
    <s v="CUST12481"/>
    <s v="Home Office"/>
    <s v="Tamil Nadu"/>
    <x v="13"/>
    <x v="3"/>
    <s v="Air Fryer"/>
    <s v="1"/>
    <s v="13117.77"/>
    <n v="0.15"/>
    <s v="9498.69"/>
    <s v="1651.41"/>
    <x v="2"/>
    <x v="0"/>
    <s v="Marketplace"/>
    <n v="11150.104499999999"/>
  </r>
  <r>
    <s v="ORD100493"/>
    <x v="0"/>
    <s v="02-01-2025"/>
    <s v="CUST13140"/>
    <s v="Home Office"/>
    <s v="Maharashtra"/>
    <x v="21"/>
    <x v="3"/>
    <s v="Mixer Grinder"/>
    <s v="4"/>
    <s v="1652.34"/>
    <n v="0"/>
    <s v="4790.55"/>
    <s v="1818.81"/>
    <x v="0"/>
    <x v="2"/>
    <s v="Website"/>
    <n v="6609.36"/>
  </r>
  <r>
    <s v="ORD100494"/>
    <x v="7"/>
    <s v="16-05-2025"/>
    <s v="CUST12488"/>
    <s v="Home Office"/>
    <s v="Delhi"/>
    <x v="12"/>
    <x v="2"/>
    <s v="Handbag"/>
    <s v="3"/>
    <s v="6207.43"/>
    <n v="0.05"/>
    <s v="10928.18"/>
    <s v="6763"/>
    <x v="1"/>
    <x v="0"/>
    <s v="Mobile App"/>
    <n v="17691.175500000001"/>
  </r>
  <r>
    <s v="ORD100495"/>
    <x v="4"/>
    <s v="09-04-2025"/>
    <s v="CUST10967"/>
    <s v="Corporate"/>
    <s v="Kerala"/>
    <x v="5"/>
    <x v="2"/>
    <s v="Sneakers"/>
    <s v="1"/>
    <s v="2739.42"/>
    <n v="0"/>
    <s v="1705.51"/>
    <s v="1033.9100000000001"/>
    <x v="2"/>
    <x v="0"/>
    <s v="Website"/>
    <n v="2739.42"/>
  </r>
  <r>
    <s v="ORD100496"/>
    <x v="11"/>
    <s v="01-10-2025"/>
    <s v="CUST10231"/>
    <s v="Corporate"/>
    <s v="Telangana"/>
    <x v="14"/>
    <x v="2"/>
    <s v="Handbag"/>
    <s v="3"/>
    <s v="4677.6099999999997"/>
    <n v="0.15"/>
    <s v="7800.04"/>
    <s v="4127.87"/>
    <x v="2"/>
    <x v="0"/>
    <s v="Website"/>
    <n v="11927.905499999901"/>
  </r>
  <r>
    <s v="ORD100497"/>
    <x v="10"/>
    <s v="10-11-2025"/>
    <s v="CUST13095"/>
    <s v="Home Office"/>
    <s v="Kerala"/>
    <x v="5"/>
    <x v="3"/>
    <s v="Mixer Grinder"/>
    <s v="1"/>
    <s v="4605.0600000000004"/>
    <n v="0.05"/>
    <s v="2587.88"/>
    <s v="1786.93"/>
    <x v="5"/>
    <x v="0"/>
    <s v="Marketplace"/>
    <n v="4374.8069999999998"/>
  </r>
  <r>
    <s v="ORD100498"/>
    <x v="2"/>
    <s v="26-12-2025"/>
    <s v="CUST11005"/>
    <s v="Corporate"/>
    <s v="Tamil Nadu"/>
    <x v="13"/>
    <x v="0"/>
    <s v="Headphones"/>
    <s v="1"/>
    <s v="65979.95"/>
    <n v="0.1"/>
    <s v="50053.23"/>
    <s v="9328.73"/>
    <x v="1"/>
    <x v="0"/>
    <s v="Website"/>
    <n v="59381.955000000002"/>
  </r>
  <r>
    <s v="ORD100499"/>
    <x v="6"/>
    <s v="06-07-2025"/>
    <s v="CUST13018"/>
    <s v="Corporate"/>
    <s v="Telangana"/>
    <x v="14"/>
    <x v="0"/>
    <s v="Smartphone"/>
    <s v="2"/>
    <s v="41731.440000000002"/>
    <n v="0.1"/>
    <s v="52976.21"/>
    <s v="22140.38"/>
    <x v="5"/>
    <x v="0"/>
    <s v="Marketplace"/>
    <n v="75116.592000000004"/>
  </r>
  <r>
    <s v="ORD100500"/>
    <x v="1"/>
    <s v="21-02-2025"/>
    <s v="CUST13267"/>
    <s v="Corporate"/>
    <s v="Telangana"/>
    <x v="16"/>
    <x v="4"/>
    <s v="Fitness Band"/>
    <s v="3"/>
    <s v="11851.18"/>
    <n v="0.05"/>
    <s v="20116.87"/>
    <s v="13658.99"/>
    <x v="0"/>
    <x v="0"/>
    <s v="Marketplace"/>
    <n v="33775.862999999998"/>
  </r>
  <r>
    <s v="ORD100501"/>
    <x v="11"/>
    <s v="15-10-2025"/>
    <s v="CUST11651"/>
    <s v="Corporate"/>
    <s v="Delhi"/>
    <x v="7"/>
    <x v="2"/>
    <s v="Jacket"/>
    <s v="2"/>
    <s v="1135.01"/>
    <n v="0.1"/>
    <s v="1783.88"/>
    <s v="259.14"/>
    <x v="5"/>
    <x v="0"/>
    <s v="Mobile App"/>
    <n v="2043.018"/>
  </r>
  <r>
    <s v="ORD100503"/>
    <x v="4"/>
    <s v="13-04-2025"/>
    <s v="CUST10108"/>
    <s v="Consumer"/>
    <s v="Maharashtra"/>
    <x v="4"/>
    <x v="2"/>
    <s v="T-Shirt"/>
    <s v="1"/>
    <s v="5468.77"/>
    <n v="0.1"/>
    <s v="3548.88"/>
    <s v="1373.01"/>
    <x v="0"/>
    <x v="2"/>
    <s v="Marketplace"/>
    <n v="4921.893"/>
  </r>
  <r>
    <s v="ORD100504"/>
    <x v="7"/>
    <s v="09-05-2025"/>
    <s v="CUST12998"/>
    <s v="Consumer"/>
    <s v="Karnataka"/>
    <x v="17"/>
    <x v="2"/>
    <s v="Handbag"/>
    <s v="2"/>
    <s v="2512.38"/>
    <n v="0.05"/>
    <s v="3738.23"/>
    <s v="1035.29"/>
    <x v="0"/>
    <x v="0"/>
    <s v="Marketplace"/>
    <n v="4773.5219999999999"/>
  </r>
  <r>
    <s v="ORD100506"/>
    <x v="3"/>
    <s v="31-03-2025"/>
    <s v="CUST13138"/>
    <s v="Corporate"/>
    <s v="Gujarat"/>
    <x v="3"/>
    <x v="0"/>
    <s v="Headphones"/>
    <s v="1"/>
    <s v="44040.68"/>
    <n v="0"/>
    <s v="24300.46"/>
    <s v="19740.22"/>
    <x v="3"/>
    <x v="0"/>
    <s v="Website"/>
    <n v="44040.68"/>
  </r>
  <r>
    <s v="ORD100507"/>
    <x v="5"/>
    <s v="29-09-2025"/>
    <s v="CUST11216"/>
    <s v="Corporate"/>
    <s v="Gujarat"/>
    <x v="18"/>
    <x v="2"/>
    <s v="Jeans"/>
    <s v="1"/>
    <s v="2571.38"/>
    <n v="0.1"/>
    <s v="1445.42"/>
    <s v="868.82"/>
    <x v="1"/>
    <x v="0"/>
    <s v="Marketplace"/>
    <n v="2314.2420000000002"/>
  </r>
  <r>
    <s v="ORD100508"/>
    <x v="10"/>
    <s v="23-11-2025"/>
    <s v="CUST12344"/>
    <s v="Corporate"/>
    <s v="Telangana"/>
    <x v="16"/>
    <x v="4"/>
    <s v="Cricket Bat"/>
    <s v="2"/>
    <s v="7427.03"/>
    <n v="0.1"/>
    <s v="9372.25"/>
    <s v="3996.4"/>
    <x v="0"/>
    <x v="1"/>
    <s v="Mobile App"/>
    <n v="13368.654"/>
  </r>
  <r>
    <s v="ORD100509"/>
    <x v="1"/>
    <s v="23-02-2025"/>
    <s v="CUST13045"/>
    <s v="Corporate"/>
    <s v="Tamil Nadu"/>
    <x v="19"/>
    <x v="0"/>
    <s v="Smartwatch"/>
    <s v="3"/>
    <s v="19645.810000000001"/>
    <n v="0.1"/>
    <s v="45139.59"/>
    <s v="7904.1"/>
    <x v="3"/>
    <x v="0"/>
    <s v="Marketplace"/>
    <n v="53043.686999999998"/>
  </r>
  <r>
    <s v="ORD100510"/>
    <x v="7"/>
    <s v="03-05-2025"/>
    <s v="CUST12379"/>
    <s v="Consumer"/>
    <s v="Maharashtra"/>
    <x v="20"/>
    <x v="0"/>
    <s v="Tablet"/>
    <s v="2"/>
    <s v="39770.480000000003"/>
    <n v="0.05"/>
    <s v="48945.82"/>
    <s v="26618.09"/>
    <x v="0"/>
    <x v="0"/>
    <s v="Website"/>
    <n v="75563.911999999997"/>
  </r>
  <r>
    <s v="ORD100511"/>
    <x v="6"/>
    <s v="28-07-2025"/>
    <s v="CUST10350"/>
    <s v="Corporate"/>
    <s v="Tamil Nadu"/>
    <x v="8"/>
    <x v="0"/>
    <s v="Laptop"/>
    <s v="3"/>
    <s v="74252.58"/>
    <n v="0.05"/>
    <s v="125986.78"/>
    <s v="85633.07"/>
    <x v="1"/>
    <x v="0"/>
    <s v="Marketplace"/>
    <n v="211619.85299999901"/>
  </r>
  <r>
    <s v="ORD100512"/>
    <x v="3"/>
    <s v="11-03-2025"/>
    <s v="CUST10301"/>
    <s v="Consumer"/>
    <s v="Maharashtra"/>
    <x v="21"/>
    <x v="0"/>
    <s v="Headphones"/>
    <s v="3"/>
    <s v="24961.84"/>
    <n v="0"/>
    <s v="54902"/>
    <s v="19983.52"/>
    <x v="5"/>
    <x v="0"/>
    <s v="Marketplace"/>
    <n v="74885.52"/>
  </r>
  <r>
    <s v="ORD100513"/>
    <x v="5"/>
    <s v="14-09-2025"/>
    <s v="CUST12632"/>
    <s v="Consumer"/>
    <s v="Tamil Nadu"/>
    <x v="11"/>
    <x v="2"/>
    <s v="T-Shirt"/>
    <s v="1"/>
    <s v="2284.0700000000002"/>
    <n v="0.15"/>
    <s v="1790.31"/>
    <s v="151.15"/>
    <x v="0"/>
    <x v="0"/>
    <s v="Website"/>
    <n v="1941.4594999999999"/>
  </r>
  <r>
    <s v="ORD100514"/>
    <x v="5"/>
    <s v="27-09-2025"/>
    <s v="CUST10800"/>
    <s v="Home Office"/>
    <s v="Telangana"/>
    <x v="16"/>
    <x v="3"/>
    <s v="Cookware Set"/>
    <s v="1"/>
    <s v="16673.05"/>
    <n v="0"/>
    <s v="10744.98"/>
    <s v="5928.07"/>
    <x v="1"/>
    <x v="0"/>
    <s v="Website"/>
    <n v="16673.05"/>
  </r>
  <r>
    <s v="ORD100515"/>
    <x v="4"/>
    <s v="08-04-2025"/>
    <s v="CUST11547"/>
    <s v="Home Office"/>
    <s v="Gujarat"/>
    <x v="10"/>
    <x v="2"/>
    <s v="Sneakers"/>
    <s v="1"/>
    <s v="6861.31"/>
    <n v="0"/>
    <s v="5147.62"/>
    <s v="1713.69"/>
    <x v="2"/>
    <x v="0"/>
    <s v="Website"/>
    <n v="6861.31"/>
  </r>
  <r>
    <s v="ORD100516"/>
    <x v="0"/>
    <s v="08-01-2025"/>
    <s v="CUST12661"/>
    <s v="Consumer"/>
    <s v="Telangana"/>
    <x v="14"/>
    <x v="2"/>
    <s v="Jacket"/>
    <s v="1"/>
    <s v="5322.15"/>
    <n v="0.1"/>
    <s v="3307.54"/>
    <s v="1482.39"/>
    <x v="3"/>
    <x v="2"/>
    <s v="Website"/>
    <n v="4789.9349999999904"/>
  </r>
  <r>
    <s v="ORD100517"/>
    <x v="9"/>
    <s v="20-06-2025"/>
    <s v="CUST11442"/>
    <s v="Consumer"/>
    <s v="Telangana"/>
    <x v="14"/>
    <x v="2"/>
    <s v="Jacket"/>
    <s v="1"/>
    <s v="622.77"/>
    <n v="0.15"/>
    <s v="490.03"/>
    <s v="39.32"/>
    <x v="0"/>
    <x v="0"/>
    <s v="Website"/>
    <n v="529.35449999999901"/>
  </r>
  <r>
    <s v="ORD100518"/>
    <x v="0"/>
    <s v="11-01-2025"/>
    <s v="CUST10772"/>
    <s v="Corporate"/>
    <s v="Kerala"/>
    <x v="5"/>
    <x v="0"/>
    <s v="Laptop"/>
    <s v="1"/>
    <s v="20503.189999999999"/>
    <n v="0.15"/>
    <s v="16333.07"/>
    <s v="1094.6400000000001"/>
    <x v="1"/>
    <x v="0"/>
    <s v="Website"/>
    <n v="17427.711499999899"/>
  </r>
  <r>
    <s v="ORD100519"/>
    <x v="10"/>
    <s v="20-11-2025"/>
    <s v="CUST11969"/>
    <s v="Consumer"/>
    <s v="West Bengal"/>
    <x v="9"/>
    <x v="2"/>
    <s v="Handbag"/>
    <s v="1"/>
    <s v="4485.87"/>
    <n v="0"/>
    <s v="2788.66"/>
    <s v="1697.21"/>
    <x v="1"/>
    <x v="2"/>
    <s v="Website"/>
    <n v="4485.87"/>
  </r>
  <r>
    <s v="ORD100520"/>
    <x v="6"/>
    <s v="24-07-2025"/>
    <s v="CUST10961"/>
    <s v="Corporate"/>
    <s v="West Bengal"/>
    <x v="9"/>
    <x v="3"/>
    <s v="Cookware Set"/>
    <s v="2"/>
    <s v="14018.8"/>
    <n v="0.05"/>
    <s v="21444.57"/>
    <s v="5191.1499999999996"/>
    <x v="0"/>
    <x v="0"/>
    <s v="Website"/>
    <n v="26635.719999999899"/>
  </r>
  <r>
    <s v="ORD100521"/>
    <x v="5"/>
    <s v="11-09-2025"/>
    <s v="CUST12120"/>
    <s v="Consumer"/>
    <s v="Delhi"/>
    <x v="7"/>
    <x v="0"/>
    <s v="Headphones"/>
    <s v="4"/>
    <s v="21639.41"/>
    <n v="0.2"/>
    <s v="52656.04"/>
    <s v="16590.07"/>
    <x v="3"/>
    <x v="2"/>
    <s v="Mobile App"/>
    <n v="69246.111999999994"/>
  </r>
  <r>
    <s v="ORD100522"/>
    <x v="0"/>
    <s v="11-01-2025"/>
    <s v="CUST11225"/>
    <s v="Corporate"/>
    <s v="Gujarat"/>
    <x v="18"/>
    <x v="3"/>
    <s v="Cookware Set"/>
    <s v="1"/>
    <s v="1962.42"/>
    <n v="0.1"/>
    <s v="1336.03"/>
    <s v="430.15"/>
    <x v="5"/>
    <x v="0"/>
    <s v="Website"/>
    <n v="1766.1780000000001"/>
  </r>
  <r>
    <s v="ORD100523"/>
    <x v="2"/>
    <s v="19-12-2025"/>
    <s v="CUST11307"/>
    <s v="Corporate"/>
    <s v="Tamil Nadu"/>
    <x v="1"/>
    <x v="4"/>
    <s v="Running Shoes"/>
    <s v="2"/>
    <s v="8495"/>
    <n v="0.1"/>
    <s v="11827.42"/>
    <s v="3463.58"/>
    <x v="0"/>
    <x v="0"/>
    <s v="Mobile App"/>
    <n v="15291"/>
  </r>
  <r>
    <s v="ORD100524"/>
    <x v="9"/>
    <s v="09-06-2025"/>
    <s v="CUST10696"/>
    <s v="Consumer"/>
    <s v="West Bengal"/>
    <x v="0"/>
    <x v="0"/>
    <s v="Tablet"/>
    <s v="1"/>
    <s v="52044.69"/>
    <n v="0.1"/>
    <s v="31100.82"/>
    <s v="15739.4"/>
    <x v="2"/>
    <x v="0"/>
    <s v="Mobile App"/>
    <n v="46840.220999999998"/>
  </r>
  <r>
    <s v="ORD100525"/>
    <x v="4"/>
    <s v="05-04-2025"/>
    <s v="CUST10890"/>
    <s v="Corporate"/>
    <s v="Karnataka"/>
    <x v="22"/>
    <x v="3"/>
    <s v="Coffee Maker"/>
    <s v="2"/>
    <s v="9501.11"/>
    <n v="0"/>
    <s v="11038.82"/>
    <s v="7963.4"/>
    <x v="1"/>
    <x v="3"/>
    <s v="Marketplace"/>
    <n v="19002.22"/>
  </r>
  <r>
    <s v="ORD100526"/>
    <x v="0"/>
    <s v="15-01-2025"/>
    <s v="CUST12572"/>
    <s v="Consumer"/>
    <s v="Delhi"/>
    <x v="7"/>
    <x v="2"/>
    <s v="Sneakers"/>
    <s v="1"/>
    <s v="5895.33"/>
    <n v="0.15"/>
    <s v="4746.08"/>
    <s v="264.95"/>
    <x v="3"/>
    <x v="0"/>
    <s v="Website"/>
    <n v="5011.0304999999998"/>
  </r>
  <r>
    <s v="ORD100527"/>
    <x v="8"/>
    <s v="09-08-2025"/>
    <s v="CUST10776"/>
    <s v="Consumer"/>
    <s v="Maharashtra"/>
    <x v="4"/>
    <x v="2"/>
    <s v="T-Shirt"/>
    <s v="1"/>
    <s v="4552.7"/>
    <n v="0.1"/>
    <s v="3124.1"/>
    <s v="973.33"/>
    <x v="0"/>
    <x v="0"/>
    <s v="Mobile App"/>
    <n v="4097.43"/>
  </r>
  <r>
    <s v="ORD100528"/>
    <x v="10"/>
    <s v="08-11-2025"/>
    <s v="CUST11082"/>
    <s v="Corporate"/>
    <s v="Tamil Nadu"/>
    <x v="1"/>
    <x v="4"/>
    <s v="Fitness Band"/>
    <s v="3"/>
    <s v="3130.44"/>
    <n v="0.1"/>
    <s v="6002.08"/>
    <s v="2450.11"/>
    <x v="3"/>
    <x v="0"/>
    <s v="Website"/>
    <n v="8452.1880000000001"/>
  </r>
  <r>
    <s v="ORD100529"/>
    <x v="5"/>
    <s v="03-09-2025"/>
    <s v="CUST12670"/>
    <s v="Corporate"/>
    <s v="Tamil Nadu"/>
    <x v="1"/>
    <x v="3"/>
    <s v="Cookware Set"/>
    <s v="2"/>
    <s v="15041.39"/>
    <n v="0"/>
    <s v="24321.439999999999"/>
    <s v="5761.34"/>
    <x v="1"/>
    <x v="0"/>
    <s v="Marketplace"/>
    <n v="30082.78"/>
  </r>
  <r>
    <s v="ORD100530"/>
    <x v="4"/>
    <s v="18-04-2025"/>
    <s v="CUST12392"/>
    <s v="Home Office"/>
    <s v="Maharashtra"/>
    <x v="4"/>
    <x v="0"/>
    <s v="Tablet"/>
    <s v="1"/>
    <s v="38760.86"/>
    <n v="0.15"/>
    <s v="23235.07"/>
    <s v="9711.66"/>
    <x v="2"/>
    <x v="0"/>
    <s v="Website"/>
    <n v="32946.731"/>
  </r>
  <r>
    <s v="ORD100531"/>
    <x v="5"/>
    <s v="21-09-2025"/>
    <s v="CUST10840"/>
    <s v="Consumer"/>
    <s v="West Bengal"/>
    <x v="9"/>
    <x v="3"/>
    <s v="Mixer Grinder"/>
    <s v="1"/>
    <s v="13049.65"/>
    <n v="0.05"/>
    <s v="10236.26"/>
    <s v="2160.91"/>
    <x v="0"/>
    <x v="0"/>
    <s v="Mobile App"/>
    <n v="12397.1675"/>
  </r>
  <r>
    <s v="ORD100533"/>
    <x v="7"/>
    <s v="20-05-2025"/>
    <s v="CUST10952"/>
    <s v="Corporate"/>
    <s v="Kerala"/>
    <x v="5"/>
    <x v="2"/>
    <s v="Handbag"/>
    <s v="2"/>
    <s v="3982.95"/>
    <n v="0"/>
    <s v="6427.73"/>
    <s v="1538.17"/>
    <x v="5"/>
    <x v="0"/>
    <s v="Website"/>
    <n v="7965.9"/>
  </r>
  <r>
    <s v="ORD100534"/>
    <x v="10"/>
    <s v="11-11-2025"/>
    <s v="CUST11334"/>
    <s v="Home Office"/>
    <s v="Karnataka"/>
    <x v="2"/>
    <x v="0"/>
    <s v="Tablet"/>
    <s v="2"/>
    <s v="49161.35"/>
    <n v="0.1"/>
    <s v="75046.460000000006"/>
    <s v="13443.97"/>
    <x v="3"/>
    <x v="0"/>
    <s v="Mobile App"/>
    <n v="88490.43"/>
  </r>
  <r>
    <s v="ORD100536"/>
    <x v="2"/>
    <s v="25-12-2025"/>
    <s v="CUST10168"/>
    <s v="Home Office"/>
    <s v="Maharashtra"/>
    <x v="21"/>
    <x v="0"/>
    <s v="Smartphone"/>
    <s v="2"/>
    <s v="49154.44"/>
    <n v="0.1"/>
    <s v="61927.75"/>
    <s v="26550.240000000002"/>
    <x v="3"/>
    <x v="0"/>
    <s v="Website"/>
    <n v="88477.991999999998"/>
  </r>
  <r>
    <s v="ORD100537"/>
    <x v="1"/>
    <s v="01-02-2025"/>
    <s v="CUST11198"/>
    <s v="Consumer"/>
    <s v="Telangana"/>
    <x v="16"/>
    <x v="3"/>
    <s v="Mixer Grinder"/>
    <s v="1"/>
    <s v="3449.83"/>
    <n v="0"/>
    <s v="1946.68"/>
    <s v="1503.15"/>
    <x v="2"/>
    <x v="0"/>
    <s v="Mobile App"/>
    <n v="3449.83"/>
  </r>
  <r>
    <s v="ORD100538"/>
    <x v="1"/>
    <s v="25-02-2025"/>
    <s v="CUST12803"/>
    <s v="Consumer"/>
    <s v="West Bengal"/>
    <x v="9"/>
    <x v="2"/>
    <s v="T-Shirt"/>
    <s v="1"/>
    <s v="6697.11"/>
    <n v="0"/>
    <s v="4829.71"/>
    <s v="1867.4"/>
    <x v="2"/>
    <x v="0"/>
    <s v="Website"/>
    <n v="6697.11"/>
  </r>
  <r>
    <s v="ORD100539"/>
    <x v="10"/>
    <s v="20-11-2025"/>
    <s v="CUST13442"/>
    <s v="Home Office"/>
    <s v="Delhi"/>
    <x v="12"/>
    <x v="1"/>
    <s v="Lipstick"/>
    <s v="1"/>
    <s v="3175.37"/>
    <n v="0.05"/>
    <s v="2535.5100000000002"/>
    <s v="481.09"/>
    <x v="5"/>
    <x v="0"/>
    <s v="Marketplace"/>
    <n v="3016.6014999999902"/>
  </r>
  <r>
    <s v="ORD100540"/>
    <x v="4"/>
    <s v="08-04-2025"/>
    <s v="CUST12371"/>
    <s v="Consumer"/>
    <s v="Delhi"/>
    <x v="7"/>
    <x v="3"/>
    <s v="Vacuum Cleaner"/>
    <s v="2"/>
    <s v="650.98"/>
    <n v="0.1"/>
    <s v="731.48"/>
    <s v="440.28"/>
    <x v="5"/>
    <x v="0"/>
    <s v="Marketplace"/>
    <n v="1171.7639999999999"/>
  </r>
  <r>
    <s v="ORD100541"/>
    <x v="7"/>
    <s v="31-05-2025"/>
    <s v="CUST11762"/>
    <s v="Corporate"/>
    <s v="West Bengal"/>
    <x v="0"/>
    <x v="4"/>
    <s v="Football"/>
    <s v="1"/>
    <s v="1122.81"/>
    <n v="0"/>
    <s v="711.86"/>
    <s v="410.95"/>
    <x v="5"/>
    <x v="2"/>
    <s v="Mobile App"/>
    <n v="1122.81"/>
  </r>
  <r>
    <s v="ORD100542"/>
    <x v="11"/>
    <s v="31-10-2025"/>
    <s v="CUST11555"/>
    <s v="Home Office"/>
    <s v="Maharashtra"/>
    <x v="21"/>
    <x v="3"/>
    <s v="Mixer Grinder"/>
    <s v="2"/>
    <s v="11516.64"/>
    <n v="0"/>
    <s v="13876.26"/>
    <s v="9157.02"/>
    <x v="1"/>
    <x v="0"/>
    <s v="Mobile App"/>
    <n v="23033.279999999999"/>
  </r>
  <r>
    <s v="ORD100543"/>
    <x v="0"/>
    <s v="05-01-2025"/>
    <s v="CUST10630"/>
    <s v="Consumer"/>
    <s v="Maharashtra"/>
    <x v="4"/>
    <x v="1"/>
    <s v="Hair Dryer"/>
    <s v="3"/>
    <s v="3951.96"/>
    <n v="0"/>
    <s v="8515.24"/>
    <s v="3340.64"/>
    <x v="4"/>
    <x v="0"/>
    <s v="Website"/>
    <n v="11855.88"/>
  </r>
  <r>
    <s v="ORD100544"/>
    <x v="1"/>
    <s v="06-02-2025"/>
    <s v="CUST12474"/>
    <s v="Corporate"/>
    <s v="Kerala"/>
    <x v="6"/>
    <x v="3"/>
    <s v="Vacuum Cleaner"/>
    <s v="1"/>
    <s v="12143.8"/>
    <n v="0"/>
    <s v="6923.93"/>
    <s v="5219.87"/>
    <x v="5"/>
    <x v="3"/>
    <s v="Marketplace"/>
    <n v="12143.8"/>
  </r>
  <r>
    <s v="ORD100545"/>
    <x v="5"/>
    <s v="27-09-2025"/>
    <s v="CUST10131"/>
    <s v="Home Office"/>
    <s v="Maharashtra"/>
    <x v="20"/>
    <x v="2"/>
    <s v="T-Shirt"/>
    <s v="2"/>
    <s v="2881.89"/>
    <n v="0.15"/>
    <s v="3270.92"/>
    <s v="1628.29"/>
    <x v="2"/>
    <x v="0"/>
    <s v="Mobile App"/>
    <n v="4899.2129999999997"/>
  </r>
  <r>
    <s v="ORD100546"/>
    <x v="4"/>
    <s v="14-04-2025"/>
    <s v="CUST12874"/>
    <s v="Home Office"/>
    <s v="Gujarat"/>
    <x v="10"/>
    <x v="0"/>
    <s v="Smartwatch"/>
    <s v="3"/>
    <s v="57637.72"/>
    <n v="0.05"/>
    <s v="131497.26"/>
    <s v="32770.239999999998"/>
    <x v="5"/>
    <x v="3"/>
    <s v="Website"/>
    <n v="164267.50200000001"/>
  </r>
  <r>
    <s v="ORD100547"/>
    <x v="0"/>
    <s v="06-01-2025"/>
    <s v="CUST11466"/>
    <s v="Consumer"/>
    <s v="Telangana"/>
    <x v="14"/>
    <x v="4"/>
    <s v="Cricket Bat"/>
    <s v="1"/>
    <s v="10454.51"/>
    <n v="0"/>
    <s v="8320.85"/>
    <s v="2133.66"/>
    <x v="2"/>
    <x v="0"/>
    <s v="Website"/>
    <n v="10454.51"/>
  </r>
  <r>
    <s v="ORD100548"/>
    <x v="6"/>
    <s v="11-07-2025"/>
    <s v="CUST11057"/>
    <s v="Consumer"/>
    <s v="Maharashtra"/>
    <x v="20"/>
    <x v="1"/>
    <s v="Perfume"/>
    <s v="1"/>
    <s v="1229.4100000000001"/>
    <n v="0.05"/>
    <s v="887.28"/>
    <s v="280.66000000000003"/>
    <x v="5"/>
    <x v="0"/>
    <s v="Mobile App"/>
    <n v="1167.9395"/>
  </r>
  <r>
    <s v="ORD100549"/>
    <x v="6"/>
    <s v="04-07-2025"/>
    <s v="CUST11848"/>
    <s v="Consumer"/>
    <s v="West Bengal"/>
    <x v="9"/>
    <x v="2"/>
    <s v="Sneakers"/>
    <s v="2"/>
    <s v="4326.24"/>
    <n v="0"/>
    <s v="5332.95"/>
    <s v="3319.53"/>
    <x v="5"/>
    <x v="0"/>
    <s v="Mobile App"/>
    <n v="8652.48"/>
  </r>
  <r>
    <s v="ORD100550"/>
    <x v="10"/>
    <s v="10-11-2025"/>
    <s v="CUST12879"/>
    <s v="Consumer"/>
    <s v="Delhi"/>
    <x v="12"/>
    <x v="3"/>
    <s v="Vacuum Cleaner"/>
    <s v="1"/>
    <s v="10063.790000000001"/>
    <n v="0.15"/>
    <s v="6283.41"/>
    <s v="2270.81"/>
    <x v="0"/>
    <x v="2"/>
    <s v="Mobile App"/>
    <n v="8554.2214999999997"/>
  </r>
  <r>
    <s v="ORD100551"/>
    <x v="9"/>
    <s v="13-06-2025"/>
    <s v="CUST11067"/>
    <s v="Corporate"/>
    <s v="Maharashtra"/>
    <x v="21"/>
    <x v="3"/>
    <s v="Mixer Grinder"/>
    <s v="1"/>
    <s v="11191.67"/>
    <n v="0.1"/>
    <s v="6883.4"/>
    <s v="3189.1"/>
    <x v="2"/>
    <x v="0"/>
    <s v="Mobile App"/>
    <n v="10072.503000000001"/>
  </r>
  <r>
    <s v="ORD100552"/>
    <x v="7"/>
    <s v="16-05-2025"/>
    <s v="CUST13122"/>
    <s v="Home Office"/>
    <s v="West Bengal"/>
    <x v="9"/>
    <x v="0"/>
    <s v="Smartphone"/>
    <s v="3"/>
    <s v="35728.879999999997"/>
    <n v="0"/>
    <s v="83093.240000000005"/>
    <s v="24093.4"/>
    <x v="5"/>
    <x v="0"/>
    <s v="Website"/>
    <n v="107186.639999999"/>
  </r>
  <r>
    <s v="ORD100553"/>
    <x v="0"/>
    <s v="25-01-2025"/>
    <s v="CUST11114"/>
    <s v="Home Office"/>
    <s v="Delhi"/>
    <x v="7"/>
    <x v="1"/>
    <s v="Shampoo"/>
    <s v="1"/>
    <s v="1964.46"/>
    <n v="0.1"/>
    <s v="1551.27"/>
    <s v="216.74"/>
    <x v="2"/>
    <x v="0"/>
    <s v="Marketplace"/>
    <n v="1768.0139999999999"/>
  </r>
  <r>
    <s v="ORD100554"/>
    <x v="10"/>
    <s v="12-11-2025"/>
    <s v="CUST10417"/>
    <s v="Consumer"/>
    <s v="Tamil Nadu"/>
    <x v="11"/>
    <x v="2"/>
    <s v="T-Shirt"/>
    <s v="1"/>
    <s v="1251.1400000000001"/>
    <n v="0.1"/>
    <s v="942.92"/>
    <s v="183.11"/>
    <x v="2"/>
    <x v="0"/>
    <s v="Mobile App"/>
    <n v="1126.0260000000001"/>
  </r>
  <r>
    <s v="ORD100555"/>
    <x v="3"/>
    <s v="12-03-2025"/>
    <s v="CUST11865"/>
    <s v="Home Office"/>
    <s v="Gujarat"/>
    <x v="3"/>
    <x v="0"/>
    <s v="Smartwatch"/>
    <s v="3"/>
    <s v="71101.929999999993"/>
    <n v="0.1"/>
    <s v="142567.39000000001"/>
    <s v="49407.82"/>
    <x v="3"/>
    <x v="0"/>
    <s v="Mobile App"/>
    <n v="191975.21099999899"/>
  </r>
  <r>
    <s v="ORD100556"/>
    <x v="0"/>
    <s v="01-01-2025"/>
    <s v="CUST10647"/>
    <s v="Home Office"/>
    <s v="Kerala"/>
    <x v="15"/>
    <x v="3"/>
    <s v="Coffee Maker"/>
    <s v="3"/>
    <s v="8650.68"/>
    <n v="0.05"/>
    <s v="16039.94"/>
    <s v="8614.5"/>
    <x v="0"/>
    <x v="0"/>
    <s v="Marketplace"/>
    <n v="24654.437999999998"/>
  </r>
  <r>
    <s v="ORD100558"/>
    <x v="3"/>
    <s v="24-03-2025"/>
    <s v="CUST11958"/>
    <s v="Corporate"/>
    <s v="Gujarat"/>
    <x v="18"/>
    <x v="2"/>
    <s v="Jeans"/>
    <s v="1"/>
    <s v="5478.47"/>
    <n v="0"/>
    <s v="3246.22"/>
    <s v="2232.25"/>
    <x v="2"/>
    <x v="2"/>
    <s v="Marketplace"/>
    <n v="5478.47"/>
  </r>
  <r>
    <s v="ORD100559"/>
    <x v="11"/>
    <s v="13-10-2025"/>
    <s v="CUST12639"/>
    <s v="Consumer"/>
    <s v="Karnataka"/>
    <x v="22"/>
    <x v="2"/>
    <s v="Sneakers"/>
    <s v="1"/>
    <s v="502.1"/>
    <n v="0.1"/>
    <s v="369.47"/>
    <s v="82.42"/>
    <x v="5"/>
    <x v="2"/>
    <s v="Website"/>
    <n v="451.89"/>
  </r>
  <r>
    <s v="ORD100561"/>
    <x v="0"/>
    <s v="14-01-2025"/>
    <s v="CUST10163"/>
    <s v="Corporate"/>
    <s v="Telangana"/>
    <x v="14"/>
    <x v="0"/>
    <s v="Laptop"/>
    <s v="4"/>
    <s v="38172.79"/>
    <n v="0.1"/>
    <s v="111478.39999999999"/>
    <s v="25943.64"/>
    <x v="0"/>
    <x v="2"/>
    <s v="Marketplace"/>
    <n v="137422.04399999999"/>
  </r>
  <r>
    <s v="ORD100565"/>
    <x v="10"/>
    <s v="21-11-2025"/>
    <s v="CUST11635"/>
    <s v="Consumer"/>
    <s v="Kerala"/>
    <x v="6"/>
    <x v="3"/>
    <s v="Cookware Set"/>
    <s v="1"/>
    <s v="13824.68"/>
    <n v="0"/>
    <s v="11286.87"/>
    <s v="2537.81"/>
    <x v="0"/>
    <x v="0"/>
    <s v="Mobile App"/>
    <n v="13824.68"/>
  </r>
  <r>
    <s v="ORD100566"/>
    <x v="9"/>
    <s v="16-06-2025"/>
    <s v="CUST13007"/>
    <s v="Consumer"/>
    <s v="Tamil Nadu"/>
    <x v="1"/>
    <x v="0"/>
    <s v="Laptop"/>
    <s v="1"/>
    <s v="27558.44"/>
    <n v="0.15"/>
    <s v="18574.419999999998"/>
    <s v="4850.25"/>
    <x v="2"/>
    <x v="0"/>
    <s v="Website"/>
    <n v="23424.673999999999"/>
  </r>
  <r>
    <s v="ORD100567"/>
    <x v="5"/>
    <s v="26-09-2025"/>
    <s v="CUST10020"/>
    <s v="Home Office"/>
    <s v="Delhi"/>
    <x v="7"/>
    <x v="2"/>
    <s v="Jacket"/>
    <s v="1"/>
    <s v="3118.87"/>
    <n v="0.2"/>
    <s v="2442.9499999999998"/>
    <s v="52.15"/>
    <x v="5"/>
    <x v="2"/>
    <s v="Marketplace"/>
    <n v="2495.096"/>
  </r>
  <r>
    <s v="ORD100568"/>
    <x v="6"/>
    <s v="20-07-2025"/>
    <s v="CUST11545"/>
    <s v="Home Office"/>
    <s v="Delhi"/>
    <x v="7"/>
    <x v="4"/>
    <s v="Running Shoes"/>
    <s v="1"/>
    <s v="6663.85"/>
    <n v="0.1"/>
    <s v="4776.33"/>
    <s v="1221.1300000000001"/>
    <x v="1"/>
    <x v="3"/>
    <s v="Marketplace"/>
    <n v="5997.4650000000001"/>
  </r>
  <r>
    <s v="ORD100571"/>
    <x v="7"/>
    <s v="20-05-2025"/>
    <s v="CUST10668"/>
    <s v="Consumer"/>
    <s v="Telangana"/>
    <x v="16"/>
    <x v="2"/>
    <s v="Handbag"/>
    <s v="1"/>
    <s v="459.26"/>
    <n v="0.1"/>
    <s v="255.95"/>
    <s v="157.38"/>
    <x v="3"/>
    <x v="0"/>
    <s v="Website"/>
    <n v="413.334"/>
  </r>
  <r>
    <s v="ORD100572"/>
    <x v="2"/>
    <s v="16-12-2025"/>
    <s v="CUST13436"/>
    <s v="Corporate"/>
    <s v="West Bengal"/>
    <x v="9"/>
    <x v="3"/>
    <s v="Vacuum Cleaner"/>
    <s v="1"/>
    <s v="3480"/>
    <n v="0.1"/>
    <s v="2019.81"/>
    <s v="1112.19"/>
    <x v="0"/>
    <x v="0"/>
    <s v="Website"/>
    <n v="3132"/>
  </r>
  <r>
    <s v="ORD100573"/>
    <x v="2"/>
    <s v="08-12-2025"/>
    <s v="CUST11875"/>
    <s v="Corporate"/>
    <s v="West Bengal"/>
    <x v="9"/>
    <x v="1"/>
    <s v="Face Cream"/>
    <s v="1"/>
    <s v="1654.12"/>
    <n v="0.05"/>
    <s v="916.98"/>
    <s v="654.42999999999995"/>
    <x v="3"/>
    <x v="0"/>
    <s v="Website"/>
    <n v="1571.41399999999"/>
  </r>
  <r>
    <s v="ORD100574"/>
    <x v="7"/>
    <s v="22-05-2025"/>
    <s v="CUST11263"/>
    <s v="Home Office"/>
    <s v="Delhi"/>
    <x v="7"/>
    <x v="3"/>
    <s v="Coffee Maker"/>
    <s v="3"/>
    <s v="11091.26"/>
    <n v="0.1"/>
    <s v="26407.52"/>
    <s v="3538.88"/>
    <x v="5"/>
    <x v="0"/>
    <s v="Mobile App"/>
    <n v="29946.401999999998"/>
  </r>
  <r>
    <s v="ORD100575"/>
    <x v="7"/>
    <s v="28-05-2025"/>
    <s v="CUST11747"/>
    <s v="Corporate"/>
    <s v="Telangana"/>
    <x v="16"/>
    <x v="4"/>
    <s v="Yoga Mat"/>
    <s v="1"/>
    <s v="2551.91"/>
    <n v="0"/>
    <s v="1976.01"/>
    <s v="575.9"/>
    <x v="5"/>
    <x v="3"/>
    <s v="Website"/>
    <n v="2551.91"/>
  </r>
  <r>
    <s v="ORD100576"/>
    <x v="11"/>
    <s v="06-10-2025"/>
    <s v="CUST10588"/>
    <s v="Consumer"/>
    <s v="Tamil Nadu"/>
    <x v="11"/>
    <x v="3"/>
    <s v="Vacuum Cleaner"/>
    <s v="1"/>
    <s v="5640.92"/>
    <n v="0"/>
    <s v="4596.55"/>
    <s v="1044.3699999999999"/>
    <x v="5"/>
    <x v="3"/>
    <s v="Website"/>
    <n v="5640.92"/>
  </r>
  <r>
    <s v="ORD100578"/>
    <x v="1"/>
    <s v="24-02-2025"/>
    <s v="CUST11392"/>
    <s v="Corporate"/>
    <s v="Telangana"/>
    <x v="14"/>
    <x v="2"/>
    <s v="Jacket"/>
    <s v="1"/>
    <s v="5263.97"/>
    <n v="0.05"/>
    <s v="3683.49"/>
    <s v="1317.28"/>
    <x v="5"/>
    <x v="0"/>
    <s v="Mobile App"/>
    <n v="5000.7714999999998"/>
  </r>
  <r>
    <s v="ORD100579"/>
    <x v="3"/>
    <s v="15-03-2025"/>
    <s v="CUST13472"/>
    <s v="Corporate"/>
    <s v="Kerala"/>
    <x v="5"/>
    <x v="0"/>
    <s v="Tablet"/>
    <s v="1"/>
    <s v="72499.41"/>
    <n v="0"/>
    <s v="41836.69"/>
    <s v="30662.720000000001"/>
    <x v="0"/>
    <x v="0"/>
    <s v="Website"/>
    <n v="72499.41"/>
  </r>
  <r>
    <s v="ORD100580"/>
    <x v="7"/>
    <s v="11-05-2025"/>
    <s v="CUST10223"/>
    <s v="Home Office"/>
    <s v="Kerala"/>
    <x v="5"/>
    <x v="4"/>
    <s v="Yoga Mat"/>
    <s v="2"/>
    <s v="5589.59"/>
    <n v="0"/>
    <s v="7530.78"/>
    <s v="3648.4"/>
    <x v="5"/>
    <x v="0"/>
    <s v="Website"/>
    <n v="11179.18"/>
  </r>
  <r>
    <s v="ORD100583"/>
    <x v="4"/>
    <s v="16-04-2025"/>
    <s v="CUST12775"/>
    <s v="Consumer"/>
    <s v="Telangana"/>
    <x v="16"/>
    <x v="0"/>
    <s v="Headphones"/>
    <s v="4"/>
    <s v="30292.45"/>
    <n v="0.1"/>
    <s v="70890.789999999994"/>
    <s v="38162.03"/>
    <x v="5"/>
    <x v="0"/>
    <s v="Mobile App"/>
    <n v="109052.82"/>
  </r>
  <r>
    <s v="ORD100584"/>
    <x v="6"/>
    <s v="03-07-2025"/>
    <s v="CUST13319"/>
    <s v="Corporate"/>
    <s v="West Bengal"/>
    <x v="9"/>
    <x v="2"/>
    <s v="Jeans"/>
    <s v="1"/>
    <s v="2480.96"/>
    <n v="0"/>
    <s v="1569.94"/>
    <s v="911.02"/>
    <x v="1"/>
    <x v="2"/>
    <s v="Marketplace"/>
    <n v="2480.96"/>
  </r>
  <r>
    <s v="ORD100585"/>
    <x v="2"/>
    <s v="06-12-2025"/>
    <s v="CUST10122"/>
    <s v="Home Office"/>
    <s v="West Bengal"/>
    <x v="0"/>
    <x v="4"/>
    <s v="Running Shoes"/>
    <s v="1"/>
    <s v="6963"/>
    <n v="0.2"/>
    <s v="5161.82"/>
    <s v="408.58"/>
    <x v="3"/>
    <x v="0"/>
    <s v="Website"/>
    <n v="5570.4"/>
  </r>
  <r>
    <s v="ORD100586"/>
    <x v="8"/>
    <s v="13-08-2025"/>
    <s v="CUST10633"/>
    <s v="Consumer"/>
    <s v="Delhi"/>
    <x v="12"/>
    <x v="3"/>
    <s v="Cookware Set"/>
    <s v="2"/>
    <s v="7650.08"/>
    <n v="0.2"/>
    <s v="12251.08"/>
    <s v="-10.95"/>
    <x v="2"/>
    <x v="0"/>
    <s v="Website"/>
    <n v="12240.128000000001"/>
  </r>
  <r>
    <s v="ORD100587"/>
    <x v="8"/>
    <s v="03-08-2025"/>
    <s v="CUST12090"/>
    <s v="Corporate"/>
    <s v="Kerala"/>
    <x v="6"/>
    <x v="2"/>
    <s v="T-Shirt"/>
    <s v="1"/>
    <s v="1262.2"/>
    <n v="0.1"/>
    <s v="992.92"/>
    <s v="143.06"/>
    <x v="2"/>
    <x v="0"/>
    <s v="Marketplace"/>
    <n v="1135.98"/>
  </r>
  <r>
    <s v="ORD100588"/>
    <x v="1"/>
    <s v="02-02-2025"/>
    <s v="CUST11574"/>
    <s v="Home Office"/>
    <s v="Tamil Nadu"/>
    <x v="19"/>
    <x v="0"/>
    <s v="Smartwatch"/>
    <s v="3"/>
    <s v="45228.7"/>
    <n v="0.15"/>
    <s v="93413.13"/>
    <s v="21920.05"/>
    <x v="2"/>
    <x v="0"/>
    <s v="Marketplace"/>
    <n v="115333.18499999899"/>
  </r>
  <r>
    <s v="ORD100590"/>
    <x v="2"/>
    <s v="05-12-2025"/>
    <s v="CUST12326"/>
    <s v="Home Office"/>
    <s v="Tamil Nadu"/>
    <x v="13"/>
    <x v="4"/>
    <s v="Cricket Bat"/>
    <s v="4"/>
    <s v="4955.6899999999996"/>
    <n v="0.05"/>
    <s v="12437.3"/>
    <s v="6394.32"/>
    <x v="5"/>
    <x v="0"/>
    <s v="Website"/>
    <n v="18831.621999999999"/>
  </r>
  <r>
    <s v="ORD100591"/>
    <x v="2"/>
    <s v="17-12-2025"/>
    <s v="CUST13160"/>
    <s v="Consumer"/>
    <s v="West Bengal"/>
    <x v="9"/>
    <x v="4"/>
    <s v="Fitness Band"/>
    <s v="2"/>
    <s v="9397.5"/>
    <n v="0.1"/>
    <s v="12968.92"/>
    <s v="3946.58"/>
    <x v="5"/>
    <x v="0"/>
    <s v="Website"/>
    <n v="16915.5"/>
  </r>
  <r>
    <s v="ORD100592"/>
    <x v="7"/>
    <s v="13-05-2025"/>
    <s v="CUST13276"/>
    <s v="Corporate"/>
    <s v="Gujarat"/>
    <x v="3"/>
    <x v="0"/>
    <s v="Smartwatch"/>
    <s v="1"/>
    <s v="68201.66"/>
    <n v="0.1"/>
    <s v="41923.49"/>
    <s v="19458"/>
    <x v="1"/>
    <x v="1"/>
    <s v="Marketplace"/>
    <n v="61381.493999999999"/>
  </r>
  <r>
    <s v="ORD100593"/>
    <x v="4"/>
    <s v="12-04-2025"/>
    <s v="CUST12528"/>
    <s v="Home Office"/>
    <s v="Kerala"/>
    <x v="5"/>
    <x v="0"/>
    <s v="Smartwatch"/>
    <s v="1"/>
    <s v="41529.29"/>
    <n v="0.1"/>
    <s v="32741.43"/>
    <s v="4634.93"/>
    <x v="3"/>
    <x v="1"/>
    <s v="Website"/>
    <n v="37376.360999999997"/>
  </r>
  <r>
    <s v="ORD100594"/>
    <x v="10"/>
    <s v="15-11-2025"/>
    <s v="CUST11881"/>
    <s v="Consumer"/>
    <s v="Gujarat"/>
    <x v="18"/>
    <x v="3"/>
    <s v="Air Fryer"/>
    <s v="1"/>
    <s v="6409.98"/>
    <n v="0.1"/>
    <s v="3744.56"/>
    <s v="2024.42"/>
    <x v="3"/>
    <x v="0"/>
    <s v="Marketplace"/>
    <n v="5768.982"/>
  </r>
  <r>
    <s v="ORD100595"/>
    <x v="7"/>
    <s v="10-05-2025"/>
    <s v="CUST11842"/>
    <s v="Corporate"/>
    <s v="Maharashtra"/>
    <x v="4"/>
    <x v="4"/>
    <s v="Running Shoes"/>
    <s v="3"/>
    <s v="5103.59"/>
    <n v="0.1"/>
    <s v="9178.92"/>
    <s v="4600.7700000000004"/>
    <x v="1"/>
    <x v="0"/>
    <s v="Mobile App"/>
    <n v="13779.692999999999"/>
  </r>
  <r>
    <s v="ORD100596"/>
    <x v="7"/>
    <s v="18-05-2025"/>
    <s v="CUST13028"/>
    <s v="Home Office"/>
    <s v="Kerala"/>
    <x v="6"/>
    <x v="0"/>
    <s v="Laptop"/>
    <s v="2"/>
    <s v="20497.79"/>
    <n v="0.05"/>
    <s v="24592.240000000002"/>
    <s v="14353.56"/>
    <x v="1"/>
    <x v="3"/>
    <s v="Website"/>
    <n v="38945.800999999999"/>
  </r>
  <r>
    <s v="ORD100600"/>
    <x v="5"/>
    <s v="27-09-2025"/>
    <s v="CUST10782"/>
    <s v="Home Office"/>
    <s v="West Bengal"/>
    <x v="9"/>
    <x v="1"/>
    <s v="Face Cream"/>
    <s v="3"/>
    <s v="2908.86"/>
    <n v="0.1"/>
    <s v="5173.51"/>
    <s v="2680.41"/>
    <x v="1"/>
    <x v="0"/>
    <s v="Marketplace"/>
    <n v="7853.9219999999996"/>
  </r>
  <r>
    <s v="ORD100602"/>
    <x v="9"/>
    <s v="08-06-2025"/>
    <s v="CUST12627"/>
    <s v="Home Office"/>
    <s v="Telangana"/>
    <x v="16"/>
    <x v="2"/>
    <s v="Jacket"/>
    <s v="1"/>
    <s v="1388.86"/>
    <n v="0.1"/>
    <s v="1057.51"/>
    <s v="192.46"/>
    <x v="1"/>
    <x v="0"/>
    <s v="Mobile App"/>
    <n v="1249.9739999999999"/>
  </r>
  <r>
    <s v="ORD100603"/>
    <x v="1"/>
    <s v="10-02-2025"/>
    <s v="CUST11523"/>
    <s v="Corporate"/>
    <s v="Karnataka"/>
    <x v="22"/>
    <x v="1"/>
    <s v="Face Cream"/>
    <s v="2"/>
    <s v="371.64"/>
    <n v="0.1"/>
    <s v="542.36"/>
    <s v="126.59"/>
    <x v="2"/>
    <x v="3"/>
    <s v="Marketplace"/>
    <n v="668.952"/>
  </r>
  <r>
    <s v="ORD100604"/>
    <x v="0"/>
    <s v="02-01-2025"/>
    <s v="CUST10260"/>
    <s v="Corporate"/>
    <s v="Delhi"/>
    <x v="12"/>
    <x v="3"/>
    <s v="Mixer Grinder"/>
    <s v="1"/>
    <s v="7786.19"/>
    <n v="0.1"/>
    <s v="5232.5600000000004"/>
    <s v="1775.01"/>
    <x v="5"/>
    <x v="2"/>
    <s v="Website"/>
    <n v="7007.5709999999999"/>
  </r>
  <r>
    <s v="ORD100607"/>
    <x v="8"/>
    <s v="30-08-2025"/>
    <s v="CUST11226"/>
    <s v="Consumer"/>
    <s v="Maharashtra"/>
    <x v="20"/>
    <x v="2"/>
    <s v="T-Shirt"/>
    <s v="2"/>
    <s v="3953.78"/>
    <n v="0.05"/>
    <s v="5914.83"/>
    <s v="1597.35"/>
    <x v="3"/>
    <x v="2"/>
    <s v="Website"/>
    <n v="7512.1819999999998"/>
  </r>
  <r>
    <s v="ORD100608"/>
    <x v="6"/>
    <s v="19-07-2025"/>
    <s v="CUST12187"/>
    <s v="Corporate"/>
    <s v="Gujarat"/>
    <x v="3"/>
    <x v="3"/>
    <s v="Coffee Maker"/>
    <s v="1"/>
    <s v="13297.95"/>
    <n v="0.1"/>
    <s v="7339.22"/>
    <s v="4628.9399999999996"/>
    <x v="2"/>
    <x v="0"/>
    <s v="Website"/>
    <n v="11968.155000000001"/>
  </r>
  <r>
    <s v="ORD100609"/>
    <x v="11"/>
    <s v="03-10-2025"/>
    <s v="CUST12053"/>
    <s v="Corporate"/>
    <s v="Kerala"/>
    <x v="5"/>
    <x v="3"/>
    <s v="Air Fryer"/>
    <s v="1"/>
    <s v="17142.009999999998"/>
    <n v="0.15"/>
    <s v="12560.98"/>
    <s v="2009.73"/>
    <x v="3"/>
    <x v="0"/>
    <s v="Website"/>
    <n v="14570.708499999901"/>
  </r>
  <r>
    <s v="ORD100611"/>
    <x v="7"/>
    <s v="14-05-2025"/>
    <s v="CUST11010"/>
    <s v="Consumer"/>
    <s v="Gujarat"/>
    <x v="3"/>
    <x v="4"/>
    <s v="Running Shoes"/>
    <s v="1"/>
    <s v="7602.4"/>
    <n v="0.15"/>
    <s v="5028.76"/>
    <s v="1433.28"/>
    <x v="5"/>
    <x v="0"/>
    <s v="Mobile App"/>
    <n v="6462.04"/>
  </r>
  <r>
    <s v="ORD100613"/>
    <x v="6"/>
    <s v="23-07-2025"/>
    <s v="CUST12550"/>
    <s v="Home Office"/>
    <s v="Tamil Nadu"/>
    <x v="1"/>
    <x v="2"/>
    <s v="T-Shirt"/>
    <s v="1"/>
    <s v="1688.21"/>
    <n v="0"/>
    <s v="1035.23"/>
    <s v="652.98"/>
    <x v="1"/>
    <x v="0"/>
    <s v="Website"/>
    <n v="1688.21"/>
  </r>
  <r>
    <s v="ORD100614"/>
    <x v="2"/>
    <s v="13-12-2025"/>
    <s v="CUST13102"/>
    <s v="Corporate"/>
    <s v="Delhi"/>
    <x v="7"/>
    <x v="2"/>
    <s v="Jeans"/>
    <s v="2"/>
    <s v="3643.01"/>
    <n v="0"/>
    <s v="5124.9399999999996"/>
    <s v="2161.08"/>
    <x v="2"/>
    <x v="0"/>
    <s v="Mobile App"/>
    <n v="7286.02"/>
  </r>
  <r>
    <s v="ORD100615"/>
    <x v="3"/>
    <s v="14-03-2025"/>
    <s v="CUST12091"/>
    <s v="Consumer"/>
    <s v="Maharashtra"/>
    <x v="21"/>
    <x v="1"/>
    <s v="Face Cream"/>
    <s v="2"/>
    <s v="4054.09"/>
    <n v="0.05"/>
    <s v="4525.5600000000004"/>
    <s v="3177.21"/>
    <x v="5"/>
    <x v="0"/>
    <s v="Marketplace"/>
    <n v="7702.7709999999997"/>
  </r>
  <r>
    <s v="ORD100616"/>
    <x v="1"/>
    <s v="11-02-2025"/>
    <s v="CUST12246"/>
    <s v="Corporate"/>
    <s v="Karnataka"/>
    <x v="22"/>
    <x v="3"/>
    <s v="Coffee Maker"/>
    <s v="1"/>
    <s v="17452.34"/>
    <n v="0"/>
    <s v="13565.02"/>
    <s v="3887.32"/>
    <x v="0"/>
    <x v="0"/>
    <s v="Marketplace"/>
    <n v="17452.34"/>
  </r>
  <r>
    <s v="ORD100617"/>
    <x v="4"/>
    <s v="22-04-2025"/>
    <s v="CUST11511"/>
    <s v="Corporate"/>
    <s v="Gujarat"/>
    <x v="18"/>
    <x v="3"/>
    <s v="Vacuum Cleaner"/>
    <s v="4"/>
    <s v="13596.98"/>
    <n v="0.05"/>
    <s v="43976.67"/>
    <s v="7691.85"/>
    <x v="2"/>
    <x v="0"/>
    <s v="Marketplace"/>
    <n v="51668.523999999998"/>
  </r>
  <r>
    <s v="ORD100618"/>
    <x v="2"/>
    <s v="24-12-2025"/>
    <s v="CUST10371"/>
    <s v="Consumer"/>
    <s v="Kerala"/>
    <x v="6"/>
    <x v="0"/>
    <s v="Tablet"/>
    <s v="1"/>
    <s v="61053.06"/>
    <n v="0"/>
    <s v="46236.22"/>
    <s v="14816.84"/>
    <x v="0"/>
    <x v="0"/>
    <s v="Mobile App"/>
    <n v="61053.06"/>
  </r>
  <r>
    <s v="ORD100619"/>
    <x v="11"/>
    <s v="23-10-2025"/>
    <s v="CUST12585"/>
    <s v="Corporate"/>
    <s v="Telangana"/>
    <x v="14"/>
    <x v="2"/>
    <s v="T-Shirt"/>
    <s v="2"/>
    <s v="2109.31"/>
    <n v="0"/>
    <s v="2793.71"/>
    <s v="1424.91"/>
    <x v="3"/>
    <x v="0"/>
    <s v="Mobile App"/>
    <n v="4218.62"/>
  </r>
  <r>
    <s v="ORD100620"/>
    <x v="6"/>
    <s v="14-07-2025"/>
    <s v="CUST10601"/>
    <s v="Corporate"/>
    <s v="Karnataka"/>
    <x v="2"/>
    <x v="4"/>
    <s v="Football"/>
    <s v="2"/>
    <s v="11877.3"/>
    <n v="0"/>
    <s v="17561.240000000002"/>
    <s v="6193.36"/>
    <x v="5"/>
    <x v="0"/>
    <s v="Mobile App"/>
    <n v="23754.6"/>
  </r>
  <r>
    <s v="ORD100622"/>
    <x v="3"/>
    <s v="16-03-2025"/>
    <s v="CUST10639"/>
    <s v="Corporate"/>
    <s v="West Bengal"/>
    <x v="9"/>
    <x v="3"/>
    <s v="Cookware Set"/>
    <s v="2"/>
    <s v="16259.34"/>
    <n v="0.1"/>
    <s v="21820.59"/>
    <s v="7446.22"/>
    <x v="2"/>
    <x v="0"/>
    <s v="Marketplace"/>
    <n v="29266.812000000002"/>
  </r>
  <r>
    <s v="ORD100623"/>
    <x v="2"/>
    <s v="22-12-2025"/>
    <s v="CUST11145"/>
    <s v="Consumer"/>
    <s v="West Bengal"/>
    <x v="0"/>
    <x v="3"/>
    <s v="Mixer Grinder"/>
    <s v="1"/>
    <s v="11752.7"/>
    <n v="0.1"/>
    <s v="6909.78"/>
    <s v="3667.65"/>
    <x v="2"/>
    <x v="0"/>
    <s v="Website"/>
    <n v="10577.43"/>
  </r>
  <r>
    <s v="ORD100624"/>
    <x v="5"/>
    <s v="24-09-2025"/>
    <s v="CUST10182"/>
    <s v="Corporate"/>
    <s v="Karnataka"/>
    <x v="22"/>
    <x v="3"/>
    <s v="Cookware Set"/>
    <s v="2"/>
    <s v="16578.43"/>
    <n v="0.1"/>
    <s v="20628.580000000002"/>
    <s v="9212.59"/>
    <x v="1"/>
    <x v="0"/>
    <s v="Mobile App"/>
    <n v="29841.173999999999"/>
  </r>
  <r>
    <s v="ORD100625"/>
    <x v="1"/>
    <s v="16-02-2025"/>
    <s v="CUST11017"/>
    <s v="Home Office"/>
    <s v="Kerala"/>
    <x v="6"/>
    <x v="0"/>
    <s v="Smartphone"/>
    <s v="2"/>
    <s v="26648.65"/>
    <n v="0.05"/>
    <s v="37381.519999999997"/>
    <s v="13250.92"/>
    <x v="3"/>
    <x v="0"/>
    <s v="Marketplace"/>
    <n v="50632.434999999998"/>
  </r>
  <r>
    <s v="ORD100626"/>
    <x v="0"/>
    <s v="01-01-2025"/>
    <s v="CUST10958"/>
    <s v="Home Office"/>
    <s v="Telangana"/>
    <x v="16"/>
    <x v="4"/>
    <s v="Football"/>
    <s v="2"/>
    <s v="2097"/>
    <n v="0.15"/>
    <s v="3431.54"/>
    <s v="133.36000000000001"/>
    <x v="3"/>
    <x v="0"/>
    <s v="Marketplace"/>
    <n v="3564.9"/>
  </r>
  <r>
    <s v="ORD100627"/>
    <x v="11"/>
    <s v="04-10-2025"/>
    <s v="CUST12772"/>
    <s v="Corporate"/>
    <s v="West Bengal"/>
    <x v="0"/>
    <x v="2"/>
    <s v="Jacket"/>
    <s v="4"/>
    <s v="6381.01"/>
    <n v="0.05"/>
    <s v="14719.77"/>
    <s v="9528.07"/>
    <x v="0"/>
    <x v="1"/>
    <s v="Mobile App"/>
    <n v="24247.838"/>
  </r>
  <r>
    <s v="ORD100628"/>
    <x v="1"/>
    <s v="23-02-2025"/>
    <s v="CUST11091"/>
    <s v="Consumer"/>
    <s v="Kerala"/>
    <x v="6"/>
    <x v="3"/>
    <s v="Vacuum Cleaner"/>
    <s v="1"/>
    <s v="16240.68"/>
    <n v="0"/>
    <s v="13169.43"/>
    <s v="3071.25"/>
    <x v="0"/>
    <x v="2"/>
    <s v="Website"/>
    <n v="16240.68"/>
  </r>
  <r>
    <s v="ORD100630"/>
    <x v="11"/>
    <s v="05-10-2025"/>
    <s v="CUST12430"/>
    <s v="Corporate"/>
    <s v="West Bengal"/>
    <x v="0"/>
    <x v="2"/>
    <s v="Jacket"/>
    <s v="1"/>
    <s v="3671.93"/>
    <n v="0.15"/>
    <s v="2345.79"/>
    <s v="775.35"/>
    <x v="0"/>
    <x v="0"/>
    <s v="Mobile App"/>
    <n v="3121.1405"/>
  </r>
  <r>
    <s v="ORD100631"/>
    <x v="2"/>
    <s v="04-12-2025"/>
    <s v="CUST10714"/>
    <s v="Consumer"/>
    <s v="Tamil Nadu"/>
    <x v="8"/>
    <x v="3"/>
    <s v="Cookware Set"/>
    <s v="1"/>
    <s v="8121.35"/>
    <n v="0.1"/>
    <s v="4751.16"/>
    <s v="2558.06"/>
    <x v="3"/>
    <x v="0"/>
    <s v="Website"/>
    <n v="7309.2150000000001"/>
  </r>
  <r>
    <s v="ORD100632"/>
    <x v="5"/>
    <s v="18-09-2025"/>
    <s v="CUST12215"/>
    <s v="Home Office"/>
    <s v="Gujarat"/>
    <x v="10"/>
    <x v="3"/>
    <s v="Vacuum Cleaner"/>
    <s v="2"/>
    <s v="4431.5200000000004"/>
    <n v="0"/>
    <s v="6539.09"/>
    <s v="994.49"/>
    <x v="5"/>
    <x v="0"/>
    <s v="Mobile App"/>
    <n v="8863.0400000000009"/>
  </r>
  <r>
    <s v="ORD100633"/>
    <x v="10"/>
    <s v="02-11-2025"/>
    <s v="CUST11337"/>
    <s v="Home Office"/>
    <s v="Tamil Nadu"/>
    <x v="11"/>
    <x v="4"/>
    <s v="Football"/>
    <s v="1"/>
    <s v="7206.44"/>
    <n v="0"/>
    <s v="4261.5"/>
    <s v="2944.94"/>
    <x v="1"/>
    <x v="1"/>
    <s v="Marketplace"/>
    <n v="7206.44"/>
  </r>
  <r>
    <s v="ORD100634"/>
    <x v="0"/>
    <s v="10-01-2025"/>
    <s v="CUST10416"/>
    <s v="Home Office"/>
    <s v="Kerala"/>
    <x v="5"/>
    <x v="0"/>
    <s v="Headphones"/>
    <s v="3"/>
    <s v="54432.06"/>
    <n v="0.1"/>
    <s v="96789.41"/>
    <s v="50177.15"/>
    <x v="3"/>
    <x v="3"/>
    <s v="Marketplace"/>
    <n v="146966.56200000001"/>
  </r>
  <r>
    <s v="ORD100635"/>
    <x v="5"/>
    <s v="09-09-2025"/>
    <s v="CUST10187"/>
    <s v="Corporate"/>
    <s v="Delhi"/>
    <x v="12"/>
    <x v="3"/>
    <s v="Coffee Maker"/>
    <s v="1"/>
    <s v="5782.18"/>
    <n v="0.15"/>
    <s v="3677.01"/>
    <s v="1237.8399999999999"/>
    <x v="3"/>
    <x v="2"/>
    <s v="Mobile App"/>
    <n v="4914.8530000000001"/>
  </r>
  <r>
    <s v="ORD100636"/>
    <x v="9"/>
    <s v="14-06-2025"/>
    <s v="CUST10100"/>
    <s v="Consumer"/>
    <s v="Karnataka"/>
    <x v="2"/>
    <x v="1"/>
    <s v="Perfume"/>
    <s v="3"/>
    <s v="1340.74"/>
    <n v="0.15"/>
    <s v="2493"/>
    <s v="925.89"/>
    <x v="2"/>
    <x v="2"/>
    <s v="Mobile App"/>
    <n v="3418.8870000000002"/>
  </r>
  <r>
    <s v="ORD100637"/>
    <x v="4"/>
    <s v="26-04-2025"/>
    <s v="CUST11952"/>
    <s v="Consumer"/>
    <s v="Karnataka"/>
    <x v="17"/>
    <x v="4"/>
    <s v="Cricket Bat"/>
    <s v="1"/>
    <s v="8960.2900000000009"/>
    <n v="0.1"/>
    <s v="6377.14"/>
    <s v="1687.12"/>
    <x v="2"/>
    <x v="0"/>
    <s v="Marketplace"/>
    <n v="8064.2610000000004"/>
  </r>
  <r>
    <s v="ORD100638"/>
    <x v="1"/>
    <s v="25-02-2025"/>
    <s v="CUST10917"/>
    <s v="Consumer"/>
    <s v="West Bengal"/>
    <x v="0"/>
    <x v="2"/>
    <s v="T-Shirt"/>
    <s v="3"/>
    <s v="2577.2199999999998"/>
    <n v="0.1"/>
    <s v="5531.35"/>
    <s v="1427.14"/>
    <x v="0"/>
    <x v="2"/>
    <s v="Website"/>
    <n v="6958.4939999999997"/>
  </r>
  <r>
    <s v="ORD100639"/>
    <x v="8"/>
    <s v="03-08-2025"/>
    <s v="CUST13446"/>
    <s v="Corporate"/>
    <s v="Tamil Nadu"/>
    <x v="19"/>
    <x v="4"/>
    <s v="Yoga Mat"/>
    <s v="1"/>
    <s v="11907.01"/>
    <n v="0.1"/>
    <s v="7609.66"/>
    <s v="3106.65"/>
    <x v="3"/>
    <x v="0"/>
    <s v="Marketplace"/>
    <n v="10716.308999999999"/>
  </r>
  <r>
    <s v="ORD100640"/>
    <x v="3"/>
    <s v="02-03-2025"/>
    <s v="CUST13451"/>
    <s v="Corporate"/>
    <s v="Telangana"/>
    <x v="16"/>
    <x v="2"/>
    <s v="Handbag"/>
    <s v="1"/>
    <s v="5462.83"/>
    <n v="0.1"/>
    <s v="4362.1400000000003"/>
    <s v="554.41"/>
    <x v="3"/>
    <x v="0"/>
    <s v="Website"/>
    <n v="4916.5469999999996"/>
  </r>
  <r>
    <s v="ORD100641"/>
    <x v="10"/>
    <s v="23-11-2025"/>
    <s v="CUST12797"/>
    <s v="Corporate"/>
    <s v="Delhi"/>
    <x v="12"/>
    <x v="2"/>
    <s v="Jacket"/>
    <s v="4"/>
    <s v="4023.91"/>
    <n v="0.1"/>
    <s v="12929.54"/>
    <s v="1556.54"/>
    <x v="3"/>
    <x v="0"/>
    <s v="Website"/>
    <n v="14486.075999999999"/>
  </r>
  <r>
    <s v="ORD100642"/>
    <x v="9"/>
    <s v="29-06-2025"/>
    <s v="CUST13488"/>
    <s v="Home Office"/>
    <s v="Tamil Nadu"/>
    <x v="13"/>
    <x v="0"/>
    <s v="Headphones"/>
    <s v="1"/>
    <s v="70336.06"/>
    <n v="0.1"/>
    <s v="49562.720000000001"/>
    <s v="13739.73"/>
    <x v="2"/>
    <x v="1"/>
    <s v="Mobile App"/>
    <n v="63302.453999999998"/>
  </r>
  <r>
    <s v="ORD100643"/>
    <x v="2"/>
    <s v="03-12-2025"/>
    <s v="CUST10661"/>
    <s v="Corporate"/>
    <s v="Maharashtra"/>
    <x v="21"/>
    <x v="1"/>
    <s v="Hair Dryer"/>
    <s v="1"/>
    <s v="3750.49"/>
    <n v="0.1"/>
    <s v="2697.76"/>
    <s v="677.68"/>
    <x v="2"/>
    <x v="0"/>
    <s v="Website"/>
    <n v="3375.4409999999998"/>
  </r>
  <r>
    <s v="ORD100644"/>
    <x v="10"/>
    <s v="22-11-2025"/>
    <s v="CUST13330"/>
    <s v="Home Office"/>
    <s v="Maharashtra"/>
    <x v="21"/>
    <x v="2"/>
    <s v="Jeans"/>
    <s v="1"/>
    <s v="6009.5"/>
    <n v="0.1"/>
    <s v="4165.97"/>
    <s v="1242.58"/>
    <x v="3"/>
    <x v="0"/>
    <s v="Mobile App"/>
    <n v="5408.55"/>
  </r>
  <r>
    <s v="ORD100645"/>
    <x v="1"/>
    <s v="21-02-2025"/>
    <s v="CUST11159"/>
    <s v="Corporate"/>
    <s v="Maharashtra"/>
    <x v="20"/>
    <x v="2"/>
    <s v="Handbag"/>
    <s v="2"/>
    <s v="3978.74"/>
    <n v="0.1"/>
    <s v="4416.78"/>
    <s v="2744.95"/>
    <x v="5"/>
    <x v="0"/>
    <s v="Mobile App"/>
    <n v="7161.732"/>
  </r>
  <r>
    <s v="ORD100646"/>
    <x v="1"/>
    <s v="24-02-2025"/>
    <s v="CUST13178"/>
    <s v="Consumer"/>
    <s v="West Bengal"/>
    <x v="0"/>
    <x v="1"/>
    <s v="Lipstick"/>
    <s v="1"/>
    <s v="3573.51"/>
    <n v="0.1"/>
    <s v="2052.67"/>
    <s v="1163.49"/>
    <x v="2"/>
    <x v="0"/>
    <s v="Marketplace"/>
    <n v="3216.1590000000001"/>
  </r>
  <r>
    <s v="ORD100647"/>
    <x v="7"/>
    <s v="14-05-2025"/>
    <s v="CUST10330"/>
    <s v="Corporate"/>
    <s v="Telangana"/>
    <x v="16"/>
    <x v="3"/>
    <s v="Air Fryer"/>
    <s v="1"/>
    <s v="7151.24"/>
    <n v="0.2"/>
    <s v="4381.3900000000003"/>
    <s v="1339.6"/>
    <x v="1"/>
    <x v="0"/>
    <s v="Marketplace"/>
    <n v="5720.9920000000002"/>
  </r>
  <r>
    <s v="ORD100649"/>
    <x v="8"/>
    <s v="31-08-2025"/>
    <s v="CUST13259"/>
    <s v="Corporate"/>
    <s v="Maharashtra"/>
    <x v="21"/>
    <x v="0"/>
    <s v="Smartwatch"/>
    <s v="2"/>
    <s v="38884.089999999997"/>
    <n v="0.1"/>
    <s v="46179.08"/>
    <s v="23812.28"/>
    <x v="0"/>
    <x v="2"/>
    <s v="Mobile App"/>
    <n v="69991.361999999994"/>
  </r>
  <r>
    <s v="ORD100650"/>
    <x v="1"/>
    <s v="08-02-2025"/>
    <s v="CUST10197"/>
    <s v="Consumer"/>
    <s v="Maharashtra"/>
    <x v="20"/>
    <x v="0"/>
    <s v="Tablet"/>
    <s v="1"/>
    <s v="32770.959999999999"/>
    <n v="0.1"/>
    <s v="22268.15"/>
    <s v="7225.71"/>
    <x v="4"/>
    <x v="0"/>
    <s v="Mobile App"/>
    <n v="29493.864000000001"/>
  </r>
  <r>
    <s v="ORD100651"/>
    <x v="0"/>
    <s v="19-01-2025"/>
    <s v="CUST11398"/>
    <s v="Corporate"/>
    <s v="Delhi"/>
    <x v="7"/>
    <x v="1"/>
    <s v="Perfume"/>
    <s v="2"/>
    <s v="1333.66"/>
    <n v="0.1"/>
    <s v="1692.62"/>
    <s v="707.97"/>
    <x v="2"/>
    <x v="0"/>
    <s v="Marketplace"/>
    <n v="2400.5880000000002"/>
  </r>
  <r>
    <s v="ORD100653"/>
    <x v="10"/>
    <s v="08-11-2025"/>
    <s v="CUST11434"/>
    <s v="Consumer"/>
    <s v="Maharashtra"/>
    <x v="4"/>
    <x v="0"/>
    <s v="Tablet"/>
    <s v="4"/>
    <s v="33781.300000000003"/>
    <n v="0.05"/>
    <s v="91558.5"/>
    <s v="36810.44"/>
    <x v="0"/>
    <x v="0"/>
    <s v="Website"/>
    <n v="128368.94"/>
  </r>
  <r>
    <s v="ORD100654"/>
    <x v="7"/>
    <s v="01-05-2025"/>
    <s v="CUST10577"/>
    <s v="Corporate"/>
    <s v="Karnataka"/>
    <x v="17"/>
    <x v="4"/>
    <s v="Cricket Bat"/>
    <s v="1"/>
    <s v="5974.68"/>
    <n v="0.1"/>
    <s v="4361.1499999999996"/>
    <s v="1016.06"/>
    <x v="0"/>
    <x v="0"/>
    <s v="Website"/>
    <n v="5377.2120000000004"/>
  </r>
  <r>
    <s v="ORD100655"/>
    <x v="6"/>
    <s v="26-07-2025"/>
    <s v="CUST11723"/>
    <s v="Consumer"/>
    <s v="Telangana"/>
    <x v="14"/>
    <x v="1"/>
    <s v="Perfume"/>
    <s v="1"/>
    <s v="2836.83"/>
    <n v="0.15"/>
    <s v="2190.35"/>
    <s v="220.96"/>
    <x v="3"/>
    <x v="0"/>
    <s v="Website"/>
    <n v="2411.3054999999999"/>
  </r>
  <r>
    <s v="ORD100656"/>
    <x v="9"/>
    <s v="28-06-2025"/>
    <s v="CUST12503"/>
    <s v="Home Office"/>
    <s v="Kerala"/>
    <x v="5"/>
    <x v="3"/>
    <s v="Mixer Grinder"/>
    <s v="2"/>
    <s v="4424.63"/>
    <n v="0.05"/>
    <s v="7151.37"/>
    <s v="1255.43"/>
    <x v="3"/>
    <x v="0"/>
    <s v="Marketplace"/>
    <n v="8406.7970000000005"/>
  </r>
  <r>
    <s v="ORD100659"/>
    <x v="2"/>
    <s v="13-12-2025"/>
    <s v="CUST13185"/>
    <s v="Corporate"/>
    <s v="Karnataka"/>
    <x v="22"/>
    <x v="0"/>
    <s v="Laptop"/>
    <s v="1"/>
    <s v="33735.94"/>
    <n v="0.15"/>
    <s v="18964.080000000002"/>
    <s v="9711.4699999999993"/>
    <x v="1"/>
    <x v="3"/>
    <s v="Website"/>
    <n v="28675.548999999999"/>
  </r>
  <r>
    <s v="ORD100661"/>
    <x v="9"/>
    <s v="14-06-2025"/>
    <s v="CUST13274"/>
    <s v="Consumer"/>
    <s v="Kerala"/>
    <x v="5"/>
    <x v="0"/>
    <s v="Tablet"/>
    <s v="2"/>
    <s v="47649.5"/>
    <n v="0.05"/>
    <s v="61808.79"/>
    <s v="28725.26"/>
    <x v="3"/>
    <x v="0"/>
    <s v="Mobile App"/>
    <n v="90534.05"/>
  </r>
  <r>
    <s v="ORD100662"/>
    <x v="0"/>
    <s v="03-01-2025"/>
    <s v="CUST10263"/>
    <s v="Home Office"/>
    <s v="Telangana"/>
    <x v="14"/>
    <x v="3"/>
    <s v="Coffee Maker"/>
    <s v="1"/>
    <s v="17074.650000000001"/>
    <n v="0.1"/>
    <s v="11258.17"/>
    <s v="4109.0200000000004"/>
    <x v="1"/>
    <x v="2"/>
    <s v="Website"/>
    <n v="15367.184999999999"/>
  </r>
  <r>
    <s v="ORD100663"/>
    <x v="2"/>
    <s v="16-12-2025"/>
    <s v="CUST12779"/>
    <s v="Home Office"/>
    <s v="West Bengal"/>
    <x v="9"/>
    <x v="3"/>
    <s v="Coffee Maker"/>
    <s v="1"/>
    <s v="6916.84"/>
    <n v="0.05"/>
    <s v="4138.84"/>
    <s v="2432.16"/>
    <x v="3"/>
    <x v="0"/>
    <s v="Mobile App"/>
    <n v="6570.9979999999996"/>
  </r>
  <r>
    <s v="ORD100664"/>
    <x v="5"/>
    <s v="21-09-2025"/>
    <s v="CUST13350"/>
    <s v="Corporate"/>
    <s v="Tamil Nadu"/>
    <x v="19"/>
    <x v="4"/>
    <s v="Cricket Bat"/>
    <s v="1"/>
    <s v="2553.83"/>
    <n v="0"/>
    <s v="1489.35"/>
    <s v="1064.48"/>
    <x v="5"/>
    <x v="0"/>
    <s v="Website"/>
    <n v="2553.83"/>
  </r>
  <r>
    <s v="ORD100665"/>
    <x v="6"/>
    <s v="09-07-2025"/>
    <s v="CUST12924"/>
    <s v="Home Office"/>
    <s v="Tamil Nadu"/>
    <x v="1"/>
    <x v="1"/>
    <s v="Perfume"/>
    <s v="2"/>
    <s v="610.79"/>
    <n v="0.05"/>
    <s v="723.39"/>
    <s v="437.11"/>
    <x v="5"/>
    <x v="2"/>
    <s v="Website"/>
    <n v="1160.501"/>
  </r>
  <r>
    <s v="ORD100666"/>
    <x v="10"/>
    <s v="22-11-2025"/>
    <s v="CUST10075"/>
    <s v="Consumer"/>
    <s v="Karnataka"/>
    <x v="22"/>
    <x v="3"/>
    <s v="Mixer Grinder"/>
    <s v="4"/>
    <s v="6168.51"/>
    <n v="0.05"/>
    <s v="19689.810000000001"/>
    <s v="3750.53"/>
    <x v="0"/>
    <x v="0"/>
    <s v="Marketplace"/>
    <n v="23440.338"/>
  </r>
  <r>
    <s v="ORD100667"/>
    <x v="9"/>
    <s v="29-06-2025"/>
    <s v="CUST10266"/>
    <s v="Home Office"/>
    <s v="Tamil Nadu"/>
    <x v="11"/>
    <x v="4"/>
    <s v="Fitness Band"/>
    <s v="1"/>
    <s v="1937.33"/>
    <n v="0.05"/>
    <s v="1112.6099999999999"/>
    <s v="727.85"/>
    <x v="2"/>
    <x v="3"/>
    <s v="Mobile App"/>
    <n v="1840.4634999999901"/>
  </r>
  <r>
    <s v="ORD100668"/>
    <x v="4"/>
    <s v="26-04-2025"/>
    <s v="CUST11107"/>
    <s v="Corporate"/>
    <s v="West Bengal"/>
    <x v="0"/>
    <x v="0"/>
    <s v="Smartwatch"/>
    <s v="2"/>
    <s v="65757.460000000006"/>
    <n v="0.05"/>
    <s v="93217.97"/>
    <s v="31721.200000000001"/>
    <x v="5"/>
    <x v="0"/>
    <s v="Marketplace"/>
    <n v="124939.174"/>
  </r>
  <r>
    <s v="ORD100669"/>
    <x v="9"/>
    <s v="10-06-2025"/>
    <s v="CUST12067"/>
    <s v="Corporate"/>
    <s v="Maharashtra"/>
    <x v="4"/>
    <x v="3"/>
    <s v="Coffee Maker"/>
    <s v="3"/>
    <s v="7383.26"/>
    <n v="0.05"/>
    <s v="14565.44"/>
    <s v="6476.85"/>
    <x v="3"/>
    <x v="0"/>
    <s v="Marketplace"/>
    <n v="21042.290999999899"/>
  </r>
  <r>
    <s v="ORD100671"/>
    <x v="4"/>
    <s v="19-04-2025"/>
    <s v="CUST11553"/>
    <s v="Home Office"/>
    <s v="Kerala"/>
    <x v="5"/>
    <x v="0"/>
    <s v="Smartphone"/>
    <s v="1"/>
    <s v="56105.43"/>
    <n v="0.2"/>
    <s v="45053.21"/>
    <s v="-168.87"/>
    <x v="0"/>
    <x v="0"/>
    <s v="Mobile App"/>
    <n v="44884.343999999997"/>
  </r>
  <r>
    <s v="ORD100672"/>
    <x v="3"/>
    <s v="02-03-2025"/>
    <s v="CUST12250"/>
    <s v="Home Office"/>
    <s v="Tamil Nadu"/>
    <x v="19"/>
    <x v="0"/>
    <s v="Tablet"/>
    <s v="2"/>
    <s v="41838.68"/>
    <n v="0.1"/>
    <s v="51235.92"/>
    <s v="24073.7"/>
    <x v="5"/>
    <x v="0"/>
    <s v="Mobile App"/>
    <n v="75309.623999999996"/>
  </r>
  <r>
    <s v="ORD100673"/>
    <x v="5"/>
    <s v="24-09-2025"/>
    <s v="CUST13025"/>
    <s v="Home Office"/>
    <s v="Tamil Nadu"/>
    <x v="19"/>
    <x v="0"/>
    <s v="Smartphone"/>
    <s v="1"/>
    <s v="41524.519999999997"/>
    <n v="0.1"/>
    <s v="23640.77"/>
    <s v="13731.3"/>
    <x v="0"/>
    <x v="0"/>
    <s v="Mobile App"/>
    <n v="37372.067999999999"/>
  </r>
  <r>
    <s v="ORD100674"/>
    <x v="6"/>
    <s v="09-07-2025"/>
    <s v="CUST13372"/>
    <s v="Home Office"/>
    <s v="Tamil Nadu"/>
    <x v="13"/>
    <x v="3"/>
    <s v="Air Fryer"/>
    <s v="3"/>
    <s v="5906.24"/>
    <n v="0.1"/>
    <s v="14257.39"/>
    <s v="1689.46"/>
    <x v="0"/>
    <x v="3"/>
    <s v="Website"/>
    <n v="15946.848"/>
  </r>
  <r>
    <s v="ORD100675"/>
    <x v="10"/>
    <s v="29-11-2025"/>
    <s v="CUST13324"/>
    <s v="Home Office"/>
    <s v="Gujarat"/>
    <x v="10"/>
    <x v="0"/>
    <s v="Smartwatch"/>
    <s v="1"/>
    <s v="43886.13"/>
    <n v="0.05"/>
    <s v="32345.56"/>
    <s v="9346.26"/>
    <x v="5"/>
    <x v="0"/>
    <s v="Mobile App"/>
    <n v="41691.823499999999"/>
  </r>
  <r>
    <s v="ORD100676"/>
    <x v="0"/>
    <s v="01-01-2025"/>
    <s v="CUST11630"/>
    <s v="Corporate"/>
    <s v="West Bengal"/>
    <x v="0"/>
    <x v="1"/>
    <s v="Lipstick"/>
    <s v="1"/>
    <s v="4377.5"/>
    <n v="0.1"/>
    <s v="3011.07"/>
    <s v="928.68"/>
    <x v="2"/>
    <x v="0"/>
    <s v="Website"/>
    <n v="3939.75"/>
  </r>
  <r>
    <s v="ORD100677"/>
    <x v="4"/>
    <s v="18-04-2025"/>
    <s v="CUST12419"/>
    <s v="Consumer"/>
    <s v="West Bengal"/>
    <x v="0"/>
    <x v="3"/>
    <s v="Vacuum Cleaner"/>
    <s v="2"/>
    <s v="971.01"/>
    <n v="0"/>
    <s v="1226.69"/>
    <s v="715.33"/>
    <x v="5"/>
    <x v="0"/>
    <s v="Website"/>
    <n v="1942.02"/>
  </r>
  <r>
    <s v="ORD100678"/>
    <x v="9"/>
    <s v="29-06-2025"/>
    <s v="CUST10076"/>
    <s v="Home Office"/>
    <s v="Kerala"/>
    <x v="5"/>
    <x v="1"/>
    <s v="Hair Dryer"/>
    <s v="1"/>
    <s v="3420.52"/>
    <n v="0.15"/>
    <s v="2419.64"/>
    <s v="487.8"/>
    <x v="0"/>
    <x v="2"/>
    <s v="Marketplace"/>
    <n v="2907.442"/>
  </r>
  <r>
    <s v="ORD100680"/>
    <x v="8"/>
    <s v="29-08-2025"/>
    <s v="CUST13165"/>
    <s v="Home Office"/>
    <s v="Karnataka"/>
    <x v="2"/>
    <x v="4"/>
    <s v="Fitness Band"/>
    <s v="1"/>
    <s v="6463.19"/>
    <n v="0.1"/>
    <s v="4134.37"/>
    <s v="1682.5"/>
    <x v="0"/>
    <x v="0"/>
    <s v="Marketplace"/>
    <n v="5816.8710000000001"/>
  </r>
  <r>
    <s v="ORD100681"/>
    <x v="6"/>
    <s v="07-07-2025"/>
    <s v="CUST13062"/>
    <s v="Consumer"/>
    <s v="Delhi"/>
    <x v="12"/>
    <x v="0"/>
    <s v="Smartwatch"/>
    <s v="1"/>
    <s v="40301.919999999998"/>
    <n v="0.15"/>
    <s v="25183.19"/>
    <s v="9073.44"/>
    <x v="2"/>
    <x v="0"/>
    <s v="Mobile App"/>
    <n v="34256.631999999998"/>
  </r>
  <r>
    <s v="ORD100683"/>
    <x v="1"/>
    <s v="12-02-2025"/>
    <s v="CUST12644"/>
    <s v="Corporate"/>
    <s v="West Bengal"/>
    <x v="0"/>
    <x v="3"/>
    <s v="Coffee Maker"/>
    <s v="1"/>
    <s v="12029.16"/>
    <n v="0.05"/>
    <s v="8057.75"/>
    <s v="3369.95"/>
    <x v="0"/>
    <x v="2"/>
    <s v="Mobile App"/>
    <n v="11427.701999999999"/>
  </r>
  <r>
    <s v="ORD100685"/>
    <x v="3"/>
    <s v="24-03-2025"/>
    <s v="CUST11335"/>
    <s v="Corporate"/>
    <s v="West Bengal"/>
    <x v="0"/>
    <x v="3"/>
    <s v="Mixer Grinder"/>
    <s v="3"/>
    <s v="7274.72"/>
    <n v="0.1"/>
    <s v="16253.08"/>
    <s v="3388.66"/>
    <x v="1"/>
    <x v="0"/>
    <s v="Marketplace"/>
    <n v="19641.743999999999"/>
  </r>
  <r>
    <s v="ORD100687"/>
    <x v="10"/>
    <s v="24-11-2025"/>
    <s v="CUST13292"/>
    <s v="Corporate"/>
    <s v="West Bengal"/>
    <x v="0"/>
    <x v="3"/>
    <s v="Coffee Maker"/>
    <s v="1"/>
    <s v="6851.08"/>
    <n v="0.15"/>
    <s v="4031.51"/>
    <s v="1791.91"/>
    <x v="3"/>
    <x v="0"/>
    <s v="Mobile App"/>
    <n v="5823.4179999999997"/>
  </r>
  <r>
    <s v="ORD100688"/>
    <x v="10"/>
    <s v="22-11-2025"/>
    <s v="CUST12567"/>
    <s v="Consumer"/>
    <s v="Kerala"/>
    <x v="5"/>
    <x v="3"/>
    <s v="Vacuum Cleaner"/>
    <s v="3"/>
    <s v="8038.33"/>
    <n v="0.1"/>
    <s v="15030.27"/>
    <s v="6673.22"/>
    <x v="2"/>
    <x v="0"/>
    <s v="Website"/>
    <n v="21703.4909999999"/>
  </r>
  <r>
    <s v="ORD100689"/>
    <x v="2"/>
    <s v="08-12-2025"/>
    <s v="CUST12737"/>
    <s v="Consumer"/>
    <s v="Kerala"/>
    <x v="6"/>
    <x v="3"/>
    <s v="Vacuum Cleaner"/>
    <s v="3"/>
    <s v="15785.31"/>
    <n v="0.05"/>
    <s v="27618.58"/>
    <s v="17369.55"/>
    <x v="1"/>
    <x v="3"/>
    <s v="Mobile App"/>
    <n v="44988.133499999902"/>
  </r>
  <r>
    <s v="ORD100690"/>
    <x v="1"/>
    <s v="09-02-2025"/>
    <s v="CUST12414"/>
    <s v="Home Office"/>
    <s v="Maharashtra"/>
    <x v="21"/>
    <x v="0"/>
    <s v="Laptop"/>
    <s v="3"/>
    <s v="28103.96"/>
    <n v="0.05"/>
    <s v="55516.69"/>
    <s v="24579.599999999999"/>
    <x v="0"/>
    <x v="0"/>
    <s v="Website"/>
    <n v="80096.285999999993"/>
  </r>
  <r>
    <s v="ORD100691"/>
    <x v="3"/>
    <s v="09-03-2025"/>
    <s v="CUST12526"/>
    <s v="Home Office"/>
    <s v="Maharashtra"/>
    <x v="21"/>
    <x v="2"/>
    <s v="Jeans"/>
    <s v="4"/>
    <s v="451.04"/>
    <n v="0.05"/>
    <s v="1423.9"/>
    <s v="290.05"/>
    <x v="0"/>
    <x v="0"/>
    <s v="Website"/>
    <n v="1713.952"/>
  </r>
  <r>
    <s v="ORD100692"/>
    <x v="7"/>
    <s v="02-05-2025"/>
    <s v="CUST11389"/>
    <s v="Home Office"/>
    <s v="Delhi"/>
    <x v="7"/>
    <x v="0"/>
    <s v="Smartphone"/>
    <s v="1"/>
    <s v="34074.46"/>
    <n v="0.05"/>
    <s v="27767.42"/>
    <s v="4603.32"/>
    <x v="2"/>
    <x v="0"/>
    <s v="Website"/>
    <n v="32370.736999999899"/>
  </r>
  <r>
    <s v="ORD100694"/>
    <x v="4"/>
    <s v="15-04-2025"/>
    <s v="CUST11541"/>
    <s v="Corporate"/>
    <s v="Maharashtra"/>
    <x v="21"/>
    <x v="3"/>
    <s v="Cookware Set"/>
    <s v="2"/>
    <s v="14815.08"/>
    <n v="0.1"/>
    <s v="16544.25"/>
    <s v="10122.89"/>
    <x v="1"/>
    <x v="0"/>
    <s v="Mobile App"/>
    <n v="26667.144"/>
  </r>
  <r>
    <s v="ORD100695"/>
    <x v="9"/>
    <s v="02-06-2025"/>
    <s v="CUST12556"/>
    <s v="Home Office"/>
    <s v="West Bengal"/>
    <x v="9"/>
    <x v="3"/>
    <s v="Cookware Set"/>
    <s v="1"/>
    <s v="4190.88"/>
    <n v="0.15"/>
    <s v="2443.4899999999998"/>
    <s v="1118.76"/>
    <x v="0"/>
    <x v="3"/>
    <s v="Mobile App"/>
    <n v="3562.248"/>
  </r>
  <r>
    <s v="ORD100696"/>
    <x v="3"/>
    <s v="02-03-2025"/>
    <s v="CUST11136"/>
    <s v="Consumer"/>
    <s v="West Bengal"/>
    <x v="0"/>
    <x v="0"/>
    <s v="Smartphone"/>
    <s v="1"/>
    <s v="17221.02"/>
    <n v="0.1"/>
    <s v="10058.629999999999"/>
    <s v="5440.29"/>
    <x v="3"/>
    <x v="0"/>
    <s v="Website"/>
    <n v="15498.918"/>
  </r>
  <r>
    <s v="ORD100697"/>
    <x v="9"/>
    <s v="20-06-2025"/>
    <s v="CUST11560"/>
    <s v="Consumer"/>
    <s v="Gujarat"/>
    <x v="18"/>
    <x v="3"/>
    <s v="Cookware Set"/>
    <s v="3"/>
    <s v="1757.05"/>
    <n v="0.05"/>
    <s v="3764.81"/>
    <s v="1242.78"/>
    <x v="0"/>
    <x v="0"/>
    <s v="Mobile App"/>
    <n v="5007.5924999999997"/>
  </r>
  <r>
    <s v="ORD100698"/>
    <x v="10"/>
    <s v="20-11-2025"/>
    <s v="CUST12886"/>
    <s v="Home Office"/>
    <s v="Tamil Nadu"/>
    <x v="11"/>
    <x v="3"/>
    <s v="Cookware Set"/>
    <s v="1"/>
    <s v="4302.1000000000004"/>
    <n v="0.1"/>
    <s v="2554.3000000000002"/>
    <s v="1317.59"/>
    <x v="5"/>
    <x v="2"/>
    <s v="Marketplace"/>
    <n v="3871.89"/>
  </r>
  <r>
    <s v="ORD100699"/>
    <x v="6"/>
    <s v="16-07-2025"/>
    <s v="CUST11316"/>
    <s v="Home Office"/>
    <s v="Telangana"/>
    <x v="16"/>
    <x v="1"/>
    <s v="Hair Dryer"/>
    <s v="2"/>
    <s v="3685.42"/>
    <n v="0"/>
    <s v="5300.53"/>
    <s v="2070.31"/>
    <x v="3"/>
    <x v="0"/>
    <s v="Website"/>
    <n v="7370.84"/>
  </r>
  <r>
    <s v="ORD100701"/>
    <x v="7"/>
    <s v="23-05-2025"/>
    <s v="CUST12899"/>
    <s v="Corporate"/>
    <s v="Karnataka"/>
    <x v="2"/>
    <x v="0"/>
    <s v="Laptop"/>
    <s v="1"/>
    <s v="48689.09"/>
    <n v="0.15"/>
    <s v="32295.69"/>
    <s v="9090.0400000000009"/>
    <x v="1"/>
    <x v="0"/>
    <s v="Mobile App"/>
    <n v="41385.726499999997"/>
  </r>
  <r>
    <s v="ORD100702"/>
    <x v="7"/>
    <s v="31-05-2025"/>
    <s v="CUST11921"/>
    <s v="Corporate"/>
    <s v="Delhi"/>
    <x v="7"/>
    <x v="2"/>
    <s v="Jacket"/>
    <s v="2"/>
    <s v="1814.17"/>
    <n v="0.1"/>
    <s v="2358.29"/>
    <s v="907.22"/>
    <x v="0"/>
    <x v="0"/>
    <s v="Mobile App"/>
    <n v="3265.5059999999999"/>
  </r>
  <r>
    <s v="ORD100703"/>
    <x v="5"/>
    <s v="28-09-2025"/>
    <s v="CUST10950"/>
    <s v="Home Office"/>
    <s v="Gujarat"/>
    <x v="18"/>
    <x v="3"/>
    <s v="Cookware Set"/>
    <s v="1"/>
    <s v="3414.62"/>
    <n v="0"/>
    <s v="2095.94"/>
    <s v="1318.68"/>
    <x v="3"/>
    <x v="1"/>
    <s v="Mobile App"/>
    <n v="3414.62"/>
  </r>
  <r>
    <s v="ORD100704"/>
    <x v="11"/>
    <s v="12-10-2025"/>
    <s v="CUST10973"/>
    <s v="Consumer"/>
    <s v="Maharashtra"/>
    <x v="4"/>
    <x v="0"/>
    <s v="Smartphone"/>
    <s v="3"/>
    <s v="68602.720000000001"/>
    <n v="0.15"/>
    <s v="117117.9"/>
    <s v="57819.040000000001"/>
    <x v="5"/>
    <x v="0"/>
    <s v="Mobile App"/>
    <n v="174936.93599999999"/>
  </r>
  <r>
    <s v="ORD100705"/>
    <x v="0"/>
    <s v="31-01-2025"/>
    <s v="CUST12903"/>
    <s v="Corporate"/>
    <s v="Telangana"/>
    <x v="16"/>
    <x v="3"/>
    <s v="Cookware Set"/>
    <s v="1"/>
    <s v="13642.19"/>
    <n v="0"/>
    <s v="8356.14"/>
    <s v="5286.05"/>
    <x v="3"/>
    <x v="0"/>
    <s v="Mobile App"/>
    <n v="13642.19"/>
  </r>
  <r>
    <s v="ORD100706"/>
    <x v="1"/>
    <s v="21-02-2025"/>
    <s v="CUST12316"/>
    <s v="Home Office"/>
    <s v="Kerala"/>
    <x v="15"/>
    <x v="2"/>
    <s v="Handbag"/>
    <s v="1"/>
    <s v="5595.13"/>
    <n v="0.1"/>
    <s v="3493.56"/>
    <s v="1542.06"/>
    <x v="3"/>
    <x v="0"/>
    <s v="Mobile App"/>
    <n v="5035.6170000000002"/>
  </r>
  <r>
    <s v="ORD100707"/>
    <x v="3"/>
    <s v="06-03-2025"/>
    <s v="CUST10659"/>
    <s v="Consumer"/>
    <s v="Telangana"/>
    <x v="14"/>
    <x v="3"/>
    <s v="Coffee Maker"/>
    <s v="2"/>
    <s v="2251.1999999999998"/>
    <n v="0.15"/>
    <s v="3203.09"/>
    <s v="623.95000000000005"/>
    <x v="5"/>
    <x v="0"/>
    <s v="Website"/>
    <n v="3827.03999999999"/>
  </r>
  <r>
    <s v="ORD100708"/>
    <x v="6"/>
    <s v="01-07-2025"/>
    <s v="CUST10925"/>
    <s v="Consumer"/>
    <s v="Kerala"/>
    <x v="15"/>
    <x v="3"/>
    <s v="Coffee Maker"/>
    <s v="2"/>
    <s v="699.24"/>
    <n v="0"/>
    <s v="1102.52"/>
    <s v="295.95999999999998"/>
    <x v="0"/>
    <x v="0"/>
    <s v="Marketplace"/>
    <n v="1398.48"/>
  </r>
  <r>
    <s v="ORD100709"/>
    <x v="0"/>
    <s v="26-01-2025"/>
    <s v="CUST10259"/>
    <s v="Corporate"/>
    <s v="Gujarat"/>
    <x v="10"/>
    <x v="1"/>
    <s v="Hair Dryer"/>
    <s v="1"/>
    <s v="1092.18"/>
    <n v="0.05"/>
    <s v="889.46"/>
    <s v="148.11000000000001"/>
    <x v="3"/>
    <x v="3"/>
    <s v="Website"/>
    <n v="1037.5709999999999"/>
  </r>
  <r>
    <s v="ORD100710"/>
    <x v="11"/>
    <s v="12-10-2025"/>
    <s v="CUST11619"/>
    <s v="Home Office"/>
    <s v="Delhi"/>
    <x v="7"/>
    <x v="1"/>
    <s v="Perfume"/>
    <s v="2"/>
    <s v="3919.54"/>
    <n v="0.15"/>
    <s v="4553.84"/>
    <s v="2109.38"/>
    <x v="5"/>
    <x v="0"/>
    <s v="Website"/>
    <n v="6663.2179999999998"/>
  </r>
  <r>
    <s v="ORD100711"/>
    <x v="5"/>
    <s v="27-09-2025"/>
    <s v="CUST11743"/>
    <s v="Consumer"/>
    <s v="Telangana"/>
    <x v="14"/>
    <x v="0"/>
    <s v="Headphones"/>
    <s v="2"/>
    <s v="25027.81"/>
    <n v="0"/>
    <s v="36407.760000000002"/>
    <s v="13647.86"/>
    <x v="0"/>
    <x v="0"/>
    <s v="Website"/>
    <n v="50055.62"/>
  </r>
  <r>
    <s v="ORD100712"/>
    <x v="0"/>
    <s v="05-01-2025"/>
    <s v="CUST11711"/>
    <s v="Consumer"/>
    <s v="Maharashtra"/>
    <x v="4"/>
    <x v="4"/>
    <s v="Running Shoes"/>
    <s v="4"/>
    <s v="4154.37"/>
    <n v="0"/>
    <s v="9173.18"/>
    <s v="7444.3"/>
    <x v="1"/>
    <x v="0"/>
    <s v="Marketplace"/>
    <n v="16617.48"/>
  </r>
  <r>
    <s v="ORD100714"/>
    <x v="6"/>
    <s v="28-07-2025"/>
    <s v="CUST10690"/>
    <s v="Home Office"/>
    <s v="Tamil Nadu"/>
    <x v="11"/>
    <x v="4"/>
    <s v="Running Shoes"/>
    <s v="1"/>
    <s v="6825.95"/>
    <n v="0.05"/>
    <s v="5193.3900000000003"/>
    <s v="1291.26"/>
    <x v="1"/>
    <x v="0"/>
    <s v="Website"/>
    <n v="6484.6524999999901"/>
  </r>
  <r>
    <s v="ORD100715"/>
    <x v="2"/>
    <s v="13-12-2025"/>
    <s v="CUST11512"/>
    <s v="Consumer"/>
    <s v="Delhi"/>
    <x v="7"/>
    <x v="3"/>
    <s v="Coffee Maker"/>
    <s v="1"/>
    <s v="7144.24"/>
    <n v="0.05"/>
    <s v="5733.61"/>
    <s v="1053.42"/>
    <x v="2"/>
    <x v="0"/>
    <s v="Website"/>
    <n v="6787.0279999999902"/>
  </r>
  <r>
    <s v="ORD100717"/>
    <x v="5"/>
    <s v="03-09-2025"/>
    <s v="CUST12936"/>
    <s v="Home Office"/>
    <s v="Tamil Nadu"/>
    <x v="11"/>
    <x v="4"/>
    <s v="Cricket Bat"/>
    <s v="3"/>
    <s v="2357.23"/>
    <n v="0.15"/>
    <s v="5611.87"/>
    <s v="399.07"/>
    <x v="3"/>
    <x v="0"/>
    <s v="Marketplace"/>
    <n v="6010.9364999999998"/>
  </r>
  <r>
    <s v="ORD100718"/>
    <x v="1"/>
    <s v="21-02-2025"/>
    <s v="CUST10743"/>
    <s v="Home Office"/>
    <s v="Telangana"/>
    <x v="14"/>
    <x v="0"/>
    <s v="Smartwatch"/>
    <s v="1"/>
    <s v="32047.13"/>
    <n v="0.1"/>
    <s v="26094.42"/>
    <s v="2748"/>
    <x v="3"/>
    <x v="0"/>
    <s v="Marketplace"/>
    <n v="28842.417000000001"/>
  </r>
  <r>
    <s v="ORD100720"/>
    <x v="4"/>
    <s v="28-04-2025"/>
    <s v="CUST13435"/>
    <s v="Consumer"/>
    <s v="Karnataka"/>
    <x v="22"/>
    <x v="0"/>
    <s v="Laptop"/>
    <s v="3"/>
    <s v="28458"/>
    <n v="0.15"/>
    <s v="50360.12"/>
    <s v="22207.78"/>
    <x v="3"/>
    <x v="0"/>
    <s v="Website"/>
    <n v="72567.899999999994"/>
  </r>
  <r>
    <s v="ORD100721"/>
    <x v="6"/>
    <s v="03-07-2025"/>
    <s v="CUST11933"/>
    <s v="Corporate"/>
    <s v="Gujarat"/>
    <x v="18"/>
    <x v="3"/>
    <s v="Air Fryer"/>
    <s v="1"/>
    <s v="4648.12"/>
    <n v="0"/>
    <s v="3306.43"/>
    <s v="1341.69"/>
    <x v="2"/>
    <x v="0"/>
    <s v="Website"/>
    <n v="4648.12"/>
  </r>
  <r>
    <s v="ORD100722"/>
    <x v="4"/>
    <s v="24-04-2025"/>
    <s v="CUST12542"/>
    <s v="Corporate"/>
    <s v="Karnataka"/>
    <x v="17"/>
    <x v="3"/>
    <s v="Air Fryer"/>
    <s v="3"/>
    <s v="1354.53"/>
    <n v="0.1"/>
    <s v="2507.5"/>
    <s v="1149.73"/>
    <x v="0"/>
    <x v="2"/>
    <s v="Website"/>
    <n v="3657.2310000000002"/>
  </r>
  <r>
    <s v="ORD100723"/>
    <x v="9"/>
    <s v="27-06-2025"/>
    <s v="CUST11515"/>
    <s v="Home Office"/>
    <s v="Karnataka"/>
    <x v="22"/>
    <x v="3"/>
    <s v="Vacuum Cleaner"/>
    <s v="2"/>
    <s v="7680.9"/>
    <n v="0.15"/>
    <s v="9052.82"/>
    <s v="4004.71"/>
    <x v="2"/>
    <x v="3"/>
    <s v="Mobile App"/>
    <n v="13057.529999999901"/>
  </r>
  <r>
    <s v="ORD100725"/>
    <x v="0"/>
    <s v="06-01-2025"/>
    <s v="CUST11734"/>
    <s v="Corporate"/>
    <s v="Maharashtra"/>
    <x v="21"/>
    <x v="0"/>
    <s v="Headphones"/>
    <s v="2"/>
    <s v="70749.240000000005"/>
    <n v="0.1"/>
    <s v="112418.14"/>
    <s v="14930.49"/>
    <x v="3"/>
    <x v="2"/>
    <s v="Website"/>
    <n v="127348.632"/>
  </r>
  <r>
    <s v="ORD100729"/>
    <x v="6"/>
    <s v="02-07-2025"/>
    <s v="CUST11047"/>
    <s v="Home Office"/>
    <s v="Delhi"/>
    <x v="7"/>
    <x v="3"/>
    <s v="Cookware Set"/>
    <s v="1"/>
    <s v="11679.05"/>
    <n v="0.15"/>
    <s v="8594.2900000000009"/>
    <s v="1332.9"/>
    <x v="2"/>
    <x v="2"/>
    <s v="Marketplace"/>
    <n v="9927.1924999999992"/>
  </r>
  <r>
    <s v="ORD100730"/>
    <x v="0"/>
    <s v="29-01-2025"/>
    <s v="CUST11768"/>
    <s v="Consumer"/>
    <s v="Karnataka"/>
    <x v="17"/>
    <x v="0"/>
    <s v="Laptop"/>
    <s v="2"/>
    <s v="10233.950000000001"/>
    <n v="0.05"/>
    <s v="11472.48"/>
    <s v="7972.02"/>
    <x v="0"/>
    <x v="0"/>
    <s v="Mobile App"/>
    <n v="19444.505000000001"/>
  </r>
  <r>
    <s v="ORD100731"/>
    <x v="10"/>
    <s v="15-11-2025"/>
    <s v="CUST10054"/>
    <s v="Corporate"/>
    <s v="Karnataka"/>
    <x v="22"/>
    <x v="0"/>
    <s v="Smartwatch"/>
    <s v="1"/>
    <s v="36103.49"/>
    <n v="0.05"/>
    <s v="23607.9"/>
    <s v="10690.42"/>
    <x v="1"/>
    <x v="0"/>
    <s v="Website"/>
    <n v="34298.315499999997"/>
  </r>
  <r>
    <s v="ORD100733"/>
    <x v="0"/>
    <s v="29-01-2025"/>
    <s v="CUST11522"/>
    <s v="Corporate"/>
    <s v="Telangana"/>
    <x v="16"/>
    <x v="2"/>
    <s v="T-Shirt"/>
    <s v="4"/>
    <s v="4741.62"/>
    <n v="0.15"/>
    <s v="11834.93"/>
    <s v="4286.58"/>
    <x v="3"/>
    <x v="0"/>
    <s v="Mobile App"/>
    <n v="16121.508"/>
  </r>
  <r>
    <s v="ORD100735"/>
    <x v="3"/>
    <s v="13-03-2025"/>
    <s v="CUST10877"/>
    <s v="Consumer"/>
    <s v="Kerala"/>
    <x v="15"/>
    <x v="2"/>
    <s v="Handbag"/>
    <s v="1"/>
    <s v="3338.87"/>
    <n v="0.1"/>
    <s v="2314.17"/>
    <s v="690.81"/>
    <x v="2"/>
    <x v="2"/>
    <s v="Mobile App"/>
    <n v="3004.9830000000002"/>
  </r>
  <r>
    <s v="ORD100736"/>
    <x v="4"/>
    <s v="19-04-2025"/>
    <s v="CUST12642"/>
    <s v="Consumer"/>
    <s v="West Bengal"/>
    <x v="9"/>
    <x v="0"/>
    <s v="Tablet"/>
    <s v="1"/>
    <s v="37280.769999999997"/>
    <n v="0"/>
    <s v="27633.74"/>
    <s v="9647.0300000000007"/>
    <x v="0"/>
    <x v="0"/>
    <s v="Marketplace"/>
    <n v="37280.769999999997"/>
  </r>
  <r>
    <s v="ORD100737"/>
    <x v="6"/>
    <s v="16-07-2025"/>
    <s v="CUST13170"/>
    <s v="Corporate"/>
    <s v="Delhi"/>
    <x v="7"/>
    <x v="0"/>
    <s v="Headphones"/>
    <s v="2"/>
    <s v="66489.84"/>
    <n v="0.05"/>
    <s v="81702.240000000005"/>
    <s v="44628.46"/>
    <x v="2"/>
    <x v="0"/>
    <s v="Mobile App"/>
    <n v="126330.69599999901"/>
  </r>
  <r>
    <s v="ORD100739"/>
    <x v="7"/>
    <s v="24-05-2025"/>
    <s v="CUST11732"/>
    <s v="Consumer"/>
    <s v="Gujarat"/>
    <x v="10"/>
    <x v="3"/>
    <s v="Cookware Set"/>
    <s v="2"/>
    <s v="15329.22"/>
    <n v="0.15"/>
    <s v="20590.02"/>
    <s v="5469.65"/>
    <x v="2"/>
    <x v="1"/>
    <s v="Mobile App"/>
    <n v="26059.673999999999"/>
  </r>
  <r>
    <s v="ORD100741"/>
    <x v="4"/>
    <s v="26-04-2025"/>
    <s v="CUST10834"/>
    <s v="Consumer"/>
    <s v="West Bengal"/>
    <x v="0"/>
    <x v="3"/>
    <s v="Vacuum Cleaner"/>
    <s v="3"/>
    <s v="14117.17"/>
    <n v="0.1"/>
    <s v="31879.5"/>
    <s v="6236.86"/>
    <x v="3"/>
    <x v="0"/>
    <s v="Website"/>
    <n v="38116.358999999997"/>
  </r>
  <r>
    <s v="ORD100742"/>
    <x v="10"/>
    <s v="30-11-2025"/>
    <s v="CUST12399"/>
    <s v="Consumer"/>
    <s v="Gujarat"/>
    <x v="18"/>
    <x v="2"/>
    <s v="Jeans"/>
    <s v="1"/>
    <s v="2980.67"/>
    <n v="0.05"/>
    <s v="1897.05"/>
    <s v="934.59"/>
    <x v="3"/>
    <x v="0"/>
    <s v="Website"/>
    <n v="2831.6365000000001"/>
  </r>
  <r>
    <s v="ORD100743"/>
    <x v="3"/>
    <s v="10-03-2025"/>
    <s v="CUST10986"/>
    <s v="Home Office"/>
    <s v="Kerala"/>
    <x v="6"/>
    <x v="3"/>
    <s v="Mixer Grinder"/>
    <s v="4"/>
    <s v="2296.19"/>
    <n v="0.1"/>
    <s v="6963.98"/>
    <s v="1302.3"/>
    <x v="2"/>
    <x v="0"/>
    <s v="Mobile App"/>
    <n v="8266.2839999999997"/>
  </r>
  <r>
    <s v="ORD100744"/>
    <x v="11"/>
    <s v="30-10-2025"/>
    <s v="CUST12305"/>
    <s v="Corporate"/>
    <s v="West Bengal"/>
    <x v="0"/>
    <x v="1"/>
    <s v="Face Cream"/>
    <s v="1"/>
    <s v="5753.15"/>
    <n v="0.05"/>
    <s v="4394.88"/>
    <s v="1070.6099999999999"/>
    <x v="2"/>
    <x v="0"/>
    <s v="Marketplace"/>
    <n v="5465.4924999999903"/>
  </r>
  <r>
    <s v="ORD100745"/>
    <x v="4"/>
    <s v="15-04-2025"/>
    <s v="CUST11885"/>
    <s v="Corporate"/>
    <s v="Tamil Nadu"/>
    <x v="11"/>
    <x v="2"/>
    <s v="Jeans"/>
    <s v="1"/>
    <s v="2445.2199999999998"/>
    <n v="0.1"/>
    <s v="1643.17"/>
    <s v="557.53"/>
    <x v="2"/>
    <x v="0"/>
    <s v="Website"/>
    <n v="2200.6979999999999"/>
  </r>
  <r>
    <s v="ORD100747"/>
    <x v="3"/>
    <s v="05-03-2025"/>
    <s v="CUST13082"/>
    <s v="Consumer"/>
    <s v="Gujarat"/>
    <x v="3"/>
    <x v="0"/>
    <s v="Tablet"/>
    <s v="1"/>
    <s v="53346.13"/>
    <n v="0"/>
    <s v="30323.88"/>
    <s v="23022.25"/>
    <x v="2"/>
    <x v="0"/>
    <s v="Marketplace"/>
    <n v="53346.13"/>
  </r>
  <r>
    <s v="ORD100749"/>
    <x v="11"/>
    <s v="18-10-2025"/>
    <s v="CUST10477"/>
    <s v="Consumer"/>
    <s v="Maharashtra"/>
    <x v="4"/>
    <x v="0"/>
    <s v="Headphones"/>
    <s v="1"/>
    <s v="53942.45"/>
    <n v="0.05"/>
    <s v="31764.27"/>
    <s v="19481.060000000001"/>
    <x v="0"/>
    <x v="0"/>
    <s v="Website"/>
    <n v="51245.327499999898"/>
  </r>
  <r>
    <s v="ORD100750"/>
    <x v="4"/>
    <s v="07-04-2025"/>
    <s v="CUST12135"/>
    <s v="Corporate"/>
    <s v="Tamil Nadu"/>
    <x v="8"/>
    <x v="0"/>
    <s v="Laptop"/>
    <s v="1"/>
    <s v="71969"/>
    <n v="0.2"/>
    <s v="56867.74"/>
    <s v="707.46"/>
    <x v="3"/>
    <x v="1"/>
    <s v="Marketplace"/>
    <n v="57575.199999999997"/>
  </r>
  <r>
    <s v="ORD100751"/>
    <x v="0"/>
    <s v="14-01-2025"/>
    <s v="CUST11437"/>
    <s v="Consumer"/>
    <s v="Karnataka"/>
    <x v="22"/>
    <x v="0"/>
    <s v="Laptop"/>
    <s v="4"/>
    <s v="34667.54"/>
    <n v="0.1"/>
    <s v="106650.34"/>
    <s v="18152.8"/>
    <x v="1"/>
    <x v="0"/>
    <s v="Website"/>
    <n v="124803.144"/>
  </r>
  <r>
    <s v="ORD100752"/>
    <x v="9"/>
    <s v="04-06-2025"/>
    <s v="CUST11948"/>
    <s v="Home Office"/>
    <s v="Gujarat"/>
    <x v="18"/>
    <x v="0"/>
    <s v="Laptop"/>
    <s v="3"/>
    <s v="7813.84"/>
    <n v="0"/>
    <s v="17316.18"/>
    <s v="6125.34"/>
    <x v="5"/>
    <x v="2"/>
    <s v="Marketplace"/>
    <n v="23441.52"/>
  </r>
  <r>
    <s v="ORD100753"/>
    <x v="1"/>
    <s v="18-02-2025"/>
    <s v="CUST12658"/>
    <s v="Home Office"/>
    <s v="Karnataka"/>
    <x v="2"/>
    <x v="2"/>
    <s v="Sneakers"/>
    <s v="2"/>
    <s v="6656.31"/>
    <n v="0.15"/>
    <s v="9054.9"/>
    <s v="2260.83"/>
    <x v="1"/>
    <x v="0"/>
    <s v="Marketplace"/>
    <n v="11315.727000000001"/>
  </r>
  <r>
    <s v="ORD100754"/>
    <x v="5"/>
    <s v="17-09-2025"/>
    <s v="CUST11255"/>
    <s v="Home Office"/>
    <s v="Delhi"/>
    <x v="12"/>
    <x v="2"/>
    <s v="Jeans"/>
    <s v="2"/>
    <s v="6293.36"/>
    <n v="0.05"/>
    <s v="7446.78"/>
    <s v="4510.6000000000004"/>
    <x v="5"/>
    <x v="1"/>
    <s v="Marketplace"/>
    <n v="11957.3839999999"/>
  </r>
  <r>
    <s v="ORD100755"/>
    <x v="7"/>
    <s v="10-05-2025"/>
    <s v="CUST11488"/>
    <s v="Home Office"/>
    <s v="Tamil Nadu"/>
    <x v="1"/>
    <x v="3"/>
    <s v="Mixer Grinder"/>
    <s v="2"/>
    <s v="8356.5300000000007"/>
    <n v="0.1"/>
    <s v="9853.18"/>
    <s v="5188.57"/>
    <x v="3"/>
    <x v="0"/>
    <s v="Website"/>
    <n v="15041.754000000001"/>
  </r>
  <r>
    <s v="ORD100756"/>
    <x v="2"/>
    <s v="11-12-2025"/>
    <s v="CUST10689"/>
    <s v="Consumer"/>
    <s v="Delhi"/>
    <x v="7"/>
    <x v="3"/>
    <s v="Mixer Grinder"/>
    <s v="2"/>
    <s v="2337.0300000000002"/>
    <n v="0.15"/>
    <s v="3799.35"/>
    <s v="173.6"/>
    <x v="1"/>
    <x v="0"/>
    <s v="Marketplace"/>
    <n v="3972.951"/>
  </r>
  <r>
    <s v="ORD100757"/>
    <x v="10"/>
    <s v="22-11-2025"/>
    <s v="CUST11843"/>
    <s v="Corporate"/>
    <s v="West Bengal"/>
    <x v="9"/>
    <x v="0"/>
    <s v="Headphones"/>
    <s v="1"/>
    <s v="72614.429999999993"/>
    <n v="0.05"/>
    <s v="52896.52"/>
    <s v="16087.19"/>
    <x v="1"/>
    <x v="3"/>
    <s v="Website"/>
    <n v="68983.708499999993"/>
  </r>
  <r>
    <s v="ORD100759"/>
    <x v="5"/>
    <s v="03-09-2025"/>
    <s v="CUST11621"/>
    <s v="Consumer"/>
    <s v="Gujarat"/>
    <x v="3"/>
    <x v="0"/>
    <s v="Laptop"/>
    <s v="1"/>
    <s v="8123.44"/>
    <n v="0.2"/>
    <s v="5360.55"/>
    <s v="1138.2"/>
    <x v="2"/>
    <x v="0"/>
    <s v="Mobile App"/>
    <n v="6498.7520000000004"/>
  </r>
  <r>
    <s v="ORD100760"/>
    <x v="0"/>
    <s v="20-01-2025"/>
    <s v="CUST11569"/>
    <s v="Corporate"/>
    <s v="Gujarat"/>
    <x v="18"/>
    <x v="3"/>
    <s v="Cookware Set"/>
    <s v="1"/>
    <s v="17677.71"/>
    <n v="0.1"/>
    <s v="11413.82"/>
    <s v="4496.12"/>
    <x v="2"/>
    <x v="0"/>
    <s v="Marketplace"/>
    <n v="15909.939"/>
  </r>
  <r>
    <s v="ORD100761"/>
    <x v="9"/>
    <s v="06-06-2025"/>
    <s v="CUST13463"/>
    <s v="Home Office"/>
    <s v="Karnataka"/>
    <x v="2"/>
    <x v="3"/>
    <s v="Air Fryer"/>
    <s v="1"/>
    <s v="13009.97"/>
    <n v="0.15"/>
    <s v="8465.9500000000007"/>
    <s v="2592.52"/>
    <x v="5"/>
    <x v="3"/>
    <s v="Mobile App"/>
    <n v="11058.4744999999"/>
  </r>
  <r>
    <s v="ORD100762"/>
    <x v="8"/>
    <s v="02-08-2025"/>
    <s v="CUST10325"/>
    <s v="Home Office"/>
    <s v="Telangana"/>
    <x v="16"/>
    <x v="1"/>
    <s v="Hair Dryer"/>
    <s v="1"/>
    <s v="4659.3999999999996"/>
    <n v="0.1"/>
    <s v="2810.3"/>
    <s v="1383.16"/>
    <x v="4"/>
    <x v="0"/>
    <s v="Marketplace"/>
    <n v="4193.46"/>
  </r>
  <r>
    <s v="ORD100763"/>
    <x v="8"/>
    <s v="19-08-2025"/>
    <s v="CUST11219"/>
    <s v="Corporate"/>
    <s v="Kerala"/>
    <x v="15"/>
    <x v="2"/>
    <s v="Handbag"/>
    <s v="1"/>
    <s v="3064.69"/>
    <n v="0.1"/>
    <s v="2224.75"/>
    <s v="533.47"/>
    <x v="2"/>
    <x v="0"/>
    <s v="Mobile App"/>
    <n v="2758.221"/>
  </r>
  <r>
    <s v="ORD100764"/>
    <x v="2"/>
    <s v="09-12-2025"/>
    <s v="CUST10567"/>
    <s v="Corporate"/>
    <s v="Telangana"/>
    <x v="16"/>
    <x v="2"/>
    <s v="Running Shoes"/>
    <s v="1"/>
    <s v="9938.2900000000009"/>
    <n v="0.1"/>
    <s v="7020.2"/>
    <s v="1924.26"/>
    <x v="3"/>
    <x v="0"/>
    <s v="Website"/>
    <n v="8944.4609999999993"/>
  </r>
  <r>
    <s v="ORD100765"/>
    <x v="1"/>
    <s v="11-02-2025"/>
    <s v="CUST10907"/>
    <s v="Corporate"/>
    <s v="Telangana"/>
    <x v="14"/>
    <x v="3"/>
    <s v="Cookware Set"/>
    <s v="4"/>
    <s v="1274.8699999999999"/>
    <n v="0.05"/>
    <s v="3177.62"/>
    <s v="1666.89"/>
    <x v="5"/>
    <x v="3"/>
    <s v="Website"/>
    <n v="4844.5059999999903"/>
  </r>
  <r>
    <s v="ORD100766"/>
    <x v="10"/>
    <s v="06-11-2025"/>
    <s v="CUST11420"/>
    <s v="Corporate"/>
    <s v="Maharashtra"/>
    <x v="4"/>
    <x v="0"/>
    <s v="Smartphone"/>
    <s v="3"/>
    <s v="4753.45"/>
    <n v="0.1"/>
    <s v="10615.02"/>
    <s v="2219.29"/>
    <x v="2"/>
    <x v="2"/>
    <s v="Marketplace"/>
    <n v="12834.3149999999"/>
  </r>
  <r>
    <s v="ORD100767"/>
    <x v="7"/>
    <s v="24-05-2025"/>
    <s v="CUST10461"/>
    <s v="Home Office"/>
    <s v="Karnataka"/>
    <x v="17"/>
    <x v="0"/>
    <s v="Headphones"/>
    <s v="1"/>
    <s v="18079.82"/>
    <n v="0.2"/>
    <s v="10843.16"/>
    <s v="3620.7"/>
    <x v="3"/>
    <x v="0"/>
    <s v="Website"/>
    <n v="14463.856"/>
  </r>
  <r>
    <s v="ORD100768"/>
    <x v="5"/>
    <s v="20-09-2025"/>
    <s v="CUST12608"/>
    <s v="Consumer"/>
    <s v="Delhi"/>
    <x v="12"/>
    <x v="0"/>
    <s v="Smartwatch"/>
    <s v="1"/>
    <s v="42048.97"/>
    <n v="0.1"/>
    <s v="33170.910000000003"/>
    <s v="4673.16"/>
    <x v="5"/>
    <x v="0"/>
    <s v="Mobile App"/>
    <n v="37844.072999999997"/>
  </r>
  <r>
    <s v="ORD100769"/>
    <x v="8"/>
    <s v="14-08-2025"/>
    <s v="CUST12455"/>
    <s v="Consumer"/>
    <s v="West Bengal"/>
    <x v="9"/>
    <x v="1"/>
    <s v="Shampoo"/>
    <s v="1"/>
    <s v="3475.43"/>
    <n v="0"/>
    <s v="2031.54"/>
    <s v="1443.89"/>
    <x v="0"/>
    <x v="2"/>
    <s v="Marketplace"/>
    <n v="3475.43"/>
  </r>
  <r>
    <s v="ORD100771"/>
    <x v="3"/>
    <s v="20-03-2025"/>
    <s v="CUST12169"/>
    <s v="Corporate"/>
    <s v="Karnataka"/>
    <x v="22"/>
    <x v="4"/>
    <s v="Running Shoes"/>
    <s v="3"/>
    <s v="10961.2"/>
    <n v="0"/>
    <s v="22805.17"/>
    <s v="10078.43"/>
    <x v="5"/>
    <x v="0"/>
    <s v="Website"/>
    <n v="32883.599999999999"/>
  </r>
  <r>
    <s v="ORD100773"/>
    <x v="5"/>
    <s v="17-09-2025"/>
    <s v="CUST13107"/>
    <s v="Consumer"/>
    <s v="West Bengal"/>
    <x v="9"/>
    <x v="3"/>
    <s v="Mixer Grinder"/>
    <s v="1"/>
    <s v="4088.33"/>
    <n v="0.15"/>
    <s v="2890.5"/>
    <s v="584.58000000000004"/>
    <x v="5"/>
    <x v="0"/>
    <s v="Website"/>
    <n v="3475.0805"/>
  </r>
  <r>
    <s v="ORD100774"/>
    <x v="6"/>
    <s v="26-07-2025"/>
    <s v="CUST11059"/>
    <s v="Home Office"/>
    <s v="Karnataka"/>
    <x v="22"/>
    <x v="2"/>
    <s v="Jacket"/>
    <s v="1"/>
    <s v="6831.78"/>
    <n v="0"/>
    <s v="5054.13"/>
    <s v="1777.65"/>
    <x v="4"/>
    <x v="2"/>
    <s v="Marketplace"/>
    <n v="6831.78"/>
  </r>
  <r>
    <s v="ORD100775"/>
    <x v="8"/>
    <s v="27-08-2025"/>
    <s v="CUST12223"/>
    <s v="Corporate"/>
    <s v="Maharashtra"/>
    <x v="20"/>
    <x v="0"/>
    <s v="Tablet"/>
    <s v="1"/>
    <s v="61443.09"/>
    <n v="0"/>
    <s v="38040.49"/>
    <s v="23402.6"/>
    <x v="2"/>
    <x v="0"/>
    <s v="Mobile App"/>
    <n v="61443.09"/>
  </r>
  <r>
    <s v="ORD100776"/>
    <x v="2"/>
    <s v="20-12-2025"/>
    <s v="CUST11298"/>
    <s v="Home Office"/>
    <s v="Delhi"/>
    <x v="7"/>
    <x v="3"/>
    <s v="Cookware Set"/>
    <s v="2"/>
    <s v="16368.99"/>
    <n v="0"/>
    <s v="26818.87"/>
    <s v="5919.11"/>
    <x v="5"/>
    <x v="0"/>
    <s v="Website"/>
    <n v="32737.98"/>
  </r>
  <r>
    <s v="ORD100777"/>
    <x v="5"/>
    <s v="01-09-2025"/>
    <s v="CUST12678"/>
    <s v="Home Office"/>
    <s v="Telangana"/>
    <x v="16"/>
    <x v="3"/>
    <s v="Vacuum Cleaner"/>
    <s v="1"/>
    <s v="10913.87"/>
    <n v="0.15"/>
    <s v="7310.17"/>
    <s v="1966.62"/>
    <x v="0"/>
    <x v="0"/>
    <s v="Marketplace"/>
    <n v="9276.7895000000008"/>
  </r>
  <r>
    <s v="ORD100778"/>
    <x v="9"/>
    <s v="18-06-2025"/>
    <s v="CUST11913"/>
    <s v="Consumer"/>
    <s v="Telangana"/>
    <x v="14"/>
    <x v="3"/>
    <s v="Vacuum Cleaner"/>
    <s v="3"/>
    <s v="1246.6600000000001"/>
    <n v="0"/>
    <s v="2668.23"/>
    <s v="1071.75"/>
    <x v="5"/>
    <x v="0"/>
    <s v="Marketplace"/>
    <n v="3739.98"/>
  </r>
  <r>
    <s v="ORD100780"/>
    <x v="2"/>
    <s v="12-12-2025"/>
    <s v="CUST11786"/>
    <s v="Home Office"/>
    <s v="Delhi"/>
    <x v="12"/>
    <x v="3"/>
    <s v="Coffee Maker"/>
    <s v="2"/>
    <s v="7145.51"/>
    <n v="0.1"/>
    <s v="10368.200000000001"/>
    <s v="2493.7199999999998"/>
    <x v="3"/>
    <x v="0"/>
    <s v="Mobile App"/>
    <n v="12861.918"/>
  </r>
  <r>
    <s v="ORD100782"/>
    <x v="2"/>
    <s v="11-12-2025"/>
    <s v="CUST11818"/>
    <s v="Home Office"/>
    <s v="Kerala"/>
    <x v="6"/>
    <x v="0"/>
    <s v="Headphones"/>
    <s v="3"/>
    <s v="68988"/>
    <n v="0.05"/>
    <s v="156109.22"/>
    <s v="40506.58"/>
    <x v="1"/>
    <x v="0"/>
    <s v="Marketplace"/>
    <n v="196615.8"/>
  </r>
  <r>
    <s v="ORD100783"/>
    <x v="0"/>
    <s v="06-01-2025"/>
    <s v="CUST10830"/>
    <s v="Corporate"/>
    <s v="West Bengal"/>
    <x v="9"/>
    <x v="3"/>
    <s v="Cookware Set"/>
    <s v="1"/>
    <s v="5715.73"/>
    <n v="0"/>
    <s v="3773.93"/>
    <s v="1941.8"/>
    <x v="0"/>
    <x v="0"/>
    <s v="Website"/>
    <n v="5715.73"/>
  </r>
  <r>
    <s v="ORD100784"/>
    <x v="1"/>
    <s v="21-02-2025"/>
    <s v="CUST12353"/>
    <s v="Consumer"/>
    <s v="Karnataka"/>
    <x v="2"/>
    <x v="2"/>
    <s v="Jacket"/>
    <s v="3"/>
    <s v="5489.88"/>
    <n v="0.1"/>
    <s v="10409.89"/>
    <s v="4412.79"/>
    <x v="5"/>
    <x v="0"/>
    <s v="Mobile App"/>
    <n v="14822.675999999999"/>
  </r>
  <r>
    <s v="ORD100785"/>
    <x v="0"/>
    <s v="05-01-2025"/>
    <s v="CUST10572"/>
    <s v="Home Office"/>
    <s v="Telangana"/>
    <x v="14"/>
    <x v="3"/>
    <s v="Air Fryer"/>
    <s v="4"/>
    <s v="10344.31"/>
    <n v="0"/>
    <s v="26252.01"/>
    <s v="15125.23"/>
    <x v="5"/>
    <x v="0"/>
    <s v="Marketplace"/>
    <n v="41377.24"/>
  </r>
  <r>
    <s v="ORD100786"/>
    <x v="11"/>
    <s v="28-10-2025"/>
    <s v="CUST13368"/>
    <s v="Home Office"/>
    <s v="Tamil Nadu"/>
    <x v="1"/>
    <x v="3"/>
    <s v="Coffee Maker"/>
    <s v="1"/>
    <s v="7795.48"/>
    <n v="0"/>
    <s v="4908.7700000000004"/>
    <s v="2886.71"/>
    <x v="3"/>
    <x v="0"/>
    <s v="Website"/>
    <n v="7795.48"/>
  </r>
  <r>
    <s v="ORD100787"/>
    <x v="3"/>
    <s v="17-03-2025"/>
    <s v="CUST13291"/>
    <s v="Home Office"/>
    <s v="Telangana"/>
    <x v="14"/>
    <x v="1"/>
    <s v="Perfume"/>
    <s v="1"/>
    <s v="4048.59"/>
    <n v="0.05"/>
    <s v="3086.1"/>
    <s v="760.06"/>
    <x v="2"/>
    <x v="0"/>
    <s v="Website"/>
    <n v="3846.1605"/>
  </r>
  <r>
    <s v="ORD100790"/>
    <x v="7"/>
    <s v="07-05-2025"/>
    <s v="CUST13146"/>
    <s v="Consumer"/>
    <s v="Telangana"/>
    <x v="14"/>
    <x v="0"/>
    <s v="Tablet"/>
    <s v="2"/>
    <s v="35860.42"/>
    <n v="0.05"/>
    <s v="48310.13"/>
    <s v="19824.669999999998"/>
    <x v="3"/>
    <x v="0"/>
    <s v="Marketplace"/>
    <n v="68134.797999999995"/>
  </r>
  <r>
    <s v="ORD100791"/>
    <x v="7"/>
    <s v="21-05-2025"/>
    <s v="CUST13405"/>
    <s v="Home Office"/>
    <s v="Gujarat"/>
    <x v="18"/>
    <x v="4"/>
    <s v="Running Shoes"/>
    <s v="1"/>
    <s v="10355.200000000001"/>
    <n v="0"/>
    <s v="7126.24"/>
    <s v="3228.96"/>
    <x v="3"/>
    <x v="0"/>
    <s v="Marketplace"/>
    <n v="10355.200000000001"/>
  </r>
  <r>
    <s v="ORD100793"/>
    <x v="11"/>
    <s v="07-10-2025"/>
    <s v="CUST11637"/>
    <s v="Corporate"/>
    <s v="Telangana"/>
    <x v="14"/>
    <x v="2"/>
    <s v="Jeans"/>
    <s v="1"/>
    <s v="2642.85"/>
    <n v="0.05"/>
    <s v="1521.31"/>
    <s v="989.4"/>
    <x v="3"/>
    <x v="0"/>
    <s v="Website"/>
    <n v="2510.7075"/>
  </r>
  <r>
    <s v="ORD100795"/>
    <x v="6"/>
    <s v="05-07-2025"/>
    <s v="CUST11666"/>
    <s v="Corporate"/>
    <s v="Karnataka"/>
    <x v="22"/>
    <x v="0"/>
    <s v="Headphones"/>
    <s v="3"/>
    <s v="68046.52"/>
    <n v="0"/>
    <s v="114372.36"/>
    <s v="89767.2"/>
    <x v="0"/>
    <x v="0"/>
    <s v="Marketplace"/>
    <n v="204139.56"/>
  </r>
  <r>
    <s v="ORD100796"/>
    <x v="10"/>
    <s v="24-11-2025"/>
    <s v="CUST13032"/>
    <s v="Home Office"/>
    <s v="Gujarat"/>
    <x v="18"/>
    <x v="2"/>
    <s v="Handbag"/>
    <s v="1"/>
    <s v="2987.59"/>
    <n v="0.1"/>
    <s v="2254.31"/>
    <s v="434.52"/>
    <x v="0"/>
    <x v="1"/>
    <s v="Marketplace"/>
    <n v="2688.8310000000001"/>
  </r>
  <r>
    <s v="ORD100799"/>
    <x v="2"/>
    <s v="25-12-2025"/>
    <s v="CUST11616"/>
    <s v="Corporate"/>
    <s v="Maharashtra"/>
    <x v="4"/>
    <x v="4"/>
    <s v="Football"/>
    <s v="4"/>
    <s v="4371.42"/>
    <n v="0.05"/>
    <s v="11658.08"/>
    <s v="4953.32"/>
    <x v="0"/>
    <x v="0"/>
    <s v="Marketplace"/>
    <n v="16611.396000000001"/>
  </r>
  <r>
    <s v="ORD100800"/>
    <x v="8"/>
    <s v="17-08-2025"/>
    <s v="CUST10533"/>
    <s v="Home Office"/>
    <s v="Gujarat"/>
    <x v="10"/>
    <x v="2"/>
    <s v="Jacket"/>
    <s v="1"/>
    <s v="1829.38"/>
    <n v="0.1"/>
    <s v="1276.42"/>
    <s v="370.02"/>
    <x v="3"/>
    <x v="0"/>
    <s v="Marketplace"/>
    <n v="1646.442"/>
  </r>
  <r>
    <s v="ORD100802"/>
    <x v="5"/>
    <s v="03-09-2025"/>
    <s v="CUST12502"/>
    <s v="Corporate"/>
    <s v="Kerala"/>
    <x v="15"/>
    <x v="3"/>
    <s v="Vacuum Cleaner"/>
    <s v="1"/>
    <s v="15238.56"/>
    <n v="0.2"/>
    <s v="9046.2999999999993"/>
    <s v="3144.55"/>
    <x v="2"/>
    <x v="0"/>
    <s v="Mobile App"/>
    <n v="12190.848"/>
  </r>
  <r>
    <s v="ORD100803"/>
    <x v="7"/>
    <s v="20-05-2025"/>
    <s v="CUST10889"/>
    <s v="Corporate"/>
    <s v="Maharashtra"/>
    <x v="20"/>
    <x v="0"/>
    <s v="Smartwatch"/>
    <s v="4"/>
    <s v="10622.59"/>
    <n v="0.1"/>
    <s v="33048.51"/>
    <s v="5192.8100000000004"/>
    <x v="3"/>
    <x v="0"/>
    <s v="Mobile App"/>
    <n v="38241.324000000001"/>
  </r>
  <r>
    <s v="ORD100804"/>
    <x v="6"/>
    <s v="30-07-2025"/>
    <s v="CUST12600"/>
    <s v="Consumer"/>
    <s v="Delhi"/>
    <x v="7"/>
    <x v="3"/>
    <s v="Air Fryer"/>
    <s v="1"/>
    <s v="16774.87"/>
    <n v="0.2"/>
    <s v="12279.33"/>
    <s v="1140.57"/>
    <x v="5"/>
    <x v="0"/>
    <s v="Website"/>
    <n v="13419.896000000001"/>
  </r>
  <r>
    <s v="ORD100805"/>
    <x v="11"/>
    <s v="26-10-2025"/>
    <s v="CUST12066"/>
    <s v="Corporate"/>
    <s v="Gujarat"/>
    <x v="3"/>
    <x v="3"/>
    <s v="Air Fryer"/>
    <s v="2"/>
    <s v="8698.31"/>
    <n v="0.15"/>
    <s v="11411.76"/>
    <s v="3375.37"/>
    <x v="2"/>
    <x v="3"/>
    <s v="Website"/>
    <n v="14787.1269999999"/>
  </r>
  <r>
    <s v="ORD100806"/>
    <x v="2"/>
    <s v="23-12-2025"/>
    <s v="CUST13268"/>
    <s v="Home Office"/>
    <s v="West Bengal"/>
    <x v="9"/>
    <x v="4"/>
    <s v="Fitness Band"/>
    <s v="1"/>
    <s v="828.52"/>
    <n v="0.1"/>
    <s v="639.36"/>
    <s v="106.31"/>
    <x v="1"/>
    <x v="0"/>
    <s v="Website"/>
    <n v="745.66800000000001"/>
  </r>
  <r>
    <s v="ORD100807"/>
    <x v="9"/>
    <s v="02-06-2025"/>
    <s v="CUST11362"/>
    <s v="Home Office"/>
    <s v="West Bengal"/>
    <x v="9"/>
    <x v="0"/>
    <s v="Headphones"/>
    <s v="1"/>
    <s v="27330.14"/>
    <n v="0.05"/>
    <s v="17576.95"/>
    <s v="8386.68"/>
    <x v="0"/>
    <x v="0"/>
    <s v="Marketplace"/>
    <n v="25963.6329999999"/>
  </r>
  <r>
    <s v="ORD100808"/>
    <x v="5"/>
    <s v="08-09-2025"/>
    <s v="CUST10009"/>
    <s v="Corporate"/>
    <s v="Delhi"/>
    <x v="7"/>
    <x v="1"/>
    <s v="Face Cream"/>
    <s v="2"/>
    <s v="2165.8200000000002"/>
    <n v="0.15"/>
    <s v="2667.37"/>
    <s v="1014.52"/>
    <x v="3"/>
    <x v="0"/>
    <s v="Mobile App"/>
    <n v="3681.8939999999998"/>
  </r>
  <r>
    <s v="ORD100810"/>
    <x v="4"/>
    <s v="22-04-2025"/>
    <s v="CUST10285"/>
    <s v="Corporate"/>
    <s v="Telangana"/>
    <x v="14"/>
    <x v="4"/>
    <s v="Running Shoes"/>
    <s v="1"/>
    <s v="964.93"/>
    <n v="0.05"/>
    <s v="787.25"/>
    <s v="129.43"/>
    <x v="1"/>
    <x v="2"/>
    <s v="Website"/>
    <n v="916.68349999999896"/>
  </r>
  <r>
    <s v="ORD100811"/>
    <x v="3"/>
    <s v="07-03-2025"/>
    <s v="CUST12389"/>
    <s v="Corporate"/>
    <s v="Maharashtra"/>
    <x v="20"/>
    <x v="3"/>
    <s v="Coffee Maker"/>
    <s v="1"/>
    <s v="9866"/>
    <n v="0.05"/>
    <s v="6844.64"/>
    <s v="2528.06"/>
    <x v="5"/>
    <x v="0"/>
    <s v="Marketplace"/>
    <n v="9372.6999999999898"/>
  </r>
  <r>
    <s v="ORD100812"/>
    <x v="5"/>
    <s v="07-09-2025"/>
    <s v="CUST11476"/>
    <s v="Corporate"/>
    <s v="Kerala"/>
    <x v="6"/>
    <x v="3"/>
    <s v="Mixer Grinder"/>
    <s v="2"/>
    <s v="13538.99"/>
    <n v="0.15"/>
    <s v="19912.57"/>
    <s v="3103.71"/>
    <x v="0"/>
    <x v="2"/>
    <s v="Marketplace"/>
    <n v="23016.282999999999"/>
  </r>
  <r>
    <s v="ORD100813"/>
    <x v="9"/>
    <s v="07-06-2025"/>
    <s v="CUST13148"/>
    <s v="Home Office"/>
    <s v="Delhi"/>
    <x v="7"/>
    <x v="0"/>
    <s v="Smartphone"/>
    <s v="1"/>
    <s v="49858.31"/>
    <n v="0"/>
    <s v="30315.31"/>
    <s v="19543"/>
    <x v="1"/>
    <x v="0"/>
    <s v="Website"/>
    <n v="49858.31"/>
  </r>
  <r>
    <s v="ORD100815"/>
    <x v="0"/>
    <s v="29-01-2025"/>
    <s v="CUST12209"/>
    <s v="Home Office"/>
    <s v="Maharashtra"/>
    <x v="21"/>
    <x v="3"/>
    <s v="Jeans"/>
    <s v="1"/>
    <s v="352.28"/>
    <n v="0.1"/>
    <s v="224.02"/>
    <s v="93.03"/>
    <x v="5"/>
    <x v="0"/>
    <s v="Mobile App"/>
    <n v="317.051999999999"/>
  </r>
  <r>
    <s v="ORD100816"/>
    <x v="7"/>
    <s v="02-05-2025"/>
    <s v="CUST12562"/>
    <s v="Consumer"/>
    <s v="Kerala"/>
    <x v="6"/>
    <x v="1"/>
    <s v="Shampoo"/>
    <s v="1"/>
    <s v="5839.08"/>
    <n v="0.1"/>
    <s v="4318.74"/>
    <s v="936.43"/>
    <x v="0"/>
    <x v="0"/>
    <s v="Mobile App"/>
    <n v="5255.1719999999996"/>
  </r>
  <r>
    <s v="ORD100817"/>
    <x v="7"/>
    <s v="29-05-2025"/>
    <s v="CUST13036"/>
    <s v="Consumer"/>
    <s v="Maharashtra"/>
    <x v="4"/>
    <x v="4"/>
    <s v="Running Shoes"/>
    <s v="1"/>
    <s v="1226.04"/>
    <n v="0.1"/>
    <s v="901.77"/>
    <s v="201.67"/>
    <x v="3"/>
    <x v="2"/>
    <s v="Marketplace"/>
    <n v="1103.4359999999999"/>
  </r>
  <r>
    <s v="ORD100818"/>
    <x v="2"/>
    <s v="16-12-2025"/>
    <s v="CUST13128"/>
    <s v="Corporate"/>
    <s v="Telangana"/>
    <x v="14"/>
    <x v="2"/>
    <s v="Sneakers"/>
    <s v="1"/>
    <s v="825.48"/>
    <n v="0.15"/>
    <s v="647.57000000000005"/>
    <s v="54.09"/>
    <x v="0"/>
    <x v="0"/>
    <s v="Mobile App"/>
    <n v="701.65800000000002"/>
  </r>
  <r>
    <s v="ORD100819"/>
    <x v="7"/>
    <s v="26-05-2025"/>
    <s v="CUST12621"/>
    <s v="Home Office"/>
    <s v="Karnataka"/>
    <x v="22"/>
    <x v="2"/>
    <s v="Jacket"/>
    <s v="1"/>
    <s v="5809.26"/>
    <n v="0.1"/>
    <s v="3646.64"/>
    <s v="1581.69"/>
    <x v="1"/>
    <x v="0"/>
    <s v="Mobile App"/>
    <n v="5228.3339999999998"/>
  </r>
  <r>
    <s v="ORD100820"/>
    <x v="5"/>
    <s v="26-09-2025"/>
    <s v="CUST13329"/>
    <s v="Corporate"/>
    <s v="Maharashtra"/>
    <x v="20"/>
    <x v="0"/>
    <s v="Smartphone"/>
    <s v="3"/>
    <s v="16264.6"/>
    <n v="0"/>
    <s v="35994.14"/>
    <s v="12799.66"/>
    <x v="1"/>
    <x v="0"/>
    <s v="Mobile App"/>
    <n v="48793.8"/>
  </r>
  <r>
    <s v="ORD100821"/>
    <x v="10"/>
    <s v="14-11-2025"/>
    <s v="CUST11490"/>
    <s v="Corporate"/>
    <s v="Tamil Nadu"/>
    <x v="1"/>
    <x v="4"/>
    <s v="Cricket Bat"/>
    <s v="1"/>
    <s v="7980.33"/>
    <n v="0.1"/>
    <s v="5967.04"/>
    <s v="1215.26"/>
    <x v="3"/>
    <x v="0"/>
    <s v="Marketplace"/>
    <n v="7182.2969999999996"/>
  </r>
  <r>
    <s v="ORD100822"/>
    <x v="2"/>
    <s v="05-12-2025"/>
    <s v="CUST11155"/>
    <s v="Corporate"/>
    <s v="Maharashtra"/>
    <x v="21"/>
    <x v="4"/>
    <s v="Yoga Mat"/>
    <s v="1"/>
    <s v="9167.09"/>
    <n v="0.05"/>
    <s v="5408.6"/>
    <s v="3300.14"/>
    <x v="3"/>
    <x v="0"/>
    <s v="Website"/>
    <n v="8708.7354999999898"/>
  </r>
  <r>
    <s v="ORD100823"/>
    <x v="6"/>
    <s v="01-07-2025"/>
    <s v="CUST13400"/>
    <s v="Home Office"/>
    <s v="Maharashtra"/>
    <x v="21"/>
    <x v="4"/>
    <s v="Running Shoes"/>
    <s v="1"/>
    <s v="1839.96"/>
    <n v="0"/>
    <s v="1468.49"/>
    <s v="371.47"/>
    <x v="1"/>
    <x v="0"/>
    <s v="Mobile App"/>
    <n v="1839.96"/>
  </r>
  <r>
    <s v="ORD100824"/>
    <x v="0"/>
    <s v="16-01-2025"/>
    <s v="CUST11749"/>
    <s v="Corporate"/>
    <s v="Kerala"/>
    <x v="5"/>
    <x v="0"/>
    <s v="Smartphone"/>
    <s v="4"/>
    <s v="54929.07"/>
    <n v="0.05"/>
    <s v="141228.75"/>
    <s v="67501.72"/>
    <x v="2"/>
    <x v="3"/>
    <s v="Marketplace"/>
    <n v="208730.46599999999"/>
  </r>
  <r>
    <s v="ORD100826"/>
    <x v="3"/>
    <s v="14-03-2025"/>
    <s v="CUST11441"/>
    <s v="Corporate"/>
    <s v="West Bengal"/>
    <x v="0"/>
    <x v="4"/>
    <s v="Running Shoes"/>
    <s v="3"/>
    <s v="1262.55"/>
    <n v="0"/>
    <s v="2675.11"/>
    <s v="1112.54"/>
    <x v="0"/>
    <x v="0"/>
    <s v="Website"/>
    <n v="3787.6499999999901"/>
  </r>
  <r>
    <s v="ORD100827"/>
    <x v="10"/>
    <s v="11-11-2025"/>
    <s v="CUST10570"/>
    <s v="Home Office"/>
    <s v="Maharashtra"/>
    <x v="4"/>
    <x v="2"/>
    <s v="T-Shirt"/>
    <s v="1"/>
    <s v="4100.3599999999997"/>
    <n v="0.15"/>
    <s v="2319.09"/>
    <s v="1166.22"/>
    <x v="0"/>
    <x v="0"/>
    <s v="Website"/>
    <n v="3485.30599999999"/>
  </r>
  <r>
    <s v="ORD100828"/>
    <x v="4"/>
    <s v="03-04-2025"/>
    <s v="CUST11287"/>
    <s v="Home Office"/>
    <s v="Gujarat"/>
    <x v="18"/>
    <x v="2"/>
    <s v="T-Shirt"/>
    <s v="1"/>
    <s v="421.92"/>
    <n v="0"/>
    <s v="254.62"/>
    <s v="167.3"/>
    <x v="3"/>
    <x v="0"/>
    <s v="Marketplace"/>
    <n v="421.92"/>
  </r>
  <r>
    <s v="ORD100829"/>
    <x v="5"/>
    <s v="15-09-2025"/>
    <s v="CUST11755"/>
    <s v="Consumer"/>
    <s v="Delhi"/>
    <x v="7"/>
    <x v="0"/>
    <s v="Laptop"/>
    <s v="1"/>
    <s v="28646.22"/>
    <n v="0.1"/>
    <s v="20824.900000000001"/>
    <s v="4956.7"/>
    <x v="5"/>
    <x v="0"/>
    <s v="Mobile App"/>
    <n v="25781.598000000002"/>
  </r>
  <r>
    <s v="ORD100830"/>
    <x v="3"/>
    <s v="30-03-2025"/>
    <s v="CUST12407"/>
    <s v="Consumer"/>
    <s v="Kerala"/>
    <x v="6"/>
    <x v="3"/>
    <s v="Coffee Maker"/>
    <s v="1"/>
    <s v="5236.74"/>
    <n v="0.1"/>
    <s v="4032.72"/>
    <s v="680.35"/>
    <x v="5"/>
    <x v="2"/>
    <s v="Website"/>
    <n v="4713.0659999999998"/>
  </r>
  <r>
    <s v="ORD100832"/>
    <x v="8"/>
    <s v="28-08-2025"/>
    <s v="CUST10440"/>
    <s v="Home Office"/>
    <s v="Telangana"/>
    <x v="14"/>
    <x v="1"/>
    <s v="Face Cream"/>
    <s v="1"/>
    <s v="4333.5200000000004"/>
    <n v="0.1"/>
    <s v="2760.25"/>
    <s v="1139.92"/>
    <x v="3"/>
    <x v="2"/>
    <s v="Mobile App"/>
    <n v="3900.1680000000001"/>
  </r>
  <r>
    <s v="ORD100833"/>
    <x v="1"/>
    <s v="06-02-2025"/>
    <s v="CUST10006"/>
    <s v="Home Office"/>
    <s v="Tamil Nadu"/>
    <x v="8"/>
    <x v="4"/>
    <s v="Running Shoes"/>
    <s v="3"/>
    <s v="10001.290000000001"/>
    <n v="0.1"/>
    <s v="22222.01"/>
    <s v="4781.47"/>
    <x v="0"/>
    <x v="2"/>
    <s v="Mobile App"/>
    <n v="27003.483"/>
  </r>
  <r>
    <s v="ORD100835"/>
    <x v="4"/>
    <s v="22-04-2025"/>
    <s v="CUST11163"/>
    <s v="Corporate"/>
    <s v="Karnataka"/>
    <x v="2"/>
    <x v="1"/>
    <s v="Shampoo"/>
    <s v="2"/>
    <s v="5506.99"/>
    <n v="0.1"/>
    <s v="6624.79"/>
    <s v="3287.79"/>
    <x v="0"/>
    <x v="0"/>
    <s v="Website"/>
    <n v="9912.5820000000003"/>
  </r>
  <r>
    <s v="ORD100836"/>
    <x v="0"/>
    <s v="03-01-2025"/>
    <s v="CUST12935"/>
    <s v="Home Office"/>
    <s v="Telangana"/>
    <x v="16"/>
    <x v="3"/>
    <s v="Vacuum Cleaner"/>
    <s v="1"/>
    <s v="17668.04"/>
    <n v="0.1"/>
    <s v="10465.39"/>
    <s v="5435.85"/>
    <x v="5"/>
    <x v="2"/>
    <s v="Marketplace"/>
    <n v="15901.236000000001"/>
  </r>
  <r>
    <s v="ORD100837"/>
    <x v="6"/>
    <s v="03-07-2025"/>
    <s v="CUST13222"/>
    <s v="Corporate"/>
    <s v="Delhi"/>
    <x v="7"/>
    <x v="0"/>
    <s v="Smartwatch"/>
    <s v="2"/>
    <s v="66778.91"/>
    <n v="0.2"/>
    <s v="78304.649999999994"/>
    <s v="28541.61"/>
    <x v="1"/>
    <x v="0"/>
    <s v="Mobile App"/>
    <n v="106846.25599999999"/>
  </r>
  <r>
    <s v="ORD100838"/>
    <x v="10"/>
    <s v="18-11-2025"/>
    <s v="CUST12345"/>
    <s v="Consumer"/>
    <s v="Delhi"/>
    <x v="7"/>
    <x v="3"/>
    <s v="Air Fryer"/>
    <s v="2"/>
    <s v="2101.66"/>
    <n v="0.05"/>
    <s v="2871.99"/>
    <s v="1121.1600000000001"/>
    <x v="3"/>
    <x v="2"/>
    <s v="Mobile App"/>
    <n v="3993.15399999999"/>
  </r>
  <r>
    <s v="ORD100839"/>
    <x v="0"/>
    <s v="17-01-2025"/>
    <s v="CUST10581"/>
    <s v="Corporate"/>
    <s v="Gujarat"/>
    <x v="10"/>
    <x v="3"/>
    <s v="Coffee Maker"/>
    <s v="2"/>
    <s v="4655.2700000000004"/>
    <n v="0.1"/>
    <s v="7289.92"/>
    <s v="1089.57"/>
    <x v="0"/>
    <x v="0"/>
    <s v="Mobile App"/>
    <n v="8379.4860000000008"/>
  </r>
  <r>
    <s v="ORD100841"/>
    <x v="6"/>
    <s v="28-07-2025"/>
    <s v="CUST11112"/>
    <s v="Corporate"/>
    <s v="Tamil Nadu"/>
    <x v="19"/>
    <x v="2"/>
    <s v="T-Shirt"/>
    <s v="3"/>
    <s v="1039.3800000000001"/>
    <n v="0.15"/>
    <s v="1719.93"/>
    <s v="930.49"/>
    <x v="3"/>
    <x v="0"/>
    <s v="Website"/>
    <n v="2650.4189999999999"/>
  </r>
  <r>
    <s v="ORD100842"/>
    <x v="8"/>
    <s v="26-08-2025"/>
    <s v="CUST10151"/>
    <s v="Consumer"/>
    <s v="Tamil Nadu"/>
    <x v="11"/>
    <x v="0"/>
    <s v="Smartwatch"/>
    <s v="2"/>
    <s v="55363.72"/>
    <n v="0.2"/>
    <s v="68974.399999999994"/>
    <s v="19607.55"/>
    <x v="0"/>
    <x v="0"/>
    <s v="Marketplace"/>
    <n v="88581.952000000005"/>
  </r>
  <r>
    <s v="ORD100843"/>
    <x v="6"/>
    <s v="06-07-2025"/>
    <s v="CUST12285"/>
    <s v="Corporate"/>
    <s v="Telangana"/>
    <x v="14"/>
    <x v="2"/>
    <s v="Sneakers"/>
    <s v="1"/>
    <s v="6404.05"/>
    <n v="0.15"/>
    <s v="4661.17"/>
    <s v="782.27"/>
    <x v="2"/>
    <x v="0"/>
    <s v="Marketplace"/>
    <n v="5443.4425000000001"/>
  </r>
  <r>
    <s v="ORD100844"/>
    <x v="6"/>
    <s v="30-07-2025"/>
    <s v="CUST10769"/>
    <s v="Consumer"/>
    <s v="Maharashtra"/>
    <x v="21"/>
    <x v="3"/>
    <s v="Air Fryer"/>
    <s v="1"/>
    <s v="14734.45"/>
    <n v="0.1"/>
    <s v="9698.0300000000007"/>
    <s v="3562.97"/>
    <x v="5"/>
    <x v="0"/>
    <s v="Mobile App"/>
    <n v="13261.004999999999"/>
  </r>
  <r>
    <s v="ORD100845"/>
    <x v="4"/>
    <s v="17-04-2025"/>
    <s v="CUST12490"/>
    <s v="Home Office"/>
    <s v="West Bengal"/>
    <x v="9"/>
    <x v="4"/>
    <s v="Running Shoes"/>
    <s v="1"/>
    <s v="9881.7999999999993"/>
    <n v="0"/>
    <s v="7929.5"/>
    <s v="1952.3"/>
    <x v="0"/>
    <x v="0"/>
    <s v="Website"/>
    <n v="9881.7999999999993"/>
  </r>
  <r>
    <s v="ORD100846"/>
    <x v="3"/>
    <s v="14-03-2025"/>
    <s v="CUST10375"/>
    <s v="Consumer"/>
    <s v="Gujarat"/>
    <x v="18"/>
    <x v="3"/>
    <s v="Cookware Set"/>
    <s v="1"/>
    <s v="17327.27"/>
    <n v="0.1"/>
    <s v="13063.61"/>
    <s v="2530.9299999999998"/>
    <x v="2"/>
    <x v="0"/>
    <s v="Marketplace"/>
    <n v="15594.543"/>
  </r>
  <r>
    <s v="ORD100847"/>
    <x v="0"/>
    <s v="18-01-2025"/>
    <s v="CUST12827"/>
    <s v="Home Office"/>
    <s v="Kerala"/>
    <x v="5"/>
    <x v="3"/>
    <s v="Mixer Grinder"/>
    <s v="2"/>
    <s v="1041.94"/>
    <n v="0.1"/>
    <s v="1594.47"/>
    <s v="281.02"/>
    <x v="2"/>
    <x v="1"/>
    <s v="Website"/>
    <n v="1875.492"/>
  </r>
  <r>
    <s v="ORD100848"/>
    <x v="0"/>
    <s v="08-01-2025"/>
    <s v="CUST12406"/>
    <s v="Corporate"/>
    <s v="West Bengal"/>
    <x v="0"/>
    <x v="0"/>
    <s v="Tablet"/>
    <s v="1"/>
    <s v="11479.08"/>
    <n v="0.1"/>
    <s v="8015.73"/>
    <s v="2315.44"/>
    <x v="2"/>
    <x v="2"/>
    <s v="Mobile App"/>
    <n v="10331.172"/>
  </r>
  <r>
    <s v="ORD100849"/>
    <x v="9"/>
    <s v="18-06-2025"/>
    <s v="CUST13096"/>
    <s v="Corporate"/>
    <s v="Kerala"/>
    <x v="15"/>
    <x v="2"/>
    <s v="Handbag"/>
    <s v="1"/>
    <s v="5689.21"/>
    <n v="0.1"/>
    <s v="3765.34"/>
    <s v="1354.95"/>
    <x v="2"/>
    <x v="2"/>
    <s v="Marketplace"/>
    <n v="5120.2889999999998"/>
  </r>
  <r>
    <s v="ORD100850"/>
    <x v="11"/>
    <s v="14-10-2025"/>
    <s v="CUST10132"/>
    <s v="Home Office"/>
    <s v="Gujarat"/>
    <x v="18"/>
    <x v="0"/>
    <s v="Tablet"/>
    <s v="1"/>
    <s v="8939.27"/>
    <n v="0.05"/>
    <s v="5280.71"/>
    <s v="3211.6"/>
    <x v="0"/>
    <x v="2"/>
    <s v="Mobile App"/>
    <n v="8492.3065000000006"/>
  </r>
  <r>
    <s v="ORD100851"/>
    <x v="9"/>
    <s v="17-06-2025"/>
    <s v="CUST12992"/>
    <s v="Consumer"/>
    <s v="Delhi"/>
    <x v="7"/>
    <x v="1"/>
    <s v="Face Cream"/>
    <s v="4"/>
    <s v="1994.22"/>
    <n v="0.1"/>
    <s v="6023.92"/>
    <s v="1155.27"/>
    <x v="1"/>
    <x v="0"/>
    <s v="Website"/>
    <n v="7179.192"/>
  </r>
  <r>
    <s v="ORD100852"/>
    <x v="4"/>
    <s v="03-04-2025"/>
    <s v="CUST12204"/>
    <s v="Corporate"/>
    <s v="West Bengal"/>
    <x v="0"/>
    <x v="2"/>
    <s v="Jacket"/>
    <s v="1"/>
    <s v="2165.34"/>
    <n v="0"/>
    <s v="1491.59"/>
    <s v="673.75"/>
    <x v="2"/>
    <x v="0"/>
    <s v="Mobile App"/>
    <n v="2165.34"/>
  </r>
  <r>
    <s v="ORD100853"/>
    <x v="11"/>
    <s v="19-10-2025"/>
    <s v="CUST11478"/>
    <s v="Consumer"/>
    <s v="Telangana"/>
    <x v="14"/>
    <x v="1"/>
    <s v="Face Cream"/>
    <s v="4"/>
    <s v="4647.6099999999997"/>
    <n v="0.1"/>
    <s v="12688.33"/>
    <s v="4043.07"/>
    <x v="3"/>
    <x v="0"/>
    <s v="Marketplace"/>
    <n v="16731.396000000001"/>
  </r>
  <r>
    <s v="ORD100855"/>
    <x v="10"/>
    <s v="15-11-2025"/>
    <s v="CUST10074"/>
    <s v="Home Office"/>
    <s v="Karnataka"/>
    <x v="17"/>
    <x v="3"/>
    <s v="Mixer Grinder"/>
    <s v="4"/>
    <s v="7436.58"/>
    <n v="0.1"/>
    <s v="18710.900000000001"/>
    <s v="8060.79"/>
    <x v="1"/>
    <x v="2"/>
    <s v="Mobile App"/>
    <n v="26771.687999999998"/>
  </r>
  <r>
    <s v="ORD100857"/>
    <x v="1"/>
    <s v="15-02-2025"/>
    <s v="CUST11521"/>
    <s v="Home Office"/>
    <s v="Telangana"/>
    <x v="14"/>
    <x v="2"/>
    <s v="Handbag"/>
    <s v="1"/>
    <s v="3128.26"/>
    <n v="0"/>
    <s v="2556.19"/>
    <s v="572.07000000000005"/>
    <x v="1"/>
    <x v="0"/>
    <s v="Mobile App"/>
    <n v="3128.26"/>
  </r>
  <r>
    <s v="ORD100858"/>
    <x v="11"/>
    <s v="10-10-2025"/>
    <s v="CUST12960"/>
    <s v="Consumer"/>
    <s v="Kerala"/>
    <x v="5"/>
    <x v="2"/>
    <s v="T-Shirt"/>
    <s v="2"/>
    <s v="3216.29"/>
    <n v="0.1"/>
    <s v="5199.3100000000004"/>
    <s v="590.01"/>
    <x v="5"/>
    <x v="2"/>
    <s v="Marketplace"/>
    <n v="5789.3220000000001"/>
  </r>
  <r>
    <s v="ORD100859"/>
    <x v="9"/>
    <s v="19-06-2025"/>
    <s v="CUST11646"/>
    <s v="Corporate"/>
    <s v="Tamil Nadu"/>
    <x v="11"/>
    <x v="0"/>
    <s v="Smartphone"/>
    <s v="1"/>
    <s v="25176.65"/>
    <n v="0"/>
    <s v="18596.490000000002"/>
    <s v="6580.16"/>
    <x v="1"/>
    <x v="0"/>
    <s v="Marketplace"/>
    <n v="25176.65"/>
  </r>
  <r>
    <s v="ORD100860"/>
    <x v="6"/>
    <s v="21-07-2025"/>
    <s v="CUST11120"/>
    <s v="Corporate"/>
    <s v="Maharashtra"/>
    <x v="21"/>
    <x v="3"/>
    <s v="Vacuum Cleaner"/>
    <s v="3"/>
    <s v="8611.75"/>
    <n v="0"/>
    <s v="14399.06"/>
    <s v="11436.19"/>
    <x v="0"/>
    <x v="2"/>
    <s v="Marketplace"/>
    <n v="25835.25"/>
  </r>
  <r>
    <s v="ORD100861"/>
    <x v="8"/>
    <s v="04-08-2025"/>
    <s v="CUST13454"/>
    <s v="Home Office"/>
    <s v="Kerala"/>
    <x v="15"/>
    <x v="3"/>
    <s v="Vacuum Cleaner"/>
    <s v="1"/>
    <s v="12182.97"/>
    <n v="0.05"/>
    <s v="9742.99"/>
    <s v="1830.83"/>
    <x v="2"/>
    <x v="0"/>
    <s v="Website"/>
    <n v="11573.8214999999"/>
  </r>
  <r>
    <s v="ORD100865"/>
    <x v="10"/>
    <s v="03-11-2025"/>
    <s v="CUST13460"/>
    <s v="Home Office"/>
    <s v="Kerala"/>
    <x v="15"/>
    <x v="1"/>
    <s v="Shampoo"/>
    <s v="2"/>
    <s v="5061.57"/>
    <n v="0.1"/>
    <s v="5642.09"/>
    <s v="3468.74"/>
    <x v="0"/>
    <x v="2"/>
    <s v="Marketplace"/>
    <n v="9110.8259999999991"/>
  </r>
  <r>
    <s v="ORD100866"/>
    <x v="9"/>
    <s v="20-06-2025"/>
    <s v="CUST10261"/>
    <s v="Corporate"/>
    <s v="Gujarat"/>
    <x v="10"/>
    <x v="3"/>
    <s v="Air Fryer"/>
    <s v="1"/>
    <s v="1711.16"/>
    <n v="0"/>
    <s v="1057.97"/>
    <s v="653.19000000000005"/>
    <x v="3"/>
    <x v="0"/>
    <s v="Mobile App"/>
    <n v="1711.16"/>
  </r>
  <r>
    <s v="ORD100868"/>
    <x v="10"/>
    <s v="09-11-2025"/>
    <s v="CUST10832"/>
    <s v="Home Office"/>
    <s v="Karnataka"/>
    <x v="2"/>
    <x v="1"/>
    <s v="Hair Dryer"/>
    <s v="1"/>
    <s v="3018.31"/>
    <n v="0"/>
    <s v="2424.4899999999998"/>
    <s v="593.82000000000005"/>
    <x v="3"/>
    <x v="0"/>
    <s v="Marketplace"/>
    <n v="3018.31"/>
  </r>
  <r>
    <s v="ORD100870"/>
    <x v="9"/>
    <s v="17-06-2025"/>
    <s v="CUST11293"/>
    <s v="Home Office"/>
    <s v="Karnataka"/>
    <x v="2"/>
    <x v="3"/>
    <s v="Vacuum Cleaner"/>
    <s v="2"/>
    <s v="9511.56"/>
    <n v="0.05"/>
    <s v="14215.27"/>
    <s v="3856.69"/>
    <x v="3"/>
    <x v="0"/>
    <s v="Website"/>
    <n v="18071.964"/>
  </r>
  <r>
    <s v="ORD100871"/>
    <x v="8"/>
    <s v="07-08-2025"/>
    <s v="CUST13421"/>
    <s v="Home Office"/>
    <s v="Karnataka"/>
    <x v="2"/>
    <x v="2"/>
    <s v="Jeans"/>
    <s v="1"/>
    <s v="3841.14"/>
    <n v="0"/>
    <s v="2302.39"/>
    <s v="1538.75"/>
    <x v="3"/>
    <x v="2"/>
    <s v="Marketplace"/>
    <n v="3841.14"/>
  </r>
  <r>
    <s v="ORD100873"/>
    <x v="6"/>
    <s v="09-07-2025"/>
    <s v="CUST11870"/>
    <s v="Corporate"/>
    <s v="Telangana"/>
    <x v="14"/>
    <x v="0"/>
    <s v="Tablet"/>
    <s v="1"/>
    <s v="19475.55"/>
    <n v="0.1"/>
    <s v="15807.86"/>
    <s v="1720.14"/>
    <x v="0"/>
    <x v="0"/>
    <s v="Website"/>
    <n v="17527.994999999999"/>
  </r>
  <r>
    <s v="ORD100875"/>
    <x v="1"/>
    <s v="16-02-2025"/>
    <s v="CUST13494"/>
    <s v="Consumer"/>
    <s v="Kerala"/>
    <x v="6"/>
    <x v="1"/>
    <s v="Shampoo"/>
    <s v="2"/>
    <s v="1461.88"/>
    <n v="0.15"/>
    <s v="1730.52"/>
    <s v="754.68"/>
    <x v="3"/>
    <x v="1"/>
    <s v="Marketplace"/>
    <n v="2485.1959999999999"/>
  </r>
  <r>
    <s v="ORD100876"/>
    <x v="4"/>
    <s v="25-04-2025"/>
    <s v="CUST10908"/>
    <s v="Consumer"/>
    <s v="Tamil Nadu"/>
    <x v="11"/>
    <x v="2"/>
    <s v="Handbag"/>
    <s v="1"/>
    <s v="1047.5999999999999"/>
    <n v="0.2"/>
    <s v="845.39"/>
    <s v="-7.31"/>
    <x v="2"/>
    <x v="0"/>
    <s v="Mobile App"/>
    <n v="838.07999999999902"/>
  </r>
  <r>
    <s v="ORD100877"/>
    <x v="5"/>
    <s v="16-09-2025"/>
    <s v="CUST11425"/>
    <s v="Home Office"/>
    <s v="Tamil Nadu"/>
    <x v="1"/>
    <x v="3"/>
    <s v="Mixer Grinder"/>
    <s v="2"/>
    <s v="15436.89"/>
    <n v="0.15"/>
    <s v="19374.189999999999"/>
    <s v="6868.52"/>
    <x v="1"/>
    <x v="3"/>
    <s v="Marketplace"/>
    <n v="26242.713"/>
  </r>
  <r>
    <s v="ORD100878"/>
    <x v="3"/>
    <s v="30-03-2025"/>
    <s v="CUST12031"/>
    <s v="Consumer"/>
    <s v="Delhi"/>
    <x v="12"/>
    <x v="2"/>
    <s v="Jacket"/>
    <s v="4"/>
    <s v="4877.3599999999997"/>
    <n v="0.1"/>
    <s v="11616.48"/>
    <s v="5942.02"/>
    <x v="0"/>
    <x v="0"/>
    <s v="Mobile App"/>
    <n v="17558.495999999999"/>
  </r>
  <r>
    <s v="ORD100879"/>
    <x v="1"/>
    <s v="11-02-2025"/>
    <s v="CUST12934"/>
    <s v="Home Office"/>
    <s v="Maharashtra"/>
    <x v="4"/>
    <x v="0"/>
    <s v="Laptop"/>
    <s v="1"/>
    <s v="53663.94"/>
    <n v="0.15"/>
    <s v="35743.25"/>
    <s v="9871.1"/>
    <x v="2"/>
    <x v="3"/>
    <s v="Website"/>
    <n v="45614.349000000002"/>
  </r>
  <r>
    <s v="ORD100880"/>
    <x v="8"/>
    <s v="20-08-2025"/>
    <s v="CUST11514"/>
    <s v="Consumer"/>
    <s v="West Bengal"/>
    <x v="0"/>
    <x v="4"/>
    <s v="Football"/>
    <s v="3"/>
    <s v="501.68"/>
    <n v="0.1"/>
    <s v="1074.71"/>
    <s v="279.83"/>
    <x v="2"/>
    <x v="1"/>
    <s v="Mobile App"/>
    <n v="1354.5360000000001"/>
  </r>
  <r>
    <s v="ORD100881"/>
    <x v="9"/>
    <s v="16-06-2025"/>
    <s v="CUST10060"/>
    <s v="Corporate"/>
    <s v="Delhi"/>
    <x v="12"/>
    <x v="0"/>
    <s v="Smartwatch"/>
    <s v="1"/>
    <s v="29826.3"/>
    <n v="0.1"/>
    <s v="21244.15"/>
    <s v="5599.52"/>
    <x v="3"/>
    <x v="0"/>
    <s v="Marketplace"/>
    <n v="26843.67"/>
  </r>
  <r>
    <s v="ORD100882"/>
    <x v="7"/>
    <s v="03-05-2025"/>
    <s v="CUST10902"/>
    <s v="Corporate"/>
    <s v="Kerala"/>
    <x v="6"/>
    <x v="0"/>
    <s v="Laptop"/>
    <s v="1"/>
    <s v="3889.4"/>
    <n v="0"/>
    <s v="2420.88"/>
    <s v="1468.52"/>
    <x v="5"/>
    <x v="0"/>
    <s v="Website"/>
    <n v="3889.4"/>
  </r>
  <r>
    <s v="ORD100883"/>
    <x v="2"/>
    <s v="10-12-2025"/>
    <s v="CUST11979"/>
    <s v="Corporate"/>
    <s v="Telangana"/>
    <x v="16"/>
    <x v="4"/>
    <s v="Running Shoes"/>
    <s v="1"/>
    <s v="6612.97"/>
    <n v="0.05"/>
    <s v="5377.16"/>
    <s v="905.16"/>
    <x v="0"/>
    <x v="0"/>
    <s v="Website"/>
    <n v="6282.3215"/>
  </r>
  <r>
    <s v="ORD100884"/>
    <x v="1"/>
    <s v="19-02-2025"/>
    <s v="CUST12598"/>
    <s v="Home Office"/>
    <s v="Maharashtra"/>
    <x v="20"/>
    <x v="0"/>
    <s v="Smartphone"/>
    <s v="1"/>
    <s v="17127.84"/>
    <n v="0.2"/>
    <s v="12399.28"/>
    <s v="1302.99"/>
    <x v="1"/>
    <x v="2"/>
    <s v="Mobile App"/>
    <n v="13702.272000000001"/>
  </r>
  <r>
    <s v="ORD100885"/>
    <x v="8"/>
    <s v="14-08-2025"/>
    <s v="CUST10898"/>
    <s v="Consumer"/>
    <s v="Delhi"/>
    <x v="12"/>
    <x v="2"/>
    <s v="Jeans"/>
    <s v="1"/>
    <s v="3302.87"/>
    <n v="0.05"/>
    <s v="2514.88"/>
    <s v="622.85"/>
    <x v="1"/>
    <x v="0"/>
    <s v="Mobile App"/>
    <n v="3137.7264999999902"/>
  </r>
  <r>
    <s v="ORD100886"/>
    <x v="1"/>
    <s v="07-02-2025"/>
    <s v="CUST10882"/>
    <s v="Consumer"/>
    <s v="Gujarat"/>
    <x v="18"/>
    <x v="3"/>
    <s v="Vacuum Cleaner"/>
    <s v="2"/>
    <s v="4297.83"/>
    <n v="0.1"/>
    <s v="5212.28"/>
    <s v="2523.81"/>
    <x v="5"/>
    <x v="0"/>
    <s v="Marketplace"/>
    <n v="7736.0940000000001"/>
  </r>
  <r>
    <s v="ORD100887"/>
    <x v="9"/>
    <s v="14-06-2025"/>
    <s v="CUST13492"/>
    <s v="Corporate"/>
    <s v="Maharashtra"/>
    <x v="20"/>
    <x v="4"/>
    <s v="Football"/>
    <s v="1"/>
    <s v="10693.86"/>
    <n v="0.05"/>
    <s v="8348.2000000000007"/>
    <s v="1810.97"/>
    <x v="5"/>
    <x v="0"/>
    <s v="Mobile App"/>
    <n v="10159.166999999999"/>
  </r>
  <r>
    <s v="ORD100888"/>
    <x v="9"/>
    <s v="13-06-2025"/>
    <s v="CUST12665"/>
    <s v="Consumer"/>
    <s v="Telangana"/>
    <x v="16"/>
    <x v="2"/>
    <s v="Jacket"/>
    <s v="1"/>
    <s v="1246.5999999999999"/>
    <n v="0"/>
    <s v="880.36"/>
    <s v="366.24"/>
    <x v="3"/>
    <x v="0"/>
    <s v="Mobile App"/>
    <n v="1246.5999999999999"/>
  </r>
  <r>
    <s v="ORD100889"/>
    <x v="7"/>
    <s v="30-05-2025"/>
    <s v="CUST11882"/>
    <s v="Consumer"/>
    <s v="Kerala"/>
    <x v="5"/>
    <x v="2"/>
    <s v="Handbag"/>
    <s v="1"/>
    <s v="1960.95"/>
    <n v="0.05"/>
    <s v="1306.8699999999999"/>
    <s v="556.03"/>
    <x v="0"/>
    <x v="0"/>
    <s v="Website"/>
    <n v="1862.9024999999999"/>
  </r>
  <r>
    <s v="ORD100893"/>
    <x v="6"/>
    <s v="25-07-2025"/>
    <s v="CUST12698"/>
    <s v="Home Office"/>
    <s v="Kerala"/>
    <x v="6"/>
    <x v="4"/>
    <s v="Fitness Band"/>
    <s v="2"/>
    <s v="1656.48"/>
    <n v="0.05"/>
    <s v="2320.7399999999998"/>
    <s v="826.57"/>
    <x v="1"/>
    <x v="3"/>
    <s v="Website"/>
    <n v="3147.3119999999999"/>
  </r>
  <r>
    <s v="ORD100894"/>
    <x v="2"/>
    <s v="21-12-2025"/>
    <s v="CUST10413"/>
    <s v="Home Office"/>
    <s v="Kerala"/>
    <x v="6"/>
    <x v="4"/>
    <s v="Yoga Mat"/>
    <s v="1"/>
    <s v="6780.2"/>
    <n v="0.1"/>
    <s v="5126.34"/>
    <s v="975.84"/>
    <x v="5"/>
    <x v="0"/>
    <s v="Mobile App"/>
    <n v="6102.18"/>
  </r>
  <r>
    <s v="ORD100895"/>
    <x v="6"/>
    <s v="16-07-2025"/>
    <s v="CUST13207"/>
    <s v="Corporate"/>
    <s v="Maharashtra"/>
    <x v="4"/>
    <x v="0"/>
    <s v="Tablet"/>
    <s v="1"/>
    <s v="6469.19"/>
    <n v="0.2"/>
    <s v="3778.93"/>
    <s v="1396.42"/>
    <x v="1"/>
    <x v="0"/>
    <s v="Marketplace"/>
    <n v="5175.3519999999999"/>
  </r>
  <r>
    <s v="ORD100898"/>
    <x v="6"/>
    <s v="11-07-2025"/>
    <s v="CUST11012"/>
    <s v="Consumer"/>
    <s v="Gujarat"/>
    <x v="10"/>
    <x v="4"/>
    <s v="Cricket Bat"/>
    <s v="1"/>
    <s v="3179.04"/>
    <n v="0.05"/>
    <s v="2463.66"/>
    <s v="556.42999999999995"/>
    <x v="1"/>
    <x v="0"/>
    <s v="Website"/>
    <n v="3020.0879999999902"/>
  </r>
  <r>
    <s v="ORD100899"/>
    <x v="3"/>
    <s v="24-03-2025"/>
    <s v="CUST12452"/>
    <s v="Consumer"/>
    <s v="Gujarat"/>
    <x v="3"/>
    <x v="2"/>
    <s v="Jacket"/>
    <s v="4"/>
    <s v="4350.6400000000003"/>
    <n v="0.1"/>
    <s v="10493.24"/>
    <s v="5169.0600000000004"/>
    <x v="5"/>
    <x v="0"/>
    <s v="Marketplace"/>
    <n v="15662.304"/>
  </r>
  <r>
    <s v="ORD100900"/>
    <x v="4"/>
    <s v="19-04-2025"/>
    <s v="CUST12409"/>
    <s v="Consumer"/>
    <s v="Delhi"/>
    <x v="7"/>
    <x v="0"/>
    <s v="Smartphone"/>
    <s v="1"/>
    <s v="32902.03"/>
    <n v="0.1"/>
    <s v="21351.42"/>
    <s v="8260.41"/>
    <x v="2"/>
    <x v="0"/>
    <s v="Marketplace"/>
    <n v="29611.827000000001"/>
  </r>
  <r>
    <s v="ORD100901"/>
    <x v="6"/>
    <s v="15-07-2025"/>
    <s v="CUST12745"/>
    <s v="Consumer"/>
    <s v="Kerala"/>
    <x v="15"/>
    <x v="0"/>
    <s v="Headphones"/>
    <s v="2"/>
    <s v="70873.48"/>
    <n v="0.15"/>
    <s v="93512.92"/>
    <s v="26972"/>
    <x v="3"/>
    <x v="0"/>
    <s v="Website"/>
    <n v="120484.91599999899"/>
  </r>
  <r>
    <s v="ORD100904"/>
    <x v="4"/>
    <s v="09-04-2025"/>
    <s v="CUST10725"/>
    <s v="Home Office"/>
    <s v="Gujarat"/>
    <x v="18"/>
    <x v="0"/>
    <s v="Tablet"/>
    <s v="1"/>
    <s v="17632.580000000002"/>
    <n v="0.15"/>
    <s v="11562.31"/>
    <s v="3425.38"/>
    <x v="3"/>
    <x v="0"/>
    <s v="Mobile App"/>
    <n v="14987.692999999999"/>
  </r>
  <r>
    <s v="ORD100905"/>
    <x v="11"/>
    <s v="16-10-2025"/>
    <s v="CUST11652"/>
    <s v="Consumer"/>
    <s v="Maharashtra"/>
    <x v="4"/>
    <x v="3"/>
    <s v="Coffee Maker"/>
    <s v="4"/>
    <s v="16913.38"/>
    <n v="0.1"/>
    <s v="42633.19"/>
    <s v="18254.98"/>
    <x v="3"/>
    <x v="0"/>
    <s v="Mobile App"/>
    <n v="60888.167999999998"/>
  </r>
  <r>
    <s v="ORD100906"/>
    <x v="1"/>
    <s v="13-02-2025"/>
    <s v="CUST13017"/>
    <s v="Consumer"/>
    <s v="Kerala"/>
    <x v="15"/>
    <x v="0"/>
    <s v="Smartphone"/>
    <s v="3"/>
    <s v="4588.3599999999997"/>
    <n v="0.1"/>
    <s v="9832.2199999999993"/>
    <s v="2556.35"/>
    <x v="1"/>
    <x v="0"/>
    <s v="Website"/>
    <n v="12388.5719999999"/>
  </r>
  <r>
    <s v="ORD100907"/>
    <x v="0"/>
    <s v="27-01-2025"/>
    <s v="CUST12829"/>
    <s v="Corporate"/>
    <s v="Kerala"/>
    <x v="15"/>
    <x v="0"/>
    <s v="Smartphone"/>
    <s v="2"/>
    <s v="24633.56"/>
    <n v="0.1"/>
    <s v="39550.44"/>
    <s v="4789.97"/>
    <x v="0"/>
    <x v="0"/>
    <s v="Website"/>
    <n v="44340.408000000003"/>
  </r>
  <r>
    <s v="ORD100908"/>
    <x v="5"/>
    <s v="14-09-2025"/>
    <s v="CUST12165"/>
    <s v="Home Office"/>
    <s v="Tamil Nadu"/>
    <x v="13"/>
    <x v="2"/>
    <s v="Sneakers"/>
    <s v="1"/>
    <s v="5051.45"/>
    <n v="0.1"/>
    <s v="2880.36"/>
    <s v="1665.94"/>
    <x v="1"/>
    <x v="0"/>
    <s v="Mobile App"/>
    <n v="4546.3050000000003"/>
  </r>
  <r>
    <s v="ORD100909"/>
    <x v="11"/>
    <s v="16-10-2025"/>
    <s v="CUST12870"/>
    <s v="Consumer"/>
    <s v="Maharashtra"/>
    <x v="21"/>
    <x v="2"/>
    <s v="Sneakers"/>
    <s v="2"/>
    <s v="6021.54"/>
    <n v="0.05"/>
    <s v="7303.91"/>
    <s v="4137.0200000000004"/>
    <x v="1"/>
    <x v="2"/>
    <s v="Marketplace"/>
    <n v="11440.925999999999"/>
  </r>
  <r>
    <s v="ORD100910"/>
    <x v="1"/>
    <s v="15-02-2025"/>
    <s v="CUST13151"/>
    <s v="Consumer"/>
    <s v="Tamil Nadu"/>
    <x v="11"/>
    <x v="0"/>
    <s v="Smartphone"/>
    <s v="1"/>
    <s v="37330.6"/>
    <n v="0.1"/>
    <s v="27665.99"/>
    <s v="5931.55"/>
    <x v="5"/>
    <x v="0"/>
    <s v="Marketplace"/>
    <n v="33597.54"/>
  </r>
  <r>
    <s v="ORD100911"/>
    <x v="10"/>
    <s v="28-11-2025"/>
    <s v="CUST10903"/>
    <s v="Consumer"/>
    <s v="Kerala"/>
    <x v="6"/>
    <x v="4"/>
    <s v="Fitness Band"/>
    <s v="1"/>
    <s v="7488.48"/>
    <n v="0.15"/>
    <s v="5374.49"/>
    <s v="990.72"/>
    <x v="1"/>
    <x v="2"/>
    <s v="Marketplace"/>
    <n v="6365.2079999999996"/>
  </r>
  <r>
    <s v="ORD100912"/>
    <x v="11"/>
    <s v="30-10-2025"/>
    <s v="CUST11925"/>
    <s v="Home Office"/>
    <s v="Maharashtra"/>
    <x v="20"/>
    <x v="0"/>
    <s v="Tablet"/>
    <s v="1"/>
    <s v="28727.07"/>
    <n v="0.15"/>
    <s v="23291.86"/>
    <s v="1126.1500000000001"/>
    <x v="3"/>
    <x v="0"/>
    <s v="Website"/>
    <n v="24418.0095"/>
  </r>
  <r>
    <s v="ORD100913"/>
    <x v="10"/>
    <s v="20-11-2025"/>
    <s v="CUST10314"/>
    <s v="Corporate"/>
    <s v="Tamil Nadu"/>
    <x v="1"/>
    <x v="2"/>
    <s v="Jacket"/>
    <s v="3"/>
    <s v="6921.9"/>
    <n v="0.15"/>
    <s v="12522.4"/>
    <s v="5128.4399999999996"/>
    <x v="1"/>
    <x v="0"/>
    <s v="Website"/>
    <n v="17650.844999999899"/>
  </r>
  <r>
    <s v="ORD100915"/>
    <x v="2"/>
    <s v="08-12-2025"/>
    <s v="CUST12092"/>
    <s v="Home Office"/>
    <s v="Tamil Nadu"/>
    <x v="1"/>
    <x v="2"/>
    <s v="Handbag"/>
    <s v="3"/>
    <s v="6171.63"/>
    <n v="0.05"/>
    <s v="13612.55"/>
    <s v="3976.6"/>
    <x v="1"/>
    <x v="1"/>
    <s v="Mobile App"/>
    <n v="17589.145499999999"/>
  </r>
  <r>
    <s v="ORD100916"/>
    <x v="3"/>
    <s v="31-03-2025"/>
    <s v="CUST13297"/>
    <s v="Home Office"/>
    <s v="Kerala"/>
    <x v="15"/>
    <x v="1"/>
    <s v="Shampoo"/>
    <s v="1"/>
    <s v="287.12"/>
    <n v="0.05"/>
    <s v="228.37"/>
    <s v="44.39"/>
    <x v="0"/>
    <x v="0"/>
    <s v="Mobile App"/>
    <n v="272.76400000000001"/>
  </r>
  <r>
    <s v="ORD100917"/>
    <x v="2"/>
    <s v="14-12-2025"/>
    <s v="CUST13401"/>
    <s v="Home Office"/>
    <s v="Gujarat"/>
    <x v="18"/>
    <x v="0"/>
    <s v="Headphones"/>
    <s v="3"/>
    <s v="23806.76"/>
    <n v="0.1"/>
    <s v="52898.95"/>
    <s v="11379.3"/>
    <x v="2"/>
    <x v="0"/>
    <s v="Marketplace"/>
    <n v="64278.252"/>
  </r>
  <r>
    <s v="ORD100918"/>
    <x v="3"/>
    <s v="22-03-2025"/>
    <s v="CUST10807"/>
    <s v="Home Office"/>
    <s v="Delhi"/>
    <x v="12"/>
    <x v="0"/>
    <s v="Tablet"/>
    <s v="2"/>
    <s v="51042.73"/>
    <n v="0.15"/>
    <s v="62974.879999999997"/>
    <s v="23797.759999999998"/>
    <x v="0"/>
    <x v="0"/>
    <s v="Mobile App"/>
    <n v="86772.641000000003"/>
  </r>
  <r>
    <s v="ORD100919"/>
    <x v="8"/>
    <s v="25-08-2025"/>
    <s v="CUST11797"/>
    <s v="Home Office"/>
    <s v="Tamil Nadu"/>
    <x v="11"/>
    <x v="0"/>
    <s v="Laptop"/>
    <s v="3"/>
    <s v="22910.44"/>
    <n v="0"/>
    <s v="45307.97"/>
    <s v="23423.35"/>
    <x v="0"/>
    <x v="0"/>
    <s v="Website"/>
    <n v="68731.319999999905"/>
  </r>
  <r>
    <s v="ORD100920"/>
    <x v="10"/>
    <s v="05-11-2025"/>
    <s v="CUST10104"/>
    <s v="Corporate"/>
    <s v="West Bengal"/>
    <x v="0"/>
    <x v="4"/>
    <s v="Cricket Bat"/>
    <s v="3"/>
    <s v="11538.58"/>
    <n v="0.05"/>
    <s v="20274.650000000001"/>
    <s v="12610.3"/>
    <x v="1"/>
    <x v="0"/>
    <s v="Mobile App"/>
    <n v="32884.952999999899"/>
  </r>
  <r>
    <s v="ORD100921"/>
    <x v="2"/>
    <s v="22-12-2025"/>
    <s v="CUST12239"/>
    <s v="Home Office"/>
    <s v="Tamil Nadu"/>
    <x v="8"/>
    <x v="3"/>
    <s v="Coffee Maker"/>
    <s v="3"/>
    <s v="16459.12"/>
    <n v="0.15"/>
    <s v="34706.07"/>
    <s v="7264.69"/>
    <x v="1"/>
    <x v="0"/>
    <s v="Website"/>
    <n v="41970.756000000001"/>
  </r>
  <r>
    <s v="ORD100922"/>
    <x v="1"/>
    <s v="02-02-2025"/>
    <s v="CUST11904"/>
    <s v="Corporate"/>
    <s v="Delhi"/>
    <x v="12"/>
    <x v="3"/>
    <s v="Air Fryer"/>
    <s v="1"/>
    <s v="12030.66"/>
    <n v="0.2"/>
    <s v="7649.51"/>
    <s v="1975.02"/>
    <x v="2"/>
    <x v="0"/>
    <s v="Website"/>
    <n v="9624.5280000000002"/>
  </r>
  <r>
    <s v="ORD100923"/>
    <x v="10"/>
    <s v="10-11-2025"/>
    <s v="CUST12560"/>
    <s v="Corporate"/>
    <s v="Karnataka"/>
    <x v="17"/>
    <x v="2"/>
    <s v="Jacket"/>
    <s v="2"/>
    <s v="1350.97"/>
    <n v="0.15"/>
    <s v="1715.5"/>
    <s v="581.15"/>
    <x v="2"/>
    <x v="0"/>
    <s v="Marketplace"/>
    <n v="2296.6489999999999"/>
  </r>
  <r>
    <s v="ORD100924"/>
    <x v="11"/>
    <s v="15-10-2025"/>
    <s v="CUST11831"/>
    <s v="Home Office"/>
    <s v="Gujarat"/>
    <x v="10"/>
    <x v="4"/>
    <s v="Cricket Bat"/>
    <s v="1"/>
    <s v="5244.51"/>
    <n v="0.15"/>
    <s v="2993.86"/>
    <s v="1463.97"/>
    <x v="3"/>
    <x v="3"/>
    <s v="Mobile App"/>
    <n v="4457.8334999999997"/>
  </r>
  <r>
    <s v="ORD100925"/>
    <x v="1"/>
    <s v="05-02-2025"/>
    <s v="CUST13229"/>
    <s v="Home Office"/>
    <s v="Tamil Nadu"/>
    <x v="13"/>
    <x v="3"/>
    <s v="Mixer Grinder"/>
    <s v="2"/>
    <s v="13066.54"/>
    <n v="0.1"/>
    <s v="21251.57"/>
    <s v="2268.1999999999998"/>
    <x v="5"/>
    <x v="1"/>
    <s v="Marketplace"/>
    <n v="23519.772000000001"/>
  </r>
  <r>
    <s v="ORD100926"/>
    <x v="3"/>
    <s v="04-03-2025"/>
    <s v="CUST13192"/>
    <s v="Corporate"/>
    <s v="Tamil Nadu"/>
    <x v="11"/>
    <x v="4"/>
    <s v="Running Shoes"/>
    <s v="1"/>
    <s v="6702.58"/>
    <n v="0.2"/>
    <s v="4232.33"/>
    <s v="1129.73"/>
    <x v="0"/>
    <x v="0"/>
    <s v="Marketplace"/>
    <n v="5362.0640000000003"/>
  </r>
  <r>
    <s v="ORD100931"/>
    <x v="1"/>
    <s v="16-02-2025"/>
    <s v="CUST12438"/>
    <s v="Consumer"/>
    <s v="Tamil Nadu"/>
    <x v="11"/>
    <x v="3"/>
    <s v="Vacuum Cleaner"/>
    <s v="1"/>
    <s v="7213.93"/>
    <n v="0.1"/>
    <s v="4040.72"/>
    <s v="2451.8200000000002"/>
    <x v="2"/>
    <x v="0"/>
    <s v="Mobile App"/>
    <n v="6492.5370000000003"/>
  </r>
  <r>
    <s v="ORD100932"/>
    <x v="9"/>
    <s v="23-06-2025"/>
    <s v="CUST13137"/>
    <s v="Home Office"/>
    <s v="West Bengal"/>
    <x v="9"/>
    <x v="0"/>
    <s v="Smartphone"/>
    <s v="2"/>
    <s v="63145.15"/>
    <n v="0.1"/>
    <s v="84693.2"/>
    <s v="28968.07"/>
    <x v="3"/>
    <x v="0"/>
    <s v="Mobile App"/>
    <n v="113661.27"/>
  </r>
  <r>
    <s v="ORD100933"/>
    <x v="11"/>
    <s v="24-10-2025"/>
    <s v="CUST10582"/>
    <s v="Home Office"/>
    <s v="Delhi"/>
    <x v="7"/>
    <x v="0"/>
    <s v="Laptop"/>
    <s v="3"/>
    <s v="69166.44"/>
    <n v="0.1"/>
    <s v="117061.71"/>
    <s v="69687.679999999993"/>
    <x v="2"/>
    <x v="0"/>
    <s v="Website"/>
    <n v="186749.38800000001"/>
  </r>
  <r>
    <s v="ORD100934"/>
    <x v="7"/>
    <s v="17-05-2025"/>
    <s v="CUST12571"/>
    <s v="Home Office"/>
    <s v="West Bengal"/>
    <x v="0"/>
    <x v="0"/>
    <s v="Smartphone"/>
    <s v="1"/>
    <s v="58765.98"/>
    <n v="0.2"/>
    <s v="37307.99"/>
    <s v="9704.7900000000009"/>
    <x v="5"/>
    <x v="0"/>
    <s v="Website"/>
    <n v="47012.784"/>
  </r>
  <r>
    <s v="ORD100935"/>
    <x v="7"/>
    <s v="12-05-2025"/>
    <s v="CUST10824"/>
    <s v="Corporate"/>
    <s v="West Bengal"/>
    <x v="0"/>
    <x v="4"/>
    <s v="Yoga Mat"/>
    <s v="1"/>
    <s v="3692.21"/>
    <n v="0.1"/>
    <s v="2208.85"/>
    <s v="1114.1400000000001"/>
    <x v="2"/>
    <x v="0"/>
    <s v="Website"/>
    <n v="3322.989"/>
  </r>
  <r>
    <s v="ORD100936"/>
    <x v="3"/>
    <s v="17-03-2025"/>
    <s v="CUST12786"/>
    <s v="Home Office"/>
    <s v="West Bengal"/>
    <x v="9"/>
    <x v="4"/>
    <s v="Fitness Band"/>
    <s v="3"/>
    <s v="9328.31"/>
    <n v="0.05"/>
    <s v="20636.57"/>
    <s v="5949.11"/>
    <x v="1"/>
    <x v="0"/>
    <s v="Mobile App"/>
    <n v="26585.683499999999"/>
  </r>
  <r>
    <s v="ORD100937"/>
    <x v="8"/>
    <s v="15-08-2025"/>
    <s v="CUST11128"/>
    <s v="Home Office"/>
    <s v="Telangana"/>
    <x v="16"/>
    <x v="0"/>
    <s v="Laptop"/>
    <s v="2"/>
    <s v="7630.94"/>
    <n v="0.1"/>
    <s v="11868.29"/>
    <s v="1867.4"/>
    <x v="0"/>
    <x v="0"/>
    <s v="Mobile App"/>
    <n v="13735.691999999999"/>
  </r>
  <r>
    <s v="ORD100938"/>
    <x v="7"/>
    <s v="18-05-2025"/>
    <s v="CUST11247"/>
    <s v="Home Office"/>
    <s v="West Bengal"/>
    <x v="0"/>
    <x v="3"/>
    <s v="Mixer Grinder"/>
    <s v="1"/>
    <s v="12526.88"/>
    <n v="0.05"/>
    <s v="7244.02"/>
    <s v="4656.5200000000004"/>
    <x v="0"/>
    <x v="0"/>
    <s v="Website"/>
    <n v="11900.5359999999"/>
  </r>
  <r>
    <s v="ORD100940"/>
    <x v="9"/>
    <s v="16-06-2025"/>
    <s v="CUST10349"/>
    <s v="Consumer"/>
    <s v="Tamil Nadu"/>
    <x v="8"/>
    <x v="1"/>
    <s v="Perfume"/>
    <s v="2"/>
    <s v="2161.87"/>
    <n v="0.05"/>
    <s v="2458.4"/>
    <s v="1649.15"/>
    <x v="3"/>
    <x v="0"/>
    <s v="Marketplace"/>
    <n v="4107.5529999999999"/>
  </r>
  <r>
    <s v="ORD100941"/>
    <x v="9"/>
    <s v="11-06-2025"/>
    <s v="CUST12482"/>
    <s v="Home Office"/>
    <s v="Gujarat"/>
    <x v="10"/>
    <x v="2"/>
    <s v="Handbag"/>
    <s v="1"/>
    <s v="6111.1"/>
    <n v="0.05"/>
    <s v="3998.77"/>
    <s v="1806.77"/>
    <x v="2"/>
    <x v="3"/>
    <s v="Marketplace"/>
    <n v="5805.5450000000001"/>
  </r>
  <r>
    <s v="ORD100942"/>
    <x v="1"/>
    <s v="18-02-2025"/>
    <s v="CUST13476"/>
    <s v="Consumer"/>
    <s v="Maharashtra"/>
    <x v="20"/>
    <x v="3"/>
    <s v="Vacuum Cleaner"/>
    <s v="1"/>
    <s v="2163.48"/>
    <n v="0"/>
    <s v="1297.73"/>
    <s v="865.75"/>
    <x v="0"/>
    <x v="0"/>
    <s v="Website"/>
    <n v="2163.48"/>
  </r>
  <r>
    <s v="ORD100944"/>
    <x v="1"/>
    <s v="24-02-2025"/>
    <s v="CUST13313"/>
    <s v="Corporate"/>
    <s v="Maharashtra"/>
    <x v="4"/>
    <x v="2"/>
    <s v="T-Shirt"/>
    <s v="1"/>
    <s v="3101.22"/>
    <n v="0.2"/>
    <s v="2437.4499999999998"/>
    <s v="43.53"/>
    <x v="2"/>
    <x v="0"/>
    <s v="Marketplace"/>
    <n v="2480.9760000000001"/>
  </r>
  <r>
    <s v="ORD100945"/>
    <x v="5"/>
    <s v="14-09-2025"/>
    <s v="CUST10637"/>
    <s v="Home Office"/>
    <s v="Maharashtra"/>
    <x v="21"/>
    <x v="2"/>
    <s v="T-Shirt"/>
    <s v="1"/>
    <s v="3420.8"/>
    <n v="0.1"/>
    <s v="2339.7199999999998"/>
    <s v="739"/>
    <x v="1"/>
    <x v="0"/>
    <s v="Marketplace"/>
    <n v="3078.72"/>
  </r>
  <r>
    <s v="ORD100947"/>
    <x v="9"/>
    <s v="13-06-2025"/>
    <s v="CUST12484"/>
    <s v="Corporate"/>
    <s v="Telangana"/>
    <x v="14"/>
    <x v="3"/>
    <s v="Vacuum Cleaner"/>
    <s v="1"/>
    <s v="10828.05"/>
    <n v="0.15"/>
    <s v="5985.01"/>
    <s v="3218.83"/>
    <x v="0"/>
    <x v="0"/>
    <s v="Website"/>
    <n v="9203.8424999999897"/>
  </r>
  <r>
    <s v="ORD100948"/>
    <x v="1"/>
    <s v="07-02-2025"/>
    <s v="CUST11650"/>
    <s v="Home Office"/>
    <s v="West Bengal"/>
    <x v="9"/>
    <x v="0"/>
    <s v="Smartphone"/>
    <s v="2"/>
    <s v="48189.52"/>
    <n v="0.1"/>
    <s v="55924.97"/>
    <s v="30816.17"/>
    <x v="0"/>
    <x v="0"/>
    <s v="Mobile App"/>
    <n v="86741.135999999999"/>
  </r>
  <r>
    <s v="ORD100949"/>
    <x v="7"/>
    <s v="16-05-2025"/>
    <s v="CUST10755"/>
    <s v="Consumer"/>
    <s v="West Bengal"/>
    <x v="0"/>
    <x v="2"/>
    <s v="T-Shirt"/>
    <s v="1"/>
    <s v="592.89"/>
    <n v="0.15"/>
    <s v="392.15"/>
    <s v="111.81"/>
    <x v="5"/>
    <x v="0"/>
    <s v="Mobile App"/>
    <n v="503.95649999999898"/>
  </r>
  <r>
    <s v="ORD100950"/>
    <x v="11"/>
    <s v="27-10-2025"/>
    <s v="CUST10382"/>
    <s v="Consumer"/>
    <s v="Delhi"/>
    <x v="12"/>
    <x v="0"/>
    <s v="Headphones"/>
    <s v="1"/>
    <s v="65746.600000000006"/>
    <n v="0.1"/>
    <s v="48513.69"/>
    <s v="10658.25"/>
    <x v="1"/>
    <x v="0"/>
    <s v="Mobile App"/>
    <n v="59171.94"/>
  </r>
  <r>
    <s v="ORD100952"/>
    <x v="0"/>
    <s v="23-01-2025"/>
    <s v="CUST12962"/>
    <s v="Corporate"/>
    <s v="Karnataka"/>
    <x v="17"/>
    <x v="0"/>
    <s v="Headphones"/>
    <s v="2"/>
    <s v="1818.48"/>
    <n v="0.15"/>
    <s v="2075.98"/>
    <s v="1015.44"/>
    <x v="3"/>
    <x v="3"/>
    <s v="Website"/>
    <n v="3091.4160000000002"/>
  </r>
  <r>
    <s v="ORD100953"/>
    <x v="9"/>
    <s v="01-06-2025"/>
    <s v="CUST10119"/>
    <s v="Corporate"/>
    <s v="Gujarat"/>
    <x v="10"/>
    <x v="3"/>
    <s v="Mixer Grinder"/>
    <s v="2"/>
    <s v="14348.92"/>
    <n v="0.1"/>
    <s v="17010.86"/>
    <s v="8817.2000000000007"/>
    <x v="3"/>
    <x v="0"/>
    <s v="Website"/>
    <n v="25828.056"/>
  </r>
  <r>
    <s v="ORD100954"/>
    <x v="10"/>
    <s v="22-11-2025"/>
    <s v="CUST12905"/>
    <s v="Corporate"/>
    <s v="Karnataka"/>
    <x v="17"/>
    <x v="2"/>
    <s v="Jeans"/>
    <s v="1"/>
    <s v="5725.25"/>
    <n v="0.15"/>
    <s v="3879.05"/>
    <s v="987.41"/>
    <x v="1"/>
    <x v="2"/>
    <s v="Website"/>
    <n v="4866.4624999999996"/>
  </r>
  <r>
    <s v="ORD100955"/>
    <x v="2"/>
    <s v="25-12-2025"/>
    <s v="CUST11249"/>
    <s v="Corporate"/>
    <s v="West Bengal"/>
    <x v="0"/>
    <x v="3"/>
    <s v="Vacuum Cleaner"/>
    <s v="1"/>
    <s v="15008.74"/>
    <n v="0"/>
    <s v="10412.950000000001"/>
    <s v="4595.79"/>
    <x v="0"/>
    <x v="3"/>
    <s v="Website"/>
    <n v="15008.74"/>
  </r>
  <r>
    <s v="ORD100956"/>
    <x v="8"/>
    <s v="15-08-2025"/>
    <s v="CUST13277"/>
    <s v="Corporate"/>
    <s v="Karnataka"/>
    <x v="22"/>
    <x v="0"/>
    <s v="Headphones"/>
    <s v="1"/>
    <s v="59664.22"/>
    <n v="0"/>
    <s v="47221.17"/>
    <s v="12443.05"/>
    <x v="1"/>
    <x v="0"/>
    <s v="Marketplace"/>
    <n v="59664.22"/>
  </r>
  <r>
    <s v="ORD100957"/>
    <x v="4"/>
    <s v="22-04-2025"/>
    <s v="CUST11372"/>
    <s v="Corporate"/>
    <s v="West Bengal"/>
    <x v="9"/>
    <x v="2"/>
    <s v="Jacket"/>
    <s v="2"/>
    <s v="1971.9"/>
    <n v="0.15"/>
    <s v="3004.64"/>
    <s v="347.59"/>
    <x v="0"/>
    <x v="0"/>
    <s v="Marketplace"/>
    <n v="3352.23"/>
  </r>
  <r>
    <s v="ORD100958"/>
    <x v="6"/>
    <s v="12-07-2025"/>
    <s v="CUST10730"/>
    <s v="Consumer"/>
    <s v="Delhi"/>
    <x v="12"/>
    <x v="0"/>
    <s v="Tablet"/>
    <s v="1"/>
    <s v="60492.83"/>
    <n v="0.05"/>
    <s v="44002.76"/>
    <s v="13465.43"/>
    <x v="1"/>
    <x v="0"/>
    <s v="Website"/>
    <n v="57468.188499999997"/>
  </r>
  <r>
    <s v="ORD100961"/>
    <x v="10"/>
    <s v="15-11-2025"/>
    <s v="CUST12645"/>
    <s v="Consumer"/>
    <s v="Tamil Nadu"/>
    <x v="11"/>
    <x v="4"/>
    <s v="Football"/>
    <s v="3"/>
    <s v="4467.2299999999996"/>
    <n v="0"/>
    <s v="8780.69"/>
    <s v="4621"/>
    <x v="1"/>
    <x v="0"/>
    <s v="Website"/>
    <n v="13401.6899999999"/>
  </r>
  <r>
    <s v="ORD100962"/>
    <x v="1"/>
    <s v="20-02-2025"/>
    <s v="CUST11959"/>
    <s v="Home Office"/>
    <s v="Kerala"/>
    <x v="15"/>
    <x v="1"/>
    <s v="Shampoo"/>
    <s v="1"/>
    <s v="5002.99"/>
    <n v="0"/>
    <s v="2952.62"/>
    <s v="2050.37"/>
    <x v="5"/>
    <x v="0"/>
    <s v="Mobile App"/>
    <n v="5002.99"/>
  </r>
  <r>
    <s v="ORD100963"/>
    <x v="11"/>
    <s v="14-10-2025"/>
    <s v="CUST10229"/>
    <s v="Home Office"/>
    <s v="West Bengal"/>
    <x v="9"/>
    <x v="0"/>
    <s v="Laptop"/>
    <s v="1"/>
    <s v="68397.259999999995"/>
    <n v="0.1"/>
    <s v="50411.97"/>
    <s v="11145.56"/>
    <x v="0"/>
    <x v="0"/>
    <s v="Marketplace"/>
    <n v="61557.534"/>
  </r>
  <r>
    <s v="ORD100964"/>
    <x v="1"/>
    <s v="14-02-2025"/>
    <s v="CUST12781"/>
    <s v="Corporate"/>
    <s v="Telangana"/>
    <x v="14"/>
    <x v="4"/>
    <s v="Running Shoes"/>
    <s v="2"/>
    <s v="8242.49"/>
    <n v="0"/>
    <s v="13335.79"/>
    <s v="3149.19"/>
    <x v="0"/>
    <x v="0"/>
    <s v="Mobile App"/>
    <n v="16484.98"/>
  </r>
  <r>
    <s v="ORD100965"/>
    <x v="11"/>
    <s v="22-10-2025"/>
    <s v="CUST10881"/>
    <s v="Consumer"/>
    <s v="Tamil Nadu"/>
    <x v="11"/>
    <x v="0"/>
    <s v="Headphones"/>
    <s v="2"/>
    <s v="72509.929999999993"/>
    <n v="0.05"/>
    <s v="111527.38"/>
    <s v="26241.49"/>
    <x v="1"/>
    <x v="0"/>
    <s v="Marketplace"/>
    <n v="137768.86699999901"/>
  </r>
  <r>
    <s v="ORD100966"/>
    <x v="0"/>
    <s v="14-01-2025"/>
    <s v="CUST11906"/>
    <s v="Home Office"/>
    <s v="Delhi"/>
    <x v="12"/>
    <x v="0"/>
    <s v="Smartwatch"/>
    <s v="1"/>
    <s v="64692.84"/>
    <n v="0.05"/>
    <s v="44922.62"/>
    <s v="16535.580000000002"/>
    <x v="3"/>
    <x v="0"/>
    <s v="Website"/>
    <n v="61458.197999999997"/>
  </r>
  <r>
    <s v="ORD100967"/>
    <x v="2"/>
    <s v="30-12-2025"/>
    <s v="CUST13270"/>
    <s v="Home Office"/>
    <s v="Gujarat"/>
    <x v="10"/>
    <x v="3"/>
    <s v="Vacuum Cleaner"/>
    <s v="4"/>
    <s v="13059.24"/>
    <n v="0.15"/>
    <s v="37627.01"/>
    <s v="6774.41"/>
    <x v="0"/>
    <x v="0"/>
    <s v="Website"/>
    <n v="44401.415999999997"/>
  </r>
  <r>
    <s v="ORD100968"/>
    <x v="5"/>
    <s v="03-09-2025"/>
    <s v="CUST13065"/>
    <s v="Corporate"/>
    <s v="Tamil Nadu"/>
    <x v="8"/>
    <x v="0"/>
    <s v="Laptop"/>
    <s v="1"/>
    <s v="54858.39"/>
    <n v="0.1"/>
    <s v="44177.89"/>
    <s v="5194.66"/>
    <x v="1"/>
    <x v="0"/>
    <s v="Marketplace"/>
    <n v="49372.550999999999"/>
  </r>
  <r>
    <s v="ORD100969"/>
    <x v="8"/>
    <s v="22-08-2025"/>
    <s v="CUST10980"/>
    <s v="Home Office"/>
    <s v="Delhi"/>
    <x v="7"/>
    <x v="0"/>
    <s v="Smartwatch"/>
    <s v="1"/>
    <s v="16717.599999999999"/>
    <n v="0.15"/>
    <s v="11849.16"/>
    <s v="2360.8000000000002"/>
    <x v="5"/>
    <x v="3"/>
    <s v="Marketplace"/>
    <n v="14209.96"/>
  </r>
  <r>
    <s v="ORD100970"/>
    <x v="10"/>
    <s v="07-11-2025"/>
    <s v="CUST10324"/>
    <s v="Home Office"/>
    <s v="Gujarat"/>
    <x v="10"/>
    <x v="2"/>
    <s v="T-Shirt"/>
    <s v="1"/>
    <s v="1320.78"/>
    <n v="0"/>
    <s v="1051.26"/>
    <s v="269.52"/>
    <x v="1"/>
    <x v="0"/>
    <s v="Mobile App"/>
    <n v="1320.78"/>
  </r>
  <r>
    <s v="ORD100972"/>
    <x v="5"/>
    <s v="02-09-2025"/>
    <s v="CUST13419"/>
    <s v="Corporate"/>
    <s v="Karnataka"/>
    <x v="17"/>
    <x v="4"/>
    <s v="Fitness Band"/>
    <s v="1"/>
    <s v="7362.89"/>
    <n v="0.15"/>
    <s v="4085.42"/>
    <s v="2173.04"/>
    <x v="2"/>
    <x v="0"/>
    <s v="Marketplace"/>
    <n v="6258.4565000000002"/>
  </r>
  <r>
    <s v="ORD100975"/>
    <x v="6"/>
    <s v="08-07-2025"/>
    <s v="CUST10614"/>
    <s v="Consumer"/>
    <s v="Delhi"/>
    <x v="7"/>
    <x v="4"/>
    <s v="Yoga Mat"/>
    <s v="2"/>
    <s v="5077.01"/>
    <n v="0.2"/>
    <s v="6032.72"/>
    <s v="2090.5"/>
    <x v="0"/>
    <x v="2"/>
    <s v="Mobile App"/>
    <n v="8123.2160000000003"/>
  </r>
  <r>
    <s v="ORD100977"/>
    <x v="4"/>
    <s v="20-04-2025"/>
    <s v="CUST11675"/>
    <s v="Consumer"/>
    <s v="Kerala"/>
    <x v="5"/>
    <x v="2"/>
    <s v="Sneakers"/>
    <s v="3"/>
    <s v="4977.2"/>
    <n v="0"/>
    <s v="10395.25"/>
    <s v="4536.3500000000004"/>
    <x v="3"/>
    <x v="0"/>
    <s v="Marketplace"/>
    <n v="14931.5999999999"/>
  </r>
  <r>
    <s v="ORD100978"/>
    <x v="9"/>
    <s v="07-06-2025"/>
    <s v="CUST11200"/>
    <s v="Corporate"/>
    <s v="Karnataka"/>
    <x v="22"/>
    <x v="0"/>
    <s v="Tablet"/>
    <s v="2"/>
    <s v="19660.52"/>
    <n v="0.1"/>
    <s v="22355.97"/>
    <s v="13032.97"/>
    <x v="2"/>
    <x v="2"/>
    <s v="Mobile App"/>
    <n v="35388.936000000002"/>
  </r>
  <r>
    <s v="ORD100979"/>
    <x v="9"/>
    <s v="10-06-2025"/>
    <s v="CUST10704"/>
    <s v="Home Office"/>
    <s v="Maharashtra"/>
    <x v="4"/>
    <x v="0"/>
    <s v="Laptop"/>
    <s v="1"/>
    <s v="56287.43"/>
    <n v="0.1"/>
    <s v="34520.26"/>
    <s v="16138.43"/>
    <x v="0"/>
    <x v="0"/>
    <s v="Marketplace"/>
    <n v="50658.686999999998"/>
  </r>
  <r>
    <s v="ORD100980"/>
    <x v="8"/>
    <s v="03-08-2025"/>
    <s v="CUST10658"/>
    <s v="Corporate"/>
    <s v="Gujarat"/>
    <x v="18"/>
    <x v="1"/>
    <s v="Lipstick"/>
    <s v="1"/>
    <s v="1020.34"/>
    <n v="0.1"/>
    <s v="735.78"/>
    <s v="182.53"/>
    <x v="1"/>
    <x v="0"/>
    <s v="Website"/>
    <n v="918.30600000000004"/>
  </r>
  <r>
    <s v="ORD100981"/>
    <x v="3"/>
    <s v="08-03-2025"/>
    <s v="CUST12942"/>
    <s v="Home Office"/>
    <s v="Maharashtra"/>
    <x v="20"/>
    <x v="3"/>
    <s v="Vacuum Cleaner"/>
    <s v="3"/>
    <s v="13175.93"/>
    <n v="0.1"/>
    <s v="22038.42"/>
    <s v="13536.59"/>
    <x v="5"/>
    <x v="2"/>
    <s v="Marketplace"/>
    <n v="35575.010999999999"/>
  </r>
  <r>
    <s v="ORD100982"/>
    <x v="10"/>
    <s v="29-11-2025"/>
    <s v="CUST11343"/>
    <s v="Home Office"/>
    <s v="Karnataka"/>
    <x v="17"/>
    <x v="2"/>
    <s v="T-Shirt"/>
    <s v="2"/>
    <s v="1878.54"/>
    <n v="0.15"/>
    <s v="2648.07"/>
    <s v="545.45000000000005"/>
    <x v="1"/>
    <x v="0"/>
    <s v="Marketplace"/>
    <n v="3193.518"/>
  </r>
  <r>
    <s v="ORD100983"/>
    <x v="2"/>
    <s v="17-12-2025"/>
    <s v="CUST10058"/>
    <s v="Home Office"/>
    <s v="Gujarat"/>
    <x v="3"/>
    <x v="0"/>
    <s v="Laptop"/>
    <s v="1"/>
    <s v="33851.43"/>
    <n v="0.2"/>
    <s v="21547.43"/>
    <s v="5533.71"/>
    <x v="2"/>
    <x v="1"/>
    <s v="Website"/>
    <n v="27081.144"/>
  </r>
  <r>
    <s v="ORD100984"/>
    <x v="0"/>
    <s v="10-01-2025"/>
    <s v="CUST12084"/>
    <s v="Consumer"/>
    <s v="Tamil Nadu"/>
    <x v="13"/>
    <x v="3"/>
    <s v="Coffee Maker"/>
    <s v="2"/>
    <s v="10649.84"/>
    <n v="0.2"/>
    <s v="16911.52"/>
    <s v="128.22"/>
    <x v="2"/>
    <x v="0"/>
    <s v="Marketplace"/>
    <n v="17039.743999999999"/>
  </r>
  <r>
    <s v="ORD100985"/>
    <x v="9"/>
    <s v="05-06-2025"/>
    <s v="CUST12629"/>
    <s v="Home Office"/>
    <s v="Maharashtra"/>
    <x v="20"/>
    <x v="2"/>
    <s v="Jeans"/>
    <s v="1"/>
    <s v="5675.68"/>
    <n v="0.1"/>
    <s v="3401.5"/>
    <s v="1706.61"/>
    <x v="1"/>
    <x v="0"/>
    <s v="Marketplace"/>
    <n v="5108.1120000000001"/>
  </r>
  <r>
    <s v="ORD100986"/>
    <x v="9"/>
    <s v="20-06-2025"/>
    <s v="CUST10818"/>
    <s v="Corporate"/>
    <s v="Telangana"/>
    <x v="14"/>
    <x v="3"/>
    <s v="Vacuum Cleaner"/>
    <s v="1"/>
    <s v="16790.57"/>
    <n v="0"/>
    <s v="13662.56"/>
    <s v="3128.01"/>
    <x v="3"/>
    <x v="0"/>
    <s v="Marketplace"/>
    <n v="16790.57"/>
  </r>
  <r>
    <s v="ORD100987"/>
    <x v="1"/>
    <s v="16-02-2025"/>
    <s v="CUST12906"/>
    <s v="Corporate"/>
    <s v="West Bengal"/>
    <x v="9"/>
    <x v="2"/>
    <s v="Jacket"/>
    <s v="2"/>
    <s v="3160.01"/>
    <n v="0"/>
    <s v="4433.51"/>
    <s v="1886.51"/>
    <x v="3"/>
    <x v="0"/>
    <s v="Mobile App"/>
    <n v="6320.02"/>
  </r>
  <r>
    <s v="ORD100989"/>
    <x v="8"/>
    <s v="05-08-2025"/>
    <s v="CUST13474"/>
    <s v="Consumer"/>
    <s v="Kerala"/>
    <x v="6"/>
    <x v="0"/>
    <s v="Laptop"/>
    <s v="2"/>
    <s v="64381.919999999998"/>
    <n v="0.1"/>
    <s v="73243.83"/>
    <s v="42643.63"/>
    <x v="5"/>
    <x v="0"/>
    <s v="Marketplace"/>
    <n v="115887.45600000001"/>
  </r>
  <r>
    <s v="ORD100990"/>
    <x v="5"/>
    <s v="27-09-2025"/>
    <s v="CUST10450"/>
    <s v="Home Office"/>
    <s v="Telangana"/>
    <x v="16"/>
    <x v="3"/>
    <s v="Cookware Set"/>
    <s v="1"/>
    <s v="10459.49"/>
    <n v="0.1"/>
    <s v="7724.48"/>
    <s v="1689.06"/>
    <x v="0"/>
    <x v="0"/>
    <s v="Marketplace"/>
    <n v="9413.5409999999993"/>
  </r>
  <r>
    <s v="ORD100991"/>
    <x v="9"/>
    <s v="30-06-2025"/>
    <s v="CUST11799"/>
    <s v="Corporate"/>
    <s v="Maharashtra"/>
    <x v="4"/>
    <x v="0"/>
    <s v="Laptop"/>
    <s v="2"/>
    <s v="62582.18"/>
    <n v="0.05"/>
    <s v="71701.78"/>
    <s v="47204.36"/>
    <x v="1"/>
    <x v="2"/>
    <s v="Website"/>
    <n v="118906.141999999"/>
  </r>
  <r>
    <s v="ORD100992"/>
    <x v="4"/>
    <s v="13-04-2025"/>
    <s v="CUST11360"/>
    <s v="Consumer"/>
    <s v="Telangana"/>
    <x v="16"/>
    <x v="2"/>
    <s v="Jacket"/>
    <s v="1"/>
    <s v="1177.08"/>
    <n v="0.1"/>
    <s v="779.25"/>
    <s v="280.12"/>
    <x v="1"/>
    <x v="0"/>
    <s v="Website"/>
    <n v="1059.3720000000001"/>
  </r>
  <r>
    <s v="ORD100994"/>
    <x v="4"/>
    <s v="10-04-2025"/>
    <s v="CUST12739"/>
    <s v="Home Office"/>
    <s v="Karnataka"/>
    <x v="2"/>
    <x v="0"/>
    <s v="Smartphone"/>
    <s v="1"/>
    <s v="20488.09"/>
    <n v="0.15"/>
    <s v="14514.71"/>
    <s v="2900.17"/>
    <x v="2"/>
    <x v="2"/>
    <s v="Website"/>
    <n v="17414.876499999998"/>
  </r>
  <r>
    <s v="ORD100995"/>
    <x v="10"/>
    <s v="27-11-2025"/>
    <s v="CUST12752"/>
    <s v="Home Office"/>
    <s v="Tamil Nadu"/>
    <x v="8"/>
    <x v="4"/>
    <s v="Yoga Mat"/>
    <s v="1"/>
    <s v="1391.96"/>
    <n v="0"/>
    <s v="1029.57"/>
    <s v="362.39"/>
    <x v="1"/>
    <x v="0"/>
    <s v="Mobile App"/>
    <n v="1391.96"/>
  </r>
  <r>
    <s v="ORD100996"/>
    <x v="6"/>
    <s v="05-07-2025"/>
    <s v="CUST10789"/>
    <s v="Corporate"/>
    <s v="Karnataka"/>
    <x v="2"/>
    <x v="3"/>
    <s v="Cookware Set"/>
    <s v="2"/>
    <s v="2459.83"/>
    <n v="0.15"/>
    <s v="3671.32"/>
    <s v="510.39"/>
    <x v="0"/>
    <x v="0"/>
    <s v="Marketplace"/>
    <n v="4181.7109999999902"/>
  </r>
  <r>
    <s v="ORD100998"/>
    <x v="4"/>
    <s v="07-04-2025"/>
    <s v="CUST11745"/>
    <s v="Corporate"/>
    <s v="Karnataka"/>
    <x v="17"/>
    <x v="3"/>
    <s v="Coffee Maker"/>
    <s v="4"/>
    <s v="12424.68"/>
    <n v="0.05"/>
    <s v="39967.550000000003"/>
    <s v="7246.23"/>
    <x v="2"/>
    <x v="1"/>
    <s v="Marketplace"/>
    <n v="47213.784"/>
  </r>
  <r>
    <s v="ORD100999"/>
    <x v="2"/>
    <s v="19-12-2025"/>
    <s v="CUST10626"/>
    <s v="Home Office"/>
    <s v="Karnataka"/>
    <x v="17"/>
    <x v="1"/>
    <s v="Lipstick"/>
    <s v="1"/>
    <s v="4644.57"/>
    <n v="0"/>
    <s v="3701.03"/>
    <s v="943.54"/>
    <x v="1"/>
    <x v="0"/>
    <s v="Website"/>
    <n v="4644.57"/>
  </r>
  <r>
    <s v="ORD101000"/>
    <x v="4"/>
    <s v="04-04-2025"/>
    <s v="CUST12360"/>
    <s v="Consumer"/>
    <s v="Karnataka"/>
    <x v="22"/>
    <x v="2"/>
    <s v="Sneakers"/>
    <s v="1"/>
    <s v="5416.46"/>
    <n v="0"/>
    <s v="4171.71"/>
    <s v="1244.75"/>
    <x v="3"/>
    <x v="0"/>
    <s v="Mobile App"/>
    <n v="5416.46"/>
  </r>
  <r>
    <s v="ORD101001"/>
    <x v="0"/>
    <s v="12-01-2025"/>
    <s v="CUST12956"/>
    <s v="Corporate"/>
    <s v="Delhi"/>
    <x v="12"/>
    <x v="0"/>
    <s v="Laptop"/>
    <s v="2"/>
    <s v="36022.959999999999"/>
    <n v="0"/>
    <s v="51164.34"/>
    <s v="20881.580000000002"/>
    <x v="2"/>
    <x v="2"/>
    <s v="Mobile App"/>
    <n v="72045.919999999998"/>
  </r>
  <r>
    <s v="ORD101003"/>
    <x v="5"/>
    <s v="14-09-2025"/>
    <s v="CUST11445"/>
    <s v="Corporate"/>
    <s v="West Bengal"/>
    <x v="0"/>
    <x v="2"/>
    <s v="T-Shirt"/>
    <s v="1"/>
    <s v="4346.6099999999997"/>
    <n v="0.1"/>
    <s v="2929.25"/>
    <s v="982.7"/>
    <x v="3"/>
    <x v="3"/>
    <s v="Marketplace"/>
    <n v="3911.9489999999901"/>
  </r>
  <r>
    <s v="ORD101005"/>
    <x v="2"/>
    <s v="11-12-2025"/>
    <s v="CUST11716"/>
    <s v="Consumer"/>
    <s v="Telangana"/>
    <x v="14"/>
    <x v="2"/>
    <s v="Jeans"/>
    <s v="4"/>
    <s v="4970.6400000000003"/>
    <n v="0"/>
    <s v="14329.09"/>
    <s v="5553.47"/>
    <x v="3"/>
    <x v="2"/>
    <s v="Marketplace"/>
    <n v="19882.560000000001"/>
  </r>
  <r>
    <s v="ORD101006"/>
    <x v="9"/>
    <s v="23-06-2025"/>
    <s v="CUST12789"/>
    <s v="Consumer"/>
    <s v="West Bengal"/>
    <x v="9"/>
    <x v="0"/>
    <s v="Smartphone"/>
    <s v="1"/>
    <s v="3181.72"/>
    <n v="0.1"/>
    <s v="1842.43"/>
    <s v="1021.12"/>
    <x v="3"/>
    <x v="0"/>
    <s v="Mobile App"/>
    <n v="2863.5479999999998"/>
  </r>
  <r>
    <s v="ORD101008"/>
    <x v="9"/>
    <s v="10-06-2025"/>
    <s v="CUST12269"/>
    <s v="Consumer"/>
    <s v="Tamil Nadu"/>
    <x v="19"/>
    <x v="0"/>
    <s v="Laptop"/>
    <s v="4"/>
    <s v="21463.89"/>
    <n v="0.05"/>
    <s v="48013.39"/>
    <s v="33549.39"/>
    <x v="3"/>
    <x v="1"/>
    <s v="Mobile App"/>
    <n v="81562.781999999905"/>
  </r>
  <r>
    <s v="ORD101009"/>
    <x v="5"/>
    <s v="05-09-2025"/>
    <s v="CUST10303"/>
    <s v="Home Office"/>
    <s v="Kerala"/>
    <x v="6"/>
    <x v="1"/>
    <s v="Hair Dryer"/>
    <s v="3"/>
    <s v="3327.7"/>
    <n v="0.1"/>
    <s v="7208.5"/>
    <s v="1776.29"/>
    <x v="0"/>
    <x v="0"/>
    <s v="Website"/>
    <n v="8984.78999999999"/>
  </r>
  <r>
    <s v="ORD101011"/>
    <x v="0"/>
    <s v="03-01-2025"/>
    <s v="CUST12506"/>
    <s v="Consumer"/>
    <s v="West Bengal"/>
    <x v="0"/>
    <x v="1"/>
    <s v="Face Cream"/>
    <s v="1"/>
    <s v="5516.78"/>
    <n v="0.15"/>
    <s v="4157.13"/>
    <s v="532.13"/>
    <x v="5"/>
    <x v="0"/>
    <s v="Mobile App"/>
    <n v="4689.2629999999999"/>
  </r>
  <r>
    <s v="ORD101013"/>
    <x v="7"/>
    <s v="25-05-2025"/>
    <s v="CUST11288"/>
    <s v="Consumer"/>
    <s v="Maharashtra"/>
    <x v="4"/>
    <x v="0"/>
    <s v="Smartphone"/>
    <s v="1"/>
    <s v="28343.4"/>
    <n v="0.1"/>
    <s v="16042.15"/>
    <s v="9466.91"/>
    <x v="3"/>
    <x v="0"/>
    <s v="Website"/>
    <n v="25509.06"/>
  </r>
  <r>
    <s v="ORD101015"/>
    <x v="8"/>
    <s v="15-08-2025"/>
    <s v="CUST10040"/>
    <s v="Corporate"/>
    <s v="Tamil Nadu"/>
    <x v="13"/>
    <x v="3"/>
    <s v="Mixer Grinder"/>
    <s v="2"/>
    <s v="16597.46"/>
    <n v="0.1"/>
    <s v="19945.82"/>
    <s v="9929.61"/>
    <x v="2"/>
    <x v="0"/>
    <s v="Marketplace"/>
    <n v="29875.428"/>
  </r>
  <r>
    <s v="ORD101016"/>
    <x v="6"/>
    <s v="02-07-2025"/>
    <s v="CUST10073"/>
    <s v="Corporate"/>
    <s v="Delhi"/>
    <x v="7"/>
    <x v="3"/>
    <s v="Coffee Maker"/>
    <s v="1"/>
    <s v="12516.29"/>
    <n v="0.05"/>
    <s v="8716.02"/>
    <s v="3174.46"/>
    <x v="1"/>
    <x v="0"/>
    <s v="Website"/>
    <n v="11890.4755"/>
  </r>
  <r>
    <s v="ORD101017"/>
    <x v="8"/>
    <s v="13-08-2025"/>
    <s v="CUST12791"/>
    <s v="Corporate"/>
    <s v="Tamil Nadu"/>
    <x v="19"/>
    <x v="1"/>
    <s v="Lipstick"/>
    <s v="2"/>
    <s v="2455.6"/>
    <n v="0.1"/>
    <s v="3816.56"/>
    <s v="603.52"/>
    <x v="3"/>
    <x v="0"/>
    <s v="Marketplace"/>
    <n v="4420.08"/>
  </r>
  <r>
    <s v="ORD101018"/>
    <x v="2"/>
    <s v="12-12-2025"/>
    <s v="CUST11212"/>
    <s v="Corporate"/>
    <s v="Delhi"/>
    <x v="7"/>
    <x v="0"/>
    <s v="Headphones"/>
    <s v="1"/>
    <s v="13473.9"/>
    <n v="0.15"/>
    <s v="9934.2000000000007"/>
    <s v="1518.61"/>
    <x v="2"/>
    <x v="0"/>
    <s v="Website"/>
    <n v="11452.8149999999"/>
  </r>
  <r>
    <s v="ORD101019"/>
    <x v="4"/>
    <s v="14-04-2025"/>
    <s v="CUST10724"/>
    <s v="Consumer"/>
    <s v="Tamil Nadu"/>
    <x v="1"/>
    <x v="3"/>
    <s v="Vacuum Cleaner"/>
    <s v="2"/>
    <s v="5743.75"/>
    <n v="0"/>
    <s v="8682.65"/>
    <s v="2804.85"/>
    <x v="1"/>
    <x v="0"/>
    <s v="Marketplace"/>
    <n v="11487.5"/>
  </r>
  <r>
    <s v="ORD101021"/>
    <x v="8"/>
    <s v="23-08-2025"/>
    <s v="CUST10499"/>
    <s v="Consumer"/>
    <s v="Telangana"/>
    <x v="16"/>
    <x v="0"/>
    <s v="Laptop"/>
    <s v="1"/>
    <s v="52553.18"/>
    <n v="0"/>
    <s v="30091.69"/>
    <s v="22461.49"/>
    <x v="1"/>
    <x v="0"/>
    <s v="Mobile App"/>
    <n v="52553.18"/>
  </r>
  <r>
    <s v="ORD101022"/>
    <x v="8"/>
    <s v="02-08-2025"/>
    <s v="CUST10697"/>
    <s v="Consumer"/>
    <s v="Tamil Nadu"/>
    <x v="1"/>
    <x v="2"/>
    <s v="Handbag"/>
    <s v="1"/>
    <s v="3063.16"/>
    <n v="0.05"/>
    <s v="2212.21"/>
    <s v="697.79"/>
    <x v="3"/>
    <x v="0"/>
    <s v="Website"/>
    <n v="2910.002"/>
  </r>
  <r>
    <s v="ORD101024"/>
    <x v="1"/>
    <s v="27-02-2025"/>
    <s v="CUST12136"/>
    <s v="Corporate"/>
    <s v="Karnataka"/>
    <x v="2"/>
    <x v="0"/>
    <s v="Laptop"/>
    <s v="1"/>
    <s v="32095.57"/>
    <n v="0.15"/>
    <s v="22045.06"/>
    <s v="5236.17"/>
    <x v="5"/>
    <x v="0"/>
    <s v="Website"/>
    <n v="27281.234499999999"/>
  </r>
  <r>
    <s v="ORD101025"/>
    <x v="7"/>
    <s v="15-05-2025"/>
    <s v="CUST11304"/>
    <s v="Home Office"/>
    <s v="Telangana"/>
    <x v="14"/>
    <x v="0"/>
    <s v="Smartphone"/>
    <s v="1"/>
    <s v="69070.75"/>
    <n v="0.15"/>
    <s v="47609.7"/>
    <s v="11100.44"/>
    <x v="2"/>
    <x v="0"/>
    <s v="Mobile App"/>
    <n v="58710.137499999997"/>
  </r>
  <r>
    <s v="ORD101026"/>
    <x v="10"/>
    <s v="07-11-2025"/>
    <s v="CUST12069"/>
    <s v="Home Office"/>
    <s v="Delhi"/>
    <x v="12"/>
    <x v="4"/>
    <s v="Yoga Mat"/>
    <s v="3"/>
    <s v="7653"/>
    <n v="0.05"/>
    <s v="16856.28"/>
    <s v="4954.7700000000004"/>
    <x v="5"/>
    <x v="0"/>
    <s v="Website"/>
    <n v="21811.05"/>
  </r>
  <r>
    <s v="ORD101028"/>
    <x v="2"/>
    <s v="22-12-2025"/>
    <s v="CUST13215"/>
    <s v="Corporate"/>
    <s v="Gujarat"/>
    <x v="10"/>
    <x v="0"/>
    <s v="Smartphone"/>
    <s v="1"/>
    <s v="34063.21"/>
    <n v="0.1"/>
    <s v="25524.880000000001"/>
    <s v="5132.01"/>
    <x v="5"/>
    <x v="0"/>
    <s v="Marketplace"/>
    <n v="30656.888999999999"/>
  </r>
  <r>
    <s v="ORD101030"/>
    <x v="11"/>
    <s v="14-10-2025"/>
    <s v="CUST12403"/>
    <s v="Home Office"/>
    <s v="Delhi"/>
    <x v="7"/>
    <x v="1"/>
    <s v="Face Cream"/>
    <s v="1"/>
    <s v="2960.1"/>
    <n v="0.05"/>
    <s v="2197.06"/>
    <s v="615.04"/>
    <x v="5"/>
    <x v="0"/>
    <s v="Website"/>
    <n v="2812.0949999999998"/>
  </r>
  <r>
    <s v="ORD101031"/>
    <x v="5"/>
    <s v="01-09-2025"/>
    <s v="CUST10171"/>
    <s v="Consumer"/>
    <s v="Kerala"/>
    <x v="6"/>
    <x v="0"/>
    <s v="Laptop"/>
    <s v="1"/>
    <s v="21998.04"/>
    <n v="0.05"/>
    <s v="16081.54"/>
    <s v="4816.6000000000004"/>
    <x v="1"/>
    <x v="2"/>
    <s v="Website"/>
    <n v="20898.137999999999"/>
  </r>
  <r>
    <s v="ORD101032"/>
    <x v="9"/>
    <s v="02-06-2025"/>
    <s v="CUST10488"/>
    <s v="Corporate"/>
    <s v="Delhi"/>
    <x v="7"/>
    <x v="1"/>
    <s v="Hair Dryer"/>
    <s v="1"/>
    <s v="5668.42"/>
    <n v="0.15"/>
    <s v="3548.95"/>
    <s v="1269.21"/>
    <x v="2"/>
    <x v="2"/>
    <s v="Marketplace"/>
    <n v="4818.1570000000002"/>
  </r>
  <r>
    <s v="ORD101034"/>
    <x v="3"/>
    <s v="21-03-2025"/>
    <s v="CUST11221"/>
    <s v="Corporate"/>
    <s v="Delhi"/>
    <x v="12"/>
    <x v="0"/>
    <s v="Smartwatch"/>
    <s v="1"/>
    <s v="52972.03"/>
    <n v="0.05"/>
    <s v="37096.97"/>
    <s v="13226.46"/>
    <x v="0"/>
    <x v="3"/>
    <s v="Website"/>
    <n v="50323.4284999999"/>
  </r>
  <r>
    <s v="ORD101035"/>
    <x v="9"/>
    <s v="19-06-2025"/>
    <s v="CUST11386"/>
    <s v="Home Office"/>
    <s v="Telangana"/>
    <x v="14"/>
    <x v="0"/>
    <s v="Tablet"/>
    <s v="1"/>
    <s v="36979.54"/>
    <n v="0.2"/>
    <s v="23677.97"/>
    <s v="5905.66"/>
    <x v="3"/>
    <x v="0"/>
    <s v="Mobile App"/>
    <n v="29583.632000000001"/>
  </r>
  <r>
    <s v="ORD101036"/>
    <x v="9"/>
    <s v="17-06-2025"/>
    <s v="CUST11215"/>
    <s v="Home Office"/>
    <s v="Gujarat"/>
    <x v="18"/>
    <x v="1"/>
    <s v="Hair Dryer"/>
    <s v="1"/>
    <s v="1017.05"/>
    <n v="0.05"/>
    <s v="598.17999999999995"/>
    <s v="368.02"/>
    <x v="0"/>
    <x v="0"/>
    <s v="Marketplace"/>
    <n v="966.19749999999897"/>
  </r>
  <r>
    <s v="ORD101037"/>
    <x v="1"/>
    <s v="23-02-2025"/>
    <s v="CUST12270"/>
    <s v="Consumer"/>
    <s v="Telangana"/>
    <x v="16"/>
    <x v="0"/>
    <s v="Tablet"/>
    <s v="3"/>
    <s v="21780.19"/>
    <n v="0.15"/>
    <s v="46173.95"/>
    <s v="9365.5300000000007"/>
    <x v="5"/>
    <x v="0"/>
    <s v="Website"/>
    <n v="55539.484499999897"/>
  </r>
  <r>
    <s v="ORD101038"/>
    <x v="2"/>
    <s v="01-12-2025"/>
    <s v="CUST12740"/>
    <s v="Consumer"/>
    <s v="Telangana"/>
    <x v="16"/>
    <x v="3"/>
    <s v="Air Fryer"/>
    <s v="1"/>
    <s v="9118.26"/>
    <n v="0.2"/>
    <s v="6723.75"/>
    <s v="570.86"/>
    <x v="0"/>
    <x v="0"/>
    <s v="Website"/>
    <n v="7294.6080000000002"/>
  </r>
  <r>
    <s v="ORD101040"/>
    <x v="4"/>
    <s v="16-04-2025"/>
    <s v="CUST11424"/>
    <s v="Corporate"/>
    <s v="Delhi"/>
    <x v="12"/>
    <x v="2"/>
    <s v="T-Shirt"/>
    <s v="1"/>
    <s v="6074.9"/>
    <n v="0"/>
    <s v="4420.8500000000004"/>
    <s v="1654.05"/>
    <x v="2"/>
    <x v="0"/>
    <s v="Website"/>
    <n v="6074.9"/>
  </r>
  <r>
    <s v="ORD101041"/>
    <x v="9"/>
    <s v="28-06-2025"/>
    <s v="CUST11620"/>
    <s v="Consumer"/>
    <s v="Gujarat"/>
    <x v="10"/>
    <x v="0"/>
    <s v="Headphones"/>
    <s v="1"/>
    <s v="18664.12"/>
    <n v="0.05"/>
    <s v="10674.03"/>
    <s v="7056.88"/>
    <x v="5"/>
    <x v="0"/>
    <s v="Mobile App"/>
    <n v="17730.913999999899"/>
  </r>
  <r>
    <s v="ORD101042"/>
    <x v="11"/>
    <s v="30-10-2025"/>
    <s v="CUST10147"/>
    <s v="Home Office"/>
    <s v="Karnataka"/>
    <x v="22"/>
    <x v="4"/>
    <s v="Running Shoes"/>
    <s v="1"/>
    <s v="10641.65"/>
    <n v="0.05"/>
    <s v="6851.54"/>
    <s v="3258.03"/>
    <x v="1"/>
    <x v="0"/>
    <s v="Marketplace"/>
    <n v="10109.567499999999"/>
  </r>
  <r>
    <s v="ORD101043"/>
    <x v="5"/>
    <s v="09-09-2025"/>
    <s v="CUST11801"/>
    <s v="Consumer"/>
    <s v="Delhi"/>
    <x v="12"/>
    <x v="3"/>
    <s v="Mixer Grinder"/>
    <s v="1"/>
    <s v="1258.8800000000001"/>
    <n v="0.1"/>
    <s v="999.81"/>
    <s v="133.18"/>
    <x v="3"/>
    <x v="0"/>
    <s v="Website"/>
    <n v="1132.992"/>
  </r>
  <r>
    <s v="ORD101044"/>
    <x v="7"/>
    <s v="03-05-2025"/>
    <s v="CUST12051"/>
    <s v="Consumer"/>
    <s v="Gujarat"/>
    <x v="3"/>
    <x v="0"/>
    <s v="Headphones"/>
    <s v="1"/>
    <s v="57623.11"/>
    <n v="0"/>
    <s v="35970.400000000001"/>
    <s v="21652.71"/>
    <x v="5"/>
    <x v="0"/>
    <s v="Website"/>
    <n v="57623.11"/>
  </r>
  <r>
    <s v="ORD101045"/>
    <x v="2"/>
    <s v="09-12-2025"/>
    <s v="CUST12986"/>
    <s v="Consumer"/>
    <s v="Maharashtra"/>
    <x v="4"/>
    <x v="2"/>
    <s v="Jeans"/>
    <s v="1"/>
    <s v="6571.29"/>
    <n v="0"/>
    <s v="4706.1899999999996"/>
    <s v="1865.1"/>
    <x v="0"/>
    <x v="0"/>
    <s v="Website"/>
    <n v="6571.29"/>
  </r>
  <r>
    <s v="ORD101046"/>
    <x v="7"/>
    <s v="09-05-2025"/>
    <s v="CUST12666"/>
    <s v="Consumer"/>
    <s v="West Bengal"/>
    <x v="0"/>
    <x v="0"/>
    <s v="Tablet"/>
    <s v="1"/>
    <s v="49115.78"/>
    <n v="0"/>
    <s v="27626.59"/>
    <s v="21489.19"/>
    <x v="2"/>
    <x v="1"/>
    <s v="Website"/>
    <n v="49115.78"/>
  </r>
  <r>
    <s v="ORD101048"/>
    <x v="5"/>
    <s v="09-09-2025"/>
    <s v="CUST11552"/>
    <s v="Corporate"/>
    <s v="Karnataka"/>
    <x v="17"/>
    <x v="2"/>
    <s v="T-Shirt"/>
    <s v="1"/>
    <s v="6635.87"/>
    <n v="0.05"/>
    <s v="4194.78"/>
    <s v="2109.3000000000002"/>
    <x v="2"/>
    <x v="0"/>
    <s v="Website"/>
    <n v="6304.0764999999901"/>
  </r>
  <r>
    <s v="ORD101050"/>
    <x v="0"/>
    <s v="11-01-2025"/>
    <s v="CUST11655"/>
    <s v="Home Office"/>
    <s v="West Bengal"/>
    <x v="0"/>
    <x v="3"/>
    <s v="Air Fryer"/>
    <s v="1"/>
    <s v="834.81"/>
    <n v="0.15"/>
    <s v="555.64"/>
    <s v="153.94999999999999"/>
    <x v="2"/>
    <x v="0"/>
    <s v="Website"/>
    <n v="709.58849999999995"/>
  </r>
  <r>
    <s v="ORD101051"/>
    <x v="4"/>
    <s v="05-04-2025"/>
    <s v="CUST12937"/>
    <s v="Corporate"/>
    <s v="West Bengal"/>
    <x v="9"/>
    <x v="2"/>
    <s v="Jacket"/>
    <s v="1"/>
    <s v="574.69000000000005"/>
    <n v="0"/>
    <s v="346.74"/>
    <s v="227.95"/>
    <x v="5"/>
    <x v="0"/>
    <s v="Website"/>
    <n v="574.69000000000005"/>
  </r>
  <r>
    <s v="ORD101052"/>
    <x v="8"/>
    <s v="18-08-2025"/>
    <s v="CUST12896"/>
    <s v="Corporate"/>
    <s v="Karnataka"/>
    <x v="22"/>
    <x v="2"/>
    <s v="Handbag"/>
    <s v="1"/>
    <s v="5998.81"/>
    <n v="0"/>
    <s v="3365.97"/>
    <s v="2632.84"/>
    <x v="3"/>
    <x v="0"/>
    <s v="Marketplace"/>
    <n v="5998.81"/>
  </r>
  <r>
    <s v="ORD101054"/>
    <x v="2"/>
    <s v="25-12-2025"/>
    <s v="CUST11672"/>
    <s v="Home Office"/>
    <s v="West Bengal"/>
    <x v="0"/>
    <x v="1"/>
    <s v="Lipstick"/>
    <s v="2"/>
    <s v="2525.7600000000002"/>
    <n v="0.1"/>
    <s v="3753.52"/>
    <s v="792.85"/>
    <x v="5"/>
    <x v="3"/>
    <s v="Mobile App"/>
    <n v="4546.3680000000004"/>
  </r>
  <r>
    <s v="ORD101056"/>
    <x v="5"/>
    <s v="12-09-2025"/>
    <s v="CUST10510"/>
    <s v="Corporate"/>
    <s v="Telangana"/>
    <x v="14"/>
    <x v="3"/>
    <s v="Vacuum Cleaner"/>
    <s v="3"/>
    <s v="2488.98"/>
    <n v="0.05"/>
    <s v="4996.34"/>
    <s v="2097.25"/>
    <x v="3"/>
    <x v="2"/>
    <s v="Website"/>
    <n v="7093.5929999999998"/>
  </r>
  <r>
    <s v="ORD101058"/>
    <x v="1"/>
    <s v="24-02-2025"/>
    <s v="CUST10088"/>
    <s v="Consumer"/>
    <s v="Karnataka"/>
    <x v="17"/>
    <x v="2"/>
    <s v="Jeans"/>
    <s v="1"/>
    <s v="4426.13"/>
    <n v="0.1"/>
    <s v="2536.83"/>
    <s v="1446.69"/>
    <x v="3"/>
    <x v="0"/>
    <s v="Website"/>
    <n v="3983.5169999999998"/>
  </r>
  <r>
    <s v="ORD101059"/>
    <x v="4"/>
    <s v="03-04-2025"/>
    <s v="CUST12196"/>
    <s v="Consumer"/>
    <s v="West Bengal"/>
    <x v="0"/>
    <x v="2"/>
    <s v="Handbag"/>
    <s v="2"/>
    <s v="6003.86"/>
    <n v="0.05"/>
    <s v="8865.9500000000007"/>
    <s v="2541.38"/>
    <x v="3"/>
    <x v="0"/>
    <s v="Website"/>
    <n v="11407.333999999901"/>
  </r>
  <r>
    <s v="ORD101060"/>
    <x v="0"/>
    <s v="19-01-2025"/>
    <s v="CUST10359"/>
    <s v="Home Office"/>
    <s v="Kerala"/>
    <x v="6"/>
    <x v="3"/>
    <s v="Cookware Set"/>
    <s v="1"/>
    <s v="2999.5"/>
    <n v="0.15"/>
    <s v="2344.96"/>
    <s v="204.61"/>
    <x v="1"/>
    <x v="0"/>
    <s v="Mobile App"/>
    <n v="2549.5749999999998"/>
  </r>
  <r>
    <s v="ORD101061"/>
    <x v="6"/>
    <s v="08-07-2025"/>
    <s v="CUST10855"/>
    <s v="Corporate"/>
    <s v="West Bengal"/>
    <x v="9"/>
    <x v="0"/>
    <s v="Headphones"/>
    <s v="2"/>
    <s v="41932.239999999998"/>
    <n v="0.15"/>
    <s v="63332.34"/>
    <s v="7952.47"/>
    <x v="1"/>
    <x v="0"/>
    <s v="Website"/>
    <n v="71284.807999999903"/>
  </r>
  <r>
    <s v="ORD101063"/>
    <x v="3"/>
    <s v="12-03-2025"/>
    <s v="CUST12317"/>
    <s v="Home Office"/>
    <s v="West Bengal"/>
    <x v="0"/>
    <x v="1"/>
    <s v="Lipstick"/>
    <s v="1"/>
    <s v="2578.33"/>
    <n v="0.1"/>
    <s v="1619.5"/>
    <s v="701"/>
    <x v="5"/>
    <x v="0"/>
    <s v="Website"/>
    <n v="2320.4969999999998"/>
  </r>
  <r>
    <s v="ORD101065"/>
    <x v="8"/>
    <s v="06-08-2025"/>
    <s v="CUST11345"/>
    <s v="Home Office"/>
    <s v="Gujarat"/>
    <x v="18"/>
    <x v="2"/>
    <s v="T-Shirt"/>
    <s v="2"/>
    <s v="4782.3999999999996"/>
    <n v="0"/>
    <s v="5625.51"/>
    <s v="3939.29"/>
    <x v="5"/>
    <x v="0"/>
    <s v="Marketplace"/>
    <n v="9564.7999999999993"/>
  </r>
  <r>
    <s v="ORD101066"/>
    <x v="3"/>
    <s v="25-03-2025"/>
    <s v="CUST13136"/>
    <s v="Home Office"/>
    <s v="West Bengal"/>
    <x v="9"/>
    <x v="0"/>
    <s v="Laptop"/>
    <s v="1"/>
    <s v="63161.760000000002"/>
    <n v="0"/>
    <s v="43506.02"/>
    <s v="19655.740000000002"/>
    <x v="0"/>
    <x v="0"/>
    <s v="Website"/>
    <n v="63161.760000000002"/>
  </r>
  <r>
    <s v="ORD101069"/>
    <x v="3"/>
    <s v="23-03-2025"/>
    <s v="CUST12682"/>
    <s v="Home Office"/>
    <s v="Delhi"/>
    <x v="12"/>
    <x v="3"/>
    <s v="Air Fryer"/>
    <s v="1"/>
    <s v="14799.83"/>
    <n v="0.1"/>
    <s v="9278.58"/>
    <s v="4041.27"/>
    <x v="0"/>
    <x v="0"/>
    <s v="Website"/>
    <n v="13319.847"/>
  </r>
  <r>
    <s v="ORD101070"/>
    <x v="7"/>
    <s v="10-05-2025"/>
    <s v="CUST12711"/>
    <s v="Corporate"/>
    <s v="Kerala"/>
    <x v="5"/>
    <x v="0"/>
    <s v="Laptop"/>
    <s v="2"/>
    <s v="64887.11"/>
    <n v="0.1"/>
    <s v="96869.66"/>
    <s v="19927.14"/>
    <x v="1"/>
    <x v="1"/>
    <s v="Marketplace"/>
    <n v="116796.798"/>
  </r>
  <r>
    <s v="ORD101071"/>
    <x v="6"/>
    <s v="13-07-2025"/>
    <s v="CUST11178"/>
    <s v="Consumer"/>
    <s v="West Bengal"/>
    <x v="9"/>
    <x v="0"/>
    <s v="Laptop"/>
    <s v="1"/>
    <s v="72821.67"/>
    <n v="0.1"/>
    <s v="51850.17"/>
    <s v="13689.33"/>
    <x v="5"/>
    <x v="0"/>
    <s v="Marketplace"/>
    <n v="65539.502999999997"/>
  </r>
  <r>
    <s v="ORD101072"/>
    <x v="8"/>
    <s v="17-08-2025"/>
    <s v="CUST12356"/>
    <s v="Consumer"/>
    <s v="Telangana"/>
    <x v="16"/>
    <x v="2"/>
    <s v="Jeans"/>
    <s v="3"/>
    <s v="1546.13"/>
    <n v="0"/>
    <s v="3042.93"/>
    <s v="1595.46"/>
    <x v="0"/>
    <x v="0"/>
    <s v="Website"/>
    <n v="4638.3900000000003"/>
  </r>
  <r>
    <s v="ORD101073"/>
    <x v="2"/>
    <s v="10-12-2025"/>
    <s v="CUST12222"/>
    <s v="Corporate"/>
    <s v="Kerala"/>
    <x v="6"/>
    <x v="1"/>
    <s v="Hair Dryer"/>
    <s v="1"/>
    <s v="2167.56"/>
    <n v="0.2"/>
    <s v="1651.08"/>
    <s v="82.97"/>
    <x v="3"/>
    <x v="0"/>
    <s v="Website"/>
    <n v="1734.048"/>
  </r>
  <r>
    <s v="ORD101074"/>
    <x v="10"/>
    <s v="05-11-2025"/>
    <s v="CUST10471"/>
    <s v="Consumer"/>
    <s v="Tamil Nadu"/>
    <x v="19"/>
    <x v="3"/>
    <s v="Vacuum Cleaner"/>
    <s v="1"/>
    <s v="11639.4"/>
    <n v="0.1"/>
    <s v="7140.96"/>
    <s v="3334.5"/>
    <x v="3"/>
    <x v="0"/>
    <s v="Mobile App"/>
    <n v="10475.459999999999"/>
  </r>
  <r>
    <s v="ORD101075"/>
    <x v="7"/>
    <s v="09-05-2025"/>
    <s v="CUST11974"/>
    <s v="Corporate"/>
    <s v="Delhi"/>
    <x v="12"/>
    <x v="2"/>
    <s v="T-Shirt"/>
    <s v="3"/>
    <s v="5207.45"/>
    <n v="0.1"/>
    <s v="9713.41"/>
    <s v="4346.71"/>
    <x v="0"/>
    <x v="0"/>
    <s v="Marketplace"/>
    <n v="14060.115"/>
  </r>
  <r>
    <s v="ORD101077"/>
    <x v="0"/>
    <s v="29-01-2025"/>
    <s v="CUST13336"/>
    <s v="Consumer"/>
    <s v="West Bengal"/>
    <x v="0"/>
    <x v="0"/>
    <s v="Tablet"/>
    <s v="1"/>
    <s v="12689.24"/>
    <n v="0.15"/>
    <s v="7601.96"/>
    <s v="3183.89"/>
    <x v="2"/>
    <x v="0"/>
    <s v="Website"/>
    <n v="10785.853999999999"/>
  </r>
  <r>
    <s v="ORD101078"/>
    <x v="1"/>
    <s v="25-02-2025"/>
    <s v="CUST11980"/>
    <s v="Home Office"/>
    <s v="Karnataka"/>
    <x v="22"/>
    <x v="0"/>
    <s v="Laptop"/>
    <s v="1"/>
    <s v="42288.55"/>
    <n v="0.15"/>
    <s v="33140.18"/>
    <s v="2805.09"/>
    <x v="2"/>
    <x v="0"/>
    <s v="Marketplace"/>
    <n v="35945.267500000002"/>
  </r>
  <r>
    <s v="ORD101079"/>
    <x v="7"/>
    <s v="22-05-2025"/>
    <s v="CUST12527"/>
    <s v="Home Office"/>
    <s v="Kerala"/>
    <x v="5"/>
    <x v="4"/>
    <s v="Running Shoes"/>
    <s v="1"/>
    <s v="10631.16"/>
    <n v="0.1"/>
    <s v="8647.9599999999991"/>
    <s v="920.08"/>
    <x v="3"/>
    <x v="0"/>
    <s v="Mobile App"/>
    <n v="9568.0439999999999"/>
  </r>
  <r>
    <s v="ORD101080"/>
    <x v="7"/>
    <s v="07-05-2025"/>
    <s v="CUST11527"/>
    <s v="Home Office"/>
    <s v="Gujarat"/>
    <x v="18"/>
    <x v="0"/>
    <s v="Tablet"/>
    <s v="2"/>
    <s v="47611.12"/>
    <n v="0"/>
    <s v="67678.87"/>
    <s v="27543.37"/>
    <x v="2"/>
    <x v="0"/>
    <s v="Marketplace"/>
    <n v="95222.24"/>
  </r>
  <r>
    <s v="ORD101082"/>
    <x v="7"/>
    <s v="12-05-2025"/>
    <s v="CUST10955"/>
    <s v="Consumer"/>
    <s v="West Bengal"/>
    <x v="9"/>
    <x v="2"/>
    <s v="Jacket"/>
    <s v="1"/>
    <s v="3607.62"/>
    <n v="0.1"/>
    <s v="2522.25"/>
    <s v="724.61"/>
    <x v="5"/>
    <x v="1"/>
    <s v="Website"/>
    <n v="3246.8580000000002"/>
  </r>
  <r>
    <s v="ORD101083"/>
    <x v="7"/>
    <s v="27-05-2025"/>
    <s v="CUST10920"/>
    <s v="Corporate"/>
    <s v="Karnataka"/>
    <x v="22"/>
    <x v="1"/>
    <s v="Hair Dryer"/>
    <s v="2"/>
    <s v="3323.27"/>
    <n v="0.15"/>
    <s v="4127.49"/>
    <s v="1522.07"/>
    <x v="2"/>
    <x v="0"/>
    <s v="Mobile App"/>
    <n v="5649.5590000000002"/>
  </r>
  <r>
    <s v="ORD101084"/>
    <x v="4"/>
    <s v="16-04-2025"/>
    <s v="CUST11940"/>
    <s v="Corporate"/>
    <s v="Delhi"/>
    <x v="7"/>
    <x v="1"/>
    <s v="Face Cream"/>
    <s v="1"/>
    <s v="2912.19"/>
    <n v="0.05"/>
    <s v="1942.22"/>
    <s v="824.36"/>
    <x v="5"/>
    <x v="0"/>
    <s v="Mobile App"/>
    <n v="2766.5805"/>
  </r>
  <r>
    <s v="ORD101085"/>
    <x v="5"/>
    <s v="21-09-2025"/>
    <s v="CUST12001"/>
    <s v="Home Office"/>
    <s v="Karnataka"/>
    <x v="22"/>
    <x v="0"/>
    <s v="Tablet"/>
    <s v="1"/>
    <s v="44787.73"/>
    <n v="0"/>
    <s v="32926.03"/>
    <s v="11861.7"/>
    <x v="3"/>
    <x v="0"/>
    <s v="Marketplace"/>
    <n v="44787.73"/>
  </r>
  <r>
    <s v="ORD101086"/>
    <x v="5"/>
    <s v="14-09-2025"/>
    <s v="CUST12026"/>
    <s v="Consumer"/>
    <s v="Delhi"/>
    <x v="7"/>
    <x v="2"/>
    <s v="Jeans"/>
    <s v="1"/>
    <s v="4829.78"/>
    <n v="0.15"/>
    <s v="3867.85"/>
    <s v="237.46"/>
    <x v="2"/>
    <x v="0"/>
    <s v="Website"/>
    <n v="4105.3130000000001"/>
  </r>
  <r>
    <s v="ORD101087"/>
    <x v="8"/>
    <s v="04-08-2025"/>
    <s v="CUST12704"/>
    <s v="Consumer"/>
    <s v="Gujarat"/>
    <x v="18"/>
    <x v="0"/>
    <s v="Smartphone"/>
    <s v="1"/>
    <s v="45535.96"/>
    <n v="0.1"/>
    <s v="36075.57"/>
    <s v="4906.79"/>
    <x v="1"/>
    <x v="0"/>
    <s v="Website"/>
    <n v="40982.364000000001"/>
  </r>
  <r>
    <s v="ORD101088"/>
    <x v="10"/>
    <s v="23-11-2025"/>
    <s v="CUST11131"/>
    <s v="Consumer"/>
    <s v="Telangana"/>
    <x v="14"/>
    <x v="2"/>
    <s v="Jacket"/>
    <s v="1"/>
    <s v="329"/>
    <n v="0.05"/>
    <s v="251.15"/>
    <s v="61.4"/>
    <x v="2"/>
    <x v="0"/>
    <s v="Marketplace"/>
    <n v="312.55"/>
  </r>
  <r>
    <s v="ORD101089"/>
    <x v="4"/>
    <s v="09-04-2025"/>
    <s v="CUST10599"/>
    <s v="Corporate"/>
    <s v="West Bengal"/>
    <x v="9"/>
    <x v="1"/>
    <s v="Shampoo"/>
    <s v="3"/>
    <s v="5953.72"/>
    <n v="0.05"/>
    <s v="12775.36"/>
    <s v="4192.74"/>
    <x v="1"/>
    <x v="0"/>
    <s v="Website"/>
    <n v="16968.101999999999"/>
  </r>
  <r>
    <s v="ORD101090"/>
    <x v="3"/>
    <s v="07-03-2025"/>
    <s v="CUST12088"/>
    <s v="Consumer"/>
    <s v="Tamil Nadu"/>
    <x v="19"/>
    <x v="4"/>
    <s v="Football"/>
    <s v="1"/>
    <s v="2166.39"/>
    <n v="0.2"/>
    <s v="1596.2"/>
    <s v="136.91"/>
    <x v="1"/>
    <x v="0"/>
    <s v="Marketplace"/>
    <n v="1733.1120000000001"/>
  </r>
  <r>
    <s v="ORD101092"/>
    <x v="2"/>
    <s v="27-12-2025"/>
    <s v="CUST13049"/>
    <s v="Consumer"/>
    <s v="Tamil Nadu"/>
    <x v="19"/>
    <x v="0"/>
    <s v="Smartwatch"/>
    <s v="1"/>
    <s v="66106.880000000005"/>
    <n v="0.05"/>
    <s v="41858.160000000003"/>
    <s v="20943.38"/>
    <x v="1"/>
    <x v="2"/>
    <s v="Mobile App"/>
    <n v="62801.536"/>
  </r>
  <r>
    <s v="ORD101095"/>
    <x v="5"/>
    <s v="09-09-2025"/>
    <s v="CUST12295"/>
    <s v="Consumer"/>
    <s v="Maharashtra"/>
    <x v="20"/>
    <x v="1"/>
    <s v="Hair Dryer"/>
    <s v="2"/>
    <s v="2439.59"/>
    <n v="0.2"/>
    <s v="3036.81"/>
    <s v="866.53"/>
    <x v="1"/>
    <x v="0"/>
    <s v="Website"/>
    <n v="3903.3440000000001"/>
  </r>
  <r>
    <s v="ORD101097"/>
    <x v="10"/>
    <s v="23-11-2025"/>
    <s v="CUST12087"/>
    <s v="Home Office"/>
    <s v="Gujarat"/>
    <x v="3"/>
    <x v="4"/>
    <s v="Football"/>
    <s v="1"/>
    <s v="8494.34"/>
    <n v="0.05"/>
    <s v="5509.92"/>
    <s v="2559.6999999999998"/>
    <x v="1"/>
    <x v="0"/>
    <s v="Mobile App"/>
    <n v="8069.6229999999996"/>
  </r>
  <r>
    <s v="ORD101098"/>
    <x v="2"/>
    <s v="09-12-2025"/>
    <s v="CUST10957"/>
    <s v="Home Office"/>
    <s v="Maharashtra"/>
    <x v="4"/>
    <x v="3"/>
    <s v="Cookware Set"/>
    <s v="3"/>
    <s v="1205.17"/>
    <n v="0.05"/>
    <s v="2105.46"/>
    <s v="1329.27"/>
    <x v="5"/>
    <x v="0"/>
    <s v="Website"/>
    <n v="3434.7345"/>
  </r>
  <r>
    <s v="ORD101100"/>
    <x v="2"/>
    <s v="07-12-2025"/>
    <s v="CUST10309"/>
    <s v="Home Office"/>
    <s v="Delhi"/>
    <x v="7"/>
    <x v="3"/>
    <s v="Coffee Maker"/>
    <s v="2"/>
    <s v="1078.51"/>
    <n v="0.1"/>
    <s v="1446.62"/>
    <s v="494.7"/>
    <x v="2"/>
    <x v="2"/>
    <s v="Website"/>
    <n v="1941.318"/>
  </r>
  <r>
    <s v="ORD101103"/>
    <x v="4"/>
    <s v="14-04-2025"/>
    <s v="CUST10511"/>
    <s v="Corporate"/>
    <s v="Karnataka"/>
    <x v="2"/>
    <x v="2"/>
    <s v="T-Shirt"/>
    <s v="1"/>
    <s v="5090.2"/>
    <n v="0.1"/>
    <s v="4004.39"/>
    <s v="576.79"/>
    <x v="3"/>
    <x v="0"/>
    <s v="Mobile App"/>
    <n v="4581.18"/>
  </r>
  <r>
    <s v="ORD101105"/>
    <x v="0"/>
    <s v="27-01-2025"/>
    <s v="CUST13331"/>
    <s v="Consumer"/>
    <s v="Maharashtra"/>
    <x v="20"/>
    <x v="0"/>
    <s v="Smartphone"/>
    <s v="3"/>
    <s v="1842.94"/>
    <n v="0.1"/>
    <s v="3672.81"/>
    <s v="1303.1300000000001"/>
    <x v="1"/>
    <x v="0"/>
    <s v="Mobile App"/>
    <n v="4975.9380000000001"/>
  </r>
  <r>
    <s v="ORD101107"/>
    <x v="9"/>
    <s v="15-06-2025"/>
    <s v="CUST11241"/>
    <s v="Consumer"/>
    <s v="West Bengal"/>
    <x v="0"/>
    <x v="2"/>
    <s v="Sneakers"/>
    <s v="1"/>
    <s v="2973.9"/>
    <n v="0.1"/>
    <s v="2128.27"/>
    <s v="548.24"/>
    <x v="1"/>
    <x v="0"/>
    <s v="Mobile App"/>
    <n v="2676.51"/>
  </r>
  <r>
    <s v="ORD101111"/>
    <x v="11"/>
    <s v="12-10-2025"/>
    <s v="CUST10356"/>
    <s v="Home Office"/>
    <s v="Delhi"/>
    <x v="12"/>
    <x v="0"/>
    <s v="Smartwatch"/>
    <s v="3"/>
    <s v="24361"/>
    <n v="0.1"/>
    <s v="51100.25"/>
    <s v="14674.45"/>
    <x v="2"/>
    <x v="0"/>
    <s v="Website"/>
    <n v="65774.7"/>
  </r>
  <r>
    <s v="ORD101114"/>
    <x v="10"/>
    <s v="25-11-2025"/>
    <s v="CUST11997"/>
    <s v="Consumer"/>
    <s v="Delhi"/>
    <x v="12"/>
    <x v="0"/>
    <s v="Tablet"/>
    <s v="2"/>
    <s v="32675.29"/>
    <n v="0.1"/>
    <s v="37255.83"/>
    <s v="21559.69"/>
    <x v="1"/>
    <x v="0"/>
    <s v="Marketplace"/>
    <n v="58815.521999999997"/>
  </r>
  <r>
    <s v="ORD101115"/>
    <x v="1"/>
    <s v="27-02-2025"/>
    <s v="CUST11457"/>
    <s v="Home Office"/>
    <s v="West Bengal"/>
    <x v="0"/>
    <x v="0"/>
    <s v="Smartphone"/>
    <s v="1"/>
    <s v="26527.759999999998"/>
    <n v="0.05"/>
    <s v="14907.85"/>
    <s v="10293.52"/>
    <x v="2"/>
    <x v="2"/>
    <s v="Mobile App"/>
    <n v="25201.371999999901"/>
  </r>
  <r>
    <s v="ORD101116"/>
    <x v="9"/>
    <s v="07-06-2025"/>
    <s v="CUST12020"/>
    <s v="Corporate"/>
    <s v="Kerala"/>
    <x v="5"/>
    <x v="0"/>
    <s v="Headphones"/>
    <s v="2"/>
    <s v="14115.99"/>
    <n v="0.05"/>
    <s v="15706.26"/>
    <s v="11114.12"/>
    <x v="0"/>
    <x v="0"/>
    <s v="Mobile App"/>
    <n v="26820.380999999899"/>
  </r>
  <r>
    <s v="ORD101117"/>
    <x v="5"/>
    <s v="21-09-2025"/>
    <s v="CUST11405"/>
    <s v="Corporate"/>
    <s v="Maharashtra"/>
    <x v="21"/>
    <x v="2"/>
    <s v="T-Shirt"/>
    <s v="1"/>
    <s v="967.01"/>
    <n v="0.1"/>
    <s v="606.69000000000005"/>
    <s v="263.62"/>
    <x v="0"/>
    <x v="0"/>
    <s v="Marketplace"/>
    <n v="870.30899999999997"/>
  </r>
  <r>
    <s v="ORD101118"/>
    <x v="8"/>
    <s v="28-08-2025"/>
    <s v="CUST12336"/>
    <s v="Corporate"/>
    <s v="West Bengal"/>
    <x v="9"/>
    <x v="0"/>
    <s v="Laptop"/>
    <s v="2"/>
    <s v="9237.7999999999993"/>
    <n v="0.15"/>
    <s v="11968"/>
    <s v="3736.26"/>
    <x v="0"/>
    <x v="0"/>
    <s v="Website"/>
    <n v="15704.2599999999"/>
  </r>
  <r>
    <s v="ORD101119"/>
    <x v="5"/>
    <s v="26-09-2025"/>
    <s v="CUST12620"/>
    <s v="Home Office"/>
    <s v="Kerala"/>
    <x v="5"/>
    <x v="4"/>
    <s v="Running Shoes"/>
    <s v="1"/>
    <s v="4659.51"/>
    <n v="0.15"/>
    <s v="3239.32"/>
    <s v="721.26"/>
    <x v="5"/>
    <x v="0"/>
    <s v="Marketplace"/>
    <n v="3960.5835000000002"/>
  </r>
  <r>
    <s v="ORD101120"/>
    <x v="11"/>
    <s v="25-10-2025"/>
    <s v="CUST10487"/>
    <s v="Corporate"/>
    <s v="Gujarat"/>
    <x v="3"/>
    <x v="2"/>
    <s v="T-Shirt"/>
    <s v="2"/>
    <s v="4556.32"/>
    <n v="0"/>
    <s v="7327.15"/>
    <s v="1785.49"/>
    <x v="1"/>
    <x v="0"/>
    <s v="Mobile App"/>
    <n v="9112.64"/>
  </r>
  <r>
    <s v="ORD101121"/>
    <x v="7"/>
    <s v="01-05-2025"/>
    <s v="CUST10555"/>
    <s v="Consumer"/>
    <s v="Delhi"/>
    <x v="7"/>
    <x v="3"/>
    <s v="Mixer Grinder"/>
    <s v="1"/>
    <s v="6468.54"/>
    <n v="0.2"/>
    <s v="4412.0600000000004"/>
    <s v="762.77"/>
    <x v="5"/>
    <x v="1"/>
    <s v="Marketplace"/>
    <n v="5174.8320000000003"/>
  </r>
  <r>
    <s v="ORD101122"/>
    <x v="2"/>
    <s v="12-12-2025"/>
    <s v="CUST11804"/>
    <s v="Corporate"/>
    <s v="Tamil Nadu"/>
    <x v="19"/>
    <x v="2"/>
    <s v="T-Shirt"/>
    <s v="1"/>
    <s v="2075.96"/>
    <n v="0.1"/>
    <s v="1498.4"/>
    <s v="369.96"/>
    <x v="1"/>
    <x v="0"/>
    <s v="Website"/>
    <n v="1868.364"/>
  </r>
  <r>
    <s v="ORD101123"/>
    <x v="6"/>
    <s v="07-07-2025"/>
    <s v="CUST11661"/>
    <s v="Home Office"/>
    <s v="Telangana"/>
    <x v="16"/>
    <x v="2"/>
    <s v="T-Shirt"/>
    <s v="1"/>
    <s v="1052.9000000000001"/>
    <n v="0"/>
    <s v="584.72"/>
    <s v="468.18"/>
    <x v="5"/>
    <x v="0"/>
    <s v="Website"/>
    <n v="1052.9000000000001"/>
  </r>
  <r>
    <s v="ORD101124"/>
    <x v="0"/>
    <s v="31-01-2025"/>
    <s v="CUST12394"/>
    <s v="Home Office"/>
    <s v="Telangana"/>
    <x v="16"/>
    <x v="0"/>
    <s v="Smartwatch"/>
    <s v="1"/>
    <s v="34991.15"/>
    <n v="0.1"/>
    <s v="25716.13"/>
    <s v="5775.91"/>
    <x v="0"/>
    <x v="2"/>
    <s v="Mobile App"/>
    <n v="31492.035"/>
  </r>
  <r>
    <s v="ORD101125"/>
    <x v="1"/>
    <s v="24-02-2025"/>
    <s v="CUST11812"/>
    <s v="Corporate"/>
    <s v="Tamil Nadu"/>
    <x v="1"/>
    <x v="0"/>
    <s v="Smartwatch"/>
    <s v="2"/>
    <s v="49037.49"/>
    <n v="0"/>
    <s v="63286.43"/>
    <s v="34788.550000000003"/>
    <x v="2"/>
    <x v="2"/>
    <s v="Mobile App"/>
    <n v="98074.98"/>
  </r>
  <r>
    <s v="ORD101126"/>
    <x v="4"/>
    <s v="25-04-2025"/>
    <s v="CUST10517"/>
    <s v="Corporate"/>
    <s v="Gujarat"/>
    <x v="10"/>
    <x v="2"/>
    <s v="Jacket"/>
    <s v="1"/>
    <s v="3002.45"/>
    <n v="0.15"/>
    <s v="2420.6999999999998"/>
    <s v="131.38"/>
    <x v="3"/>
    <x v="0"/>
    <s v="Marketplace"/>
    <n v="2552.0825"/>
  </r>
  <r>
    <s v="ORD101127"/>
    <x v="0"/>
    <s v="25-01-2025"/>
    <s v="CUST11686"/>
    <s v="Corporate"/>
    <s v="Maharashtra"/>
    <x v="20"/>
    <x v="0"/>
    <s v="Headphones"/>
    <s v="1"/>
    <s v="9341.9500000000007"/>
    <n v="0.1"/>
    <s v="7490.41"/>
    <s v="917.35"/>
    <x v="5"/>
    <x v="2"/>
    <s v="Website"/>
    <n v="8407.7549999999992"/>
  </r>
  <r>
    <s v="ORD101128"/>
    <x v="9"/>
    <s v="14-06-2025"/>
    <s v="CUST10991"/>
    <s v="Home Office"/>
    <s v="Delhi"/>
    <x v="7"/>
    <x v="0"/>
    <s v="Headphones"/>
    <s v="3"/>
    <s v="41302.79"/>
    <n v="0.1"/>
    <s v="94686.79"/>
    <s v="16830.740000000002"/>
    <x v="5"/>
    <x v="0"/>
    <s v="Mobile App"/>
    <n v="111517.533"/>
  </r>
  <r>
    <s v="ORD101130"/>
    <x v="8"/>
    <s v="08-08-2025"/>
    <s v="CUST12553"/>
    <s v="Consumer"/>
    <s v="Kerala"/>
    <x v="6"/>
    <x v="4"/>
    <s v="Cricket Bat"/>
    <s v="1"/>
    <s v="8720.24"/>
    <n v="0.15"/>
    <s v="6501.81"/>
    <s v="910.39"/>
    <x v="5"/>
    <x v="0"/>
    <s v="Website"/>
    <n v="7412.2039999999997"/>
  </r>
  <r>
    <s v="ORD101131"/>
    <x v="0"/>
    <s v="06-01-2025"/>
    <s v="CUST11407"/>
    <s v="Consumer"/>
    <s v="West Bengal"/>
    <x v="9"/>
    <x v="4"/>
    <s v="Yoga Mat"/>
    <s v="1"/>
    <s v="9007.09"/>
    <n v="0"/>
    <s v="5991.93"/>
    <s v="3015.16"/>
    <x v="5"/>
    <x v="0"/>
    <s v="Mobile App"/>
    <n v="9007.09"/>
  </r>
  <r>
    <s v="ORD101132"/>
    <x v="0"/>
    <s v="13-01-2025"/>
    <s v="CUST10750"/>
    <s v="Consumer"/>
    <s v="West Bengal"/>
    <x v="9"/>
    <x v="0"/>
    <s v="Smartphone"/>
    <s v="1"/>
    <s v="71695.600000000006"/>
    <n v="0.15"/>
    <s v="46006.559999999998"/>
    <s v="14934.7"/>
    <x v="5"/>
    <x v="0"/>
    <s v="Website"/>
    <n v="60941.26"/>
  </r>
  <r>
    <s v="ORD101134"/>
    <x v="0"/>
    <s v="01-01-2025"/>
    <s v="CUST12036"/>
    <s v="Corporate"/>
    <s v="Telangana"/>
    <x v="16"/>
    <x v="3"/>
    <s v="Coffee Maker"/>
    <s v="1"/>
    <s v="6604.43"/>
    <n v="0.2"/>
    <s v="3812.19"/>
    <s v="1471.35"/>
    <x v="2"/>
    <x v="0"/>
    <s v="Marketplace"/>
    <n v="5283.5439999999999"/>
  </r>
  <r>
    <s v="ORD101135"/>
    <x v="0"/>
    <s v="15-01-2025"/>
    <s v="CUST11254"/>
    <s v="Consumer"/>
    <s v="Tamil Nadu"/>
    <x v="1"/>
    <x v="0"/>
    <s v="Laptop"/>
    <s v="1"/>
    <s v="57190.22"/>
    <n v="0.1"/>
    <s v="35408.410000000003"/>
    <s v="16062.79"/>
    <x v="1"/>
    <x v="0"/>
    <s v="Mobile App"/>
    <n v="51471.197999999997"/>
  </r>
  <r>
    <s v="ORD101137"/>
    <x v="2"/>
    <s v="12-12-2025"/>
    <s v="CUST10288"/>
    <s v="Consumer"/>
    <s v="Kerala"/>
    <x v="5"/>
    <x v="0"/>
    <s v="Smartwatch"/>
    <s v="2"/>
    <s v="14053.8"/>
    <n v="0.15"/>
    <s v="20491.36"/>
    <s v="3400.1"/>
    <x v="5"/>
    <x v="0"/>
    <s v="Website"/>
    <n v="23891.46"/>
  </r>
  <r>
    <s v="ORD101138"/>
    <x v="8"/>
    <s v="21-08-2025"/>
    <s v="CUST10262"/>
    <s v="Home Office"/>
    <s v="Kerala"/>
    <x v="15"/>
    <x v="0"/>
    <s v="Laptop"/>
    <s v="3"/>
    <s v="24661.78"/>
    <n v="0.1"/>
    <s v="48559.5"/>
    <s v="18027.310000000001"/>
    <x v="5"/>
    <x v="0"/>
    <s v="Mobile App"/>
    <n v="66586.805999999997"/>
  </r>
  <r>
    <s v="ORD101140"/>
    <x v="2"/>
    <s v="11-12-2025"/>
    <s v="CUST11509"/>
    <s v="Home Office"/>
    <s v="Karnataka"/>
    <x v="22"/>
    <x v="1"/>
    <s v="Face Cream"/>
    <s v="1"/>
    <s v="5599.14"/>
    <n v="0"/>
    <s v="4273.83"/>
    <s v="1325.31"/>
    <x v="4"/>
    <x v="0"/>
    <s v="Mobile App"/>
    <n v="5599.14"/>
  </r>
  <r>
    <s v="ORD101141"/>
    <x v="6"/>
    <s v="21-07-2025"/>
    <s v="CUST13433"/>
    <s v="Home Office"/>
    <s v="Gujarat"/>
    <x v="10"/>
    <x v="0"/>
    <s v="Tablet"/>
    <s v="1"/>
    <s v="73823.360000000001"/>
    <n v="0.05"/>
    <s v="48539.73"/>
    <s v="21592.46"/>
    <x v="3"/>
    <x v="0"/>
    <s v="Marketplace"/>
    <n v="70132.191999999995"/>
  </r>
  <r>
    <s v="ORD101142"/>
    <x v="3"/>
    <s v="12-03-2025"/>
    <s v="CUST10272"/>
    <s v="Home Office"/>
    <s v="Tamil Nadu"/>
    <x v="11"/>
    <x v="0"/>
    <s v="Laptop"/>
    <s v="4"/>
    <s v="58349.88"/>
    <n v="0.05"/>
    <s v="149452.38"/>
    <s v="72277.16"/>
    <x v="5"/>
    <x v="2"/>
    <s v="Website"/>
    <n v="221729.543999999"/>
  </r>
  <r>
    <s v="ORD101143"/>
    <x v="11"/>
    <s v="25-10-2025"/>
    <s v="CUST13130"/>
    <s v="Consumer"/>
    <s v="Telangana"/>
    <x v="14"/>
    <x v="3"/>
    <s v="Vacuum Cleaner"/>
    <s v="1"/>
    <s v="16858.03"/>
    <n v="0"/>
    <s v="13350"/>
    <s v="3508.03"/>
    <x v="2"/>
    <x v="0"/>
    <s v="Website"/>
    <n v="16858.03"/>
  </r>
  <r>
    <s v="ORD101146"/>
    <x v="7"/>
    <s v="11-05-2025"/>
    <s v="CUST12185"/>
    <s v="Home Office"/>
    <s v="Gujarat"/>
    <x v="3"/>
    <x v="2"/>
    <s v="Sneakers"/>
    <s v="2"/>
    <s v="1112.71"/>
    <n v="0.15"/>
    <s v="1745.17"/>
    <s v="146.44"/>
    <x v="3"/>
    <x v="0"/>
    <s v="Marketplace"/>
    <n v="1891.607"/>
  </r>
  <r>
    <s v="ORD101147"/>
    <x v="5"/>
    <s v="03-09-2025"/>
    <s v="CUST12448"/>
    <s v="Consumer"/>
    <s v="Telangana"/>
    <x v="14"/>
    <x v="4"/>
    <s v="Yoga Mat"/>
    <s v="2"/>
    <s v="6683.32"/>
    <n v="0.2"/>
    <s v="7448.71"/>
    <s v="3244.6"/>
    <x v="5"/>
    <x v="0"/>
    <s v="Marketplace"/>
    <n v="10693.312"/>
  </r>
  <r>
    <s v="ORD101148"/>
    <x v="7"/>
    <s v="02-05-2025"/>
    <s v="CUST12625"/>
    <s v="Consumer"/>
    <s v="Kerala"/>
    <x v="15"/>
    <x v="2"/>
    <s v="Jacket"/>
    <s v="1"/>
    <s v="1170.77"/>
    <n v="0.05"/>
    <s v="774.21"/>
    <s v="338.02"/>
    <x v="3"/>
    <x v="0"/>
    <s v="Website"/>
    <n v="1112.2314999999901"/>
  </r>
  <r>
    <s v="ORD101149"/>
    <x v="11"/>
    <s v="27-10-2025"/>
    <s v="CUST11397"/>
    <s v="Corporate"/>
    <s v="Telangana"/>
    <x v="14"/>
    <x v="3"/>
    <s v="Vacuum Cleaner"/>
    <s v="1"/>
    <s v="6168.24"/>
    <n v="0"/>
    <s v="4214.93"/>
    <s v="1953.31"/>
    <x v="3"/>
    <x v="1"/>
    <s v="Mobile App"/>
    <n v="6168.24"/>
  </r>
  <r>
    <s v="ORD101150"/>
    <x v="5"/>
    <s v="18-09-2025"/>
    <s v="CUST12957"/>
    <s v="Home Office"/>
    <s v="West Bengal"/>
    <x v="9"/>
    <x v="2"/>
    <s v="Sneakers"/>
    <s v="2"/>
    <s v="2081.13"/>
    <n v="0.05"/>
    <s v="2408.29"/>
    <s v="1545.86"/>
    <x v="0"/>
    <x v="0"/>
    <s v="Marketplace"/>
    <n v="3954.1469999999999"/>
  </r>
  <r>
    <s v="ORD101152"/>
    <x v="1"/>
    <s v="18-02-2025"/>
    <s v="CUST11994"/>
    <s v="Consumer"/>
    <s v="Kerala"/>
    <x v="6"/>
    <x v="4"/>
    <s v="Running Shoes"/>
    <s v="1"/>
    <s v="724.5"/>
    <n v="0.15"/>
    <s v="415.65"/>
    <s v="200.17"/>
    <x v="3"/>
    <x v="0"/>
    <s v="Mobile App"/>
    <n v="615.82499999999902"/>
  </r>
  <r>
    <s v="ORD101153"/>
    <x v="9"/>
    <s v="06-06-2025"/>
    <s v="CUST13343"/>
    <s v="Corporate"/>
    <s v="Maharashtra"/>
    <x v="20"/>
    <x v="3"/>
    <s v="Coffee Maker"/>
    <s v="1"/>
    <s v="5733.66"/>
    <n v="0.1"/>
    <s v="3298.81"/>
    <s v="1861.48"/>
    <x v="0"/>
    <x v="0"/>
    <s v="Marketplace"/>
    <n v="5160.2939999999999"/>
  </r>
  <r>
    <s v="ORD101154"/>
    <x v="6"/>
    <s v="25-07-2025"/>
    <s v="CUST10676"/>
    <s v="Consumer"/>
    <s v="Gujarat"/>
    <x v="3"/>
    <x v="2"/>
    <s v="Jeans"/>
    <s v="3"/>
    <s v="3433.54"/>
    <n v="0.2"/>
    <s v="7626.53"/>
    <s v="613.97"/>
    <x v="0"/>
    <x v="0"/>
    <s v="Mobile App"/>
    <n v="8240.4959999999992"/>
  </r>
  <r>
    <s v="ORD101155"/>
    <x v="4"/>
    <s v="10-04-2025"/>
    <s v="CUST10494"/>
    <s v="Corporate"/>
    <s v="Tamil Nadu"/>
    <x v="19"/>
    <x v="2"/>
    <s v="Handbag"/>
    <s v="1"/>
    <s v="2918.27"/>
    <n v="0.1"/>
    <s v="1654.61"/>
    <s v="971.83"/>
    <x v="3"/>
    <x v="0"/>
    <s v="Marketplace"/>
    <n v="2626.4430000000002"/>
  </r>
  <r>
    <s v="ORD101156"/>
    <x v="9"/>
    <s v="15-06-2025"/>
    <s v="CUST11833"/>
    <s v="Consumer"/>
    <s v="Karnataka"/>
    <x v="22"/>
    <x v="0"/>
    <s v="Headphones"/>
    <s v="1"/>
    <s v="59825.47"/>
    <n v="0.15"/>
    <s v="38102.300000000003"/>
    <s v="12749.35"/>
    <x v="1"/>
    <x v="0"/>
    <s v="Mobile App"/>
    <n v="50851.6495"/>
  </r>
  <r>
    <s v="ORD101157"/>
    <x v="4"/>
    <s v="25-04-2025"/>
    <s v="CUST10713"/>
    <s v="Consumer"/>
    <s v="Gujarat"/>
    <x v="10"/>
    <x v="4"/>
    <s v="Football"/>
    <s v="1"/>
    <s v="9845.11"/>
    <n v="0.1"/>
    <s v="5819.57"/>
    <s v="3041.03"/>
    <x v="0"/>
    <x v="0"/>
    <s v="Mobile App"/>
    <n v="8860.5990000000002"/>
  </r>
  <r>
    <s v="ORD101158"/>
    <x v="5"/>
    <s v="13-09-2025"/>
    <s v="CUST12867"/>
    <s v="Consumer"/>
    <s v="Delhi"/>
    <x v="7"/>
    <x v="4"/>
    <s v="Yoga Mat"/>
    <s v="1"/>
    <s v="7187.6"/>
    <n v="0"/>
    <s v="4851.12"/>
    <s v="2336.48"/>
    <x v="0"/>
    <x v="2"/>
    <s v="Marketplace"/>
    <n v="7187.6"/>
  </r>
  <r>
    <s v="ORD101159"/>
    <x v="1"/>
    <s v="20-02-2025"/>
    <s v="CUST11327"/>
    <s v="Consumer"/>
    <s v="Karnataka"/>
    <x v="17"/>
    <x v="4"/>
    <s v="Yoga Mat"/>
    <s v="2"/>
    <s v="8096.04"/>
    <n v="0.05"/>
    <s v="13076.45"/>
    <s v="2306.0300000000002"/>
    <x v="1"/>
    <x v="0"/>
    <s v="Marketplace"/>
    <n v="15382.475999999901"/>
  </r>
  <r>
    <s v="ORD101162"/>
    <x v="1"/>
    <s v="05-02-2025"/>
    <s v="CUST12825"/>
    <s v="Consumer"/>
    <s v="Delhi"/>
    <x v="12"/>
    <x v="2"/>
    <s v="Sneakers"/>
    <s v="3"/>
    <s v="1792.77"/>
    <n v="0.1"/>
    <s v="3603.2"/>
    <s v="1237.28"/>
    <x v="3"/>
    <x v="0"/>
    <s v="Mobile App"/>
    <n v="4840.4789999999903"/>
  </r>
  <r>
    <s v="ORD101163"/>
    <x v="4"/>
    <s v="06-04-2025"/>
    <s v="CUST12469"/>
    <s v="Home Office"/>
    <s v="Gujarat"/>
    <x v="18"/>
    <x v="3"/>
    <s v="Air Fryer"/>
    <s v="2"/>
    <s v="6198.61"/>
    <n v="0.1"/>
    <s v="8081.69"/>
    <s v="3075.81"/>
    <x v="0"/>
    <x v="0"/>
    <s v="Mobile App"/>
    <n v="11157.498"/>
  </r>
  <r>
    <s v="ORD101164"/>
    <x v="4"/>
    <s v="29-04-2025"/>
    <s v="CUST12194"/>
    <s v="Consumer"/>
    <s v="Maharashtra"/>
    <x v="21"/>
    <x v="1"/>
    <s v="Lipstick"/>
    <s v="2"/>
    <s v="2780.95"/>
    <n v="0.05"/>
    <s v="3586.26"/>
    <s v="1697.54"/>
    <x v="0"/>
    <x v="0"/>
    <s v="Website"/>
    <n v="5283.8049999999903"/>
  </r>
  <r>
    <s v="ORD101165"/>
    <x v="5"/>
    <s v="15-09-2025"/>
    <s v="CUST11243"/>
    <s v="Consumer"/>
    <s v="Maharashtra"/>
    <x v="20"/>
    <x v="3"/>
    <s v="Cookware Set"/>
    <s v="1"/>
    <s v="1094.4100000000001"/>
    <n v="0.05"/>
    <s v="635.70000000000005"/>
    <s v="403.99"/>
    <x v="1"/>
    <x v="0"/>
    <s v="Marketplace"/>
    <n v="1039.6895"/>
  </r>
  <r>
    <s v="ORD101166"/>
    <x v="1"/>
    <s v="11-02-2025"/>
    <s v="CUST10010"/>
    <s v="Consumer"/>
    <s v="Maharashtra"/>
    <x v="4"/>
    <x v="0"/>
    <s v="Smartphone"/>
    <s v="1"/>
    <s v="19099.560000000001"/>
    <n v="0.05"/>
    <s v="12271.57"/>
    <s v="5873.01"/>
    <x v="3"/>
    <x v="0"/>
    <s v="Marketplace"/>
    <n v="18144.581999999999"/>
  </r>
  <r>
    <s v="ORD101169"/>
    <x v="7"/>
    <s v="05-05-2025"/>
    <s v="CUST13264"/>
    <s v="Corporate"/>
    <s v="Kerala"/>
    <x v="5"/>
    <x v="2"/>
    <s v="Jacket"/>
    <s v="1"/>
    <s v="821.09"/>
    <n v="0.1"/>
    <s v="555.79"/>
    <s v="183.19"/>
    <x v="2"/>
    <x v="0"/>
    <s v="Website"/>
    <n v="738.98099999999999"/>
  </r>
  <r>
    <s v="ORD101170"/>
    <x v="0"/>
    <s v="02-01-2025"/>
    <s v="CUST13038"/>
    <s v="Corporate"/>
    <s v="Maharashtra"/>
    <x v="4"/>
    <x v="4"/>
    <s v="Cricket Bat"/>
    <s v="2"/>
    <s v="7828.11"/>
    <n v="0.05"/>
    <s v="11590.58"/>
    <s v="3282.83"/>
    <x v="3"/>
    <x v="0"/>
    <s v="Mobile App"/>
    <n v="14873.4089999999"/>
  </r>
  <r>
    <s v="ORD101171"/>
    <x v="10"/>
    <s v="28-11-2025"/>
    <s v="CUST11648"/>
    <s v="Corporate"/>
    <s v="Karnataka"/>
    <x v="22"/>
    <x v="2"/>
    <s v="T-Shirt"/>
    <s v="1"/>
    <s v="477.76"/>
    <n v="0.15"/>
    <s v="368.35"/>
    <s v="37.75"/>
    <x v="5"/>
    <x v="0"/>
    <s v="Marketplace"/>
    <n v="406.096"/>
  </r>
  <r>
    <s v="ORD101175"/>
    <x v="4"/>
    <s v="10-04-2025"/>
    <s v="CUST12046"/>
    <s v="Consumer"/>
    <s v="Gujarat"/>
    <x v="3"/>
    <x v="0"/>
    <s v="Tablet"/>
    <s v="1"/>
    <s v="51312.03"/>
    <n v="0.1"/>
    <s v="41791.629999999997"/>
    <s v="4389.2"/>
    <x v="0"/>
    <x v="3"/>
    <s v="Mobile App"/>
    <n v="46180.826999999997"/>
  </r>
  <r>
    <s v="ORD101176"/>
    <x v="8"/>
    <s v="25-08-2025"/>
    <s v="CUST12268"/>
    <s v="Home Office"/>
    <s v="Karnataka"/>
    <x v="2"/>
    <x v="2"/>
    <s v="T-Shirt"/>
    <s v="2"/>
    <s v="5949.09"/>
    <n v="0.05"/>
    <s v="8355.98"/>
    <s v="2947.29"/>
    <x v="5"/>
    <x v="1"/>
    <s v="Marketplace"/>
    <n v="11303.271000000001"/>
  </r>
  <r>
    <s v="ORD101177"/>
    <x v="10"/>
    <s v="15-11-2025"/>
    <s v="CUST12734"/>
    <s v="Consumer"/>
    <s v="Telangana"/>
    <x v="16"/>
    <x v="0"/>
    <s v="Smartwatch"/>
    <s v="1"/>
    <s v="28517.55"/>
    <n v="0.1"/>
    <s v="18864.03"/>
    <s v="6801.77"/>
    <x v="5"/>
    <x v="0"/>
    <s v="Mobile App"/>
    <n v="25665.794999999998"/>
  </r>
  <r>
    <s v="ORD101178"/>
    <x v="5"/>
    <s v="30-09-2025"/>
    <s v="CUST12374"/>
    <s v="Consumer"/>
    <s v="Tamil Nadu"/>
    <x v="11"/>
    <x v="2"/>
    <s v="Jeans"/>
    <s v="1"/>
    <s v="2494.36"/>
    <n v="0.2"/>
    <s v="1476.01"/>
    <s v="519.48"/>
    <x v="0"/>
    <x v="0"/>
    <s v="Marketplace"/>
    <n v="1995.4880000000001"/>
  </r>
  <r>
    <s v="ORD101179"/>
    <x v="5"/>
    <s v="16-09-2025"/>
    <s v="CUST10906"/>
    <s v="Consumer"/>
    <s v="Telangana"/>
    <x v="16"/>
    <x v="1"/>
    <s v="Shampoo"/>
    <s v="1"/>
    <s v="3617.19"/>
    <n v="0.1"/>
    <s v="2521.6799999999998"/>
    <s v="733.79"/>
    <x v="2"/>
    <x v="0"/>
    <s v="Website"/>
    <n v="3255.471"/>
  </r>
  <r>
    <s v="ORD101181"/>
    <x v="3"/>
    <s v="09-03-2025"/>
    <s v="CUST12454"/>
    <s v="Consumer"/>
    <s v="Maharashtra"/>
    <x v="20"/>
    <x v="0"/>
    <s v="Smartphone"/>
    <s v="1"/>
    <s v="20246.099999999999"/>
    <n v="0.1"/>
    <s v="14887.74"/>
    <s v="3333.75"/>
    <x v="0"/>
    <x v="1"/>
    <s v="Mobile App"/>
    <n v="18221.4899999999"/>
  </r>
  <r>
    <s v="ORD101182"/>
    <x v="7"/>
    <s v="09-05-2025"/>
    <s v="CUST11680"/>
    <s v="Home Office"/>
    <s v="Delhi"/>
    <x v="12"/>
    <x v="0"/>
    <s v="Headphones"/>
    <s v="2"/>
    <s v="11162.95"/>
    <n v="0.05"/>
    <s v="16999.96"/>
    <s v="4209.6400000000003"/>
    <x v="0"/>
    <x v="0"/>
    <s v="Website"/>
    <n v="21209.605"/>
  </r>
  <r>
    <s v="ORD101183"/>
    <x v="3"/>
    <s v="21-03-2025"/>
    <s v="CUST10862"/>
    <s v="Consumer"/>
    <s v="Telangana"/>
    <x v="14"/>
    <x v="0"/>
    <s v="Smartphone"/>
    <s v="1"/>
    <s v="17017.77"/>
    <n v="0.15"/>
    <s v="9814.5"/>
    <s v="4650.6000000000004"/>
    <x v="5"/>
    <x v="0"/>
    <s v="Mobile App"/>
    <n v="14465.104499999999"/>
  </r>
  <r>
    <s v="ORD101185"/>
    <x v="0"/>
    <s v="08-01-2025"/>
    <s v="CUST12817"/>
    <s v="Home Office"/>
    <s v="Delhi"/>
    <x v="7"/>
    <x v="4"/>
    <s v="Cricket Bat"/>
    <s v="3"/>
    <s v="6272.19"/>
    <n v="0.2"/>
    <s v="15406.32"/>
    <s v="-353.06"/>
    <x v="3"/>
    <x v="0"/>
    <s v="Marketplace"/>
    <n v="15053.255999999999"/>
  </r>
  <r>
    <s v="ORD101187"/>
    <x v="1"/>
    <s v="10-02-2025"/>
    <s v="CUST13437"/>
    <s v="Consumer"/>
    <s v="Delhi"/>
    <x v="7"/>
    <x v="0"/>
    <s v="Smartwatch"/>
    <s v="1"/>
    <s v="61623.53"/>
    <n v="0.05"/>
    <s v="45145.4"/>
    <s v="13396.95"/>
    <x v="5"/>
    <x v="0"/>
    <s v="Website"/>
    <n v="58542.353499999997"/>
  </r>
  <r>
    <s v="ORD101188"/>
    <x v="3"/>
    <s v="30-03-2025"/>
    <s v="CUST11119"/>
    <s v="Home Office"/>
    <s v="Kerala"/>
    <x v="5"/>
    <x v="3"/>
    <s v="Coffee Maker"/>
    <s v="4"/>
    <s v="6995.62"/>
    <n v="0.2"/>
    <s v="20707.16"/>
    <s v="1678.82"/>
    <x v="1"/>
    <x v="3"/>
    <s v="Website"/>
    <n v="22385.984"/>
  </r>
  <r>
    <s v="ORD101189"/>
    <x v="8"/>
    <s v="16-08-2025"/>
    <s v="CUST12990"/>
    <s v="Consumer"/>
    <s v="West Bengal"/>
    <x v="9"/>
    <x v="0"/>
    <s v="Tablet"/>
    <s v="2"/>
    <s v="71502.559999999998"/>
    <n v="0"/>
    <s v="110212.7"/>
    <s v="32792.42"/>
    <x v="1"/>
    <x v="0"/>
    <s v="Website"/>
    <n v="143005.12"/>
  </r>
  <r>
    <s v="ORD101190"/>
    <x v="6"/>
    <s v="10-07-2025"/>
    <s v="CUST13456"/>
    <s v="Consumer"/>
    <s v="Karnataka"/>
    <x v="22"/>
    <x v="1"/>
    <s v="Perfume"/>
    <s v="2"/>
    <s v="545.86"/>
    <n v="0.15"/>
    <s v="791.04"/>
    <s v="136.91999999999999"/>
    <x v="5"/>
    <x v="0"/>
    <s v="Marketplace"/>
    <n v="927.96199999999999"/>
  </r>
  <r>
    <s v="ORD101192"/>
    <x v="4"/>
    <s v="08-04-2025"/>
    <s v="CUST13397"/>
    <s v="Home Office"/>
    <s v="Maharashtra"/>
    <x v="21"/>
    <x v="3"/>
    <s v="Mixer Grinder"/>
    <s v="1"/>
    <s v="718.54"/>
    <n v="0.15"/>
    <s v="420.51"/>
    <s v="190.25"/>
    <x v="0"/>
    <x v="0"/>
    <s v="Mobile App"/>
    <n v="610.75899999999899"/>
  </r>
  <r>
    <s v="ORD101194"/>
    <x v="7"/>
    <s v="19-05-2025"/>
    <s v="CUST10160"/>
    <s v="Consumer"/>
    <s v="Tamil Nadu"/>
    <x v="13"/>
    <x v="2"/>
    <s v="T-Shirt"/>
    <s v="2"/>
    <s v="6685.81"/>
    <n v="0.2"/>
    <s v="10239.629999999999"/>
    <s v="457.67"/>
    <x v="3"/>
    <x v="0"/>
    <s v="Marketplace"/>
    <n v="10697.296"/>
  </r>
  <r>
    <s v="ORD101195"/>
    <x v="9"/>
    <s v="25-06-2025"/>
    <s v="CUST11783"/>
    <s v="Consumer"/>
    <s v="West Bengal"/>
    <x v="9"/>
    <x v="0"/>
    <s v="Laptop"/>
    <s v="1"/>
    <s v="50080.57"/>
    <n v="0.1"/>
    <s v="38824.160000000003"/>
    <s v="6248.35"/>
    <x v="0"/>
    <x v="0"/>
    <s v="Mobile App"/>
    <n v="45072.512999999999"/>
  </r>
  <r>
    <s v="ORD101196"/>
    <x v="1"/>
    <s v="01-02-2025"/>
    <s v="CUST11275"/>
    <s v="Consumer"/>
    <s v="Delhi"/>
    <x v="12"/>
    <x v="0"/>
    <s v="Smartwatch"/>
    <s v="1"/>
    <s v="68366.52"/>
    <n v="0.15"/>
    <s v="40571.96"/>
    <s v="17539.580000000002"/>
    <x v="2"/>
    <x v="2"/>
    <s v="Website"/>
    <n v="58111.542000000001"/>
  </r>
  <r>
    <s v="ORD101197"/>
    <x v="6"/>
    <s v="26-07-2025"/>
    <s v="CUST11643"/>
    <s v="Home Office"/>
    <s v="Maharashtra"/>
    <x v="4"/>
    <x v="0"/>
    <s v="Smartwatch"/>
    <s v="1"/>
    <s v="9819.74"/>
    <n v="0.1"/>
    <s v="6232.44"/>
    <s v="2605.33"/>
    <x v="5"/>
    <x v="0"/>
    <s v="Website"/>
    <n v="8837.7659999999996"/>
  </r>
  <r>
    <s v="ORD101198"/>
    <x v="2"/>
    <s v="27-12-2025"/>
    <s v="CUST12748"/>
    <s v="Home Office"/>
    <s v="Kerala"/>
    <x v="6"/>
    <x v="0"/>
    <s v="Tablet"/>
    <s v="1"/>
    <s v="8802.86"/>
    <n v="0"/>
    <s v="6824.29"/>
    <s v="1538.43"/>
    <x v="3"/>
    <x v="1"/>
    <s v="Website"/>
    <n v="8802.86"/>
  </r>
  <r>
    <s v="ORD101200"/>
    <x v="2"/>
    <s v="23-12-2025"/>
    <s v="CUST13071"/>
    <s v="Consumer"/>
    <s v="Telangana"/>
    <x v="16"/>
    <x v="2"/>
    <s v="Jeans"/>
    <s v="1"/>
    <s v="5016.33"/>
    <n v="0.15"/>
    <s v="2869.65"/>
    <s v="1394.23"/>
    <x v="1"/>
    <x v="0"/>
    <s v="Mobile App"/>
    <n v="4263.8805000000002"/>
  </r>
  <r>
    <s v="ORD101201"/>
    <x v="9"/>
    <s v="02-06-2025"/>
    <s v="CUST11151"/>
    <s v="Corporate"/>
    <s v="Delhi"/>
    <x v="12"/>
    <x v="2"/>
    <s v="Jeans"/>
    <s v="4"/>
    <s v="1196.07"/>
    <n v="0.15"/>
    <s v="2791.62"/>
    <s v="1275.02"/>
    <x v="3"/>
    <x v="0"/>
    <s v="Marketplace"/>
    <n v="4066.6379999999899"/>
  </r>
  <r>
    <s v="ORD101202"/>
    <x v="5"/>
    <s v="30-09-2025"/>
    <s v="CUST10267"/>
    <s v="Consumer"/>
    <s v="Telangana"/>
    <x v="16"/>
    <x v="1"/>
    <s v="Perfume"/>
    <s v="1"/>
    <s v="3616.66"/>
    <n v="0"/>
    <s v="2776.07"/>
    <s v="840.59"/>
    <x v="2"/>
    <x v="3"/>
    <s v="Mobile App"/>
    <n v="3616.66"/>
  </r>
  <r>
    <s v="ORD101204"/>
    <x v="6"/>
    <s v="13-07-2025"/>
    <s v="CUST12261"/>
    <s v="Consumer"/>
    <s v="Telangana"/>
    <x v="16"/>
    <x v="0"/>
    <s v="Laptop"/>
    <s v="2"/>
    <s v="4131.25"/>
    <n v="0"/>
    <s v="5886.04"/>
    <s v="2376.46"/>
    <x v="1"/>
    <x v="0"/>
    <s v="Website"/>
    <n v="8262.5"/>
  </r>
  <r>
    <s v="ORD101207"/>
    <x v="7"/>
    <s v="26-05-2025"/>
    <s v="CUST10733"/>
    <s v="Home Office"/>
    <s v="Tamil Nadu"/>
    <x v="13"/>
    <x v="1"/>
    <s v="Perfume"/>
    <s v="1"/>
    <s v="1025.51"/>
    <n v="0.1"/>
    <s v="836.22"/>
    <s v="86.74"/>
    <x v="3"/>
    <x v="0"/>
    <s v="Website"/>
    <n v="922.95899999999995"/>
  </r>
  <r>
    <s v="ORD101208"/>
    <x v="9"/>
    <s v="02-06-2025"/>
    <s v="CUST10102"/>
    <s v="Corporate"/>
    <s v="Telangana"/>
    <x v="14"/>
    <x v="1"/>
    <s v="Face Cream"/>
    <s v="1"/>
    <s v="3016.36"/>
    <n v="0.1"/>
    <s v="1714.95"/>
    <s v="999.77"/>
    <x v="2"/>
    <x v="0"/>
    <s v="Website"/>
    <n v="2714.7240000000002"/>
  </r>
  <r>
    <s v="ORD101209"/>
    <x v="8"/>
    <s v="15-08-2025"/>
    <s v="CUST12062"/>
    <s v="Consumer"/>
    <s v="Delhi"/>
    <x v="7"/>
    <x v="0"/>
    <s v="Smartwatch"/>
    <s v="1"/>
    <s v="23569.88"/>
    <n v="0.1"/>
    <s v="13979.33"/>
    <s v="7233.56"/>
    <x v="3"/>
    <x v="0"/>
    <s v="Website"/>
    <n v="21212.892"/>
  </r>
  <r>
    <s v="ORD101210"/>
    <x v="11"/>
    <s v="14-10-2025"/>
    <s v="CUST11192"/>
    <s v="Home Office"/>
    <s v="West Bengal"/>
    <x v="9"/>
    <x v="3"/>
    <s v="Cookware Set"/>
    <s v="1"/>
    <s v="9847.35"/>
    <n v="0.2"/>
    <s v="6446.85"/>
    <s v="1431.03"/>
    <x v="2"/>
    <x v="0"/>
    <s v="Website"/>
    <n v="7877.88"/>
  </r>
  <r>
    <s v="ORD101211"/>
    <x v="7"/>
    <s v="06-05-2025"/>
    <s v="CUST10763"/>
    <s v="Home Office"/>
    <s v="Tamil Nadu"/>
    <x v="13"/>
    <x v="0"/>
    <s v="Laptop"/>
    <s v="1"/>
    <s v="5725.65"/>
    <n v="0.15"/>
    <s v="3560.2"/>
    <s v="1306.5999999999999"/>
    <x v="3"/>
    <x v="0"/>
    <s v="Marketplace"/>
    <n v="4866.8024999999998"/>
  </r>
  <r>
    <s v="ORD101212"/>
    <x v="2"/>
    <s v="10-12-2025"/>
    <s v="CUST12146"/>
    <s v="Corporate"/>
    <s v="West Bengal"/>
    <x v="0"/>
    <x v="2"/>
    <s v="Jeans"/>
    <s v="1"/>
    <s v="4044.06"/>
    <n v="0"/>
    <s v="3184.5"/>
    <s v="859.56"/>
    <x v="1"/>
    <x v="1"/>
    <s v="Marketplace"/>
    <n v="4044.06"/>
  </r>
  <r>
    <s v="ORD101213"/>
    <x v="11"/>
    <s v="25-10-2025"/>
    <s v="CUST11058"/>
    <s v="Consumer"/>
    <s v="West Bengal"/>
    <x v="9"/>
    <x v="2"/>
    <s v="Jeans"/>
    <s v="1"/>
    <s v="2357.91"/>
    <n v="0"/>
    <s v="1473.93"/>
    <s v="883.98"/>
    <x v="2"/>
    <x v="2"/>
    <s v="Marketplace"/>
    <n v="2357.91"/>
  </r>
  <r>
    <s v="ORD101215"/>
    <x v="11"/>
    <s v="10-10-2025"/>
    <s v="CUST12129"/>
    <s v="Corporate"/>
    <s v="Maharashtra"/>
    <x v="20"/>
    <x v="0"/>
    <s v="Smartphone"/>
    <s v="1"/>
    <s v="6323.28"/>
    <n v="0.15"/>
    <s v="3991.03"/>
    <s v="1383.76"/>
    <x v="2"/>
    <x v="0"/>
    <s v="Website"/>
    <n v="5374.7879999999996"/>
  </r>
  <r>
    <s v="ORD101216"/>
    <x v="5"/>
    <s v="13-09-2025"/>
    <s v="CUST12554"/>
    <s v="Home Office"/>
    <s v="Tamil Nadu"/>
    <x v="13"/>
    <x v="3"/>
    <s v="Vacuum Cleaner"/>
    <s v="3"/>
    <s v="5790.38"/>
    <n v="0.05"/>
    <s v="13955.46"/>
    <s v="2547.12"/>
    <x v="1"/>
    <x v="0"/>
    <s v="Website"/>
    <n v="16502.582999999999"/>
  </r>
  <r>
    <s v="ORD101217"/>
    <x v="7"/>
    <s v="27-05-2025"/>
    <s v="CUST10598"/>
    <s v="Home Office"/>
    <s v="Delhi"/>
    <x v="7"/>
    <x v="2"/>
    <s v="T-Shirt"/>
    <s v="1"/>
    <s v="6022.21"/>
    <n v="0"/>
    <s v="4112.84"/>
    <s v="1909.37"/>
    <x v="5"/>
    <x v="0"/>
    <s v="Mobile App"/>
    <n v="6022.21"/>
  </r>
  <r>
    <s v="ORD101218"/>
    <x v="8"/>
    <s v="29-08-2025"/>
    <s v="CUST12570"/>
    <s v="Home Office"/>
    <s v="Karnataka"/>
    <x v="22"/>
    <x v="2"/>
    <s v="Sneakers"/>
    <s v="3"/>
    <s v="994.63"/>
    <n v="0.15"/>
    <s v="1663.81"/>
    <s v="872.5"/>
    <x v="2"/>
    <x v="0"/>
    <s v="Website"/>
    <n v="2536.3064999999901"/>
  </r>
  <r>
    <s v="ORD101221"/>
    <x v="8"/>
    <s v="06-08-2025"/>
    <s v="CUST12074"/>
    <s v="Home Office"/>
    <s v="Tamil Nadu"/>
    <x v="1"/>
    <x v="3"/>
    <s v="Cookware Set"/>
    <s v="1"/>
    <s v="1982.27"/>
    <n v="0.15"/>
    <s v="1265.8499999999999"/>
    <s v="419.08"/>
    <x v="5"/>
    <x v="0"/>
    <s v="Mobile App"/>
    <n v="1684.9295"/>
  </r>
  <r>
    <s v="ORD101222"/>
    <x v="8"/>
    <s v="13-08-2025"/>
    <s v="CUST10329"/>
    <s v="Consumer"/>
    <s v="West Bengal"/>
    <x v="0"/>
    <x v="3"/>
    <s v="Cookware Set"/>
    <s v="2"/>
    <s v="9542.7900000000009"/>
    <n v="0.1"/>
    <s v="11280.6"/>
    <m/>
    <x v="5"/>
    <x v="0"/>
    <s v="Website"/>
    <n v="17177.022000000001"/>
  </r>
  <r>
    <s v="ORD101223"/>
    <x v="2"/>
    <s v="16-12-2025"/>
    <s v="CUST11657"/>
    <s v="Home Office"/>
    <s v="Telangana"/>
    <x v="14"/>
    <x v="4"/>
    <s v="Cricket Bat"/>
    <s v="1"/>
    <s v="3814.46"/>
    <n v="0"/>
    <s v="2772.06"/>
    <s v="1042.4000000000001"/>
    <x v="0"/>
    <x v="0"/>
    <s v="Website"/>
    <n v="3814.46"/>
  </r>
  <r>
    <s v="ORD101224"/>
    <x v="7"/>
    <s v="22-05-2025"/>
    <s v="CUST10439"/>
    <s v="Corporate"/>
    <s v="Telangana"/>
    <x v="16"/>
    <x v="0"/>
    <s v="Headphones"/>
    <s v="3"/>
    <s v="13517.59"/>
    <n v="0.1"/>
    <s v="24607.09"/>
    <s v="11890.4"/>
    <x v="1"/>
    <x v="0"/>
    <s v="Website"/>
    <n v="36497.493000000002"/>
  </r>
  <r>
    <s v="ORD101225"/>
    <x v="10"/>
    <s v="17-11-2025"/>
    <s v="CUST10278"/>
    <s v="Consumer"/>
    <s v="Maharashtra"/>
    <x v="20"/>
    <x v="0"/>
    <s v="Smartwatch"/>
    <s v="1"/>
    <s v="61948.21"/>
    <n v="0.15"/>
    <s v="43250.55"/>
    <s v="9405.43"/>
    <x v="1"/>
    <x v="1"/>
    <s v="Website"/>
    <n v="52655.978499999997"/>
  </r>
  <r>
    <s v="ORD101226"/>
    <x v="0"/>
    <s v="29-01-2025"/>
    <s v="CUST13453"/>
    <s v="Corporate"/>
    <s v="Karnataka"/>
    <x v="17"/>
    <x v="2"/>
    <s v="Handbag"/>
    <s v="1"/>
    <s v="3653.98"/>
    <n v="0.15"/>
    <s v="2757.58"/>
    <s v="348.3"/>
    <x v="1"/>
    <x v="0"/>
    <s v="Marketplace"/>
    <n v="3105.8829999999998"/>
  </r>
  <r>
    <s v="ORD101228"/>
    <x v="11"/>
    <s v="13-10-2025"/>
    <s v="CUST12032"/>
    <s v="Corporate"/>
    <s v="Karnataka"/>
    <x v="17"/>
    <x v="3"/>
    <s v="Vacuum Cleaner"/>
    <s v="1"/>
    <s v="4596.46"/>
    <n v="0.1"/>
    <s v="3496.03"/>
    <s v="640.78"/>
    <x v="0"/>
    <x v="2"/>
    <s v="Mobile App"/>
    <n v="4136.8140000000003"/>
  </r>
  <r>
    <s v="ORD101229"/>
    <x v="7"/>
    <s v="13-05-2025"/>
    <s v="CUST12318"/>
    <s v="Corporate"/>
    <s v="Gujarat"/>
    <x v="18"/>
    <x v="4"/>
    <s v="Yoga Mat"/>
    <s v="1"/>
    <s v="4658.29"/>
    <n v="0.05"/>
    <s v="3806.17"/>
    <s v="619.21"/>
    <x v="5"/>
    <x v="0"/>
    <s v="Website"/>
    <n v="4425.3755000000001"/>
  </r>
  <r>
    <s v="ORD101230"/>
    <x v="4"/>
    <s v="02-04-2025"/>
    <s v="CUST10196"/>
    <s v="Corporate"/>
    <s v="Delhi"/>
    <x v="12"/>
    <x v="0"/>
    <s v="Laptop"/>
    <s v="2"/>
    <s v="53125.22"/>
    <n v="0.15"/>
    <s v="67129.98"/>
    <s v="23182.89"/>
    <x v="5"/>
    <x v="0"/>
    <s v="Mobile App"/>
    <n v="90312.873999999996"/>
  </r>
  <r>
    <s v="ORD101231"/>
    <x v="9"/>
    <s v="17-06-2025"/>
    <s v="CUST11572"/>
    <s v="Corporate"/>
    <s v="Gujarat"/>
    <x v="18"/>
    <x v="2"/>
    <s v="Handbag"/>
    <s v="1"/>
    <s v="1162.47"/>
    <n v="0.15"/>
    <s v="725.78"/>
    <s v="262.32"/>
    <x v="5"/>
    <x v="0"/>
    <s v="Mobile App"/>
    <n v="988.09950000000003"/>
  </r>
  <r>
    <s v="ORD101233"/>
    <x v="5"/>
    <s v="27-09-2025"/>
    <s v="CUST12729"/>
    <s v="Home Office"/>
    <s v="Maharashtra"/>
    <x v="21"/>
    <x v="3"/>
    <s v="Air Fryer"/>
    <s v="4"/>
    <s v="17733.16"/>
    <n v="0"/>
    <s v="41862.879999999997"/>
    <s v="29069.759999999998"/>
    <x v="5"/>
    <x v="0"/>
    <s v="Mobile App"/>
    <n v="70932.639999999999"/>
  </r>
  <r>
    <s v="ORD101234"/>
    <x v="3"/>
    <s v="06-03-2025"/>
    <s v="CUST10305"/>
    <s v="Consumer"/>
    <s v="West Bengal"/>
    <x v="9"/>
    <x v="1"/>
    <s v="Shampoo"/>
    <s v="4"/>
    <s v="4238.79"/>
    <n v="0.15"/>
    <s v="12626.08"/>
    <s v="1785.81"/>
    <x v="5"/>
    <x v="0"/>
    <s v="Mobile App"/>
    <n v="14411.8859999999"/>
  </r>
  <r>
    <s v="ORD101235"/>
    <x v="6"/>
    <s v="08-07-2025"/>
    <s v="CUST10067"/>
    <s v="Corporate"/>
    <s v="Delhi"/>
    <x v="7"/>
    <x v="3"/>
    <s v="Air Fryer"/>
    <s v="1"/>
    <s v="5746.33"/>
    <n v="0.1"/>
    <s v="3812.94"/>
    <s v="1358.76"/>
    <x v="5"/>
    <x v="2"/>
    <s v="Mobile App"/>
    <n v="5171.6970000000001"/>
  </r>
  <r>
    <s v="ORD101236"/>
    <x v="1"/>
    <s v="27-02-2025"/>
    <s v="CUST12769"/>
    <s v="Corporate"/>
    <s v="Telangana"/>
    <x v="14"/>
    <x v="3"/>
    <s v="Air Fryer"/>
    <s v="1"/>
    <s v="13927.35"/>
    <n v="0.05"/>
    <s v="10259.31"/>
    <s v="2971.67"/>
    <x v="2"/>
    <x v="0"/>
    <s v="Marketplace"/>
    <n v="13230.9825"/>
  </r>
  <r>
    <s v="ORD101237"/>
    <x v="0"/>
    <s v="31-01-2025"/>
    <s v="CUST13337"/>
    <s v="Consumer"/>
    <s v="Telangana"/>
    <x v="16"/>
    <x v="0"/>
    <s v="Laptop"/>
    <s v="1"/>
    <s v="2494.77"/>
    <n v="0.05"/>
    <s v="1693.62"/>
    <s v="676.41"/>
    <x v="2"/>
    <x v="3"/>
    <s v="Mobile App"/>
    <n v="2370.0315000000001"/>
  </r>
  <r>
    <s v="ORD101238"/>
    <x v="6"/>
    <s v="13-07-2025"/>
    <s v="CUST11614"/>
    <s v="Home Office"/>
    <s v="West Bengal"/>
    <x v="9"/>
    <x v="2"/>
    <s v="T-Shirt"/>
    <s v="1"/>
    <s v="1718.35"/>
    <n v="0.05"/>
    <s v="1149.2"/>
    <s v="483.23"/>
    <x v="0"/>
    <x v="3"/>
    <s v="Marketplace"/>
    <n v="1632.4324999999999"/>
  </r>
  <r>
    <s v="ORD101239"/>
    <x v="5"/>
    <s v="27-09-2025"/>
    <s v="CUST11220"/>
    <s v="Corporate"/>
    <s v="Kerala"/>
    <x v="15"/>
    <x v="3"/>
    <s v="Cookware Set"/>
    <s v="1"/>
    <s v="15889.95"/>
    <n v="0.05"/>
    <s v="9970.27"/>
    <s v="5125.18"/>
    <x v="1"/>
    <x v="0"/>
    <s v="Mobile App"/>
    <n v="15095.452499999999"/>
  </r>
  <r>
    <s v="ORD101240"/>
    <x v="7"/>
    <s v="16-05-2025"/>
    <s v="CUST10154"/>
    <s v="Consumer"/>
    <s v="Karnataka"/>
    <x v="17"/>
    <x v="0"/>
    <s v="Tablet"/>
    <s v="4"/>
    <s v="62309.9"/>
    <n v="0.15"/>
    <s v="160106.45000000001"/>
    <s v="51747.21"/>
    <x v="5"/>
    <x v="0"/>
    <s v="Mobile App"/>
    <n v="211853.66"/>
  </r>
  <r>
    <s v="ORD101242"/>
    <x v="2"/>
    <s v="23-12-2025"/>
    <s v="CUST12717"/>
    <s v="Corporate"/>
    <s v="West Bengal"/>
    <x v="9"/>
    <x v="1"/>
    <s v="Shampoo"/>
    <s v="1"/>
    <s v="3719.6"/>
    <n v="0.05"/>
    <s v="2320.36"/>
    <s v="1213.26"/>
    <x v="3"/>
    <x v="3"/>
    <s v="Mobile App"/>
    <n v="3533.62"/>
  </r>
  <r>
    <s v="ORD101243"/>
    <x v="11"/>
    <s v="09-10-2025"/>
    <s v="CUST13004"/>
    <s v="Home Office"/>
    <s v="Kerala"/>
    <x v="15"/>
    <x v="3"/>
    <s v="Coffee Maker"/>
    <s v="2"/>
    <s v="14669.92"/>
    <n v="0"/>
    <s v="22625.23"/>
    <s v="6714.61"/>
    <x v="3"/>
    <x v="0"/>
    <s v="Website"/>
    <n v="29339.84"/>
  </r>
  <r>
    <s v="ORD101244"/>
    <x v="10"/>
    <s v="16-11-2025"/>
    <s v="CUST12634"/>
    <s v="Consumer"/>
    <s v="Kerala"/>
    <x v="15"/>
    <x v="3"/>
    <s v="Vacuum Cleaner"/>
    <s v="1"/>
    <s v="8047.05"/>
    <n v="0.1"/>
    <s v="5409.81"/>
    <s v="1832.53"/>
    <x v="5"/>
    <x v="0"/>
    <s v="Mobile App"/>
    <n v="7242.3450000000003"/>
  </r>
  <r>
    <s v="ORD101245"/>
    <x v="7"/>
    <s v="15-05-2025"/>
    <s v="CUST12649"/>
    <s v="Home Office"/>
    <s v="Gujarat"/>
    <x v="10"/>
    <x v="2"/>
    <s v="T-Shirt"/>
    <s v="1"/>
    <s v="5748.62"/>
    <n v="0.1"/>
    <s v="4510.8"/>
    <s v="662.96"/>
    <x v="3"/>
    <x v="0"/>
    <s v="Marketplace"/>
    <n v="5173.7579999999998"/>
  </r>
  <r>
    <s v="ORD101247"/>
    <x v="6"/>
    <s v="30-07-2025"/>
    <s v="CUST11526"/>
    <s v="Home Office"/>
    <s v="West Bengal"/>
    <x v="9"/>
    <x v="0"/>
    <s v="Headphones"/>
    <s v="1"/>
    <s v="47431.42"/>
    <n v="0.05"/>
    <s v="32620.71"/>
    <s v="12439.14"/>
    <x v="3"/>
    <x v="0"/>
    <s v="Marketplace"/>
    <n v="45059.8489999999"/>
  </r>
  <r>
    <s v="ORD101248"/>
    <x v="11"/>
    <s v="17-10-2025"/>
    <s v="CUST10357"/>
    <s v="Consumer"/>
    <s v="Telangana"/>
    <x v="14"/>
    <x v="0"/>
    <s v="Tablet"/>
    <s v="1"/>
    <s v="68390.789999999994"/>
    <n v="0.15"/>
    <s v="40469.43"/>
    <s v="17662.740000000002"/>
    <x v="2"/>
    <x v="0"/>
    <s v="Marketplace"/>
    <n v="58132.171499999902"/>
  </r>
  <r>
    <s v="ORD101249"/>
    <x v="11"/>
    <s v="08-10-2025"/>
    <s v="CUST12235"/>
    <s v="Home Office"/>
    <s v="Kerala"/>
    <x v="6"/>
    <x v="3"/>
    <s v="Coffee Maker"/>
    <s v="1"/>
    <s v="1723.74"/>
    <n v="0.1"/>
    <s v="1034.18"/>
    <s v="517.19000000000005"/>
    <x v="5"/>
    <x v="2"/>
    <s v="Mobile App"/>
    <n v="1551.366"/>
  </r>
  <r>
    <s v="ORD101251"/>
    <x v="0"/>
    <s v="24-01-2025"/>
    <s v="CUST10548"/>
    <s v="Home Office"/>
    <s v="Kerala"/>
    <x v="15"/>
    <x v="3"/>
    <s v="Vacuum Cleaner"/>
    <s v="1"/>
    <s v="10557.11"/>
    <n v="0"/>
    <s v="7462.69"/>
    <s v="3094.42"/>
    <x v="0"/>
    <x v="0"/>
    <s v="Marketplace"/>
    <n v="10557.11"/>
  </r>
  <r>
    <s v="ORD101252"/>
    <x v="1"/>
    <s v="14-02-2025"/>
    <s v="CUST10240"/>
    <s v="Corporate"/>
    <s v="Tamil Nadu"/>
    <x v="13"/>
    <x v="2"/>
    <s v="Jeans"/>
    <s v="1"/>
    <s v="3026.32"/>
    <n v="0.1"/>
    <s v="2480.2199999999998"/>
    <s v="243.47"/>
    <x v="0"/>
    <x v="3"/>
    <s v="Mobile App"/>
    <n v="2723.6880000000001"/>
  </r>
  <r>
    <s v="ORD101253"/>
    <x v="11"/>
    <s v="10-10-2025"/>
    <s v="CUST10328"/>
    <s v="Consumer"/>
    <s v="Kerala"/>
    <x v="15"/>
    <x v="2"/>
    <s v="T-Shirt"/>
    <s v="3"/>
    <s v="6127.2"/>
    <n v="0.15"/>
    <s v="10303.370000000001"/>
    <s v="5320.99"/>
    <x v="3"/>
    <x v="2"/>
    <s v="Website"/>
    <n v="15624.359999999901"/>
  </r>
  <r>
    <s v="ORD101254"/>
    <x v="11"/>
    <s v="20-10-2025"/>
    <s v="CUST11563"/>
    <s v="Corporate"/>
    <s v="Maharashtra"/>
    <x v="20"/>
    <x v="3"/>
    <s v="Mixer Grinder"/>
    <s v="1"/>
    <s v="2985.92"/>
    <n v="0"/>
    <s v="2090.9899999999998"/>
    <s v="894.93"/>
    <x v="5"/>
    <x v="0"/>
    <s v="Website"/>
    <n v="2985.92"/>
  </r>
  <r>
    <s v="ORD101255"/>
    <x v="1"/>
    <s v="23-02-2025"/>
    <s v="CUST10718"/>
    <s v="Home Office"/>
    <s v="Telangana"/>
    <x v="16"/>
    <x v="2"/>
    <s v="Jacket"/>
    <s v="2"/>
    <s v="2429.94"/>
    <n v="0.2"/>
    <s v="3093.87"/>
    <s v="794.03"/>
    <x v="0"/>
    <x v="0"/>
    <s v="Mobile App"/>
    <n v="3887.904"/>
  </r>
  <r>
    <s v="ORD101256"/>
    <x v="8"/>
    <s v="27-08-2025"/>
    <s v="CUST12303"/>
    <s v="Home Office"/>
    <s v="Kerala"/>
    <x v="5"/>
    <x v="0"/>
    <s v="Smartphone"/>
    <s v="1"/>
    <s v="18931.439999999999"/>
    <n v="0.1"/>
    <s v="14308.84"/>
    <s v="2729.46"/>
    <x v="2"/>
    <x v="0"/>
    <s v="Mobile App"/>
    <n v="17038.295999999998"/>
  </r>
  <r>
    <s v="ORD101257"/>
    <x v="3"/>
    <s v="20-03-2025"/>
    <s v="CUST10836"/>
    <s v="Home Office"/>
    <s v="West Bengal"/>
    <x v="9"/>
    <x v="4"/>
    <s v="Yoga Mat"/>
    <s v="2"/>
    <s v="8794.43"/>
    <n v="0"/>
    <s v="10414.82"/>
    <s v="7174.04"/>
    <x v="2"/>
    <x v="2"/>
    <s v="Website"/>
    <n v="17588.86"/>
  </r>
  <r>
    <s v="ORD101259"/>
    <x v="6"/>
    <s v="25-07-2025"/>
    <s v="CUST13432"/>
    <s v="Consumer"/>
    <s v="Delhi"/>
    <x v="12"/>
    <x v="0"/>
    <s v="Laptop"/>
    <s v="3"/>
    <s v="61373.82"/>
    <n v="0"/>
    <s v="104172.7"/>
    <s v="79948.759999999995"/>
    <x v="0"/>
    <x v="0"/>
    <s v="Website"/>
    <n v="184121.46"/>
  </r>
  <r>
    <s v="ORD101261"/>
    <x v="0"/>
    <s v="05-01-2025"/>
    <s v="CUST11634"/>
    <s v="Home Office"/>
    <s v="Delhi"/>
    <x v="12"/>
    <x v="3"/>
    <s v="Air Fryer"/>
    <s v="1"/>
    <s v="3962.18"/>
    <n v="0"/>
    <s v="2190.2600000000002"/>
    <s v="1771.92"/>
    <x v="3"/>
    <x v="0"/>
    <s v="Website"/>
    <n v="3962.18"/>
  </r>
  <r>
    <s v="ORD101262"/>
    <x v="2"/>
    <s v="05-12-2025"/>
    <s v="CUST11886"/>
    <s v="Consumer"/>
    <s v="Maharashtra"/>
    <x v="21"/>
    <x v="1"/>
    <s v="Hair Dryer"/>
    <s v="1"/>
    <s v="2275.5300000000002"/>
    <n v="0.1"/>
    <s v="1828.01"/>
    <s v="219.97"/>
    <x v="1"/>
    <x v="0"/>
    <s v="Website"/>
    <n v="2047.9770000000001"/>
  </r>
  <r>
    <s v="ORD101264"/>
    <x v="2"/>
    <s v="07-12-2025"/>
    <s v="CUST11592"/>
    <s v="Home Office"/>
    <s v="Delhi"/>
    <x v="7"/>
    <x v="1"/>
    <s v="Perfume"/>
    <s v="2"/>
    <s v="458.45"/>
    <n v="0.1"/>
    <s v="699.58"/>
    <s v="125.63"/>
    <x v="3"/>
    <x v="0"/>
    <s v="Marketplace"/>
    <n v="825.21"/>
  </r>
  <r>
    <s v="ORD101267"/>
    <x v="10"/>
    <s v="19-11-2025"/>
    <s v="CUST10571"/>
    <s v="Home Office"/>
    <s v="Kerala"/>
    <x v="5"/>
    <x v="2"/>
    <s v="Handbag"/>
    <s v="1"/>
    <s v="2092"/>
    <n v="0"/>
    <s v="1511.2"/>
    <s v="580.79999999999995"/>
    <x v="0"/>
    <x v="0"/>
    <s v="Mobile App"/>
    <n v="2092"/>
  </r>
  <r>
    <s v="ORD101268"/>
    <x v="11"/>
    <s v="11-10-2025"/>
    <s v="CUST11796"/>
    <s v="Consumer"/>
    <s v="Delhi"/>
    <x v="12"/>
    <x v="0"/>
    <s v="Laptop"/>
    <s v="1"/>
    <s v="64261.35"/>
    <n v="0.1"/>
    <s v="42683.86"/>
    <s v="15151.36"/>
    <x v="3"/>
    <x v="0"/>
    <s v="Mobile App"/>
    <n v="57835.214999999997"/>
  </r>
  <r>
    <s v="ORD101269"/>
    <x v="7"/>
    <s v="19-05-2025"/>
    <s v="CUST10333"/>
    <s v="Consumer"/>
    <s v="West Bengal"/>
    <x v="0"/>
    <x v="2"/>
    <s v="Handbag"/>
    <s v="1"/>
    <s v="2508.23"/>
    <n v="0.1"/>
    <s v="1779.85"/>
    <s v="477.56"/>
    <x v="1"/>
    <x v="0"/>
    <s v="Mobile App"/>
    <n v="2257.4070000000002"/>
  </r>
  <r>
    <s v="ORD101271"/>
    <x v="10"/>
    <s v="17-11-2025"/>
    <s v="CUST12544"/>
    <s v="Corporate"/>
    <s v="Kerala"/>
    <x v="15"/>
    <x v="3"/>
    <s v="Mixer Grinder"/>
    <s v="1"/>
    <s v="10496.8"/>
    <n v="0.15"/>
    <s v="7192.19"/>
    <s v="1730.09"/>
    <x v="0"/>
    <x v="2"/>
    <s v="Website"/>
    <n v="8922.2799999999897"/>
  </r>
  <r>
    <s v="ORD101274"/>
    <x v="6"/>
    <s v="09-07-2025"/>
    <s v="CUST12548"/>
    <s v="Corporate"/>
    <s v="Gujarat"/>
    <x v="10"/>
    <x v="2"/>
    <s v="Jacket"/>
    <s v="1"/>
    <s v="5373.89"/>
    <n v="0"/>
    <s v="3042.14"/>
    <s v="2331.75"/>
    <x v="5"/>
    <x v="0"/>
    <s v="Mobile App"/>
    <n v="5373.89"/>
  </r>
  <r>
    <s v="ORD101275"/>
    <x v="7"/>
    <s v="08-05-2025"/>
    <s v="CUST11186"/>
    <s v="Corporate"/>
    <s v="Karnataka"/>
    <x v="22"/>
    <x v="2"/>
    <s v="Jeans"/>
    <s v="3"/>
    <s v="427.68"/>
    <n v="0.05"/>
    <s v="865.73"/>
    <s v="353.16"/>
    <x v="3"/>
    <x v="1"/>
    <s v="Website"/>
    <n v="1218.8879999999999"/>
  </r>
  <r>
    <s v="ORD101276"/>
    <x v="11"/>
    <s v="06-10-2025"/>
    <s v="CUST13239"/>
    <s v="Corporate"/>
    <s v="West Bengal"/>
    <x v="0"/>
    <x v="4"/>
    <s v="Running Shoes"/>
    <s v="1"/>
    <s v="4250.41"/>
    <n v="0.15"/>
    <s v="2550.42"/>
    <s v="1062.43"/>
    <x v="3"/>
    <x v="0"/>
    <s v="Website"/>
    <n v="3612.8484999999901"/>
  </r>
  <r>
    <s v="ORD101277"/>
    <x v="0"/>
    <s v="19-01-2025"/>
    <s v="CUST10740"/>
    <s v="Home Office"/>
    <s v="Kerala"/>
    <x v="6"/>
    <x v="0"/>
    <s v="Smartphone"/>
    <s v="1"/>
    <s v="28990.880000000001"/>
    <n v="0.1"/>
    <s v="17511.61"/>
    <s v="8580.18"/>
    <x v="5"/>
    <x v="0"/>
    <s v="Marketplace"/>
    <n v="26091.792000000001"/>
  </r>
  <r>
    <s v="ORD101281"/>
    <x v="5"/>
    <s v="12-09-2025"/>
    <s v="CUST13299"/>
    <s v="Home Office"/>
    <s v="Gujarat"/>
    <x v="18"/>
    <x v="1"/>
    <s v="Face Cream"/>
    <s v="1"/>
    <s v="1603.59"/>
    <n v="0.15"/>
    <s v="1305.3399999999999"/>
    <s v="57.71"/>
    <x v="2"/>
    <x v="2"/>
    <s v="Website"/>
    <n v="1363.05149999999"/>
  </r>
  <r>
    <s v="ORD101286"/>
    <x v="5"/>
    <s v="30-09-2025"/>
    <s v="CUST12398"/>
    <s v="Corporate"/>
    <s v="Gujarat"/>
    <x v="18"/>
    <x v="2"/>
    <s v="Sneakers"/>
    <s v="2"/>
    <s v="6858.53"/>
    <n v="0.15"/>
    <s v="9508.11"/>
    <s v="2151.39"/>
    <x v="5"/>
    <x v="0"/>
    <s v="Marketplace"/>
    <n v="11659.5009999999"/>
  </r>
  <r>
    <s v="ORD101288"/>
    <x v="1"/>
    <s v="20-02-2025"/>
    <s v="CUST11558"/>
    <s v="Home Office"/>
    <s v="Gujarat"/>
    <x v="10"/>
    <x v="3"/>
    <s v="Air Fryer"/>
    <s v="3"/>
    <s v="5083.3100000000004"/>
    <n v="0.2"/>
    <s v="9661.3700000000008"/>
    <s v="2538.5700000000002"/>
    <x v="2"/>
    <x v="0"/>
    <s v="Marketplace"/>
    <n v="12199.944"/>
  </r>
  <r>
    <s v="ORD101290"/>
    <x v="0"/>
    <s v="25-01-2025"/>
    <s v="CUST11013"/>
    <s v="Corporate"/>
    <s v="Telangana"/>
    <x v="14"/>
    <x v="2"/>
    <s v="Jeans"/>
    <s v="1"/>
    <s v="5154.3"/>
    <n v="0.15"/>
    <s v="3281.21"/>
    <s v="1099.95"/>
    <x v="3"/>
    <x v="0"/>
    <s v="Marketplace"/>
    <n v="4381.1549999999997"/>
  </r>
  <r>
    <s v="ORD101291"/>
    <x v="10"/>
    <s v="28-11-2025"/>
    <s v="CUST12760"/>
    <s v="Consumer"/>
    <s v="Telangana"/>
    <x v="16"/>
    <x v="2"/>
    <s v="T-Shirt"/>
    <s v="1"/>
    <s v="4607.3100000000004"/>
    <n v="0"/>
    <s v="3687"/>
    <s v="920.31"/>
    <x v="3"/>
    <x v="0"/>
    <s v="Marketplace"/>
    <n v="4607.3100000000004"/>
  </r>
  <r>
    <s v="ORD101292"/>
    <x v="3"/>
    <s v="22-03-2025"/>
    <s v="CUST11636"/>
    <s v="Home Office"/>
    <s v="Karnataka"/>
    <x v="17"/>
    <x v="3"/>
    <s v="Cookware Set"/>
    <s v="4"/>
    <s v="14410.34"/>
    <n v="0.05"/>
    <s v="45425.65"/>
    <s v="9333.64"/>
    <x v="0"/>
    <x v="0"/>
    <s v="Marketplace"/>
    <n v="54759.292000000001"/>
  </r>
  <r>
    <s v="ORD101293"/>
    <x v="6"/>
    <s v="13-07-2025"/>
    <s v="CUST13093"/>
    <s v="Corporate"/>
    <s v="Telangana"/>
    <x v="14"/>
    <x v="4"/>
    <s v="Fitness Band"/>
    <s v="1"/>
    <s v="11676.44"/>
    <n v="0.15"/>
    <s v="8977.36"/>
    <s v="947.61"/>
    <x v="2"/>
    <x v="0"/>
    <s v="Mobile App"/>
    <n v="9924.9740000000002"/>
  </r>
  <r>
    <s v="ORD101294"/>
    <x v="0"/>
    <s v="30-01-2025"/>
    <s v="CUST12790"/>
    <s v="Corporate"/>
    <s v="Maharashtra"/>
    <x v="20"/>
    <x v="2"/>
    <s v="T-Shirt"/>
    <s v="2"/>
    <s v="3542.96"/>
    <n v="0.1"/>
    <s v="4470.38"/>
    <s v="1906.95"/>
    <x v="3"/>
    <x v="0"/>
    <s v="Website"/>
    <n v="6377.3280000000004"/>
  </r>
  <r>
    <s v="ORD101296"/>
    <x v="7"/>
    <s v="27-05-2025"/>
    <s v="CUST13294"/>
    <s v="Corporate"/>
    <s v="Tamil Nadu"/>
    <x v="13"/>
    <x v="0"/>
    <s v="Tablet"/>
    <s v="2"/>
    <s v="24650.04"/>
    <n v="0"/>
    <s v="32909.82"/>
    <s v="16390.259999999998"/>
    <x v="3"/>
    <x v="0"/>
    <s v="Website"/>
    <n v="49300.08"/>
  </r>
  <r>
    <s v="ORD101297"/>
    <x v="8"/>
    <s v="04-08-2025"/>
    <s v="CUST11665"/>
    <s v="Consumer"/>
    <s v="Karnataka"/>
    <x v="22"/>
    <x v="2"/>
    <s v="Jacket"/>
    <s v="1"/>
    <s v="4504.09"/>
    <n v="0.15"/>
    <s v="2998.91"/>
    <s v="829.57"/>
    <x v="3"/>
    <x v="0"/>
    <s v="Website"/>
    <n v="3828.4765000000002"/>
  </r>
  <r>
    <s v="ORD101298"/>
    <x v="10"/>
    <s v="23-11-2025"/>
    <s v="CUST13198"/>
    <s v="Home Office"/>
    <s v="Telangana"/>
    <x v="16"/>
    <x v="3"/>
    <s v="Vacuum Cleaner"/>
    <s v="2"/>
    <s v="8031.63"/>
    <n v="0"/>
    <s v="10902.8"/>
    <s v="5160.46"/>
    <x v="5"/>
    <x v="0"/>
    <s v="Marketplace"/>
    <n v="16063.26"/>
  </r>
  <r>
    <s v="ORD101299"/>
    <x v="5"/>
    <s v="03-09-2025"/>
    <s v="CUST10228"/>
    <s v="Consumer"/>
    <s v="Kerala"/>
    <x v="5"/>
    <x v="0"/>
    <s v="Smartphone"/>
    <s v="2"/>
    <s v="53446.68"/>
    <n v="0.1"/>
    <s v="66416.3"/>
    <s v="29787.72"/>
    <x v="1"/>
    <x v="0"/>
    <s v="Marketplace"/>
    <n v="96204.024000000005"/>
  </r>
  <r>
    <s v="ORD101300"/>
    <x v="4"/>
    <s v="16-04-2025"/>
    <s v="CUST11273"/>
    <s v="Consumer"/>
    <s v="Kerala"/>
    <x v="15"/>
    <x v="2"/>
    <s v="Jeans"/>
    <s v="2"/>
    <s v="4385.5200000000004"/>
    <n v="0.05"/>
    <s v="5805.43"/>
    <s v="2527.06"/>
    <x v="1"/>
    <x v="0"/>
    <s v="Mobile App"/>
    <n v="8332.4879999999994"/>
  </r>
  <r>
    <s v="ORD101301"/>
    <x v="8"/>
    <s v="10-08-2025"/>
    <s v="CUST12111"/>
    <s v="Corporate"/>
    <s v="Telangana"/>
    <x v="16"/>
    <x v="0"/>
    <s v="Laptop"/>
    <s v="2"/>
    <s v="16273.12"/>
    <n v="0.05"/>
    <s v="25892.14"/>
    <s v="5026.79"/>
    <x v="3"/>
    <x v="0"/>
    <s v="Website"/>
    <n v="30918.928"/>
  </r>
  <r>
    <s v="ORD101302"/>
    <x v="4"/>
    <s v="07-04-2025"/>
    <s v="CUST12547"/>
    <s v="Corporate"/>
    <s v="Maharashtra"/>
    <x v="21"/>
    <x v="0"/>
    <s v="Smartphone"/>
    <s v="1"/>
    <s v="39684.120000000003"/>
    <n v="0"/>
    <s v="24493.31"/>
    <s v="15190.81"/>
    <x v="0"/>
    <x v="0"/>
    <s v="Mobile App"/>
    <n v="39684.120000000003"/>
  </r>
  <r>
    <s v="ORD101303"/>
    <x v="2"/>
    <s v="07-12-2025"/>
    <s v="CUST12172"/>
    <s v="Home Office"/>
    <s v="Delhi"/>
    <x v="7"/>
    <x v="3"/>
    <s v="Coffee Maker"/>
    <s v="1"/>
    <s v="5126.6000000000004"/>
    <n v="0.15"/>
    <s v="3564.33"/>
    <s v="793.28"/>
    <x v="5"/>
    <x v="0"/>
    <s v="Website"/>
    <n v="4357.6099999999997"/>
  </r>
  <r>
    <s v="ORD101304"/>
    <x v="6"/>
    <s v="15-07-2025"/>
    <s v="CUST10657"/>
    <s v="Home Office"/>
    <s v="Delhi"/>
    <x v="7"/>
    <x v="4"/>
    <s v="Yoga Mat"/>
    <s v="3"/>
    <s v="9468.49"/>
    <n v="0.1"/>
    <s v="20029.830000000002"/>
    <s v="5535.09"/>
    <x v="1"/>
    <x v="0"/>
    <s v="Website"/>
    <n v="25564.922999999999"/>
  </r>
  <r>
    <s v="ORD101305"/>
    <x v="6"/>
    <s v="14-07-2025"/>
    <s v="CUST12754"/>
    <s v="Corporate"/>
    <s v="Gujarat"/>
    <x v="10"/>
    <x v="3"/>
    <s v="Mixer Grinder"/>
    <s v="2"/>
    <s v="11477.42"/>
    <n v="0"/>
    <s v="14929.9"/>
    <s v="8024.94"/>
    <x v="5"/>
    <x v="3"/>
    <s v="Marketplace"/>
    <n v="22954.84"/>
  </r>
  <r>
    <s v="ORD101306"/>
    <x v="5"/>
    <s v="01-09-2025"/>
    <s v="CUST11588"/>
    <s v="Home Office"/>
    <s v="West Bengal"/>
    <x v="0"/>
    <x v="0"/>
    <s v="Tablet"/>
    <s v="2"/>
    <s v="26999.06"/>
    <n v="0.1"/>
    <s v="32344.74"/>
    <s v="16253.57"/>
    <x v="2"/>
    <x v="0"/>
    <s v="Website"/>
    <n v="48598.307999999997"/>
  </r>
  <r>
    <s v="ORD101307"/>
    <x v="5"/>
    <s v="11-09-2025"/>
    <s v="CUST12927"/>
    <s v="Home Office"/>
    <s v="Telangana"/>
    <x v="14"/>
    <x v="3"/>
    <s v="Cookware Set"/>
    <s v="2"/>
    <s v="2134.4"/>
    <n v="0.15"/>
    <s v="2856.81"/>
    <s v="771.67"/>
    <x v="0"/>
    <x v="0"/>
    <s v="Marketplace"/>
    <n v="3628.48"/>
  </r>
  <r>
    <s v="ORD101308"/>
    <x v="6"/>
    <s v="25-07-2025"/>
    <s v="CUST11687"/>
    <s v="Corporate"/>
    <s v="Maharashtra"/>
    <x v="4"/>
    <x v="0"/>
    <s v="Tablet"/>
    <s v="3"/>
    <s v="54795.62"/>
    <n v="0.2"/>
    <s v="122213.32"/>
    <s v="9296.17"/>
    <x v="0"/>
    <x v="0"/>
    <s v="Mobile App"/>
    <n v="131509.48800000001"/>
  </r>
  <r>
    <s v="ORD101309"/>
    <x v="7"/>
    <s v="08-05-2025"/>
    <s v="CUST10506"/>
    <s v="Home Office"/>
    <s v="Gujarat"/>
    <x v="18"/>
    <x v="0"/>
    <s v="Laptop"/>
    <s v="1"/>
    <s v="42498.080000000002"/>
    <n v="0"/>
    <s v="34465.160000000003"/>
    <s v="8032.92"/>
    <x v="5"/>
    <x v="0"/>
    <s v="Marketplace"/>
    <n v="42498.080000000002"/>
  </r>
  <r>
    <s v="ORD101310"/>
    <x v="3"/>
    <s v="10-03-2025"/>
    <s v="CUST11938"/>
    <s v="Corporate"/>
    <s v="West Bengal"/>
    <x v="0"/>
    <x v="3"/>
    <s v="Vacuum Cleaner"/>
    <s v="3"/>
    <s v="16617.830000000002"/>
    <n v="0"/>
    <s v="31771.17"/>
    <s v="18082.32"/>
    <x v="0"/>
    <x v="0"/>
    <s v="Website"/>
    <n v="49853.49"/>
  </r>
  <r>
    <s v="ORD101311"/>
    <x v="3"/>
    <s v="09-03-2025"/>
    <s v="CUST13287"/>
    <s v="Corporate"/>
    <s v="Gujarat"/>
    <x v="10"/>
    <x v="2"/>
    <s v="Handbag"/>
    <s v="1"/>
    <s v="3573"/>
    <n v="0.1"/>
    <s v="2075.81"/>
    <s v="1139.8900000000001"/>
    <x v="1"/>
    <x v="0"/>
    <s v="Marketplace"/>
    <n v="3215.7"/>
  </r>
  <r>
    <s v="ORD101312"/>
    <x v="5"/>
    <s v="26-09-2025"/>
    <s v="CUST12707"/>
    <s v="Home Office"/>
    <s v="Tamil Nadu"/>
    <x v="19"/>
    <x v="2"/>
    <s v="T-Shirt"/>
    <s v="2"/>
    <s v="4284.55"/>
    <n v="0.15"/>
    <s v="4938.55"/>
    <s v="2345.19"/>
    <x v="5"/>
    <x v="0"/>
    <s v="Website"/>
    <n v="7283.7349999999997"/>
  </r>
  <r>
    <s v="ORD101313"/>
    <x v="1"/>
    <s v="01-02-2025"/>
    <s v="CUST11115"/>
    <s v="Home Office"/>
    <s v="Telangana"/>
    <x v="14"/>
    <x v="3"/>
    <s v="Vacuum Cleaner"/>
    <s v="1"/>
    <s v="12724.11"/>
    <n v="0.05"/>
    <s v="6998.96"/>
    <s v="5088.9399999999996"/>
    <x v="0"/>
    <x v="0"/>
    <s v="Website"/>
    <n v="12087.904500000001"/>
  </r>
  <r>
    <s v="ORD101319"/>
    <x v="5"/>
    <s v="10-09-2025"/>
    <s v="CUST12597"/>
    <s v="Home Office"/>
    <s v="Karnataka"/>
    <x v="22"/>
    <x v="0"/>
    <s v="Headphones"/>
    <s v="1"/>
    <s v="25283.06"/>
    <n v="0.05"/>
    <s v="18393.96"/>
    <s v="5624.95"/>
    <x v="5"/>
    <x v="0"/>
    <s v="Website"/>
    <n v="24018.906999999999"/>
  </r>
  <r>
    <s v="ORD101321"/>
    <x v="9"/>
    <s v="12-06-2025"/>
    <s v="CUST10663"/>
    <s v="Home Office"/>
    <s v="West Bengal"/>
    <x v="0"/>
    <x v="3"/>
    <s v="Mixer Grinder"/>
    <s v="1"/>
    <s v="5141.79"/>
    <n v="0"/>
    <s v="4207.99"/>
    <s v="933.8"/>
    <x v="2"/>
    <x v="0"/>
    <s v="Marketplace"/>
    <n v="5141.79"/>
  </r>
  <r>
    <s v="ORD101323"/>
    <x v="3"/>
    <s v="02-03-2025"/>
    <s v="CUST11678"/>
    <s v="Corporate"/>
    <s v="Karnataka"/>
    <x v="17"/>
    <x v="4"/>
    <s v="Cricket Bat"/>
    <s v="2"/>
    <s v="3516.71"/>
    <n v="0.1"/>
    <s v="4785.87"/>
    <s v="1544.21"/>
    <x v="0"/>
    <x v="0"/>
    <s v="Marketplace"/>
    <n v="6330.0780000000004"/>
  </r>
  <r>
    <s v="ORD101326"/>
    <x v="3"/>
    <s v="20-03-2025"/>
    <s v="CUST12249"/>
    <s v="Consumer"/>
    <s v="Tamil Nadu"/>
    <x v="11"/>
    <x v="3"/>
    <s v="Cookware Set"/>
    <s v="2"/>
    <s v="2456.56"/>
    <n v="0.2"/>
    <s v="3535.49"/>
    <s v="395.01"/>
    <x v="5"/>
    <x v="3"/>
    <s v="Mobile App"/>
    <n v="3930.4960000000001"/>
  </r>
  <r>
    <s v="ORD101327"/>
    <x v="5"/>
    <s v="23-09-2025"/>
    <s v="CUST10144"/>
    <s v="Consumer"/>
    <s v="West Bengal"/>
    <x v="9"/>
    <x v="3"/>
    <s v="Cookware Set"/>
    <s v="1"/>
    <s v="2791.57"/>
    <n v="0.05"/>
    <s v="1688.44"/>
    <s v="963.55"/>
    <x v="0"/>
    <x v="0"/>
    <s v="Marketplace"/>
    <n v="2651.9915000000001"/>
  </r>
  <r>
    <s v="ORD101328"/>
    <x v="6"/>
    <s v="01-07-2025"/>
    <s v="CUST12908"/>
    <s v="Corporate"/>
    <s v="Tamil Nadu"/>
    <x v="11"/>
    <x v="0"/>
    <s v="Smartphone"/>
    <s v="1"/>
    <s v="41814.58"/>
    <n v="0.1"/>
    <s v="29639.19"/>
    <s v="7993.93"/>
    <x v="5"/>
    <x v="0"/>
    <s v="Website"/>
    <n v="37633.122000000003"/>
  </r>
  <r>
    <s v="ORD101329"/>
    <x v="10"/>
    <s v="11-11-2025"/>
    <s v="CUST11936"/>
    <s v="Consumer"/>
    <s v="Kerala"/>
    <x v="15"/>
    <x v="3"/>
    <s v="Mixer Grinder"/>
    <s v="1"/>
    <s v="14515.83"/>
    <n v="0.15"/>
    <s v="9145.7800000000007"/>
    <s v="3192.68"/>
    <x v="5"/>
    <x v="0"/>
    <s v="Website"/>
    <n v="12338.4555"/>
  </r>
  <r>
    <s v="ORD101330"/>
    <x v="1"/>
    <s v="16-02-2025"/>
    <s v="CUST11284"/>
    <s v="Home Office"/>
    <s v="Maharashtra"/>
    <x v="21"/>
    <x v="0"/>
    <s v="Laptop"/>
    <s v="1"/>
    <s v="59635.53"/>
    <n v="0"/>
    <s v="36929.89"/>
    <s v="22705.64"/>
    <x v="0"/>
    <x v="1"/>
    <s v="Mobile App"/>
    <n v="59635.53"/>
  </r>
  <r>
    <s v="ORD101331"/>
    <x v="11"/>
    <s v="04-10-2025"/>
    <s v="CUST11525"/>
    <s v="Consumer"/>
    <s v="Kerala"/>
    <x v="6"/>
    <x v="0"/>
    <s v="Headphones"/>
    <s v="4"/>
    <s v="2712.19"/>
    <n v="0"/>
    <s v="7801.92"/>
    <s v="3046.84"/>
    <x v="3"/>
    <x v="0"/>
    <s v="Website"/>
    <n v="10848.76"/>
  </r>
  <r>
    <s v="ORD101332"/>
    <x v="5"/>
    <s v="22-09-2025"/>
    <s v="CUST10735"/>
    <s v="Corporate"/>
    <s v="Delhi"/>
    <x v="12"/>
    <x v="0"/>
    <s v="Headphones"/>
    <s v="1"/>
    <s v="6729.32"/>
    <n v="0"/>
    <s v="5299.23"/>
    <s v="1430.09"/>
    <x v="1"/>
    <x v="0"/>
    <s v="Marketplace"/>
    <n v="6729.32"/>
  </r>
  <r>
    <s v="ORD101333"/>
    <x v="11"/>
    <s v="12-10-2025"/>
    <s v="CUST13457"/>
    <s v="Consumer"/>
    <s v="Kerala"/>
    <x v="15"/>
    <x v="0"/>
    <s v="Tablet"/>
    <s v="1"/>
    <s v="63786.46"/>
    <n v="0.05"/>
    <s v="35293.54"/>
    <s v="25303.599999999999"/>
    <x v="0"/>
    <x v="0"/>
    <s v="Website"/>
    <n v="60597.136999999901"/>
  </r>
  <r>
    <s v="ORD101334"/>
    <x v="1"/>
    <s v="08-02-2025"/>
    <s v="CUST11793"/>
    <s v="Corporate"/>
    <s v="Gujarat"/>
    <x v="3"/>
    <x v="3"/>
    <s v="Vacuum Cleaner"/>
    <s v="1"/>
    <s v="15198.35"/>
    <n v="0.1"/>
    <s v="12237.15"/>
    <s v="1441.37"/>
    <x v="0"/>
    <x v="0"/>
    <s v="Marketplace"/>
    <n v="13678.514999999999"/>
  </r>
  <r>
    <s v="ORD101335"/>
    <x v="10"/>
    <s v="26-11-2025"/>
    <s v="CUST12912"/>
    <s v="Consumer"/>
    <s v="Maharashtra"/>
    <x v="21"/>
    <x v="1"/>
    <s v="Perfume"/>
    <s v="1"/>
    <s v="487.99"/>
    <n v="0.15"/>
    <s v="320.56"/>
    <s v="94.23"/>
    <x v="2"/>
    <x v="0"/>
    <s v="Website"/>
    <n v="414.79149999999998"/>
  </r>
  <r>
    <s v="ORD101339"/>
    <x v="1"/>
    <s v="27-02-2025"/>
    <s v="CUST11026"/>
    <s v="Home Office"/>
    <s v="Maharashtra"/>
    <x v="4"/>
    <x v="3"/>
    <s v="Cookware Set"/>
    <s v="1"/>
    <s v="8540.5499999999993"/>
    <n v="0.15"/>
    <s v="5443.19"/>
    <s v="1816.28"/>
    <x v="1"/>
    <x v="0"/>
    <s v="Website"/>
    <n v="7259.4674999999897"/>
  </r>
  <r>
    <s v="ORD101340"/>
    <x v="8"/>
    <s v="02-08-2025"/>
    <s v="CUST13223"/>
    <s v="Corporate"/>
    <s v="Telangana"/>
    <x v="14"/>
    <x v="0"/>
    <s v="Tablet"/>
    <s v="1"/>
    <s v="16569.36"/>
    <n v="0.05"/>
    <s v="11432.55"/>
    <s v="4308.34"/>
    <x v="0"/>
    <x v="0"/>
    <s v="Marketplace"/>
    <n v="15740.892"/>
  </r>
  <r>
    <s v="ORD101341"/>
    <x v="7"/>
    <s v="08-05-2025"/>
    <s v="CUST11956"/>
    <s v="Consumer"/>
    <s v="Karnataka"/>
    <x v="2"/>
    <x v="1"/>
    <s v="Perfume"/>
    <s v="1"/>
    <s v="4399.72"/>
    <n v="0.15"/>
    <s v="2618.41"/>
    <s v="1121.3499999999999"/>
    <x v="1"/>
    <x v="2"/>
    <s v="Mobile App"/>
    <n v="3739.7620000000002"/>
  </r>
  <r>
    <s v="ORD101343"/>
    <x v="1"/>
    <s v="12-02-2025"/>
    <s v="CUST11015"/>
    <s v="Corporate"/>
    <s v="Telangana"/>
    <x v="14"/>
    <x v="3"/>
    <s v="Coffee Maker"/>
    <s v="2"/>
    <s v="14898.5"/>
    <n v="0.15"/>
    <s v="21624.92"/>
    <s v="3702.53"/>
    <x v="3"/>
    <x v="0"/>
    <s v="Website"/>
    <n v="25327.45"/>
  </r>
  <r>
    <s v="ORD101344"/>
    <x v="10"/>
    <s v="10-11-2025"/>
    <s v="CUST11173"/>
    <s v="Home Office"/>
    <s v="West Bengal"/>
    <x v="9"/>
    <x v="2"/>
    <s v="Jacket"/>
    <s v="1"/>
    <s v="4059.82"/>
    <n v="0.1"/>
    <s v="3188.48"/>
    <s v="465.36"/>
    <x v="1"/>
    <x v="0"/>
    <s v="Marketplace"/>
    <n v="3653.8380000000002"/>
  </r>
  <r>
    <s v="ORD101345"/>
    <x v="0"/>
    <s v="26-01-2025"/>
    <s v="CUST13278"/>
    <s v="Consumer"/>
    <s v="Gujarat"/>
    <x v="10"/>
    <x v="0"/>
    <s v="Headphones"/>
    <s v="2"/>
    <s v="6659.39"/>
    <n v="0.15"/>
    <s v="10873.1"/>
    <s v="447.86"/>
    <x v="2"/>
    <x v="0"/>
    <s v="Website"/>
    <n v="11320.963"/>
  </r>
  <r>
    <s v="ORD101346"/>
    <x v="11"/>
    <s v="17-10-2025"/>
    <s v="CUST10754"/>
    <s v="Corporate"/>
    <s v="Maharashtra"/>
    <x v="20"/>
    <x v="4"/>
    <s v="Yoga Mat"/>
    <s v="2"/>
    <s v="4721.4799999999996"/>
    <n v="0.15"/>
    <s v="6170.45"/>
    <s v="1856.07"/>
    <x v="0"/>
    <x v="0"/>
    <s v="Website"/>
    <n v="8026.5159999999896"/>
  </r>
  <r>
    <s v="ORD101348"/>
    <x v="6"/>
    <s v="08-07-2025"/>
    <s v="CUST10951"/>
    <s v="Consumer"/>
    <s v="Maharashtra"/>
    <x v="20"/>
    <x v="0"/>
    <s v="Headphones"/>
    <s v="1"/>
    <s v="71019.66"/>
    <n v="0.1"/>
    <s v="45160.63"/>
    <s v="18757.060000000001"/>
    <x v="1"/>
    <x v="0"/>
    <s v="Marketplace"/>
    <n v="63917.694000000003"/>
  </r>
  <r>
    <s v="ORD101349"/>
    <x v="3"/>
    <s v="17-03-2025"/>
    <s v="CUST10105"/>
    <s v="Corporate"/>
    <s v="Telangana"/>
    <x v="16"/>
    <x v="0"/>
    <s v="Smartwatch"/>
    <s v="1"/>
    <s v="44364.49"/>
    <n v="0.05"/>
    <s v="29733.8"/>
    <s v="12412.47"/>
    <x v="0"/>
    <x v="0"/>
    <s v="Mobile App"/>
    <n v="42146.265499999899"/>
  </r>
  <r>
    <s v="ORD101350"/>
    <x v="1"/>
    <s v="06-02-2025"/>
    <s v="CUST10969"/>
    <s v="Consumer"/>
    <s v="Gujarat"/>
    <x v="18"/>
    <x v="2"/>
    <s v="Cricket Bat"/>
    <s v="1"/>
    <s v="7751.13"/>
    <n v="0.15"/>
    <s v="4452.6899999999996"/>
    <s v="2135.77"/>
    <x v="0"/>
    <x v="0"/>
    <s v="Website"/>
    <n v="6588.4605000000001"/>
  </r>
  <r>
    <s v="ORD101351"/>
    <x v="3"/>
    <s v="22-03-2025"/>
    <s v="CUST10622"/>
    <s v="Consumer"/>
    <s v="Telangana"/>
    <x v="16"/>
    <x v="0"/>
    <s v="Smartwatch"/>
    <s v="1"/>
    <s v="17417.759999999998"/>
    <n v="0.05"/>
    <s v="13931.77"/>
    <s v="2615.1"/>
    <x v="5"/>
    <x v="0"/>
    <s v="Website"/>
    <n v="16546.871999999999"/>
  </r>
  <r>
    <s v="ORD101352"/>
    <x v="7"/>
    <s v="09-05-2025"/>
    <s v="CUST12179"/>
    <s v="Corporate"/>
    <s v="West Bengal"/>
    <x v="0"/>
    <x v="2"/>
    <s v="Handbag"/>
    <s v="2"/>
    <s v="2708.61"/>
    <n v="0"/>
    <s v="3054.59"/>
    <s v="2362.63"/>
    <x v="1"/>
    <x v="0"/>
    <s v="Website"/>
    <n v="5417.22"/>
  </r>
  <r>
    <s v="ORD101353"/>
    <x v="11"/>
    <s v="27-10-2025"/>
    <s v="CUST12283"/>
    <s v="Corporate"/>
    <s v="Kerala"/>
    <x v="5"/>
    <x v="2"/>
    <s v="Handbag"/>
    <s v="3"/>
    <s v="6600.17"/>
    <n v="0.05"/>
    <s v="14928.46"/>
    <s v="3882.02"/>
    <x v="0"/>
    <x v="2"/>
    <s v="Website"/>
    <n v="18810.484499999999"/>
  </r>
  <r>
    <s v="ORD101354"/>
    <x v="5"/>
    <s v="14-09-2025"/>
    <s v="CUST11535"/>
    <s v="Home Office"/>
    <s v="Gujarat"/>
    <x v="18"/>
    <x v="0"/>
    <s v="Tablet"/>
    <s v="1"/>
    <s v="66125.11"/>
    <n v="0.1"/>
    <s v="36750.43"/>
    <s v="22762.17"/>
    <x v="5"/>
    <x v="0"/>
    <s v="Mobile App"/>
    <n v="59512.599000000002"/>
  </r>
  <r>
    <s v="ORD101357"/>
    <x v="6"/>
    <s v="01-07-2025"/>
    <s v="CUST10157"/>
    <s v="Home Office"/>
    <s v="Maharashtra"/>
    <x v="20"/>
    <x v="1"/>
    <s v="Face Cream"/>
    <s v="2"/>
    <s v="2607.7600000000002"/>
    <n v="0.2"/>
    <s v="3591.33"/>
    <s v="581.09"/>
    <x v="2"/>
    <x v="0"/>
    <s v="Marketplace"/>
    <n v="4172.4160000000002"/>
  </r>
  <r>
    <s v="ORD101359"/>
    <x v="5"/>
    <s v="15-09-2025"/>
    <s v="CUST12489"/>
    <s v="Corporate"/>
    <s v="Telangana"/>
    <x v="14"/>
    <x v="1"/>
    <s v="Lipstick"/>
    <s v="1"/>
    <s v="4878.7299999999996"/>
    <n v="0"/>
    <s v="3059.82"/>
    <s v="1818.91"/>
    <x v="2"/>
    <x v="0"/>
    <s v="Website"/>
    <n v="4878.7299999999996"/>
  </r>
  <r>
    <s v="ORD101363"/>
    <x v="0"/>
    <s v="22-01-2025"/>
    <s v="CUST11603"/>
    <s v="Home Office"/>
    <s v="Kerala"/>
    <x v="5"/>
    <x v="3"/>
    <s v="Cookware Set"/>
    <s v="2"/>
    <s v="853.37"/>
    <n v="0.1"/>
    <s v="1362.76"/>
    <s v="173.31"/>
    <x v="5"/>
    <x v="0"/>
    <s v="Mobile App"/>
    <n v="1536.066"/>
  </r>
  <r>
    <s v="ORD101364"/>
    <x v="1"/>
    <s v="16-02-2025"/>
    <s v="CUST10936"/>
    <s v="Consumer"/>
    <s v="Tamil Nadu"/>
    <x v="8"/>
    <x v="0"/>
    <s v="Laptop"/>
    <s v="1"/>
    <s v="20076.080000000002"/>
    <n v="0.15"/>
    <s v="13995.67"/>
    <s v="3069"/>
    <x v="5"/>
    <x v="2"/>
    <s v="Mobile App"/>
    <n v="17064.668000000001"/>
  </r>
  <r>
    <s v="ORD101366"/>
    <x v="1"/>
    <s v="04-02-2025"/>
    <s v="CUST10364"/>
    <s v="Corporate"/>
    <s v="Delhi"/>
    <x v="12"/>
    <x v="0"/>
    <s v="Smartwatch"/>
    <s v="1"/>
    <s v="61340.65"/>
    <n v="0.1"/>
    <s v="41081.19"/>
    <s v="14125.39"/>
    <x v="5"/>
    <x v="0"/>
    <s v="Mobile App"/>
    <n v="55206.584999999999"/>
  </r>
  <r>
    <s v="ORD101367"/>
    <x v="4"/>
    <s v="22-04-2025"/>
    <s v="CUST12300"/>
    <s v="Home Office"/>
    <s v="Gujarat"/>
    <x v="3"/>
    <x v="0"/>
    <s v="Tablet"/>
    <s v="2"/>
    <s v="30381.42"/>
    <n v="0.05"/>
    <s v="37209.56"/>
    <s v="20515.14"/>
    <x v="5"/>
    <x v="0"/>
    <s v="Website"/>
    <n v="57724.697999999997"/>
  </r>
  <r>
    <s v="ORD101368"/>
    <x v="11"/>
    <s v="12-10-2025"/>
    <s v="CUST11141"/>
    <s v="Corporate"/>
    <s v="Tamil Nadu"/>
    <x v="8"/>
    <x v="3"/>
    <s v="Air Fryer"/>
    <s v="2"/>
    <s v="9313.25"/>
    <n v="0.1"/>
    <s v="10499.64"/>
    <s v="6264.21"/>
    <x v="3"/>
    <x v="0"/>
    <s v="Marketplace"/>
    <n v="16763.849999999999"/>
  </r>
  <r>
    <s v="ORD101371"/>
    <x v="7"/>
    <s v="27-05-2025"/>
    <s v="CUST13042"/>
    <s v="Home Office"/>
    <s v="Delhi"/>
    <x v="7"/>
    <x v="1"/>
    <s v="Lipstick"/>
    <s v="1"/>
    <s v="4958.17"/>
    <n v="0.05"/>
    <s v="2811.45"/>
    <s v="1898.81"/>
    <x v="1"/>
    <x v="0"/>
    <s v="Marketplace"/>
    <n v="4710.2614999999996"/>
  </r>
  <r>
    <s v="ORD101375"/>
    <x v="6"/>
    <s v="27-07-2025"/>
    <s v="CUST10988"/>
    <s v="Consumer"/>
    <s v="Tamil Nadu"/>
    <x v="11"/>
    <x v="0"/>
    <s v="Smartphone"/>
    <s v="1"/>
    <s v="5599.91"/>
    <n v="0.1"/>
    <s v="4355.75"/>
    <s v="684.17"/>
    <x v="1"/>
    <x v="0"/>
    <s v="Mobile App"/>
    <n v="5039.9189999999999"/>
  </r>
  <r>
    <s v="ORD101377"/>
    <x v="0"/>
    <s v="07-01-2025"/>
    <s v="CUST10143"/>
    <s v="Home Office"/>
    <s v="Kerala"/>
    <x v="5"/>
    <x v="4"/>
    <s v="Yoga Mat"/>
    <s v="2"/>
    <s v="2694.34"/>
    <n v="0.05"/>
    <s v="3033.12"/>
    <s v="2086.13"/>
    <x v="0"/>
    <x v="0"/>
    <s v="Mobile App"/>
    <n v="5119.2460000000001"/>
  </r>
  <r>
    <s v="ORD101379"/>
    <x v="10"/>
    <s v="21-11-2025"/>
    <s v="CUST11258"/>
    <s v="Consumer"/>
    <s v="Kerala"/>
    <x v="6"/>
    <x v="0"/>
    <s v="Laptop"/>
    <s v="2"/>
    <s v="35581.4"/>
    <n v="0.2"/>
    <s v="43867.51"/>
    <s v="13062.73"/>
    <x v="0"/>
    <x v="0"/>
    <s v="Mobile App"/>
    <n v="56930.239999999998"/>
  </r>
  <r>
    <s v="ORD101382"/>
    <x v="8"/>
    <s v="17-08-2025"/>
    <s v="CUST11591"/>
    <s v="Consumer"/>
    <s v="Tamil Nadu"/>
    <x v="1"/>
    <x v="3"/>
    <s v="Cookware Set"/>
    <s v="1"/>
    <s v="14255.48"/>
    <n v="0.05"/>
    <s v="8262.2999999999993"/>
    <s v="5280.41"/>
    <x v="2"/>
    <x v="1"/>
    <s v="Website"/>
    <n v="13542.7059999999"/>
  </r>
  <r>
    <s v="ORD101383"/>
    <x v="2"/>
    <s v="28-12-2025"/>
    <s v="CUST13016"/>
    <s v="Home Office"/>
    <s v="Kerala"/>
    <x v="6"/>
    <x v="2"/>
    <s v="Jeans"/>
    <s v="1"/>
    <s v="562.79"/>
    <n v="0.1"/>
    <s v="388.54"/>
    <s v="117.97"/>
    <x v="3"/>
    <x v="3"/>
    <s v="Marketplace"/>
    <n v="506.510999999999"/>
  </r>
  <r>
    <s v="ORD101384"/>
    <x v="11"/>
    <s v="18-10-2025"/>
    <s v="CUST10465"/>
    <s v="Consumer"/>
    <s v="Gujarat"/>
    <x v="10"/>
    <x v="4"/>
    <s v="Running Shoes"/>
    <s v="1"/>
    <s v="10290.02"/>
    <n v="0.1"/>
    <s v="8308.86"/>
    <s v="952.16"/>
    <x v="1"/>
    <x v="0"/>
    <s v="Mobile App"/>
    <n v="9261.018"/>
  </r>
  <r>
    <s v="ORD101385"/>
    <x v="6"/>
    <s v="18-07-2025"/>
    <s v="CUST12880"/>
    <s v="Home Office"/>
    <s v="Telangana"/>
    <x v="16"/>
    <x v="2"/>
    <s v="Jeans"/>
    <s v="1"/>
    <s v="592.76"/>
    <n v="0.05"/>
    <s v="354.77"/>
    <s v="208.35"/>
    <x v="5"/>
    <x v="0"/>
    <s v="Marketplace"/>
    <n v="563.12199999999996"/>
  </r>
  <r>
    <s v="ORD101386"/>
    <x v="0"/>
    <s v="15-01-2025"/>
    <s v="CUST12931"/>
    <s v="Home Office"/>
    <s v="Kerala"/>
    <x v="15"/>
    <x v="3"/>
    <s v="Cookware Set"/>
    <s v="1"/>
    <s v="1472.97"/>
    <n v="0.1"/>
    <s v="986.91"/>
    <s v="338.76"/>
    <x v="5"/>
    <x v="0"/>
    <s v="Website"/>
    <n v="1325.673"/>
  </r>
  <r>
    <s v="ORD101387"/>
    <x v="0"/>
    <s v="03-01-2025"/>
    <s v="CUST12574"/>
    <s v="Home Office"/>
    <s v="Maharashtra"/>
    <x v="21"/>
    <x v="0"/>
    <s v="Smartwatch"/>
    <s v="1"/>
    <s v="3103.65"/>
    <n v="0.05"/>
    <s v="2058.0300000000002"/>
    <s v="890.44"/>
    <x v="3"/>
    <x v="0"/>
    <s v="Marketplace"/>
    <n v="2948.4674999999902"/>
  </r>
  <r>
    <s v="ORD101389"/>
    <x v="10"/>
    <s v="23-11-2025"/>
    <s v="CUST10113"/>
    <s v="Corporate"/>
    <s v="Tamil Nadu"/>
    <x v="1"/>
    <x v="4"/>
    <s v="Fitness Band"/>
    <s v="1"/>
    <s v="5949.12"/>
    <n v="0"/>
    <s v="3927.02"/>
    <s v="2022.1"/>
    <x v="3"/>
    <x v="1"/>
    <s v="Marketplace"/>
    <n v="5949.12"/>
  </r>
  <r>
    <s v="ORD101390"/>
    <x v="7"/>
    <s v="18-05-2025"/>
    <s v="CUST12855"/>
    <s v="Home Office"/>
    <s v="Maharashtra"/>
    <x v="20"/>
    <x v="1"/>
    <s v="Lipstick"/>
    <s v="1"/>
    <s v="3821.74"/>
    <n v="0.1"/>
    <s v="2602.63"/>
    <s v="836.94"/>
    <x v="0"/>
    <x v="0"/>
    <s v="Mobile App"/>
    <n v="3439.5659999999998"/>
  </r>
  <r>
    <s v="ORD101391"/>
    <x v="11"/>
    <s v="25-10-2025"/>
    <s v="CUST11995"/>
    <s v="Home Office"/>
    <s v="Delhi"/>
    <x v="12"/>
    <x v="1"/>
    <s v="Shampoo"/>
    <s v="1"/>
    <s v="5653.96"/>
    <n v="0.15"/>
    <s v="4602.62"/>
    <s v="203.25"/>
    <x v="2"/>
    <x v="0"/>
    <s v="Mobile App"/>
    <n v="4805.866"/>
  </r>
  <r>
    <s v="ORD101392"/>
    <x v="2"/>
    <s v="24-12-2025"/>
    <s v="CUST12262"/>
    <s v="Home Office"/>
    <s v="Gujarat"/>
    <x v="18"/>
    <x v="4"/>
    <s v="Football"/>
    <s v="1"/>
    <s v="11060.75"/>
    <n v="0.1"/>
    <s v="6678.1"/>
    <s v="3276.58"/>
    <x v="2"/>
    <x v="0"/>
    <s v="Marketplace"/>
    <n v="9954.6749999999993"/>
  </r>
  <r>
    <s v="ORD101393"/>
    <x v="2"/>
    <s v="12-12-2025"/>
    <s v="CUST13356"/>
    <s v="Home Office"/>
    <s v="Telangana"/>
    <x v="14"/>
    <x v="3"/>
    <s v="Cookware Set"/>
    <s v="2"/>
    <s v="9874.51"/>
    <n v="0.05"/>
    <s v="11348.86"/>
    <s v="7412.71"/>
    <x v="1"/>
    <x v="0"/>
    <s v="Mobile App"/>
    <n v="18761.569"/>
  </r>
  <r>
    <s v="ORD101394"/>
    <x v="0"/>
    <s v="27-01-2025"/>
    <s v="CUST10180"/>
    <s v="Consumer"/>
    <s v="Tamil Nadu"/>
    <x v="11"/>
    <x v="0"/>
    <s v="Smartphone"/>
    <s v="1"/>
    <s v="68064"/>
    <n v="0.05"/>
    <s v="38795.03"/>
    <s v="25865.77"/>
    <x v="5"/>
    <x v="0"/>
    <s v="Marketplace"/>
    <n v="64660.799999999901"/>
  </r>
  <r>
    <s v="ORD101395"/>
    <x v="3"/>
    <s v="17-03-2025"/>
    <s v="CUST12673"/>
    <s v="Home Office"/>
    <s v="Delhi"/>
    <x v="12"/>
    <x v="0"/>
    <s v="Smartwatch"/>
    <s v="2"/>
    <s v="20294.28"/>
    <n v="0.1"/>
    <s v="32495.32"/>
    <s v="4034.38"/>
    <x v="2"/>
    <x v="0"/>
    <s v="Website"/>
    <n v="36529.703999999998"/>
  </r>
  <r>
    <s v="ORD101396"/>
    <x v="1"/>
    <s v="19-02-2025"/>
    <s v="CUST11500"/>
    <s v="Consumer"/>
    <s v="Delhi"/>
    <x v="12"/>
    <x v="0"/>
    <s v="Laptop"/>
    <s v="3"/>
    <s v="51075.99"/>
    <n v="0.1"/>
    <s v="104127.36"/>
    <s v="33777.81"/>
    <x v="0"/>
    <x v="0"/>
    <s v="Website"/>
    <n v="137905.17300000001"/>
  </r>
  <r>
    <s v="ORD101397"/>
    <x v="4"/>
    <s v="20-04-2025"/>
    <s v="CUST11824"/>
    <s v="Corporate"/>
    <s v="West Bengal"/>
    <x v="9"/>
    <x v="2"/>
    <s v="Jacket"/>
    <s v="1"/>
    <s v="6084.56"/>
    <n v="0.15"/>
    <s v="4027.62"/>
    <s v="1144.26"/>
    <x v="0"/>
    <x v="0"/>
    <s v="Mobile App"/>
    <n v="5171.8760000000002"/>
  </r>
  <r>
    <s v="ORD101398"/>
    <x v="10"/>
    <s v="15-11-2025"/>
    <s v="CUST11367"/>
    <s v="Corporate"/>
    <s v="Delhi"/>
    <x v="7"/>
    <x v="2"/>
    <s v="Handbag"/>
    <s v="2"/>
    <s v="1973.39"/>
    <n v="0"/>
    <s v="3090.18"/>
    <s v="856.6"/>
    <x v="0"/>
    <x v="0"/>
    <s v="Marketplace"/>
    <n v="3946.78"/>
  </r>
  <r>
    <s v="ORD101399"/>
    <x v="7"/>
    <s v="31-05-2025"/>
    <s v="CUST11860"/>
    <s v="Home Office"/>
    <s v="Karnataka"/>
    <x v="22"/>
    <x v="0"/>
    <s v="Tablet"/>
    <s v="1"/>
    <s v="67355.23"/>
    <n v="0.15"/>
    <s v="54705.81"/>
    <s v="2546.14"/>
    <x v="1"/>
    <x v="0"/>
    <s v="Website"/>
    <n v="57251.9454999999"/>
  </r>
  <r>
    <s v="ORD101400"/>
    <x v="8"/>
    <s v="28-08-2025"/>
    <s v="CUST11742"/>
    <s v="Corporate"/>
    <s v="West Bengal"/>
    <x v="0"/>
    <x v="0"/>
    <s v="Smartwatch"/>
    <s v="3"/>
    <s v="67466.78"/>
    <n v="0.05"/>
    <s v="141036.65"/>
    <s v="51243.67"/>
    <x v="2"/>
    <x v="0"/>
    <s v="Mobile App"/>
    <n v="192280.32299999901"/>
  </r>
  <r>
    <s v="ORD101401"/>
    <x v="0"/>
    <s v="28-01-2025"/>
    <s v="CUST10870"/>
    <s v="Home Office"/>
    <s v="Telangana"/>
    <x v="14"/>
    <x v="3"/>
    <s v="Vacuum Cleaner"/>
    <s v="1"/>
    <s v="2445.29"/>
    <n v="0.05"/>
    <s v="1576.99"/>
    <s v="746.04"/>
    <x v="0"/>
    <x v="0"/>
    <s v="Marketplace"/>
    <n v="2323.0254999999902"/>
  </r>
  <r>
    <s v="ORD101402"/>
    <x v="7"/>
    <s v="31-05-2025"/>
    <s v="CUST12706"/>
    <s v="Consumer"/>
    <s v="Gujarat"/>
    <x v="3"/>
    <x v="1"/>
    <s v="Perfume"/>
    <s v="2"/>
    <s v="2136.9299999999998"/>
    <n v="0.15"/>
    <s v="2491.9899999999998"/>
    <s v="1140.79"/>
    <x v="5"/>
    <x v="0"/>
    <s v="Marketplace"/>
    <n v="3632.7809999999899"/>
  </r>
  <r>
    <s v="ORD101403"/>
    <x v="3"/>
    <s v="23-03-2025"/>
    <s v="CUST12756"/>
    <s v="Consumer"/>
    <s v="Gujarat"/>
    <x v="10"/>
    <x v="1"/>
    <s v="Shampoo"/>
    <s v="2"/>
    <s v="552.34"/>
    <n v="0"/>
    <s v="893.25"/>
    <s v="211.43"/>
    <x v="3"/>
    <x v="0"/>
    <s v="Website"/>
    <n v="1104.68"/>
  </r>
  <r>
    <s v="ORD101405"/>
    <x v="7"/>
    <s v="03-05-2025"/>
    <s v="CUST11605"/>
    <s v="Home Office"/>
    <s v="Delhi"/>
    <x v="12"/>
    <x v="1"/>
    <s v="Hair Dryer"/>
    <s v="1"/>
    <s v="1269.5899999999999"/>
    <n v="0"/>
    <s v="978.56"/>
    <s v="291.02999999999997"/>
    <x v="0"/>
    <x v="0"/>
    <s v="Website"/>
    <n v="1269.5899999999999"/>
  </r>
  <r>
    <s v="ORD101406"/>
    <x v="8"/>
    <s v="04-08-2025"/>
    <s v="CUST13430"/>
    <s v="Consumer"/>
    <s v="Tamil Nadu"/>
    <x v="19"/>
    <x v="0"/>
    <s v="Tablet"/>
    <s v="1"/>
    <s v="71880.929999999993"/>
    <n v="0.2"/>
    <s v="50604.56"/>
    <s v="6900.18"/>
    <x v="2"/>
    <x v="0"/>
    <s v="Website"/>
    <n v="57504.743999999999"/>
  </r>
  <r>
    <s v="ORD101407"/>
    <x v="1"/>
    <s v="25-02-2025"/>
    <s v="CUST12160"/>
    <s v="Consumer"/>
    <s v="Telangana"/>
    <x v="16"/>
    <x v="2"/>
    <s v="T-Shirt"/>
    <s v="1"/>
    <s v="5345.18"/>
    <n v="0"/>
    <s v="3509.73"/>
    <s v="1835.45"/>
    <x v="1"/>
    <x v="3"/>
    <s v="Website"/>
    <n v="5345.18"/>
  </r>
  <r>
    <s v="ORD101408"/>
    <x v="7"/>
    <s v="30-05-2025"/>
    <s v="CUST11710"/>
    <s v="Home Office"/>
    <s v="West Bengal"/>
    <x v="0"/>
    <x v="0"/>
    <s v="Headphones"/>
    <s v="2"/>
    <s v="62990.33"/>
    <n v="0.2"/>
    <s v="89295.67"/>
    <s v="11488.86"/>
    <x v="3"/>
    <x v="1"/>
    <s v="Website"/>
    <n v="100784.52800000001"/>
  </r>
  <r>
    <s v="ORD101409"/>
    <x v="2"/>
    <s v="05-12-2025"/>
    <s v="CUST10530"/>
    <s v="Home Office"/>
    <s v="Gujarat"/>
    <x v="10"/>
    <x v="0"/>
    <s v="Laptop"/>
    <s v="1"/>
    <s v="57258.48"/>
    <n v="0.15"/>
    <s v="40437.03"/>
    <s v="8232.68"/>
    <x v="2"/>
    <x v="3"/>
    <s v="Website"/>
    <n v="48669.707999999999"/>
  </r>
  <r>
    <s v="ORD101410"/>
    <x v="1"/>
    <s v="25-02-2025"/>
    <s v="CUST10175"/>
    <s v="Consumer"/>
    <s v="Telangana"/>
    <x v="16"/>
    <x v="3"/>
    <s v="Coffee Maker"/>
    <s v="2"/>
    <s v="10789.56"/>
    <n v="0"/>
    <s v="12369.39"/>
    <s v="9209.73"/>
    <x v="5"/>
    <x v="1"/>
    <s v="Mobile App"/>
    <n v="21579.119999999999"/>
  </r>
  <r>
    <s v="ORD101413"/>
    <x v="10"/>
    <s v="18-11-2025"/>
    <s v="CUST12009"/>
    <s v="Consumer"/>
    <s v="Tamil Nadu"/>
    <x v="19"/>
    <x v="2"/>
    <s v="Jeans"/>
    <s v="3"/>
    <s v="4441.8500000000004"/>
    <n v="0.05"/>
    <s v="8422.41"/>
    <s v="4236.8599999999997"/>
    <x v="3"/>
    <x v="2"/>
    <s v="Marketplace"/>
    <n v="12659.272499999999"/>
  </r>
  <r>
    <s v="ORD101414"/>
    <x v="8"/>
    <s v="31-08-2025"/>
    <s v="CUST10655"/>
    <s v="Corporate"/>
    <s v="Kerala"/>
    <x v="6"/>
    <x v="2"/>
    <s v="Handbag"/>
    <s v="1"/>
    <s v="708.97"/>
    <n v="0.1"/>
    <s v="556.65"/>
    <s v="81.42"/>
    <x v="1"/>
    <x v="2"/>
    <s v="Website"/>
    <n v="638.07299999999998"/>
  </r>
  <r>
    <s v="ORD101416"/>
    <x v="0"/>
    <s v="19-01-2025"/>
    <s v="CUST10479"/>
    <s v="Consumer"/>
    <s v="West Bengal"/>
    <x v="0"/>
    <x v="0"/>
    <s v="Laptop"/>
    <s v="1"/>
    <s v="54487.16"/>
    <n v="0.1"/>
    <s v="31137.1"/>
    <s v="17901.34"/>
    <x v="0"/>
    <x v="0"/>
    <s v="Website"/>
    <n v="49038.444000000003"/>
  </r>
  <r>
    <s v="ORD101417"/>
    <x v="10"/>
    <s v="21-11-2025"/>
    <s v="CUST11188"/>
    <s v="Consumer"/>
    <s v="Karnataka"/>
    <x v="2"/>
    <x v="2"/>
    <s v="Jacket"/>
    <s v="2"/>
    <s v="4798.5"/>
    <n v="0"/>
    <s v="5973.05"/>
    <s v="3623.95"/>
    <x v="3"/>
    <x v="0"/>
    <s v="Mobile App"/>
    <n v="9597"/>
  </r>
  <r>
    <s v="ORD101418"/>
    <x v="10"/>
    <s v="22-11-2025"/>
    <s v="CUST12288"/>
    <s v="Corporate"/>
    <s v="Karnataka"/>
    <x v="22"/>
    <x v="3"/>
    <s v="Vacuum Cleaner"/>
    <s v="1"/>
    <s v="851.78"/>
    <n v="0.15"/>
    <s v="511.77"/>
    <s v="212.24"/>
    <x v="5"/>
    <x v="0"/>
    <s v="Marketplace"/>
    <n v="724.01299999999901"/>
  </r>
  <r>
    <s v="ORD101419"/>
    <x v="10"/>
    <s v="06-11-2025"/>
    <s v="CUST10901"/>
    <s v="Home Office"/>
    <s v="Karnataka"/>
    <x v="22"/>
    <x v="0"/>
    <s v="Tablet"/>
    <s v="2"/>
    <s v="68173.47"/>
    <n v="0"/>
    <s v="76073.56"/>
    <s v="60273.38"/>
    <x v="0"/>
    <x v="0"/>
    <s v="Mobile App"/>
    <n v="136346.94"/>
  </r>
  <r>
    <s v="ORD101421"/>
    <x v="5"/>
    <s v="28-09-2025"/>
    <s v="CUST11917"/>
    <s v="Home Office"/>
    <s v="Kerala"/>
    <x v="15"/>
    <x v="3"/>
    <s v="Vacuum Cleaner"/>
    <s v="1"/>
    <s v="741.1"/>
    <n v="0.1"/>
    <s v="465.08"/>
    <s v="201.91"/>
    <x v="5"/>
    <x v="0"/>
    <s v="Website"/>
    <n v="666.99"/>
  </r>
  <r>
    <s v="ORD101423"/>
    <x v="8"/>
    <s v="15-08-2025"/>
    <s v="CUST12493"/>
    <s v="Consumer"/>
    <s v="Gujarat"/>
    <x v="3"/>
    <x v="4"/>
    <s v="Running Shoes"/>
    <s v="1"/>
    <s v="9159.2800000000007"/>
    <n v="0"/>
    <s v="7061.74"/>
    <s v="2097.54"/>
    <x v="2"/>
    <x v="0"/>
    <s v="Website"/>
    <n v="9159.2800000000007"/>
  </r>
  <r>
    <s v="ORD101425"/>
    <x v="3"/>
    <s v="12-03-2025"/>
    <s v="CUST12361"/>
    <s v="Consumer"/>
    <s v="Tamil Nadu"/>
    <x v="19"/>
    <x v="3"/>
    <s v="Coffee Maker"/>
    <s v="1"/>
    <s v="13657.44"/>
    <n v="0.1"/>
    <s v="8258.64"/>
    <s v="4033.06"/>
    <x v="1"/>
    <x v="3"/>
    <s v="Website"/>
    <n v="12291.696"/>
  </r>
  <r>
    <s v="ORD101426"/>
    <x v="4"/>
    <s v="14-04-2025"/>
    <s v="CUST10149"/>
    <s v="Consumer"/>
    <s v="Delhi"/>
    <x v="12"/>
    <x v="0"/>
    <s v="Smartwatch"/>
    <s v="2"/>
    <s v="26981.01"/>
    <n v="0.05"/>
    <s v="34212.81"/>
    <s v="17051.11"/>
    <x v="1"/>
    <x v="0"/>
    <s v="Website"/>
    <n v="51263.9189999999"/>
  </r>
  <r>
    <s v="ORD101427"/>
    <x v="11"/>
    <s v="29-10-2025"/>
    <s v="CUST11089"/>
    <s v="Home Office"/>
    <s v="Maharashtra"/>
    <x v="21"/>
    <x v="4"/>
    <s v="Running Shoes"/>
    <s v="4"/>
    <s v="4321.1499999999996"/>
    <n v="0.15"/>
    <s v="12265.35"/>
    <s v="2426.56"/>
    <x v="5"/>
    <x v="0"/>
    <s v="Mobile App"/>
    <n v="14691.9099999999"/>
  </r>
  <r>
    <s v="ORD101428"/>
    <x v="4"/>
    <s v="04-04-2025"/>
    <s v="CUST11941"/>
    <s v="Consumer"/>
    <s v="Maharashtra"/>
    <x v="20"/>
    <x v="0"/>
    <s v="Laptop"/>
    <s v="1"/>
    <s v="70108.69"/>
    <n v="0.1"/>
    <s v="47116.78"/>
    <s v="15981.04"/>
    <x v="0"/>
    <x v="2"/>
    <s v="Mobile App"/>
    <n v="63097.821000000004"/>
  </r>
  <r>
    <s v="ORD101429"/>
    <x v="8"/>
    <s v="07-08-2025"/>
    <s v="CUST11492"/>
    <s v="Home Office"/>
    <s v="Kerala"/>
    <x v="6"/>
    <x v="2"/>
    <s v="Sneakers"/>
    <s v="2"/>
    <s v="6780.26"/>
    <n v="0"/>
    <s v="11028.23"/>
    <s v="2532.29"/>
    <x v="3"/>
    <x v="3"/>
    <s v="Marketplace"/>
    <n v="13560.52"/>
  </r>
  <r>
    <s v="ORD101434"/>
    <x v="0"/>
    <s v="08-01-2025"/>
    <s v="CUST11084"/>
    <s v="Corporate"/>
    <s v="Delhi"/>
    <x v="12"/>
    <x v="4"/>
    <s v="Running Shoes"/>
    <s v="2"/>
    <s v="812.62"/>
    <n v="0.2"/>
    <s v="1285.33"/>
    <s v="14.86"/>
    <x v="5"/>
    <x v="0"/>
    <s v="Mobile App"/>
    <n v="1300.192"/>
  </r>
  <r>
    <s v="ORD101435"/>
    <x v="9"/>
    <s v="06-06-2025"/>
    <s v="CUST10321"/>
    <s v="Corporate"/>
    <s v="Maharashtra"/>
    <x v="4"/>
    <x v="0"/>
    <s v="Headphones"/>
    <s v="3"/>
    <s v="13012.59"/>
    <n v="0.15"/>
    <s v="29953.51"/>
    <s v="3228.59"/>
    <x v="1"/>
    <x v="2"/>
    <s v="Marketplace"/>
    <n v="33182.104500000001"/>
  </r>
  <r>
    <s v="ORD101438"/>
    <x v="7"/>
    <s v="01-05-2025"/>
    <s v="CUST10395"/>
    <s v="Consumer"/>
    <s v="Telangana"/>
    <x v="14"/>
    <x v="0"/>
    <s v="Smartphone"/>
    <s v="2"/>
    <s v="15885.99"/>
    <n v="0.05"/>
    <s v="17899.43"/>
    <s v="12283.95"/>
    <x v="1"/>
    <x v="0"/>
    <s v="Marketplace"/>
    <n v="30183.380999999899"/>
  </r>
  <r>
    <s v="ORD101439"/>
    <x v="8"/>
    <s v="17-08-2025"/>
    <s v="CUST13497"/>
    <s v="Consumer"/>
    <s v="Karnataka"/>
    <x v="2"/>
    <x v="1"/>
    <s v="Hair Dryer"/>
    <s v="1"/>
    <s v="4650.82"/>
    <n v="0.15"/>
    <s v="3135.3"/>
    <s v="817.9"/>
    <x v="0"/>
    <x v="0"/>
    <s v="Website"/>
    <n v="3953.1969999999901"/>
  </r>
  <r>
    <s v="ORD101440"/>
    <x v="9"/>
    <s v="12-06-2025"/>
    <s v="CUST12968"/>
    <s v="Consumer"/>
    <s v="Delhi"/>
    <x v="12"/>
    <x v="1"/>
    <s v="Shampoo"/>
    <s v="2"/>
    <s v="2741.37"/>
    <n v="0.1"/>
    <s v="4314.8599999999997"/>
    <s v="619.61"/>
    <x v="3"/>
    <x v="0"/>
    <s v="Marketplace"/>
    <n v="4934.4660000000003"/>
  </r>
  <r>
    <s v="ORD101441"/>
    <x v="7"/>
    <s v="25-05-2025"/>
    <s v="CUST13367"/>
    <s v="Consumer"/>
    <s v="Tamil Nadu"/>
    <x v="8"/>
    <x v="2"/>
    <s v="Jacket"/>
    <s v="1"/>
    <s v="5243.78"/>
    <n v="0.1"/>
    <s v="3612.46"/>
    <s v="1106.94"/>
    <x v="5"/>
    <x v="3"/>
    <s v="Website"/>
    <n v="4719.402"/>
  </r>
  <r>
    <s v="ORD101442"/>
    <x v="5"/>
    <s v="20-09-2025"/>
    <s v="CUST11653"/>
    <s v="Consumer"/>
    <s v="West Bengal"/>
    <x v="9"/>
    <x v="0"/>
    <s v="Headphones"/>
    <s v="1"/>
    <s v="59730.87"/>
    <n v="0.2"/>
    <s v="46737.38"/>
    <s v="1047.32"/>
    <x v="2"/>
    <x v="1"/>
    <s v="Website"/>
    <n v="47784.696000000004"/>
  </r>
  <r>
    <s v="ORD101443"/>
    <x v="9"/>
    <s v="27-06-2025"/>
    <s v="CUST12227"/>
    <s v="Home Office"/>
    <s v="Gujarat"/>
    <x v="10"/>
    <x v="2"/>
    <s v="T-Shirt"/>
    <s v="1"/>
    <s v="3447.51"/>
    <n v="0.15"/>
    <s v="2380.1"/>
    <s v="550.28"/>
    <x v="5"/>
    <x v="0"/>
    <s v="Marketplace"/>
    <n v="2930.3834999999999"/>
  </r>
  <r>
    <s v="ORD101444"/>
    <x v="5"/>
    <s v="17-09-2025"/>
    <s v="CUST10434"/>
    <s v="Home Office"/>
    <s v="Maharashtra"/>
    <x v="20"/>
    <x v="2"/>
    <s v="T-Shirt"/>
    <s v="2"/>
    <s v="906.35"/>
    <n v="0.1"/>
    <s v="1084.92"/>
    <s v="546.51"/>
    <x v="1"/>
    <x v="0"/>
    <s v="Marketplace"/>
    <n v="1631.43"/>
  </r>
  <r>
    <s v="ORD101445"/>
    <x v="6"/>
    <s v="05-07-2025"/>
    <s v="CUST12755"/>
    <s v="Consumer"/>
    <s v="Kerala"/>
    <x v="15"/>
    <x v="4"/>
    <s v="Football"/>
    <s v="1"/>
    <s v="5797.09"/>
    <n v="0.1"/>
    <s v="4327.5200000000004"/>
    <s v="889.86"/>
    <x v="5"/>
    <x v="0"/>
    <s v="Mobile App"/>
    <n v="5217.3810000000003"/>
  </r>
  <r>
    <s v="ORD101446"/>
    <x v="3"/>
    <s v="11-03-2025"/>
    <s v="CUST10214"/>
    <s v="Home Office"/>
    <s v="Karnataka"/>
    <x v="17"/>
    <x v="0"/>
    <s v="Tablet"/>
    <s v="3"/>
    <s v="20548.830000000002"/>
    <n v="0"/>
    <s v="48647.34"/>
    <s v="12999.15"/>
    <x v="3"/>
    <x v="0"/>
    <s v="Marketplace"/>
    <n v="61646.49"/>
  </r>
  <r>
    <s v="ORD101447"/>
    <x v="1"/>
    <s v="23-02-2025"/>
    <s v="CUST11207"/>
    <s v="Corporate"/>
    <s v="West Bengal"/>
    <x v="0"/>
    <x v="2"/>
    <s v="Jeans"/>
    <s v="2"/>
    <s v="1956.72"/>
    <n v="0.1"/>
    <s v="2566.5500000000002"/>
    <s v="955.55"/>
    <x v="5"/>
    <x v="0"/>
    <s v="Website"/>
    <n v="3522.096"/>
  </r>
  <r>
    <s v="ORD101448"/>
    <x v="5"/>
    <s v="28-09-2025"/>
    <s v="CUST10084"/>
    <s v="Consumer"/>
    <s v="West Bengal"/>
    <x v="0"/>
    <x v="4"/>
    <s v="Cricket Bat"/>
    <s v="2"/>
    <s v="5763.99"/>
    <n v="0.15"/>
    <s v="8795.61"/>
    <s v="1003.17"/>
    <x v="3"/>
    <x v="0"/>
    <s v="Mobile App"/>
    <n v="9798.7829999999994"/>
  </r>
  <r>
    <s v="ORD101449"/>
    <x v="10"/>
    <s v="03-11-2025"/>
    <s v="CUST12355"/>
    <s v="Corporate"/>
    <s v="Gujarat"/>
    <x v="10"/>
    <x v="2"/>
    <s v="Sneakers"/>
    <s v="4"/>
    <s v="5989.68"/>
    <n v="0"/>
    <s v="13501.78"/>
    <s v="10456.94"/>
    <x v="5"/>
    <x v="0"/>
    <s v="Website"/>
    <n v="23958.720000000001"/>
  </r>
  <r>
    <s v="ORD101450"/>
    <x v="0"/>
    <s v="12-01-2025"/>
    <s v="CUST11967"/>
    <s v="Consumer"/>
    <s v="Telangana"/>
    <x v="14"/>
    <x v="3"/>
    <s v="Vacuum Cleaner"/>
    <s v="2"/>
    <s v="2650.38"/>
    <n v="0.05"/>
    <s v="4205.51"/>
    <s v="830.21"/>
    <x v="1"/>
    <x v="0"/>
    <s v="Marketplace"/>
    <n v="5035.7219999999998"/>
  </r>
  <r>
    <s v="ORD101451"/>
    <x v="0"/>
    <s v="13-01-2025"/>
    <s v="CUST11486"/>
    <s v="Consumer"/>
    <s v="Delhi"/>
    <x v="7"/>
    <x v="3"/>
    <s v="Cookware Set"/>
    <s v="2"/>
    <s v="4831.76"/>
    <n v="0.15"/>
    <s v="7716.12"/>
    <s v="497.87"/>
    <x v="1"/>
    <x v="0"/>
    <s v="Marketplace"/>
    <n v="8213.9920000000002"/>
  </r>
  <r>
    <s v="ORD101452"/>
    <x v="6"/>
    <s v="28-07-2025"/>
    <s v="CUST10156"/>
    <s v="Corporate"/>
    <s v="Gujarat"/>
    <x v="10"/>
    <x v="2"/>
    <s v="Sneakers"/>
    <s v="1"/>
    <s v="5438.41"/>
    <n v="0"/>
    <s v="4064.44"/>
    <s v="1373.97"/>
    <x v="5"/>
    <x v="0"/>
    <s v="Website"/>
    <n v="5438.41"/>
  </r>
  <r>
    <s v="ORD101453"/>
    <x v="9"/>
    <s v="12-06-2025"/>
    <s v="CUST11410"/>
    <s v="Consumer"/>
    <s v="Kerala"/>
    <x v="15"/>
    <x v="4"/>
    <s v="Yoga Mat"/>
    <s v="2"/>
    <s v="10661.41"/>
    <n v="0"/>
    <s v="16701.54"/>
    <s v="4621.28"/>
    <x v="1"/>
    <x v="0"/>
    <s v="Mobile App"/>
    <n v="21322.82"/>
  </r>
  <r>
    <s v="ORD101454"/>
    <x v="10"/>
    <s v="09-11-2025"/>
    <s v="CUST11538"/>
    <s v="Consumer"/>
    <s v="Telangana"/>
    <x v="16"/>
    <x v="3"/>
    <s v="Air Fryer"/>
    <s v="4"/>
    <s v="9761.9699999999993"/>
    <n v="0"/>
    <s v="23549.279999999999"/>
    <s v="15498.6"/>
    <x v="2"/>
    <x v="0"/>
    <s v="Marketplace"/>
    <n v="39047.879999999997"/>
  </r>
  <r>
    <s v="ORD101455"/>
    <x v="6"/>
    <s v="12-07-2025"/>
    <s v="CUST10584"/>
    <s v="Consumer"/>
    <s v="Delhi"/>
    <x v="7"/>
    <x v="3"/>
    <s v="Cookware Set"/>
    <s v="2"/>
    <s v="1064.6300000000001"/>
    <n v="0.1"/>
    <s v="1360.31"/>
    <s v="556.02"/>
    <x v="0"/>
    <x v="0"/>
    <s v="Mobile App"/>
    <n v="1916.3340000000001"/>
  </r>
  <r>
    <s v="ORD101457"/>
    <x v="0"/>
    <s v="04-01-2025"/>
    <s v="CUST13413"/>
    <s v="Home Office"/>
    <s v="Delhi"/>
    <x v="12"/>
    <x v="3"/>
    <s v="Air Fryer"/>
    <s v="1"/>
    <s v="14187.84"/>
    <n v="0.1"/>
    <s v="8753.26"/>
    <s v="4015.8"/>
    <x v="0"/>
    <x v="2"/>
    <s v="Mobile App"/>
    <n v="12769.056"/>
  </r>
  <r>
    <s v="ORD101461"/>
    <x v="3"/>
    <s v="24-03-2025"/>
    <s v="CUST13346"/>
    <s v="Corporate"/>
    <s v="Delhi"/>
    <x v="7"/>
    <x v="0"/>
    <s v="Laptop"/>
    <s v="1"/>
    <s v="21525.32"/>
    <n v="0.15"/>
    <s v="15506.3"/>
    <s v="2790.22"/>
    <x v="2"/>
    <x v="0"/>
    <s v="Mobile App"/>
    <n v="18296.522000000001"/>
  </r>
  <r>
    <s v="ORD101462"/>
    <x v="10"/>
    <s v="14-11-2025"/>
    <s v="CUST10786"/>
    <s v="Consumer"/>
    <s v="Telangana"/>
    <x v="16"/>
    <x v="0"/>
    <s v="Headphones"/>
    <s v="2"/>
    <s v="8111.22"/>
    <n v="0.2"/>
    <s v="10750.18"/>
    <s v="2227.77"/>
    <x v="5"/>
    <x v="0"/>
    <s v="Marketplace"/>
    <n v="12977.951999999999"/>
  </r>
  <r>
    <s v="ORD101463"/>
    <x v="10"/>
    <s v="30-11-2025"/>
    <s v="CUST12378"/>
    <s v="Home Office"/>
    <s v="Telangana"/>
    <x v="14"/>
    <x v="2"/>
    <s v="Jacket"/>
    <s v="1"/>
    <s v="1901.01"/>
    <n v="0"/>
    <s v="1156.32"/>
    <s v="744.69"/>
    <x v="2"/>
    <x v="0"/>
    <s v="Mobile App"/>
    <n v="1901.01"/>
  </r>
  <r>
    <s v="ORD101464"/>
    <x v="9"/>
    <s v="11-06-2025"/>
    <s v="CUST13438"/>
    <s v="Consumer"/>
    <s v="West Bengal"/>
    <x v="9"/>
    <x v="0"/>
    <s v="Smartwatch"/>
    <s v="2"/>
    <s v="19261.009999999998"/>
    <n v="0.05"/>
    <s v="30282.2"/>
    <s v="6313.72"/>
    <x v="1"/>
    <x v="1"/>
    <s v="Website"/>
    <n v="36595.9189999999"/>
  </r>
  <r>
    <s v="ORD101465"/>
    <x v="2"/>
    <s v="21-12-2025"/>
    <s v="CUST10680"/>
    <s v="Corporate"/>
    <s v="Karnataka"/>
    <x v="22"/>
    <x v="0"/>
    <s v="Smartphone"/>
    <s v="1"/>
    <s v="57025.4"/>
    <n v="0.05"/>
    <s v="39229.56"/>
    <s v="14944.57"/>
    <x v="3"/>
    <x v="0"/>
    <s v="Marketplace"/>
    <n v="54174.13"/>
  </r>
  <r>
    <s v="ORD101466"/>
    <x v="4"/>
    <s v="08-04-2025"/>
    <s v="CUST11028"/>
    <s v="Home Office"/>
    <s v="West Bengal"/>
    <x v="0"/>
    <x v="4"/>
    <s v="Fitness Band"/>
    <s v="3"/>
    <s v="2631.97"/>
    <n v="0"/>
    <s v="5994.56"/>
    <s v="1901.35"/>
    <x v="5"/>
    <x v="0"/>
    <s v="Marketplace"/>
    <n v="7895.91"/>
  </r>
  <r>
    <s v="ORD101467"/>
    <x v="2"/>
    <s v="15-12-2025"/>
    <s v="CUST12631"/>
    <s v="Consumer"/>
    <s v="Kerala"/>
    <x v="15"/>
    <x v="1"/>
    <s v="Perfume"/>
    <s v="2"/>
    <s v="2075.2399999999998"/>
    <n v="0.15"/>
    <s v="2726.25"/>
    <s v="801.66"/>
    <x v="5"/>
    <x v="0"/>
    <s v="Marketplace"/>
    <n v="3527.9079999999899"/>
  </r>
  <r>
    <s v="ORD101468"/>
    <x v="5"/>
    <s v="24-09-2025"/>
    <s v="CUST10159"/>
    <s v="Home Office"/>
    <s v="Tamil Nadu"/>
    <x v="11"/>
    <x v="1"/>
    <s v="Face Cream"/>
    <s v="1"/>
    <s v="5862.62"/>
    <n v="0"/>
    <s v="3989.84"/>
    <s v="1872.78"/>
    <x v="1"/>
    <x v="0"/>
    <s v="Mobile App"/>
    <n v="5862.62"/>
  </r>
  <r>
    <s v="ORD101469"/>
    <x v="6"/>
    <s v="27-07-2025"/>
    <s v="CUST10896"/>
    <s v="Consumer"/>
    <s v="Kerala"/>
    <x v="15"/>
    <x v="4"/>
    <s v="Yoga Mat"/>
    <s v="3"/>
    <s v="5515.08"/>
    <n v="0.15"/>
    <s v="11943.6"/>
    <s v="2119.85"/>
    <x v="5"/>
    <x v="0"/>
    <s v="Mobile App"/>
    <n v="14063.4539999999"/>
  </r>
  <r>
    <s v="ORD101471"/>
    <x v="10"/>
    <s v="25-11-2025"/>
    <s v="CUST12024"/>
    <s v="Consumer"/>
    <s v="Tamil Nadu"/>
    <x v="8"/>
    <x v="0"/>
    <s v="Tablet"/>
    <s v="2"/>
    <s v="70200.33"/>
    <n v="0.1"/>
    <s v="78896.800000000003"/>
    <s v="47463.79"/>
    <x v="5"/>
    <x v="0"/>
    <s v="Website"/>
    <n v="126360.594"/>
  </r>
  <r>
    <s v="ORD101472"/>
    <x v="5"/>
    <s v="02-09-2025"/>
    <s v="CUST10310"/>
    <s v="Consumer"/>
    <s v="Telangana"/>
    <x v="16"/>
    <x v="0"/>
    <s v="Headphones"/>
    <s v="2"/>
    <s v="74802.61"/>
    <n v="0"/>
    <s v="108740.47"/>
    <s v="40864.75"/>
    <x v="5"/>
    <x v="0"/>
    <s v="Mobile App"/>
    <n v="149605.22"/>
  </r>
  <r>
    <s v="ORD101473"/>
    <x v="3"/>
    <s v="03-03-2025"/>
    <s v="CUST10336"/>
    <s v="Home Office"/>
    <s v="Gujarat"/>
    <x v="18"/>
    <x v="4"/>
    <s v="Football"/>
    <s v="1"/>
    <s v="7170.04"/>
    <n v="0"/>
    <s v="5132.8900000000003"/>
    <s v="2037.15"/>
    <x v="1"/>
    <x v="0"/>
    <s v="Website"/>
    <n v="7170.04"/>
  </r>
  <r>
    <s v="ORD101476"/>
    <x v="0"/>
    <s v="29-01-2025"/>
    <s v="CUST12153"/>
    <s v="Corporate"/>
    <s v="Delhi"/>
    <x v="12"/>
    <x v="2"/>
    <s v="Handbag"/>
    <s v="1"/>
    <s v="5218.3999999999996"/>
    <n v="0.05"/>
    <s v="3869.35"/>
    <s v="1088.1300000000001"/>
    <x v="5"/>
    <x v="0"/>
    <s v="Mobile App"/>
    <n v="4957.4799999999996"/>
  </r>
  <r>
    <s v="ORD101477"/>
    <x v="9"/>
    <s v="17-06-2025"/>
    <s v="CUST12478"/>
    <s v="Corporate"/>
    <s v="Tamil Nadu"/>
    <x v="11"/>
    <x v="0"/>
    <s v="Tablet"/>
    <s v="1"/>
    <s v="27423.38"/>
    <n v="0"/>
    <s v="18735.009999999998"/>
    <s v="8688.3700000000008"/>
    <x v="1"/>
    <x v="0"/>
    <s v="Website"/>
    <n v="27423.38"/>
  </r>
  <r>
    <s v="ORD101480"/>
    <x v="7"/>
    <s v="22-05-2025"/>
    <s v="CUST11599"/>
    <s v="Corporate"/>
    <s v="Kerala"/>
    <x v="6"/>
    <x v="2"/>
    <s v="Jacket"/>
    <s v="1"/>
    <s v="2561.06"/>
    <n v="0.1"/>
    <s v="1796.42"/>
    <s v="508.53"/>
    <x v="3"/>
    <x v="3"/>
    <s v="Website"/>
    <n v="2304.9540000000002"/>
  </r>
  <r>
    <s v="ORD101481"/>
    <x v="8"/>
    <s v="30-08-2025"/>
    <s v="CUST12274"/>
    <s v="Consumer"/>
    <s v="Kerala"/>
    <x v="15"/>
    <x v="3"/>
    <s v="Mixer Grinder"/>
    <s v="2"/>
    <s v="17827.79"/>
    <n v="0.15"/>
    <s v="26793.06"/>
    <s v="3514.18"/>
    <x v="1"/>
    <x v="1"/>
    <s v="Marketplace"/>
    <n v="30307.242999999999"/>
  </r>
  <r>
    <s v="ORD101483"/>
    <x v="6"/>
    <s v="19-07-2025"/>
    <s v="CUST11781"/>
    <s v="Corporate"/>
    <s v="Delhi"/>
    <x v="7"/>
    <x v="3"/>
    <s v="Mixer Grinder"/>
    <s v="1"/>
    <s v="3197.09"/>
    <n v="0.1"/>
    <s v="1886.19"/>
    <s v="991.19"/>
    <x v="0"/>
    <x v="0"/>
    <s v="Mobile App"/>
    <n v="2877.3809999999999"/>
  </r>
  <r>
    <s v="ORD101486"/>
    <x v="11"/>
    <s v="22-10-2025"/>
    <s v="CUST12963"/>
    <s v="Consumer"/>
    <s v="Delhi"/>
    <x v="12"/>
    <x v="2"/>
    <s v="Sneakers"/>
    <s v="1"/>
    <s v="5699.7"/>
    <n v="0.15"/>
    <s v="3600.73"/>
    <s v="1244.01"/>
    <x v="5"/>
    <x v="0"/>
    <s v="Mobile App"/>
    <n v="4844.7449999999999"/>
  </r>
  <r>
    <s v="ORD101487"/>
    <x v="6"/>
    <s v="23-07-2025"/>
    <s v="CUST11426"/>
    <s v="Home Office"/>
    <s v="Telangana"/>
    <x v="16"/>
    <x v="3"/>
    <s v="Mixer Grinder"/>
    <s v="3"/>
    <s v="7867.01"/>
    <n v="0.05"/>
    <s v="16561.25"/>
    <s v="5859.73"/>
    <x v="2"/>
    <x v="0"/>
    <s v="Website"/>
    <n v="22420.978499999899"/>
  </r>
  <r>
    <s v="ORD101489"/>
    <x v="6"/>
    <s v="08-07-2025"/>
    <s v="CUST10496"/>
    <s v="Home Office"/>
    <s v="Telangana"/>
    <x v="16"/>
    <x v="4"/>
    <s v="Yoga Mat"/>
    <s v="2"/>
    <s v="3876.44"/>
    <n v="0.15"/>
    <s v="4592.1899999999996"/>
    <s v="1997.76"/>
    <x v="2"/>
    <x v="2"/>
    <s v="Marketplace"/>
    <n v="6589.9480000000003"/>
  </r>
  <r>
    <s v="ORD101490"/>
    <x v="10"/>
    <s v="21-11-2025"/>
    <s v="CUST10745"/>
    <s v="Corporate"/>
    <s v="Tamil Nadu"/>
    <x v="1"/>
    <x v="4"/>
    <s v="Football"/>
    <s v="1"/>
    <s v="8112.04"/>
    <n v="0.2"/>
    <s v="6154.09"/>
    <s v="335.54"/>
    <x v="3"/>
    <x v="0"/>
    <s v="Website"/>
    <n v="6489.6319999999996"/>
  </r>
  <r>
    <s v="ORD101492"/>
    <x v="4"/>
    <s v="09-04-2025"/>
    <s v="CUST12347"/>
    <s v="Home Office"/>
    <s v="Telangana"/>
    <x v="14"/>
    <x v="2"/>
    <s v="T-Shirt"/>
    <s v="1"/>
    <s v="4612.78"/>
    <n v="0.05"/>
    <s v="3367.76"/>
    <s v="1014.38"/>
    <x v="3"/>
    <x v="0"/>
    <s v="Mobile App"/>
    <n v="4382.1409999999996"/>
  </r>
  <r>
    <s v="ORD101493"/>
    <x v="6"/>
    <s v="10-07-2025"/>
    <s v="CUST11869"/>
    <s v="Home Office"/>
    <s v="West Bengal"/>
    <x v="9"/>
    <x v="1"/>
    <s v="Face Cream"/>
    <s v="2"/>
    <s v="1013.7"/>
    <n v="0.1"/>
    <s v="1323.18"/>
    <s v="501.48"/>
    <x v="0"/>
    <x v="3"/>
    <s v="Mobile App"/>
    <n v="1824.66"/>
  </r>
  <r>
    <s v="ORD101494"/>
    <x v="1"/>
    <s v="17-02-2025"/>
    <s v="CUST12510"/>
    <s v="Home Office"/>
    <s v="Karnataka"/>
    <x v="17"/>
    <x v="3"/>
    <s v="Vacuum Cleaner"/>
    <s v="1"/>
    <s v="13433.91"/>
    <n v="0.1"/>
    <s v="7732.14"/>
    <s v="4358.38"/>
    <x v="2"/>
    <x v="0"/>
    <s v="Marketplace"/>
    <n v="12090.519"/>
  </r>
  <r>
    <s v="ORD101496"/>
    <x v="5"/>
    <s v="02-09-2025"/>
    <s v="CUST10279"/>
    <s v="Consumer"/>
    <s v="Tamil Nadu"/>
    <x v="13"/>
    <x v="4"/>
    <s v="Yoga Mat"/>
    <s v="1"/>
    <s v="3351.48"/>
    <n v="0.1"/>
    <s v="2522.25"/>
    <s v="494.08"/>
    <x v="3"/>
    <x v="0"/>
    <s v="Website"/>
    <n v="3016.3319999999999"/>
  </r>
  <r>
    <s v="ORD101498"/>
    <x v="4"/>
    <s v="05-04-2025"/>
    <s v="CUST11806"/>
    <s v="Corporate"/>
    <s v="Gujarat"/>
    <x v="18"/>
    <x v="4"/>
    <s v="Fitness Band"/>
    <s v="2"/>
    <s v="10662.86"/>
    <n v="0.1"/>
    <s v="12348.31"/>
    <s v="6844.84"/>
    <x v="2"/>
    <x v="0"/>
    <s v="Mobile App"/>
    <n v="19193.148000000001"/>
  </r>
  <r>
    <s v="ORD101502"/>
    <x v="3"/>
    <s v="18-03-2025"/>
    <s v="CUST12059"/>
    <s v="Corporate"/>
    <s v="Tamil Nadu"/>
    <x v="13"/>
    <x v="2"/>
    <s v="Jacket"/>
    <s v="1"/>
    <s v="1345.4"/>
    <n v="0.1"/>
    <s v="1073.56"/>
    <s v="137.30000000000001"/>
    <x v="5"/>
    <x v="3"/>
    <s v="Website"/>
    <n v="1210.8599999999999"/>
  </r>
  <r>
    <s v="ORD101503"/>
    <x v="0"/>
    <s v="30-01-2025"/>
    <s v="CUST13271"/>
    <s v="Home Office"/>
    <s v="Maharashtra"/>
    <x v="21"/>
    <x v="1"/>
    <s v="Perfume"/>
    <s v="3"/>
    <s v="5709.45"/>
    <n v="0.2"/>
    <s v="10318.66"/>
    <s v="3384.02"/>
    <x v="0"/>
    <x v="0"/>
    <s v="Marketplace"/>
    <n v="13702.68"/>
  </r>
  <r>
    <s v="ORD101504"/>
    <x v="10"/>
    <s v="09-11-2025"/>
    <s v="CUST11645"/>
    <s v="Home Office"/>
    <s v="Karnataka"/>
    <x v="22"/>
    <x v="4"/>
    <s v="Football"/>
    <s v="1"/>
    <s v="6977.13"/>
    <n v="0"/>
    <s v="5644.74"/>
    <s v="1332.39"/>
    <x v="2"/>
    <x v="0"/>
    <s v="Marketplace"/>
    <n v="6977.13"/>
  </r>
  <r>
    <s v="ORD101506"/>
    <x v="11"/>
    <s v="30-10-2025"/>
    <s v="CUST10037"/>
    <s v="Home Office"/>
    <s v="Maharashtra"/>
    <x v="4"/>
    <x v="2"/>
    <s v="T-Shirt"/>
    <s v="1"/>
    <s v="5932.23"/>
    <n v="0.1"/>
    <s v="3630.95"/>
    <s v="1708.06"/>
    <x v="1"/>
    <x v="3"/>
    <s v="Mobile App"/>
    <n v="5339.0069999999996"/>
  </r>
  <r>
    <s v="ORD101507"/>
    <x v="11"/>
    <s v="18-10-2025"/>
    <s v="CUST12680"/>
    <s v="Home Office"/>
    <s v="West Bengal"/>
    <x v="0"/>
    <x v="0"/>
    <s v="Headphones"/>
    <s v="1"/>
    <s v="20021.54"/>
    <n v="0.1"/>
    <s v="14655.85"/>
    <s v="3363.54"/>
    <x v="5"/>
    <x v="0"/>
    <s v="Mobile App"/>
    <n v="18019.385999999999"/>
  </r>
  <r>
    <s v="ORD101508"/>
    <x v="9"/>
    <s v="23-06-2025"/>
    <s v="CUST10449"/>
    <s v="Home Office"/>
    <s v="West Bengal"/>
    <x v="9"/>
    <x v="0"/>
    <s v="Laptop"/>
    <s v="1"/>
    <s v="18674.650000000001"/>
    <n v="0.05"/>
    <s v="14995.02"/>
    <s v="2745.9"/>
    <x v="2"/>
    <x v="1"/>
    <s v="Mobile App"/>
    <n v="17740.9175"/>
  </r>
  <r>
    <s v="ORD101509"/>
    <x v="10"/>
    <s v="06-11-2025"/>
    <s v="CUST11240"/>
    <s v="Home Office"/>
    <s v="Delhi"/>
    <x v="12"/>
    <x v="2"/>
    <s v="Sneakers"/>
    <s v="4"/>
    <s v="5219.8500000000004"/>
    <n v="0.05"/>
    <s v="15802.54"/>
    <s v="4032.89"/>
    <x v="0"/>
    <x v="0"/>
    <s v="Marketplace"/>
    <n v="19835.43"/>
  </r>
  <r>
    <s v="ORD101511"/>
    <x v="5"/>
    <s v="09-09-2025"/>
    <s v="CUST11027"/>
    <s v="Corporate"/>
    <s v="Telangana"/>
    <x v="14"/>
    <x v="2"/>
    <s v="Sneakers"/>
    <s v="1"/>
    <s v="6123.54"/>
    <n v="0.15"/>
    <s v="3669.24"/>
    <s v="1535.77"/>
    <x v="1"/>
    <x v="3"/>
    <s v="Marketplace"/>
    <n v="5205.009"/>
  </r>
  <r>
    <s v="ORD101512"/>
    <x v="5"/>
    <s v="14-09-2025"/>
    <s v="CUST12038"/>
    <s v="Corporate"/>
    <s v="Gujarat"/>
    <x v="10"/>
    <x v="3"/>
    <s v="Cookware Set"/>
    <s v="1"/>
    <s v="13138.81"/>
    <n v="0.1"/>
    <s v="9681.43"/>
    <s v="2143.5"/>
    <x v="5"/>
    <x v="0"/>
    <s v="Mobile App"/>
    <n v="11824.929"/>
  </r>
  <r>
    <s v="ORD101513"/>
    <x v="6"/>
    <s v="12-07-2025"/>
    <s v="CUST11042"/>
    <s v="Consumer"/>
    <s v="Maharashtra"/>
    <x v="20"/>
    <x v="2"/>
    <s v="Jacket"/>
    <s v="1"/>
    <s v="2602.77"/>
    <n v="0.05"/>
    <s v="1531.91"/>
    <s v="940.72"/>
    <x v="3"/>
    <x v="0"/>
    <s v="Marketplace"/>
    <n v="2472.6315"/>
  </r>
  <r>
    <s v="ORD101515"/>
    <x v="2"/>
    <s v="17-12-2025"/>
    <s v="CUST11532"/>
    <s v="Home Office"/>
    <s v="Maharashtra"/>
    <x v="21"/>
    <x v="3"/>
    <s v="Mixer Grinder"/>
    <s v="1"/>
    <s v="16409.66"/>
    <n v="0"/>
    <s v="9983.5499999999993"/>
    <s v="6426.11"/>
    <x v="2"/>
    <x v="0"/>
    <s v="Website"/>
    <n v="16409.66"/>
  </r>
  <r>
    <s v="ORD101518"/>
    <x v="2"/>
    <s v="07-12-2025"/>
    <s v="CUST12367"/>
    <s v="Consumer"/>
    <s v="West Bengal"/>
    <x v="0"/>
    <x v="0"/>
    <s v="Tablet"/>
    <s v="1"/>
    <s v="18121.650000000001"/>
    <n v="0.05"/>
    <s v="11313.19"/>
    <s v="5902.38"/>
    <x v="2"/>
    <x v="0"/>
    <s v="Marketplace"/>
    <n v="17215.567500000001"/>
  </r>
  <r>
    <s v="ORD101519"/>
    <x v="11"/>
    <s v="28-10-2025"/>
    <s v="CUST10071"/>
    <s v="Corporate"/>
    <s v="Maharashtra"/>
    <x v="4"/>
    <x v="1"/>
    <s v="Lipstick"/>
    <s v="1"/>
    <s v="2566.75"/>
    <n v="0.15"/>
    <s v="1614.82"/>
    <s v="566.91999999999996"/>
    <x v="3"/>
    <x v="3"/>
    <s v="Website"/>
    <n v="2181.7374999999902"/>
  </r>
  <r>
    <s v="ORD101520"/>
    <x v="11"/>
    <s v="25-10-2025"/>
    <s v="CUST11098"/>
    <s v="Consumer"/>
    <s v="Telangana"/>
    <x v="16"/>
    <x v="4"/>
    <s v="Football"/>
    <s v="1"/>
    <s v="7219.2"/>
    <n v="0.15"/>
    <s v="4249.87"/>
    <s v="1886.45"/>
    <x v="0"/>
    <x v="0"/>
    <s v="Marketplace"/>
    <n v="6136.32"/>
  </r>
  <r>
    <s v="ORD101522"/>
    <x v="5"/>
    <s v="14-09-2025"/>
    <s v="CUST11832"/>
    <s v="Consumer"/>
    <s v="West Bengal"/>
    <x v="0"/>
    <x v="0"/>
    <s v="Headphones"/>
    <s v="1"/>
    <s v="5624.21"/>
    <n v="0.1"/>
    <s v="4250.63"/>
    <s v="811.16"/>
    <x v="1"/>
    <x v="0"/>
    <s v="Mobile App"/>
    <n v="5061.7889999999998"/>
  </r>
  <r>
    <s v="ORD101523"/>
    <x v="9"/>
    <s v="29-06-2025"/>
    <s v="CUST12113"/>
    <s v="Corporate"/>
    <s v="Telangana"/>
    <x v="14"/>
    <x v="4"/>
    <s v="Cricket Bat"/>
    <s v="2"/>
    <s v="3410.13"/>
    <n v="0.05"/>
    <s v="4036.58"/>
    <s v="2442.67"/>
    <x v="5"/>
    <x v="0"/>
    <s v="Marketplace"/>
    <n v="6479.2470000000003"/>
  </r>
  <r>
    <s v="ORD101524"/>
    <x v="10"/>
    <s v="21-11-2025"/>
    <s v="CUST11721"/>
    <s v="Home Office"/>
    <s v="Delhi"/>
    <x v="7"/>
    <x v="0"/>
    <s v="Smartphone"/>
    <s v="2"/>
    <s v="43885.79"/>
    <n v="0.05"/>
    <s v="61515.93"/>
    <s v="21867.07"/>
    <x v="5"/>
    <x v="3"/>
    <s v="Marketplace"/>
    <n v="83383.001000000004"/>
  </r>
  <r>
    <s v="ORD101525"/>
    <x v="1"/>
    <s v="16-02-2025"/>
    <s v="CUST11503"/>
    <s v="Home Office"/>
    <s v="Gujarat"/>
    <x v="3"/>
    <x v="3"/>
    <s v="Air Fryer"/>
    <s v="3"/>
    <s v="9461.67"/>
    <n v="0.05"/>
    <s v="17857.509999999998"/>
    <s v="9108.25"/>
    <x v="0"/>
    <x v="0"/>
    <s v="Mobile App"/>
    <n v="26965.7595"/>
  </r>
  <r>
    <s v="ORD101526"/>
    <x v="3"/>
    <s v="26-03-2025"/>
    <s v="CUST12121"/>
    <s v="Corporate"/>
    <s v="Gujarat"/>
    <x v="18"/>
    <x v="4"/>
    <s v="Running Shoes"/>
    <s v="3"/>
    <s v="11938.71"/>
    <n v="0.15"/>
    <s v="22809.45"/>
    <s v="7634.26"/>
    <x v="0"/>
    <x v="0"/>
    <s v="Mobile App"/>
    <n v="30443.710499999899"/>
  </r>
  <r>
    <s v="ORD101527"/>
    <x v="1"/>
    <s v="13-02-2025"/>
    <s v="CUST10664"/>
    <s v="Corporate"/>
    <s v="Delhi"/>
    <x v="7"/>
    <x v="2"/>
    <s v="Jeans"/>
    <s v="1"/>
    <s v="5944.68"/>
    <n v="0.1"/>
    <s v="4050.75"/>
    <s v="1299.46"/>
    <x v="5"/>
    <x v="0"/>
    <s v="Website"/>
    <n v="5350.2120000000004"/>
  </r>
  <r>
    <s v="ORD101529"/>
    <x v="3"/>
    <s v="31-03-2025"/>
    <s v="CUST12110"/>
    <s v="Home Office"/>
    <s v="Karnataka"/>
    <x v="17"/>
    <x v="0"/>
    <s v="Tablet"/>
    <s v="1"/>
    <s v="61933.77"/>
    <n v="0.1"/>
    <s v="50646.52"/>
    <s v="5093.87"/>
    <x v="5"/>
    <x v="0"/>
    <s v="Mobile App"/>
    <n v="55740.392999999996"/>
  </r>
  <r>
    <s v="ORD101532"/>
    <x v="8"/>
    <s v="18-08-2025"/>
    <s v="CUST13391"/>
    <s v="Home Office"/>
    <s v="Gujarat"/>
    <x v="10"/>
    <x v="0"/>
    <s v="Smartphone"/>
    <s v="1"/>
    <s v="63982.52"/>
    <n v="0.15"/>
    <s v="46299.3"/>
    <s v="8085.84"/>
    <x v="5"/>
    <x v="1"/>
    <s v="Marketplace"/>
    <n v="54385.141999999898"/>
  </r>
  <r>
    <s v="ORD101533"/>
    <x v="9"/>
    <s v="13-06-2025"/>
    <s v="CUST12216"/>
    <s v="Corporate"/>
    <s v="Tamil Nadu"/>
    <x v="8"/>
    <x v="3"/>
    <s v="Air Fryer"/>
    <s v="3"/>
    <s v="9243.09"/>
    <n v="0"/>
    <s v="15726.16"/>
    <s v="12003.11"/>
    <x v="5"/>
    <x v="0"/>
    <s v="Website"/>
    <n v="27729.27"/>
  </r>
  <r>
    <s v="ORD101534"/>
    <x v="1"/>
    <s v="25-02-2025"/>
    <s v="CUST10770"/>
    <s v="Corporate"/>
    <s v="Kerala"/>
    <x v="6"/>
    <x v="2"/>
    <s v="Jacket"/>
    <s v="2"/>
    <s v="4623.82"/>
    <n v="0.1"/>
    <s v="5403.25"/>
    <s v="2919.63"/>
    <x v="3"/>
    <x v="0"/>
    <s v="Marketplace"/>
    <n v="8322.8760000000002"/>
  </r>
  <r>
    <s v="ORD101535"/>
    <x v="7"/>
    <s v="30-05-2025"/>
    <s v="CUST12221"/>
    <s v="Corporate"/>
    <s v="Karnataka"/>
    <x v="17"/>
    <x v="0"/>
    <s v="Laptop"/>
    <s v="2"/>
    <s v="58729.02"/>
    <n v="0.15"/>
    <s v="92798.49"/>
    <s v="7040.84"/>
    <x v="0"/>
    <x v="0"/>
    <s v="Website"/>
    <n v="99839.333999999901"/>
  </r>
  <r>
    <s v="ORD101536"/>
    <x v="2"/>
    <s v="13-12-2025"/>
    <s v="CUST11579"/>
    <s v="Corporate"/>
    <s v="Telangana"/>
    <x v="14"/>
    <x v="3"/>
    <s v="Mixer Grinder"/>
    <s v="3"/>
    <s v="11208.11"/>
    <n v="0.15"/>
    <s v="20585.169999999998"/>
    <s v="7995.51"/>
    <x v="1"/>
    <x v="0"/>
    <s v="Website"/>
    <n v="28580.680499999999"/>
  </r>
  <r>
    <s v="ORD101537"/>
    <x v="2"/>
    <s v="25-12-2025"/>
    <s v="CUST11819"/>
    <s v="Home Office"/>
    <s v="West Bengal"/>
    <x v="9"/>
    <x v="2"/>
    <s v="T-Shirt"/>
    <s v="2"/>
    <s v="2645.29"/>
    <n v="0.15"/>
    <s v="4018.44"/>
    <s v="478.55"/>
    <x v="2"/>
    <x v="0"/>
    <s v="Mobile App"/>
    <n v="4496.9929999999904"/>
  </r>
  <r>
    <s v="ORD101544"/>
    <x v="10"/>
    <s v="01-11-2025"/>
    <s v="CUST11081"/>
    <s v="Home Office"/>
    <s v="Karnataka"/>
    <x v="22"/>
    <x v="1"/>
    <s v="Shampoo"/>
    <s v="2"/>
    <s v="3019.1"/>
    <n v="0.05"/>
    <s v="4294.49"/>
    <s v="1441.8"/>
    <x v="5"/>
    <x v="2"/>
    <s v="Marketplace"/>
    <n v="5736.29"/>
  </r>
  <r>
    <s v="ORD101546"/>
    <x v="5"/>
    <s v="21-09-2025"/>
    <s v="CUST10970"/>
    <s v="Consumer"/>
    <s v="Gujarat"/>
    <x v="10"/>
    <x v="1"/>
    <s v="Face Cream"/>
    <s v="3"/>
    <s v="883.94"/>
    <n v="0.1"/>
    <s v="1911.99"/>
    <s v="474.65"/>
    <x v="1"/>
    <x v="3"/>
    <s v="Marketplace"/>
    <n v="2386.6379999999999"/>
  </r>
  <r>
    <s v="ORD101547"/>
    <x v="8"/>
    <s v="22-08-2025"/>
    <s v="CUST11647"/>
    <s v="Home Office"/>
    <s v="West Bengal"/>
    <x v="9"/>
    <x v="4"/>
    <s v="Yoga Mat"/>
    <s v="2"/>
    <s v="3432.99"/>
    <n v="0.15"/>
    <s v="4959.47"/>
    <s v="876.61"/>
    <x v="1"/>
    <x v="2"/>
    <s v="Website"/>
    <n v="5836.0829999999996"/>
  </r>
  <r>
    <s v="ORD101550"/>
    <x v="9"/>
    <s v="15-06-2025"/>
    <s v="CUST12537"/>
    <s v="Consumer"/>
    <s v="Maharashtra"/>
    <x v="21"/>
    <x v="1"/>
    <s v="Perfume"/>
    <s v="2"/>
    <s v="1704.53"/>
    <n v="0.1"/>
    <s v="1954.11"/>
    <s v="1114.04"/>
    <x v="3"/>
    <x v="0"/>
    <s v="Mobile App"/>
    <n v="3068.154"/>
  </r>
  <r>
    <s v="ORD101551"/>
    <x v="2"/>
    <s v="25-12-2025"/>
    <s v="CUST10923"/>
    <s v="Home Office"/>
    <s v="Delhi"/>
    <x v="12"/>
    <x v="3"/>
    <s v="Vacuum Cleaner"/>
    <s v="1"/>
    <s v="14745.02"/>
    <n v="0.15"/>
    <s v="11995.79"/>
    <s v="537.48"/>
    <x v="0"/>
    <x v="0"/>
    <s v="Mobile App"/>
    <n v="12533.267"/>
  </r>
  <r>
    <s v="ORD101552"/>
    <x v="6"/>
    <s v="03-07-2025"/>
    <s v="CUST12732"/>
    <s v="Home Office"/>
    <s v="Maharashtra"/>
    <x v="21"/>
    <x v="0"/>
    <s v="Tablet"/>
    <s v="1"/>
    <s v="16449.93"/>
    <n v="0"/>
    <s v="10728.85"/>
    <s v="5721.08"/>
    <x v="1"/>
    <x v="0"/>
    <s v="Mobile App"/>
    <n v="16449.93"/>
  </r>
  <r>
    <s v="ORD101553"/>
    <x v="2"/>
    <s v="11-12-2025"/>
    <s v="CUST12175"/>
    <s v="Home Office"/>
    <s v="Karnataka"/>
    <x v="2"/>
    <x v="0"/>
    <s v="Smartphone"/>
    <s v="1"/>
    <s v="67541.06"/>
    <n v="0.05"/>
    <s v="48433.51"/>
    <s v="15730.5"/>
    <x v="5"/>
    <x v="0"/>
    <s v="Website"/>
    <n v="64164.006999999998"/>
  </r>
  <r>
    <s v="ORD101554"/>
    <x v="3"/>
    <s v="05-03-2025"/>
    <s v="CUST10472"/>
    <s v="Corporate"/>
    <s v="Maharashtra"/>
    <x v="20"/>
    <x v="0"/>
    <s v="Laptop"/>
    <s v="2"/>
    <s v="3778.16"/>
    <n v="0.15"/>
    <s v="4844.22"/>
    <s v="1578.65"/>
    <x v="0"/>
    <x v="0"/>
    <s v="Marketplace"/>
    <n v="6422.8719999999903"/>
  </r>
  <r>
    <s v="ORD101556"/>
    <x v="10"/>
    <s v="12-11-2025"/>
    <s v="CUST10924"/>
    <s v="Corporate"/>
    <s v="Telangana"/>
    <x v="16"/>
    <x v="2"/>
    <s v="Jacket"/>
    <s v="3"/>
    <s v="3669.31"/>
    <n v="0.05"/>
    <s v="8333.2900000000009"/>
    <s v="2124.2399999999998"/>
    <x v="2"/>
    <x v="0"/>
    <s v="Website"/>
    <n v="10457.5335"/>
  </r>
  <r>
    <s v="ORD101557"/>
    <x v="9"/>
    <s v="13-06-2025"/>
    <s v="CUST12955"/>
    <s v="Consumer"/>
    <s v="Maharashtra"/>
    <x v="20"/>
    <x v="0"/>
    <s v="Tablet"/>
    <s v="3"/>
    <s v="46959.4"/>
    <n v="0.1"/>
    <s v="101175.39"/>
    <s v="25614.99"/>
    <x v="3"/>
    <x v="0"/>
    <s v="Website"/>
    <n v="126790.38"/>
  </r>
  <r>
    <s v="ORD101559"/>
    <x v="0"/>
    <s v="11-01-2025"/>
    <s v="CUST12654"/>
    <s v="Corporate"/>
    <s v="Delhi"/>
    <x v="12"/>
    <x v="4"/>
    <s v="Yoga Mat"/>
    <s v="2"/>
    <s v="3606.26"/>
    <n v="0.1"/>
    <s v="5176.1099999999997"/>
    <s v="1315.16"/>
    <x v="5"/>
    <x v="0"/>
    <s v="Website"/>
    <n v="6491.268"/>
  </r>
  <r>
    <s v="ORD101561"/>
    <x v="0"/>
    <s v="20-01-2025"/>
    <s v="CUST10481"/>
    <s v="Consumer"/>
    <s v="Kerala"/>
    <x v="5"/>
    <x v="0"/>
    <s v="Smartphone"/>
    <s v="2"/>
    <s v="50745.54"/>
    <n v="0.05"/>
    <s v="69704.69"/>
    <s v="26711.84"/>
    <x v="1"/>
    <x v="0"/>
    <s v="Website"/>
    <n v="96416.525999999998"/>
  </r>
  <r>
    <s v="ORD101562"/>
    <x v="11"/>
    <s v="13-10-2025"/>
    <s v="CUST11280"/>
    <s v="Consumer"/>
    <s v="Gujarat"/>
    <x v="3"/>
    <x v="2"/>
    <s v="Jeans"/>
    <s v="1"/>
    <s v="4222.0200000000004"/>
    <n v="0.05"/>
    <s v="3263.9"/>
    <s v="747.02"/>
    <x v="0"/>
    <x v="0"/>
    <s v="Marketplace"/>
    <n v="4010.9189999999999"/>
  </r>
  <r>
    <s v="ORD101563"/>
    <x v="0"/>
    <s v="16-01-2025"/>
    <s v="CUST10138"/>
    <s v="Home Office"/>
    <s v="Tamil Nadu"/>
    <x v="1"/>
    <x v="3"/>
    <s v="Coffee Maker"/>
    <s v="1"/>
    <s v="17341.79"/>
    <n v="0.1"/>
    <s v="14034.23"/>
    <s v="1573.38"/>
    <x v="0"/>
    <x v="0"/>
    <s v="Marketplace"/>
    <n v="15607.611000000001"/>
  </r>
  <r>
    <s v="ORD101564"/>
    <x v="9"/>
    <s v="27-06-2025"/>
    <s v="CUST12810"/>
    <s v="Corporate"/>
    <s v="Kerala"/>
    <x v="15"/>
    <x v="0"/>
    <s v="Laptop"/>
    <s v="2"/>
    <s v="26998.33"/>
    <n v="0.15"/>
    <s v="40398.68"/>
    <s v="5498.48"/>
    <x v="1"/>
    <x v="0"/>
    <s v="Website"/>
    <n v="45897.161"/>
  </r>
  <r>
    <s v="ORD101566"/>
    <x v="5"/>
    <s v="11-09-2025"/>
    <s v="CUST11379"/>
    <s v="Consumer"/>
    <s v="Delhi"/>
    <x v="7"/>
    <x v="2"/>
    <s v="Sneakers"/>
    <s v="2"/>
    <s v="5620.84"/>
    <n v="0.15"/>
    <s v="9032.44"/>
    <s v="522.99"/>
    <x v="1"/>
    <x v="0"/>
    <s v="Marketplace"/>
    <n v="9555.4279999999999"/>
  </r>
  <r>
    <s v="ORD101567"/>
    <x v="10"/>
    <s v="15-11-2025"/>
    <s v="CUST11024"/>
    <s v="Consumer"/>
    <s v="West Bengal"/>
    <x v="0"/>
    <x v="2"/>
    <s v="Jacket"/>
    <s v="1"/>
    <s v="5790.27"/>
    <n v="0.1"/>
    <s v="3368.65"/>
    <s v="1842.59"/>
    <x v="0"/>
    <x v="0"/>
    <s v="Mobile App"/>
    <n v="5211.2430000000004"/>
  </r>
  <r>
    <s v="ORD101568"/>
    <x v="2"/>
    <s v="15-12-2025"/>
    <s v="CUST13263"/>
    <s v="Corporate"/>
    <s v="Delhi"/>
    <x v="12"/>
    <x v="0"/>
    <s v="Headphones"/>
    <s v="2"/>
    <s v="52898.34"/>
    <n v="0.1"/>
    <s v="76241.56"/>
    <s v="18975.45"/>
    <x v="1"/>
    <x v="0"/>
    <s v="Marketplace"/>
    <n v="95217.012000000002"/>
  </r>
  <r>
    <s v="ORD101569"/>
    <x v="11"/>
    <s v="16-10-2025"/>
    <s v="CUST13069"/>
    <s v="Corporate"/>
    <s v="Delhi"/>
    <x v="12"/>
    <x v="1"/>
    <s v="Hair Dryer"/>
    <s v="3"/>
    <s v="919.65"/>
    <n v="0.1"/>
    <s v="2045.05"/>
    <s v="438"/>
    <x v="0"/>
    <x v="0"/>
    <s v="Website"/>
    <n v="2483.0549999999998"/>
  </r>
  <r>
    <s v="ORD101570"/>
    <x v="2"/>
    <s v="25-12-2025"/>
    <s v="CUST12400"/>
    <s v="Corporate"/>
    <s v="Delhi"/>
    <x v="12"/>
    <x v="2"/>
    <s v="Sneakers"/>
    <s v="1"/>
    <s v="3308.46"/>
    <n v="0.2"/>
    <s v="2425.13"/>
    <s v="221.64"/>
    <x v="3"/>
    <x v="0"/>
    <s v="Website"/>
    <n v="2646.768"/>
  </r>
  <r>
    <s v="ORD101574"/>
    <x v="5"/>
    <s v="24-09-2025"/>
    <s v="CUST12539"/>
    <s v="Corporate"/>
    <s v="Delhi"/>
    <x v="12"/>
    <x v="1"/>
    <s v="Shampoo"/>
    <s v="1"/>
    <s v="2142.85"/>
    <n v="0.05"/>
    <s v="1706.19"/>
    <s v="329.52"/>
    <x v="2"/>
    <x v="0"/>
    <s v="Website"/>
    <n v="2035.70749999999"/>
  </r>
  <r>
    <s v="ORD101575"/>
    <x v="0"/>
    <s v="04-01-2025"/>
    <s v="CUST10527"/>
    <s v="Corporate"/>
    <s v="Karnataka"/>
    <x v="22"/>
    <x v="0"/>
    <s v="Tablet"/>
    <s v="2"/>
    <s v="51942.13"/>
    <n v="0.1"/>
    <s v="78811.899999999994"/>
    <s v="14683.93"/>
    <x v="1"/>
    <x v="0"/>
    <s v="Website"/>
    <n v="93495.834000000003"/>
  </r>
  <r>
    <s v="ORD101577"/>
    <x v="7"/>
    <s v="02-05-2025"/>
    <s v="CUST12210"/>
    <s v="Corporate"/>
    <s v="Gujarat"/>
    <x v="3"/>
    <x v="3"/>
    <s v="Air Fryer"/>
    <s v="1"/>
    <s v="14412.44"/>
    <n v="0"/>
    <s v="10276.790000000001"/>
    <s v="4135.6499999999996"/>
    <x v="0"/>
    <x v="2"/>
    <s v="Website"/>
    <n v="14412.44"/>
  </r>
  <r>
    <s v="ORD101578"/>
    <x v="8"/>
    <s v="24-08-2025"/>
    <s v="CUST12888"/>
    <s v="Home Office"/>
    <s v="Tamil Nadu"/>
    <x v="11"/>
    <x v="3"/>
    <s v="Mixer Grinder"/>
    <s v="2"/>
    <s v="10614.49"/>
    <n v="0.05"/>
    <s v="12357.42"/>
    <s v="7810.11"/>
    <x v="1"/>
    <x v="3"/>
    <s v="Mobile App"/>
    <n v="20167.530999999999"/>
  </r>
  <r>
    <s v="ORD101583"/>
    <x v="11"/>
    <s v="11-10-2025"/>
    <s v="CUST11025"/>
    <s v="Consumer"/>
    <s v="Tamil Nadu"/>
    <x v="1"/>
    <x v="0"/>
    <s v="Laptop"/>
    <s v="1"/>
    <s v="13298.6"/>
    <n v="0.15"/>
    <s v="7875.92"/>
    <s v="3427.89"/>
    <x v="5"/>
    <x v="0"/>
    <s v="Marketplace"/>
    <n v="11303.81"/>
  </r>
  <r>
    <s v="ORD101585"/>
    <x v="6"/>
    <s v="26-07-2025"/>
    <s v="CUST12882"/>
    <s v="Consumer"/>
    <s v="Gujarat"/>
    <x v="10"/>
    <x v="3"/>
    <s v="Cookware Set"/>
    <s v="2"/>
    <s v="3189.75"/>
    <n v="0.2"/>
    <s v="4020.64"/>
    <s v="1082.96"/>
    <x v="0"/>
    <x v="0"/>
    <s v="Website"/>
    <n v="5103.6000000000004"/>
  </r>
  <r>
    <s v="ORD101586"/>
    <x v="10"/>
    <s v="02-11-2025"/>
    <s v="CUST11035"/>
    <s v="Corporate"/>
    <s v="Gujarat"/>
    <x v="18"/>
    <x v="4"/>
    <s v="Football"/>
    <s v="1"/>
    <s v="8069.1"/>
    <n v="0.1"/>
    <s v="5597.27"/>
    <s v="1664.92"/>
    <x v="1"/>
    <x v="0"/>
    <s v="Mobile App"/>
    <n v="7262.19"/>
  </r>
  <r>
    <s v="ORD101587"/>
    <x v="4"/>
    <s v="29-04-2025"/>
    <s v="CUST10575"/>
    <s v="Consumer"/>
    <s v="West Bengal"/>
    <x v="9"/>
    <x v="0"/>
    <s v="Tablet"/>
    <s v="1"/>
    <s v="55044.71"/>
    <n v="0"/>
    <s v="32086.79"/>
    <s v="22957.919999999998"/>
    <x v="2"/>
    <x v="0"/>
    <s v="Marketplace"/>
    <n v="55044.71"/>
  </r>
  <r>
    <s v="ORD101588"/>
    <x v="2"/>
    <s v="21-12-2025"/>
    <s v="CUST12330"/>
    <s v="Corporate"/>
    <s v="Kerala"/>
    <x v="15"/>
    <x v="2"/>
    <s v="Jeans"/>
    <s v="1"/>
    <s v="1938.75"/>
    <n v="0.05"/>
    <s v="1474.75"/>
    <s v="367.06"/>
    <x v="2"/>
    <x v="0"/>
    <s v="Website"/>
    <n v="1841.8125"/>
  </r>
  <r>
    <s v="ORD101590"/>
    <x v="6"/>
    <s v="29-07-2025"/>
    <s v="CUST10911"/>
    <s v="Home Office"/>
    <s v="Karnataka"/>
    <x v="2"/>
    <x v="3"/>
    <s v="Coffee Maker"/>
    <s v="2"/>
    <s v="16065.31"/>
    <n v="0.05"/>
    <s v="22039.53"/>
    <s v="8484.56"/>
    <x v="1"/>
    <x v="0"/>
    <s v="Website"/>
    <n v="30524.088999999902"/>
  </r>
  <r>
    <s v="ORD101591"/>
    <x v="4"/>
    <s v="11-04-2025"/>
    <s v="CUST10771"/>
    <s v="Home Office"/>
    <s v="Delhi"/>
    <x v="7"/>
    <x v="3"/>
    <s v="Mixer Grinder"/>
    <s v="1"/>
    <s v="13955.55"/>
    <n v="0.05"/>
    <s v="8631.5"/>
    <s v="4626.2700000000004"/>
    <x v="0"/>
    <x v="0"/>
    <s v="Mobile App"/>
    <n v="13257.772499999999"/>
  </r>
  <r>
    <s v="ORD101594"/>
    <x v="2"/>
    <s v="29-12-2025"/>
    <s v="CUST13481"/>
    <s v="Consumer"/>
    <s v="West Bengal"/>
    <x v="0"/>
    <x v="3"/>
    <s v="Cookware Set"/>
    <s v="1"/>
    <s v="11743.92"/>
    <n v="0.05"/>
    <s v="8275.0300000000007"/>
    <s v="2881.69"/>
    <x v="0"/>
    <x v="0"/>
    <s v="Website"/>
    <n v="11156.724"/>
  </r>
  <r>
    <s v="ORD101595"/>
    <x v="4"/>
    <s v="30-04-2025"/>
    <s v="CUST11153"/>
    <s v="Consumer"/>
    <s v="Karnataka"/>
    <x v="17"/>
    <x v="1"/>
    <s v="Lipstick"/>
    <s v="2"/>
    <s v="3497.96"/>
    <n v="0"/>
    <s v="4942.22"/>
    <s v="2053.6999999999998"/>
    <x v="1"/>
    <x v="0"/>
    <s v="Marketplace"/>
    <n v="6995.92"/>
  </r>
  <r>
    <s v="ORD101596"/>
    <x v="9"/>
    <s v="07-06-2025"/>
    <s v="CUST13063"/>
    <s v="Home Office"/>
    <s v="Maharashtra"/>
    <x v="20"/>
    <x v="0"/>
    <s v="Laptop"/>
    <s v="1"/>
    <s v="6173.77"/>
    <n v="0"/>
    <s v="4486.92"/>
    <s v="1686.85"/>
    <x v="0"/>
    <x v="0"/>
    <s v="Marketplace"/>
    <n v="6173.77"/>
  </r>
  <r>
    <s v="ORD101598"/>
    <x v="7"/>
    <s v="31-05-2025"/>
    <s v="CUST10814"/>
    <s v="Home Office"/>
    <s v="Tamil Nadu"/>
    <x v="8"/>
    <x v="2"/>
    <s v="Jacket"/>
    <s v="1"/>
    <s v="5749.84"/>
    <n v="0.15"/>
    <s v="3997.94"/>
    <s v="889.42"/>
    <x v="3"/>
    <x v="2"/>
    <s v="Mobile App"/>
    <n v="4887.3639999999996"/>
  </r>
  <r>
    <s v="ORD101599"/>
    <x v="10"/>
    <s v="24-11-2025"/>
    <s v="CUST12873"/>
    <s v="Consumer"/>
    <s v="Kerala"/>
    <x v="15"/>
    <x v="4"/>
    <s v="Football"/>
    <s v="1"/>
    <s v="1969.25"/>
    <n v="0.1"/>
    <s v="1569.07"/>
    <s v="203.25"/>
    <x v="3"/>
    <x v="3"/>
    <s v="Website"/>
    <n v="1772.325"/>
  </r>
  <r>
    <s v="ORD101600"/>
    <x v="0"/>
    <s v="16-01-2025"/>
    <s v="CUST12801"/>
    <s v="Corporate"/>
    <s v="Gujarat"/>
    <x v="3"/>
    <x v="2"/>
    <s v="Jeans"/>
    <s v="1"/>
    <s v="3702.41"/>
    <n v="0.15"/>
    <s v="2862.25"/>
    <s v="284.8"/>
    <x v="0"/>
    <x v="0"/>
    <s v="Marketplace"/>
    <n v="3147.0484999999999"/>
  </r>
  <r>
    <s v="ORD101601"/>
    <x v="9"/>
    <s v="21-06-2025"/>
    <s v="CUST10621"/>
    <s v="Home Office"/>
    <s v="West Bengal"/>
    <x v="9"/>
    <x v="4"/>
    <s v="Running Shoes"/>
    <s v="1"/>
    <s v="2379.63"/>
    <n v="0.05"/>
    <s v="1691.71"/>
    <s v="568.94000000000005"/>
    <x v="5"/>
    <x v="2"/>
    <s v="Website"/>
    <n v="2260.6484999999998"/>
  </r>
  <r>
    <s v="ORD101602"/>
    <x v="4"/>
    <s v="16-04-2025"/>
    <s v="CUST12070"/>
    <s v="Consumer"/>
    <s v="Telangana"/>
    <x v="16"/>
    <x v="2"/>
    <s v="Jeans"/>
    <s v="1"/>
    <s v="1477.17"/>
    <n v="0.1"/>
    <s v="1021.72"/>
    <s v="307.73"/>
    <x v="0"/>
    <x v="1"/>
    <s v="Website"/>
    <n v="1329.453"/>
  </r>
  <r>
    <s v="ORD101603"/>
    <x v="2"/>
    <s v="01-12-2025"/>
    <s v="CUST10939"/>
    <s v="Home Office"/>
    <s v="West Bengal"/>
    <x v="9"/>
    <x v="4"/>
    <s v="Football"/>
    <s v="1"/>
    <s v="7500.84"/>
    <n v="0.05"/>
    <s v="5252.7"/>
    <s v="1873.1"/>
    <x v="3"/>
    <x v="0"/>
    <s v="Mobile App"/>
    <n v="7125.7979999999998"/>
  </r>
  <r>
    <s v="ORD101604"/>
    <x v="4"/>
    <s v="04-04-2025"/>
    <s v="CUST13254"/>
    <s v="Consumer"/>
    <s v="West Bengal"/>
    <x v="0"/>
    <x v="3"/>
    <s v="Cookware Set"/>
    <s v="1"/>
    <s v="2264.42"/>
    <n v="0"/>
    <s v="1689.3"/>
    <s v="575.12"/>
    <x v="0"/>
    <x v="0"/>
    <s v="Website"/>
    <n v="2264.42"/>
  </r>
  <r>
    <s v="ORD101605"/>
    <x v="11"/>
    <s v="16-10-2025"/>
    <s v="CUST10977"/>
    <s v="Consumer"/>
    <s v="Maharashtra"/>
    <x v="21"/>
    <x v="0"/>
    <s v="Laptop"/>
    <s v="1"/>
    <s v="66133.36"/>
    <n v="0.1"/>
    <s v="51649.599999999999"/>
    <s v="7870.42"/>
    <x v="5"/>
    <x v="0"/>
    <s v="Website"/>
    <n v="59520.023999999998"/>
  </r>
  <r>
    <s v="ORD101607"/>
    <x v="1"/>
    <s v="15-02-2025"/>
    <s v="CUST12603"/>
    <s v="Home Office"/>
    <s v="Delhi"/>
    <x v="12"/>
    <x v="0"/>
    <s v="Laptop"/>
    <s v="1"/>
    <s v="5341.92"/>
    <n v="0"/>
    <s v="3780.05"/>
    <s v="1561.87"/>
    <x v="0"/>
    <x v="0"/>
    <s v="Mobile App"/>
    <n v="5341.92"/>
  </r>
  <r>
    <s v="ORD101608"/>
    <x v="3"/>
    <s v="15-03-2025"/>
    <s v="CUST11828"/>
    <s v="Consumer"/>
    <s v="Karnataka"/>
    <x v="22"/>
    <x v="1"/>
    <s v="Shampoo"/>
    <s v="3"/>
    <s v="4219.91"/>
    <n v="0.15"/>
    <s v="8783.6"/>
    <s v="1977.17"/>
    <x v="1"/>
    <x v="0"/>
    <s v="Mobile App"/>
    <n v="10760.7704999999"/>
  </r>
  <r>
    <s v="ORD101610"/>
    <x v="11"/>
    <s v="26-10-2025"/>
    <s v="CUST10342"/>
    <s v="Consumer"/>
    <s v="Tamil Nadu"/>
    <x v="8"/>
    <x v="2"/>
    <s v="Sneakers"/>
    <s v="4"/>
    <s v="1683.33"/>
    <n v="0"/>
    <s v="4602.21"/>
    <s v="2131.11"/>
    <x v="1"/>
    <x v="0"/>
    <s v="Website"/>
    <n v="6733.32"/>
  </r>
  <r>
    <s v="ORD101612"/>
    <x v="4"/>
    <s v="14-04-2025"/>
    <s v="CUST13035"/>
    <s v="Consumer"/>
    <s v="Kerala"/>
    <x v="6"/>
    <x v="4"/>
    <s v="Fitness Band"/>
    <s v="1"/>
    <s v="3219.88"/>
    <n v="0"/>
    <s v="1929.79"/>
    <s v="1290.0899999999999"/>
    <x v="2"/>
    <x v="0"/>
    <s v="Mobile App"/>
    <n v="3219.88"/>
  </r>
  <r>
    <s v="ORD101613"/>
    <x v="7"/>
    <s v="28-05-2025"/>
    <s v="CUST12588"/>
    <s v="Consumer"/>
    <s v="Karnataka"/>
    <x v="22"/>
    <x v="1"/>
    <s v="Face Cream"/>
    <s v="1"/>
    <s v="351.71"/>
    <n v="0.1"/>
    <s v="262.35000000000002"/>
    <s v="54.19"/>
    <x v="5"/>
    <x v="0"/>
    <s v="Marketplace"/>
    <n v="316.53899999999999"/>
  </r>
  <r>
    <s v="ORD101615"/>
    <x v="4"/>
    <s v="09-04-2025"/>
    <s v="CUST10640"/>
    <s v="Corporate"/>
    <s v="Kerala"/>
    <x v="15"/>
    <x v="0"/>
    <s v="Tablet"/>
    <s v="1"/>
    <s v="18349.490000000002"/>
    <n v="0.05"/>
    <s v="14240.3"/>
    <s v="3191.72"/>
    <x v="1"/>
    <x v="3"/>
    <s v="Website"/>
    <n v="17432.015500000001"/>
  </r>
  <r>
    <s v="ORD101617"/>
    <x v="7"/>
    <s v="09-05-2025"/>
    <s v="CUST10921"/>
    <s v="Consumer"/>
    <s v="Kerala"/>
    <x v="15"/>
    <x v="1"/>
    <s v="Perfume"/>
    <s v="1"/>
    <s v="3966.45"/>
    <n v="0.1"/>
    <s v="2653.84"/>
    <s v="915.96"/>
    <x v="5"/>
    <x v="0"/>
    <s v="Marketplace"/>
    <n v="3569.8049999999998"/>
  </r>
  <r>
    <s v="ORD101618"/>
    <x v="9"/>
    <s v="19-06-2025"/>
    <s v="CUST12007"/>
    <s v="Consumer"/>
    <s v="Kerala"/>
    <x v="6"/>
    <x v="3"/>
    <s v="Coffee Maker"/>
    <s v="1"/>
    <s v="6428.75"/>
    <n v="0"/>
    <s v="4094.95"/>
    <s v="2333.8000000000002"/>
    <x v="3"/>
    <x v="0"/>
    <s v="Marketplace"/>
    <n v="6428.75"/>
  </r>
  <r>
    <s v="ORD101622"/>
    <x v="10"/>
    <s v="30-11-2025"/>
    <s v="CUST12390"/>
    <s v="Consumer"/>
    <s v="Telangana"/>
    <x v="14"/>
    <x v="1"/>
    <s v="Lipstick"/>
    <s v="1"/>
    <s v="4721.7299999999996"/>
    <n v="0.1"/>
    <s v="3774.16"/>
    <s v="475.4"/>
    <x v="1"/>
    <x v="0"/>
    <s v="Marketplace"/>
    <n v="4249.5569999999998"/>
  </r>
  <r>
    <s v="ORD101623"/>
    <x v="4"/>
    <s v="28-04-2025"/>
    <s v="CUST10628"/>
    <s v="Home Office"/>
    <s v="Maharashtra"/>
    <x v="21"/>
    <x v="2"/>
    <s v="Handbag"/>
    <s v="4"/>
    <s v="3078.86"/>
    <n v="0.1"/>
    <s v="8913.3700000000008"/>
    <s v="2170.5300000000002"/>
    <x v="1"/>
    <x v="0"/>
    <s v="Mobile App"/>
    <n v="11083.896000000001"/>
  </r>
  <r>
    <s v="ORD101625"/>
    <x v="0"/>
    <s v="15-01-2025"/>
    <s v="CUST11402"/>
    <s v="Corporate"/>
    <s v="Gujarat"/>
    <x v="18"/>
    <x v="1"/>
    <s v="Shampoo"/>
    <s v="2"/>
    <s v="4573.12"/>
    <n v="0"/>
    <s v="5969.36"/>
    <s v="3176.88"/>
    <x v="5"/>
    <x v="0"/>
    <s v="Mobile App"/>
    <n v="9146.24"/>
  </r>
  <r>
    <s v="ORD101626"/>
    <x v="4"/>
    <s v="03-04-2025"/>
    <s v="CUST10809"/>
    <s v="Corporate"/>
    <s v="Telangana"/>
    <x v="14"/>
    <x v="2"/>
    <s v="Sneakers"/>
    <s v="1"/>
    <s v="884.46"/>
    <n v="0.05"/>
    <s v="656.66"/>
    <s v="183.58"/>
    <x v="2"/>
    <x v="0"/>
    <s v="Website"/>
    <n v="840.23699999999997"/>
  </r>
  <r>
    <s v="ORD101627"/>
    <x v="0"/>
    <s v="13-01-2025"/>
    <s v="CUST12293"/>
    <s v="Home Office"/>
    <s v="Delhi"/>
    <x v="12"/>
    <x v="2"/>
    <s v="Sneakers"/>
    <s v="1"/>
    <s v="6908.97"/>
    <n v="0.1"/>
    <s v="5614.35"/>
    <s v="603.72"/>
    <x v="1"/>
    <x v="0"/>
    <s v="Mobile App"/>
    <n v="6218.0730000000003"/>
  </r>
  <r>
    <s v="ORD101628"/>
    <x v="1"/>
    <s v="25-02-2025"/>
    <s v="CUST10564"/>
    <s v="Home Office"/>
    <s v="West Bengal"/>
    <x v="0"/>
    <x v="1"/>
    <s v="Lipstick"/>
    <s v="2"/>
    <s v="5532.66"/>
    <n v="0"/>
    <s v="6206.6"/>
    <s v="4858.72"/>
    <x v="5"/>
    <x v="0"/>
    <s v="Mobile App"/>
    <n v="11065.32"/>
  </r>
  <r>
    <s v="ORD101629"/>
    <x v="6"/>
    <s v="28-07-2025"/>
    <s v="CUST13260"/>
    <s v="Home Office"/>
    <s v="Delhi"/>
    <x v="12"/>
    <x v="3"/>
    <s v="Mixer Grinder"/>
    <s v="1"/>
    <s v="7609.74"/>
    <n v="0.05"/>
    <s v="6097.8"/>
    <s v="1131.45"/>
    <x v="2"/>
    <x v="0"/>
    <s v="Mobile App"/>
    <n v="7229.2529999999997"/>
  </r>
  <r>
    <s v="ORD101630"/>
    <x v="8"/>
    <s v="31-08-2025"/>
    <s v="CUST11135"/>
    <s v="Home Office"/>
    <s v="Gujarat"/>
    <x v="18"/>
    <x v="3"/>
    <s v="Vacuum Cleaner"/>
    <s v="1"/>
    <s v="14091.96"/>
    <n v="0.15"/>
    <s v="10616.07"/>
    <s v="1362.1"/>
    <x v="2"/>
    <x v="3"/>
    <s v="Marketplace"/>
    <n v="11978.165999999999"/>
  </r>
  <r>
    <s v="ORD101632"/>
    <x v="3"/>
    <s v="19-03-2025"/>
    <s v="CUST11320"/>
    <s v="Consumer"/>
    <s v="Delhi"/>
    <x v="7"/>
    <x v="0"/>
    <s v="Tablet"/>
    <s v="1"/>
    <s v="10580.12"/>
    <n v="0.1"/>
    <s v="7253.5"/>
    <s v="2268.61"/>
    <x v="1"/>
    <x v="2"/>
    <s v="Marketplace"/>
    <n v="9522.1080000000002"/>
  </r>
  <r>
    <s v="ORD101633"/>
    <x v="10"/>
    <s v="05-11-2025"/>
    <s v="CUST10133"/>
    <s v="Home Office"/>
    <s v="Kerala"/>
    <x v="15"/>
    <x v="1"/>
    <s v="Shampoo"/>
    <s v="3"/>
    <s v="291.52999999999997"/>
    <n v="0"/>
    <s v="698.91"/>
    <s v="175.68"/>
    <x v="2"/>
    <x v="0"/>
    <s v="Marketplace"/>
    <n v="874.58999999999901"/>
  </r>
  <r>
    <s v="ORD101634"/>
    <x v="10"/>
    <s v="26-11-2025"/>
    <s v="CUST10820"/>
    <s v="Corporate"/>
    <s v="Maharashtra"/>
    <x v="21"/>
    <x v="4"/>
    <s v="Football"/>
    <s v="1"/>
    <s v="5955.83"/>
    <n v="0.1"/>
    <s v="3547.82"/>
    <s v="1812.43"/>
    <x v="1"/>
    <x v="1"/>
    <s v="Marketplace"/>
    <n v="5360.2470000000003"/>
  </r>
  <r>
    <s v="ORD101636"/>
    <x v="3"/>
    <s v="09-03-2025"/>
    <s v="CUST13431"/>
    <s v="Consumer"/>
    <s v="Karnataka"/>
    <x v="2"/>
    <x v="2"/>
    <s v="Jeans"/>
    <s v="2"/>
    <s v="4891.79"/>
    <n v="0"/>
    <s v="7051.86"/>
    <s v="2731.72"/>
    <x v="0"/>
    <x v="0"/>
    <s v="Website"/>
    <n v="9783.58"/>
  </r>
  <r>
    <s v="ORD101638"/>
    <x v="2"/>
    <s v="03-12-2025"/>
    <s v="CUST12393"/>
    <s v="Home Office"/>
    <s v="Delhi"/>
    <x v="12"/>
    <x v="3"/>
    <s v="Mixer Grinder"/>
    <s v="1"/>
    <s v="11118.39"/>
    <n v="0.1"/>
    <s v="6339.87"/>
    <s v="3666.68"/>
    <x v="0"/>
    <x v="0"/>
    <s v="Mobile App"/>
    <n v="10006.550999999999"/>
  </r>
  <r>
    <s v="ORD101639"/>
    <x v="4"/>
    <s v="05-04-2025"/>
    <s v="CUST12710"/>
    <s v="Corporate"/>
    <s v="West Bengal"/>
    <x v="0"/>
    <x v="0"/>
    <s v="Smartwatch"/>
    <s v="1"/>
    <s v="56833.54"/>
    <n v="0.05"/>
    <s v="32054.75"/>
    <s v="21937.11"/>
    <x v="3"/>
    <x v="0"/>
    <s v="Mobile App"/>
    <n v="53991.862999999998"/>
  </r>
  <r>
    <s v="ORD101640"/>
    <x v="5"/>
    <s v="13-09-2025"/>
    <s v="CUST13338"/>
    <s v="Consumer"/>
    <s v="Delhi"/>
    <x v="7"/>
    <x v="2"/>
    <s v="Jacket"/>
    <s v="1"/>
    <s v="6089.45"/>
    <n v="0.15"/>
    <s v="4762.08"/>
    <s v="413.95"/>
    <x v="1"/>
    <x v="0"/>
    <s v="Website"/>
    <n v="5176.0324999999903"/>
  </r>
  <r>
    <s v="ORD101641"/>
    <x v="5"/>
    <s v="28-09-2025"/>
    <s v="CUST11779"/>
    <s v="Corporate"/>
    <s v="Tamil Nadu"/>
    <x v="8"/>
    <x v="2"/>
    <s v="Jacket"/>
    <s v="1"/>
    <s v="1178.81"/>
    <n v="0.15"/>
    <s v="956.17"/>
    <s v="45.82"/>
    <x v="1"/>
    <x v="0"/>
    <s v="Website"/>
    <n v="1001.98849999999"/>
  </r>
  <r>
    <s v="ORD101642"/>
    <x v="1"/>
    <s v="05-02-2025"/>
    <s v="CUST10600"/>
    <s v="Home Office"/>
    <s v="Maharashtra"/>
    <x v="4"/>
    <x v="4"/>
    <s v="Running Shoes"/>
    <s v="1"/>
    <s v="9775.4500000000007"/>
    <n v="0.1"/>
    <s v="7459.15"/>
    <s v="1338.76"/>
    <x v="5"/>
    <x v="0"/>
    <s v="Marketplace"/>
    <n v="8797.9050000000007"/>
  </r>
  <r>
    <s v="ORD101645"/>
    <x v="2"/>
    <s v="24-12-2025"/>
    <s v="CUST10938"/>
    <s v="Home Office"/>
    <s v="Karnataka"/>
    <x v="2"/>
    <x v="1"/>
    <s v="Face Cream"/>
    <s v="1"/>
    <s v="3657.47"/>
    <n v="0.1"/>
    <s v="2444.0500000000002"/>
    <s v="847.67"/>
    <x v="3"/>
    <x v="2"/>
    <s v="Mobile App"/>
    <n v="3291.723"/>
  </r>
  <r>
    <s v="ORD101646"/>
    <x v="11"/>
    <s v="01-10-2025"/>
    <s v="CUST13211"/>
    <s v="Corporate"/>
    <s v="Delhi"/>
    <x v="12"/>
    <x v="2"/>
    <s v="Handbag"/>
    <s v="1"/>
    <s v="2947.52"/>
    <n v="0.1"/>
    <s v="1787.93"/>
    <s v="864.84"/>
    <x v="2"/>
    <x v="0"/>
    <s v="Mobile App"/>
    <n v="2652.768"/>
  </r>
  <r>
    <s v="ORD101650"/>
    <x v="7"/>
    <s v="03-05-2025"/>
    <s v="CUST10687"/>
    <s v="Home Office"/>
    <s v="Tamil Nadu"/>
    <x v="1"/>
    <x v="0"/>
    <s v="Tablet"/>
    <s v="4"/>
    <s v="3523.74"/>
    <n v="0.05"/>
    <s v="11481.22"/>
    <s v="1908.99"/>
    <x v="1"/>
    <x v="0"/>
    <s v="Mobile App"/>
    <n v="13390.211999999899"/>
  </r>
  <r>
    <s v="ORD101652"/>
    <x v="10"/>
    <s v="16-11-2025"/>
    <s v="CUST12302"/>
    <s v="Home Office"/>
    <s v="Gujarat"/>
    <x v="10"/>
    <x v="4"/>
    <s v="Cricket Bat"/>
    <s v="1"/>
    <s v="11099.19"/>
    <n v="0.1"/>
    <s v="8506.86"/>
    <s v="1482.41"/>
    <x v="2"/>
    <x v="3"/>
    <s v="Marketplace"/>
    <n v="9989.2710000000006"/>
  </r>
  <r>
    <s v="ORD101654"/>
    <x v="5"/>
    <s v="26-09-2025"/>
    <s v="CUST13010"/>
    <s v="Corporate"/>
    <s v="Gujarat"/>
    <x v="18"/>
    <x v="2"/>
    <s v="Jacket"/>
    <s v="1"/>
    <s v="1695.8"/>
    <n v="0.1"/>
    <s v="1258.44"/>
    <s v="267.77999999999997"/>
    <x v="1"/>
    <x v="0"/>
    <s v="Mobile App"/>
    <n v="1526.22"/>
  </r>
  <r>
    <s v="ORD101656"/>
    <x v="8"/>
    <s v="07-08-2025"/>
    <s v="CUST10126"/>
    <s v="Corporate"/>
    <s v="Maharashtra"/>
    <x v="21"/>
    <x v="0"/>
    <s v="Tablet"/>
    <s v="3"/>
    <s v="36661.480000000003"/>
    <n v="0.15"/>
    <s v="81010.37"/>
    <s v="12476.4"/>
    <x v="0"/>
    <x v="0"/>
    <s v="Marketplace"/>
    <n v="93486.774000000005"/>
  </r>
  <r>
    <s v="ORD101658"/>
    <x v="5"/>
    <s v="05-09-2025"/>
    <s v="CUST13326"/>
    <s v="Corporate"/>
    <s v="Karnataka"/>
    <x v="2"/>
    <x v="3"/>
    <s v="Air Fryer"/>
    <s v="2"/>
    <s v="13943.29"/>
    <n v="0.05"/>
    <s v="18327"/>
    <s v="8165.25"/>
    <x v="1"/>
    <x v="0"/>
    <s v="Mobile App"/>
    <n v="26492.251"/>
  </r>
  <r>
    <s v="ORD101659"/>
    <x v="5"/>
    <s v="05-09-2025"/>
    <s v="CUST12659"/>
    <s v="Home Office"/>
    <s v="Maharashtra"/>
    <x v="20"/>
    <x v="0"/>
    <s v="Smartphone"/>
    <s v="1"/>
    <s v="19195.009999999998"/>
    <n v="0.05"/>
    <s v="14259.79"/>
    <s v="3975.47"/>
    <x v="2"/>
    <x v="2"/>
    <s v="Website"/>
    <n v="18235.259499999898"/>
  </r>
  <r>
    <s v="ORD101661"/>
    <x v="9"/>
    <s v="28-06-2025"/>
    <s v="CUST13054"/>
    <s v="Corporate"/>
    <s v="Delhi"/>
    <x v="12"/>
    <x v="1"/>
    <s v="Hair Dryer"/>
    <s v="2"/>
    <s v="4800.7700000000004"/>
    <n v="0.15"/>
    <s v="6783.97"/>
    <s v="1377.34"/>
    <x v="2"/>
    <x v="0"/>
    <s v="Mobile App"/>
    <n v="8161.3090000000002"/>
  </r>
  <r>
    <s v="ORD101663"/>
    <x v="1"/>
    <s v="15-02-2025"/>
    <s v="CUST12495"/>
    <s v="Consumer"/>
    <s v="Gujarat"/>
    <x v="18"/>
    <x v="3"/>
    <s v="Mixer Grinder"/>
    <s v="3"/>
    <s v="12177.42"/>
    <n v="0.15"/>
    <s v="26838.02"/>
    <s v="4214.3999999999996"/>
    <x v="2"/>
    <x v="0"/>
    <s v="Marketplace"/>
    <n v="31052.420999999998"/>
  </r>
  <r>
    <s v="ORD101669"/>
    <x v="5"/>
    <s v="26-09-2025"/>
    <s v="CUST11864"/>
    <s v="Home Office"/>
    <s v="Maharashtra"/>
    <x v="21"/>
    <x v="2"/>
    <s v="T-Shirt"/>
    <s v="3"/>
    <s v="4338.7700000000004"/>
    <n v="0.1"/>
    <s v="9096.17"/>
    <s v="2618.5100000000002"/>
    <x v="3"/>
    <x v="0"/>
    <s v="Marketplace"/>
    <n v="11714.679"/>
  </r>
  <r>
    <s v="ORD101670"/>
    <x v="5"/>
    <s v="12-09-2025"/>
    <s v="CUST13050"/>
    <s v="Consumer"/>
    <s v="West Bengal"/>
    <x v="0"/>
    <x v="3"/>
    <s v="Cookware Set"/>
    <s v="1"/>
    <s v="16668.740000000002"/>
    <n v="0.1"/>
    <s v="12848.29"/>
    <s v="2153.58"/>
    <x v="0"/>
    <x v="0"/>
    <s v="Website"/>
    <n v="15001.866"/>
  </r>
  <r>
    <s v="ORD101671"/>
    <x v="6"/>
    <s v="17-07-2025"/>
    <s v="CUST11239"/>
    <s v="Consumer"/>
    <s v="Telangana"/>
    <x v="14"/>
    <x v="2"/>
    <s v="Jeans"/>
    <s v="2"/>
    <s v="4326.01"/>
    <n v="0.05"/>
    <s v="5554.97"/>
    <s v="2664.45"/>
    <x v="2"/>
    <x v="0"/>
    <s v="Website"/>
    <n v="8219.4189999999999"/>
  </r>
  <r>
    <s v="ORD101672"/>
    <x v="6"/>
    <s v="04-07-2025"/>
    <s v="CUST12424"/>
    <s v="Corporate"/>
    <s v="West Bengal"/>
    <x v="0"/>
    <x v="4"/>
    <s v="Yoga Mat"/>
    <s v="2"/>
    <s v="11141.92"/>
    <n v="0"/>
    <s v="18045"/>
    <s v="4238.84"/>
    <x v="2"/>
    <x v="0"/>
    <s v="Website"/>
    <n v="22283.84"/>
  </r>
  <r>
    <s v="ORD101674"/>
    <x v="1"/>
    <s v="21-02-2025"/>
    <s v="CUST12369"/>
    <s v="Home Office"/>
    <s v="Maharashtra"/>
    <x v="21"/>
    <x v="0"/>
    <s v="Headphones"/>
    <s v="2"/>
    <s v="26263.87"/>
    <n v="0.2"/>
    <s v="40671.17"/>
    <s v="1351.02"/>
    <x v="1"/>
    <x v="0"/>
    <s v="Website"/>
    <n v="42022.192000000003"/>
  </r>
  <r>
    <s v="ORD101676"/>
    <x v="8"/>
    <s v="29-08-2025"/>
    <s v="CUST11385"/>
    <s v="Corporate"/>
    <s v="West Bengal"/>
    <x v="0"/>
    <x v="2"/>
    <s v="T-Shirt"/>
    <s v="1"/>
    <s v="1385.81"/>
    <n v="0.1"/>
    <s v="770.56"/>
    <s v="476.67"/>
    <x v="5"/>
    <x v="0"/>
    <s v="Mobile App"/>
    <n v="1247.229"/>
  </r>
  <r>
    <s v="ORD101677"/>
    <x v="5"/>
    <s v="02-09-2025"/>
    <s v="CUST10018"/>
    <s v="Home Office"/>
    <s v="Telangana"/>
    <x v="14"/>
    <x v="0"/>
    <s v="Tablet"/>
    <s v="1"/>
    <s v="47723.93"/>
    <n v="0.15"/>
    <s v="26549.55"/>
    <s v="14015.79"/>
    <x v="0"/>
    <x v="0"/>
    <s v="Website"/>
    <n v="40565.340499999998"/>
  </r>
  <r>
    <s v="ORD101678"/>
    <x v="3"/>
    <s v="03-03-2025"/>
    <s v="CUST13320"/>
    <s v="Consumer"/>
    <s v="Telangana"/>
    <x v="16"/>
    <x v="1"/>
    <s v="Lipstick"/>
    <s v="1"/>
    <s v="4132.16"/>
    <n v="0"/>
    <s v="2382.59"/>
    <s v="1749.57"/>
    <x v="1"/>
    <x v="1"/>
    <s v="Mobile App"/>
    <n v="4132.16"/>
  </r>
  <r>
    <s v="ORD101681"/>
    <x v="4"/>
    <s v="08-04-2025"/>
    <s v="CUST12806"/>
    <s v="Consumer"/>
    <s v="Karnataka"/>
    <x v="2"/>
    <x v="0"/>
    <s v="Smartphone"/>
    <s v="1"/>
    <s v="7019.38"/>
    <n v="0.15"/>
    <s v="4923.25"/>
    <s v="1043.22"/>
    <x v="3"/>
    <x v="0"/>
    <s v="Mobile App"/>
    <n v="5966.473"/>
  </r>
  <r>
    <s v="ORD101683"/>
    <x v="10"/>
    <s v="23-11-2025"/>
    <s v="CUST12011"/>
    <s v="Corporate"/>
    <s v="Telangana"/>
    <x v="16"/>
    <x v="3"/>
    <s v="Mixer Grinder"/>
    <s v="1"/>
    <s v="7159.26"/>
    <n v="0.15"/>
    <s v="5806.69"/>
    <s v="278.68"/>
    <x v="3"/>
    <x v="0"/>
    <s v="Mobile App"/>
    <n v="6085.3710000000001"/>
  </r>
  <r>
    <s v="ORD101686"/>
    <x v="0"/>
    <s v="27-01-2025"/>
    <s v="CUST10722"/>
    <s v="Consumer"/>
    <s v="Delhi"/>
    <x v="7"/>
    <x v="3"/>
    <s v="Vacuum Cleaner"/>
    <s v="2"/>
    <s v="1684.79"/>
    <n v="0.2"/>
    <s v="2131.66"/>
    <s v="564"/>
    <x v="2"/>
    <x v="0"/>
    <s v="Website"/>
    <n v="2695.6640000000002"/>
  </r>
  <r>
    <s v="ORD101687"/>
    <x v="2"/>
    <s v="16-12-2025"/>
    <s v="CUST11113"/>
    <s v="Corporate"/>
    <s v="Telangana"/>
    <x v="16"/>
    <x v="4"/>
    <s v="Cricket Bat"/>
    <s v="3"/>
    <s v="7419.03"/>
    <n v="0.1"/>
    <s v="15688.94"/>
    <s v="4342.4399999999996"/>
    <x v="1"/>
    <x v="2"/>
    <s v="Website"/>
    <n v="20031.381000000001"/>
  </r>
  <r>
    <s v="ORD101688"/>
    <x v="9"/>
    <s v="04-06-2025"/>
    <s v="CUST11158"/>
    <s v="Home Office"/>
    <s v="Kerala"/>
    <x v="15"/>
    <x v="1"/>
    <s v="Shampoo"/>
    <s v="3"/>
    <s v="4502.24"/>
    <n v="0"/>
    <s v="9672.4599999999991"/>
    <s v="3834.26"/>
    <x v="3"/>
    <x v="0"/>
    <s v="Website"/>
    <n v="13506.72"/>
  </r>
  <r>
    <s v="ORD101691"/>
    <x v="1"/>
    <s v="28-02-2025"/>
    <s v="CUST13204"/>
    <s v="Home Office"/>
    <s v="Telangana"/>
    <x v="14"/>
    <x v="3"/>
    <s v="Coffee Maker"/>
    <s v="2"/>
    <s v="15564.24"/>
    <n v="0.15"/>
    <s v="19424.86"/>
    <s v="7034.35"/>
    <x v="2"/>
    <x v="0"/>
    <s v="Website"/>
    <n v="26459.207999999999"/>
  </r>
  <r>
    <s v="ORD101692"/>
    <x v="10"/>
    <s v="17-11-2025"/>
    <s v="CUST10516"/>
    <s v="Home Office"/>
    <s v="West Bengal"/>
    <x v="9"/>
    <x v="2"/>
    <s v="Jacket"/>
    <s v="1"/>
    <s v="2723.39"/>
    <n v="0.15"/>
    <s v="1712.83"/>
    <s v="602.04999999999995"/>
    <x v="1"/>
    <x v="0"/>
    <s v="Marketplace"/>
    <n v="2314.8815"/>
  </r>
  <r>
    <s v="ORD101695"/>
    <x v="4"/>
    <s v="05-04-2025"/>
    <s v="CUST13183"/>
    <s v="Consumer"/>
    <s v="Maharashtra"/>
    <x v="20"/>
    <x v="2"/>
    <s v="Handbag"/>
    <s v="2"/>
    <s v="4638.33"/>
    <n v="0.15"/>
    <s v="6037.87"/>
    <s v="1847.29"/>
    <x v="3"/>
    <x v="0"/>
    <s v="Mobile App"/>
    <n v="7885.1610000000001"/>
  </r>
  <r>
    <s v="ORD101699"/>
    <x v="2"/>
    <s v="02-12-2025"/>
    <s v="CUST11717"/>
    <s v="Corporate"/>
    <s v="Karnataka"/>
    <x v="2"/>
    <x v="1"/>
    <s v="Shampoo"/>
    <s v="1"/>
    <s v="4089.08"/>
    <n v="0.1"/>
    <s v="2788.69"/>
    <s v="891.48"/>
    <x v="2"/>
    <x v="0"/>
    <s v="Website"/>
    <n v="3680.172"/>
  </r>
  <r>
    <s v="ORD101700"/>
    <x v="11"/>
    <s v="10-10-2025"/>
    <s v="CUST10959"/>
    <s v="Consumer"/>
    <s v="Kerala"/>
    <x v="5"/>
    <x v="2"/>
    <s v="Sneakers"/>
    <s v="2"/>
    <s v="6515.31"/>
    <n v="0.2"/>
    <s v="8764.9500000000007"/>
    <s v="1659.55"/>
    <x v="1"/>
    <x v="2"/>
    <s v="Website"/>
    <n v="10424.495999999999"/>
  </r>
  <r>
    <s v="ORD101701"/>
    <x v="8"/>
    <s v="31-08-2025"/>
    <s v="CUST13008"/>
    <s v="Corporate"/>
    <s v="Telangana"/>
    <x v="14"/>
    <x v="3"/>
    <s v="Vacuum Cleaner"/>
    <s v="1"/>
    <s v="13126.64"/>
    <n v="0"/>
    <s v="8221.5"/>
    <s v="4905.1400000000003"/>
    <x v="5"/>
    <x v="1"/>
    <s v="Marketplace"/>
    <n v="13126.64"/>
  </r>
  <r>
    <s v="ORD101704"/>
    <x v="11"/>
    <s v="24-10-2025"/>
    <s v="CUST12282"/>
    <s v="Corporate"/>
    <s v="Tamil Nadu"/>
    <x v="13"/>
    <x v="2"/>
    <s v="Handbag"/>
    <s v="1"/>
    <s v="642.21"/>
    <n v="0.15"/>
    <s v="479.25"/>
    <s v="66.63"/>
    <x v="3"/>
    <x v="0"/>
    <s v="Marketplace"/>
    <n v="545.87850000000003"/>
  </r>
  <r>
    <s v="ORD101708"/>
    <x v="2"/>
    <s v="22-12-2025"/>
    <s v="CUST13308"/>
    <s v="Home Office"/>
    <s v="Tamil Nadu"/>
    <x v="8"/>
    <x v="0"/>
    <s v="Laptop"/>
    <s v="3"/>
    <s v="1865.6"/>
    <n v="0.1"/>
    <s v="4426.03"/>
    <s v="611.09"/>
    <x v="5"/>
    <x v="0"/>
    <s v="Mobile App"/>
    <n v="5037.12"/>
  </r>
  <r>
    <s v="ORD101709"/>
    <x v="10"/>
    <s v="06-11-2025"/>
    <s v="CUST10249"/>
    <s v="Corporate"/>
    <s v="Delhi"/>
    <x v="7"/>
    <x v="0"/>
    <s v="Laptop"/>
    <s v="1"/>
    <s v="67382.44"/>
    <n v="0.1"/>
    <s v="55013.760000000002"/>
    <s v="5630.44"/>
    <x v="5"/>
    <x v="2"/>
    <s v="Website"/>
    <n v="60644.196000000004"/>
  </r>
  <r>
    <s v="ORD101710"/>
    <x v="7"/>
    <s v="23-05-2025"/>
    <s v="CUST11981"/>
    <s v="Corporate"/>
    <s v="Delhi"/>
    <x v="12"/>
    <x v="4"/>
    <s v="Fitness Band"/>
    <s v="1"/>
    <s v="2261.85"/>
    <n v="0.1"/>
    <s v="1284.24"/>
    <s v="751.42"/>
    <x v="1"/>
    <x v="1"/>
    <s v="Mobile App"/>
    <n v="2035.665"/>
  </r>
  <r>
    <s v="ORD101711"/>
    <x v="4"/>
    <s v="17-04-2025"/>
    <s v="CUST11299"/>
    <s v="Home Office"/>
    <s v="Karnataka"/>
    <x v="22"/>
    <x v="3"/>
    <s v="Cookware Set"/>
    <s v="2"/>
    <s v="7396.73"/>
    <n v="0.05"/>
    <s v="12015.13"/>
    <s v="2038.66"/>
    <x v="5"/>
    <x v="0"/>
    <s v="Mobile App"/>
    <n v="14053.7869999999"/>
  </r>
  <r>
    <s v="ORD101714"/>
    <x v="1"/>
    <s v="02-02-2025"/>
    <s v="CUST13118"/>
    <s v="Corporate"/>
    <s v="Karnataka"/>
    <x v="17"/>
    <x v="0"/>
    <s v="Smartphone"/>
    <s v="1"/>
    <s v="68947.350000000006"/>
    <n v="0.1"/>
    <s v="47853.47"/>
    <s v="14199.15"/>
    <x v="2"/>
    <x v="0"/>
    <s v="Website"/>
    <n v="62052.614999999998"/>
  </r>
  <r>
    <s v="ORD101715"/>
    <x v="5"/>
    <s v="27-09-2025"/>
    <s v="CUST10210"/>
    <s v="Home Office"/>
    <s v="Tamil Nadu"/>
    <x v="8"/>
    <x v="0"/>
    <s v="Laptop"/>
    <s v="4"/>
    <s v="60065.85"/>
    <n v="0.15"/>
    <s v="149690.96"/>
    <s v="54532.93"/>
    <x v="1"/>
    <x v="0"/>
    <s v="Marketplace"/>
    <n v="204223.889999999"/>
  </r>
  <r>
    <s v="ORD101716"/>
    <x v="9"/>
    <s v="06-06-2025"/>
    <s v="CUST12263"/>
    <s v="Corporate"/>
    <s v="Karnataka"/>
    <x v="17"/>
    <x v="2"/>
    <s v="Handbag"/>
    <s v="2"/>
    <s v="2512.69"/>
    <n v="0.05"/>
    <s v="3116.79"/>
    <s v="1657.32"/>
    <x v="3"/>
    <x v="0"/>
    <s v="Mobile App"/>
    <n v="4774.1109999999999"/>
  </r>
  <r>
    <s v="ORD101717"/>
    <x v="9"/>
    <s v="26-06-2025"/>
    <s v="CUST10706"/>
    <s v="Home Office"/>
    <s v="Gujarat"/>
    <x v="3"/>
    <x v="0"/>
    <s v="Smartphone"/>
    <s v="2"/>
    <s v="11150.39"/>
    <n v="0"/>
    <s v="13193.87"/>
    <s v="9106.91"/>
    <x v="1"/>
    <x v="3"/>
    <s v="Marketplace"/>
    <n v="22300.78"/>
  </r>
  <r>
    <s v="ORD101718"/>
    <x v="6"/>
    <s v="30-07-2025"/>
    <s v="CUST12456"/>
    <s v="Corporate"/>
    <s v="Telangana"/>
    <x v="16"/>
    <x v="3"/>
    <s v="Air Fryer"/>
    <s v="2"/>
    <s v="13715.95"/>
    <n v="0"/>
    <s v="16831.560000000001"/>
    <s v="10600.34"/>
    <x v="3"/>
    <x v="0"/>
    <s v="Website"/>
    <n v="27431.9"/>
  </r>
  <r>
    <s v="ORD101720"/>
    <x v="3"/>
    <s v="28-03-2025"/>
    <s v="CUST10913"/>
    <s v="Home Office"/>
    <s v="Gujarat"/>
    <x v="18"/>
    <x v="3"/>
    <s v="Vacuum Cleaner"/>
    <s v="1"/>
    <s v="2183.7800000000002"/>
    <n v="0.15"/>
    <s v="1604.14"/>
    <s v="252.07"/>
    <x v="4"/>
    <x v="2"/>
    <s v="Marketplace"/>
    <n v="1856.213"/>
  </r>
  <r>
    <s v="ORD101721"/>
    <x v="11"/>
    <s v="08-10-2025"/>
    <s v="CUST12984"/>
    <s v="Home Office"/>
    <s v="Gujarat"/>
    <x v="10"/>
    <x v="2"/>
    <s v="Handbag"/>
    <s v="1"/>
    <s v="6705.05"/>
    <n v="0.15"/>
    <s v="4271"/>
    <s v="1428.29"/>
    <x v="2"/>
    <x v="0"/>
    <s v="Marketplace"/>
    <n v="5699.2924999999996"/>
  </r>
  <r>
    <s v="ORD101725"/>
    <x v="4"/>
    <s v="08-04-2025"/>
    <s v="CUST12417"/>
    <s v="Consumer"/>
    <s v="Karnataka"/>
    <x v="2"/>
    <x v="0"/>
    <s v="Laptop"/>
    <s v="1"/>
    <s v="4478.07"/>
    <n v="0.1"/>
    <s v="3271.09"/>
    <s v="759.17"/>
    <x v="5"/>
    <x v="1"/>
    <s v="Marketplace"/>
    <n v="4030.2629999999999"/>
  </r>
  <r>
    <s v="ORD101727"/>
    <x v="11"/>
    <s v="11-10-2025"/>
    <s v="CUST11654"/>
    <s v="Corporate"/>
    <s v="Tamil Nadu"/>
    <x v="13"/>
    <x v="3"/>
    <s v="Air Fryer"/>
    <s v="2"/>
    <s v="4884.09"/>
    <n v="0.15"/>
    <s v="7050.66"/>
    <s v="1252.29"/>
    <x v="5"/>
    <x v="0"/>
    <s v="Marketplace"/>
    <n v="8302.9529999999995"/>
  </r>
  <r>
    <s v="ORD101729"/>
    <x v="9"/>
    <s v="02-06-2025"/>
    <s v="CUST12904"/>
    <s v="Home Office"/>
    <s v="Kerala"/>
    <x v="6"/>
    <x v="2"/>
    <s v="Jeans"/>
    <s v="3"/>
    <s v="3554.61"/>
    <n v="0.15"/>
    <s v="7719.62"/>
    <s v="1344.64"/>
    <x v="1"/>
    <x v="0"/>
    <s v="Website"/>
    <n v="9064.2554999999993"/>
  </r>
  <r>
    <s v="ORD101732"/>
    <x v="8"/>
    <s v="06-08-2025"/>
    <s v="CUST13113"/>
    <s v="Home Office"/>
    <s v="Telangana"/>
    <x v="14"/>
    <x v="3"/>
    <s v="Vacuum Cleaner"/>
    <s v="4"/>
    <s v="9507.6"/>
    <n v="0.15"/>
    <s v="29459.49"/>
    <s v="2866.35"/>
    <x v="1"/>
    <x v="0"/>
    <s v="Website"/>
    <n v="32325.84"/>
  </r>
  <r>
    <s v="ORD101734"/>
    <x v="9"/>
    <s v="28-06-2025"/>
    <s v="CUST12016"/>
    <s v="Consumer"/>
    <s v="Delhi"/>
    <x v="7"/>
    <x v="1"/>
    <s v="Face Cream"/>
    <s v="1"/>
    <s v="2980.65"/>
    <n v="0.15"/>
    <s v="2273.71"/>
    <s v="259.83999999999997"/>
    <x v="2"/>
    <x v="0"/>
    <s v="Mobile App"/>
    <n v="2533.5524999999998"/>
  </r>
  <r>
    <s v="ORD101735"/>
    <x v="9"/>
    <s v="26-06-2025"/>
    <s v="CUST12267"/>
    <s v="Corporate"/>
    <s v="Delhi"/>
    <x v="12"/>
    <x v="2"/>
    <s v="Handbag"/>
    <s v="1"/>
    <s v="848.38"/>
    <n v="0.05"/>
    <s v="493.64"/>
    <s v="312.32"/>
    <x v="3"/>
    <x v="3"/>
    <s v="Marketplace"/>
    <n v="805.96100000000001"/>
  </r>
  <r>
    <s v="ORD101736"/>
    <x v="2"/>
    <s v="02-12-2025"/>
    <s v="CUST12468"/>
    <s v="Corporate"/>
    <s v="Delhi"/>
    <x v="7"/>
    <x v="3"/>
    <s v="Mixer Grinder"/>
    <s v="1"/>
    <s v="6139.73"/>
    <n v="0.05"/>
    <s v="3664.44"/>
    <s v="2168.3000000000002"/>
    <x v="5"/>
    <x v="0"/>
    <s v="Mobile App"/>
    <n v="5832.7434999999996"/>
  </r>
  <r>
    <s v="ORD101737"/>
    <x v="7"/>
    <s v="14-05-2025"/>
    <s v="CUST12094"/>
    <s v="Home Office"/>
    <s v="Kerala"/>
    <x v="5"/>
    <x v="1"/>
    <s v="Perfume"/>
    <s v="1"/>
    <s v="5962.49"/>
    <n v="0.1"/>
    <s v="4483.0200000000004"/>
    <s v="883.22"/>
    <x v="2"/>
    <x v="3"/>
    <s v="Website"/>
    <n v="5366.241"/>
  </r>
  <r>
    <s v="ORD101738"/>
    <x v="4"/>
    <s v="27-04-2025"/>
    <s v="CUST12662"/>
    <s v="Corporate"/>
    <s v="Karnataka"/>
    <x v="17"/>
    <x v="2"/>
    <s v="Jacket"/>
    <s v="3"/>
    <s v="2026.72"/>
    <n v="0.15"/>
    <s v="3984.44"/>
    <s v="1183.7"/>
    <x v="2"/>
    <x v="0"/>
    <s v="Marketplace"/>
    <n v="5168.1359999999904"/>
  </r>
  <r>
    <s v="ORD101739"/>
    <x v="5"/>
    <s v="17-09-2025"/>
    <s v="CUST12824"/>
    <s v="Consumer"/>
    <s v="Maharashtra"/>
    <x v="4"/>
    <x v="3"/>
    <s v="Cookware Set"/>
    <s v="1"/>
    <s v="9881.9599999999991"/>
    <n v="0.05"/>
    <s v="5904.07"/>
    <s v="3483.79"/>
    <x v="3"/>
    <x v="0"/>
    <s v="Marketplace"/>
    <n v="9387.8619999999992"/>
  </r>
  <r>
    <s v="ORD101741"/>
    <x v="5"/>
    <s v="23-09-2025"/>
    <s v="CUST11094"/>
    <s v="Home Office"/>
    <s v="West Bengal"/>
    <x v="9"/>
    <x v="0"/>
    <s v="Smartphone"/>
    <s v="4"/>
    <s v="52622.47"/>
    <n v="0.15"/>
    <s v="146083.62"/>
    <s v="32832.78"/>
    <x v="3"/>
    <x v="3"/>
    <s v="Website"/>
    <n v="178916.39799999999"/>
  </r>
  <r>
    <s v="ORD101742"/>
    <x v="3"/>
    <s v="13-03-2025"/>
    <s v="CUST10271"/>
    <s v="Consumer"/>
    <s v="Gujarat"/>
    <x v="3"/>
    <x v="0"/>
    <s v="Headphones"/>
    <s v="1"/>
    <s v="1220.42"/>
    <n v="0.1"/>
    <s v="699.27"/>
    <s v="399.11"/>
    <x v="1"/>
    <x v="3"/>
    <s v="Website"/>
    <n v="1098.3779999999999"/>
  </r>
  <r>
    <s v="ORD101743"/>
    <x v="5"/>
    <s v="12-09-2025"/>
    <s v="CUST11912"/>
    <s v="Corporate"/>
    <s v="Telangana"/>
    <x v="16"/>
    <x v="2"/>
    <s v="Jeans"/>
    <s v="1"/>
    <s v="6603.58"/>
    <n v="0"/>
    <s v="4891.2700000000004"/>
    <s v="1712.31"/>
    <x v="5"/>
    <x v="0"/>
    <s v="Website"/>
    <n v="6603.58"/>
  </r>
  <r>
    <s v="ORD101744"/>
    <x v="9"/>
    <s v="20-06-2025"/>
    <s v="CUST13217"/>
    <s v="Corporate"/>
    <s v="Telangana"/>
    <x v="14"/>
    <x v="0"/>
    <s v="Smartphone"/>
    <s v="1"/>
    <s v="48656.66"/>
    <n v="0.15"/>
    <s v="34502.47"/>
    <s v="6855.69"/>
    <x v="1"/>
    <x v="0"/>
    <s v="Website"/>
    <n v="41358.161"/>
  </r>
  <r>
    <s v="ORD101745"/>
    <x v="7"/>
    <s v="30-05-2025"/>
    <s v="CUST11671"/>
    <s v="Home Office"/>
    <s v="Kerala"/>
    <x v="15"/>
    <x v="0"/>
    <s v="Smartphone"/>
    <s v="1"/>
    <s v="62794.6"/>
    <n v="0.05"/>
    <s v="38166.57"/>
    <s v="21488.3"/>
    <x v="0"/>
    <x v="2"/>
    <s v="Website"/>
    <n v="59654.869999999901"/>
  </r>
  <r>
    <s v="ORD101746"/>
    <x v="3"/>
    <s v="15-03-2025"/>
    <s v="CUST11149"/>
    <s v="Home Office"/>
    <s v="Gujarat"/>
    <x v="3"/>
    <x v="0"/>
    <s v="Smartphone"/>
    <s v="2"/>
    <s v="23479.01"/>
    <n v="0"/>
    <s v="29409.02"/>
    <s v="17549"/>
    <x v="0"/>
    <x v="2"/>
    <s v="Mobile App"/>
    <n v="46958.02"/>
  </r>
  <r>
    <s v="ORD101747"/>
    <x v="11"/>
    <s v="21-10-2025"/>
    <s v="CUST11187"/>
    <s v="Consumer"/>
    <s v="Karnataka"/>
    <x v="22"/>
    <x v="0"/>
    <s v="Laptop"/>
    <s v="3"/>
    <s v="47502.15"/>
    <n v="0.15"/>
    <s v="87004.24"/>
    <s v="34126.239999999998"/>
    <x v="2"/>
    <x v="0"/>
    <s v="Website"/>
    <n v="121130.4825"/>
  </r>
  <r>
    <s v="ORD101751"/>
    <x v="6"/>
    <s v="17-07-2025"/>
    <s v="CUST12891"/>
    <s v="Home Office"/>
    <s v="Karnataka"/>
    <x v="17"/>
    <x v="3"/>
    <s v="Cookware Set"/>
    <s v="1"/>
    <s v="17346.46"/>
    <n v="0.05"/>
    <s v="13602.46"/>
    <s v="2876.68"/>
    <x v="1"/>
    <x v="3"/>
    <s v="Marketplace"/>
    <n v="16479.136999999999"/>
  </r>
  <r>
    <s v="ORD101753"/>
    <x v="9"/>
    <s v="14-06-2025"/>
    <s v="CUST10501"/>
    <s v="Home Office"/>
    <s v="Karnataka"/>
    <x v="2"/>
    <x v="2"/>
    <s v="Jeans"/>
    <s v="3"/>
    <s v="6882.23"/>
    <n v="0.1"/>
    <s v="16819.759999999998"/>
    <s v="1762.26"/>
    <x v="5"/>
    <x v="0"/>
    <s v="Mobile App"/>
    <n v="18582.021000000001"/>
  </r>
  <r>
    <s v="ORD101755"/>
    <x v="10"/>
    <s v="05-11-2025"/>
    <s v="CUST10152"/>
    <s v="Consumer"/>
    <s v="Karnataka"/>
    <x v="22"/>
    <x v="1"/>
    <s v="Face Cream"/>
    <s v="1"/>
    <s v="4930.92"/>
    <n v="0"/>
    <s v="3995.47"/>
    <s v="935.45"/>
    <x v="2"/>
    <x v="0"/>
    <s v="Website"/>
    <n v="4930.92"/>
  </r>
  <r>
    <s v="ORD101757"/>
    <x v="1"/>
    <s v="06-02-2025"/>
    <s v="CUST11175"/>
    <s v="Home Office"/>
    <s v="Delhi"/>
    <x v="12"/>
    <x v="3"/>
    <s v="Coffee Maker"/>
    <s v="2"/>
    <s v="1327.5"/>
    <n v="0.15"/>
    <s v="1493.49"/>
    <s v="763.26"/>
    <x v="3"/>
    <x v="0"/>
    <s v="Mobile App"/>
    <n v="2256.75"/>
  </r>
  <r>
    <s v="ORD101759"/>
    <x v="10"/>
    <s v="28-11-2025"/>
    <s v="CUST13214"/>
    <s v="Consumer"/>
    <s v="Delhi"/>
    <x v="7"/>
    <x v="0"/>
    <s v="Laptop"/>
    <s v="1"/>
    <s v="72757.61"/>
    <n v="0.1"/>
    <s v="42866.6"/>
    <s v="22615.25"/>
    <x v="4"/>
    <x v="2"/>
    <s v="Mobile App"/>
    <n v="65481.849000000002"/>
  </r>
  <r>
    <s v="ORD101763"/>
    <x v="1"/>
    <s v="28-02-2025"/>
    <s v="CUST10768"/>
    <s v="Consumer"/>
    <s v="Gujarat"/>
    <x v="3"/>
    <x v="4"/>
    <s v="Yoga Mat"/>
    <s v="2"/>
    <s v="6736.87"/>
    <n v="0.05"/>
    <s v="10283.18"/>
    <s v="2516.87"/>
    <x v="0"/>
    <x v="0"/>
    <s v="Mobile App"/>
    <n v="12800.053"/>
  </r>
  <r>
    <s v="ORD101764"/>
    <x v="11"/>
    <s v="18-10-2025"/>
    <s v="CUST10339"/>
    <s v="Corporate"/>
    <s v="Tamil Nadu"/>
    <x v="13"/>
    <x v="2"/>
    <s v="Handbag"/>
    <s v="4"/>
    <s v="5607.45"/>
    <n v="0.05"/>
    <s v="16355.93"/>
    <s v="4952.38"/>
    <x v="1"/>
    <x v="0"/>
    <s v="Mobile App"/>
    <n v="21308.309999999899"/>
  </r>
  <r>
    <s v="ORD101767"/>
    <x v="4"/>
    <s v="13-04-2025"/>
    <s v="CUST13273"/>
    <s v="Consumer"/>
    <s v="Kerala"/>
    <x v="5"/>
    <x v="3"/>
    <s v="Coffee Maker"/>
    <s v="1"/>
    <s v="14033.54"/>
    <n v="0.15"/>
    <s v="10270.99"/>
    <s v="1657.52"/>
    <x v="0"/>
    <x v="1"/>
    <s v="Marketplace"/>
    <n v="11928.509"/>
  </r>
  <r>
    <s v="ORD101769"/>
    <x v="9"/>
    <s v="13-06-2025"/>
    <s v="CUST11573"/>
    <s v="Home Office"/>
    <s v="West Bengal"/>
    <x v="9"/>
    <x v="2"/>
    <s v="Sneakers"/>
    <s v="2"/>
    <s v="1979.79"/>
    <n v="0"/>
    <s v="2699.73"/>
    <s v="1259.8499999999999"/>
    <x v="5"/>
    <x v="0"/>
    <s v="Website"/>
    <n v="3959.58"/>
  </r>
  <r>
    <s v="ORD101771"/>
    <x v="0"/>
    <s v="22-01-2025"/>
    <s v="CUST11916"/>
    <s v="Home Office"/>
    <s v="Tamil Nadu"/>
    <x v="19"/>
    <x v="1"/>
    <s v="Perfume"/>
    <s v="2"/>
    <s v="4451.08"/>
    <n v="0"/>
    <s v="6084.9"/>
    <s v="2817.26"/>
    <x v="0"/>
    <x v="2"/>
    <s v="Website"/>
    <n v="8902.16"/>
  </r>
  <r>
    <s v="ORD101772"/>
    <x v="2"/>
    <s v="30-12-2025"/>
    <s v="CUST12372"/>
    <s v="Home Office"/>
    <s v="Gujarat"/>
    <x v="10"/>
    <x v="0"/>
    <s v="Headphones"/>
    <s v="1"/>
    <s v="50971.55"/>
    <n v="0.15"/>
    <s v="41345.760000000002"/>
    <s v="1980.06"/>
    <x v="5"/>
    <x v="0"/>
    <s v="Mobile App"/>
    <n v="43325.817499999997"/>
  </r>
  <r>
    <s v="ORD101775"/>
    <x v="6"/>
    <s v="12-07-2025"/>
    <s v="CUST10826"/>
    <s v="Corporate"/>
    <s v="Karnataka"/>
    <x v="17"/>
    <x v="3"/>
    <s v="Cookware Set"/>
    <s v="1"/>
    <s v="4864.2"/>
    <n v="0.1"/>
    <s v="2910.77"/>
    <s v="1467.01"/>
    <x v="1"/>
    <x v="3"/>
    <s v="Marketplace"/>
    <n v="4377.78"/>
  </r>
  <r>
    <s v="ORD101778"/>
    <x v="4"/>
    <s v="06-04-2025"/>
    <s v="CUST12101"/>
    <s v="Corporate"/>
    <s v="Kerala"/>
    <x v="15"/>
    <x v="2"/>
    <s v="Jacket"/>
    <s v="1"/>
    <s v="1212.1300000000001"/>
    <n v="0"/>
    <s v="791.1"/>
    <s v="421.03"/>
    <x v="1"/>
    <x v="0"/>
    <s v="Mobile App"/>
    <n v="1212.1300000000001"/>
  </r>
  <r>
    <s v="ORD101780"/>
    <x v="0"/>
    <s v="13-01-2025"/>
    <s v="CUST11861"/>
    <s v="Home Office"/>
    <s v="Kerala"/>
    <x v="15"/>
    <x v="0"/>
    <s v="Smartphone"/>
    <s v="1"/>
    <s v="58736.160000000003"/>
    <n v="0.15"/>
    <s v="43664.42"/>
    <s v="6261.32"/>
    <x v="0"/>
    <x v="0"/>
    <s v="Website"/>
    <n v="49925.735999999997"/>
  </r>
  <r>
    <s v="ORD101782"/>
    <x v="6"/>
    <s v="19-07-2025"/>
    <s v="CUST10534"/>
    <s v="Home Office"/>
    <s v="Karnataka"/>
    <x v="22"/>
    <x v="0"/>
    <s v="Tablet"/>
    <s v="1"/>
    <s v="70497.73"/>
    <n v="0.2"/>
    <s v="51928.32"/>
    <s v="4469.8599999999997"/>
    <x v="1"/>
    <x v="0"/>
    <s v="Mobile App"/>
    <n v="56398.184000000001"/>
  </r>
  <r>
    <s v="ORD101783"/>
    <x v="5"/>
    <s v="30-09-2025"/>
    <s v="CUST10021"/>
    <s v="Home Office"/>
    <s v="Karnataka"/>
    <x v="2"/>
    <x v="3"/>
    <s v="Mixer Grinder"/>
    <s v="1"/>
    <s v="6440.66"/>
    <n v="0.1"/>
    <s v="4772.6499999999996"/>
    <s v="1023.94"/>
    <x v="0"/>
    <x v="0"/>
    <s v="Marketplace"/>
    <n v="5796.5940000000001"/>
  </r>
  <r>
    <s v="ORD101784"/>
    <x v="6"/>
    <s v="24-07-2025"/>
    <s v="CUST11123"/>
    <s v="Home Office"/>
    <s v="Tamil Nadu"/>
    <x v="1"/>
    <x v="1"/>
    <s v="Face Cream"/>
    <s v="1"/>
    <s v="4607.83"/>
    <n v="0.1"/>
    <s v="2709.31"/>
    <s v="1437.74"/>
    <x v="0"/>
    <x v="0"/>
    <s v="Marketplace"/>
    <n v="4147.0469999999996"/>
  </r>
  <r>
    <s v="ORD101785"/>
    <x v="0"/>
    <s v="06-01-2025"/>
    <s v="CUST13489"/>
    <s v="Consumer"/>
    <s v="Telangana"/>
    <x v="16"/>
    <x v="0"/>
    <s v="Laptop"/>
    <s v="1"/>
    <s v="63289.48"/>
    <n v="0.1"/>
    <s v="37695.35"/>
    <s v="19265.18"/>
    <x v="3"/>
    <x v="0"/>
    <s v="Mobile App"/>
    <n v="56960.531999999999"/>
  </r>
  <r>
    <s v="ORD101786"/>
    <x v="3"/>
    <s v="08-03-2025"/>
    <s v="CUST11931"/>
    <s v="Corporate"/>
    <s v="Maharashtra"/>
    <x v="4"/>
    <x v="3"/>
    <s v="Air Fryer"/>
    <s v="1"/>
    <s v="5481.82"/>
    <n v="0"/>
    <s v="4051"/>
    <s v="1430.82"/>
    <x v="1"/>
    <x v="0"/>
    <s v="Website"/>
    <n v="5481.82"/>
  </r>
  <r>
    <s v="ORD101787"/>
    <x v="4"/>
    <s v="23-04-2025"/>
    <s v="CUST12970"/>
    <s v="Consumer"/>
    <s v="Telangana"/>
    <x v="16"/>
    <x v="1"/>
    <s v="Lipstick"/>
    <s v="1"/>
    <s v="1487.33"/>
    <n v="0.1"/>
    <s v="985.49"/>
    <s v="353.11"/>
    <x v="0"/>
    <x v="0"/>
    <s v="Website"/>
    <n v="1338.597"/>
  </r>
  <r>
    <s v="ORD101788"/>
    <x v="8"/>
    <s v="08-08-2025"/>
    <s v="CUST13256"/>
    <s v="Consumer"/>
    <s v="West Bengal"/>
    <x v="9"/>
    <x v="1"/>
    <s v="Face Cream"/>
    <s v="1"/>
    <s v="5365.92"/>
    <n v="0.15"/>
    <s v="4204.88"/>
    <s v="356.15"/>
    <x v="1"/>
    <x v="2"/>
    <s v="Website"/>
    <n v="4561.0320000000002"/>
  </r>
  <r>
    <s v="ORD101789"/>
    <x v="5"/>
    <s v="27-09-2025"/>
    <s v="CUST10070"/>
    <s v="Consumer"/>
    <s v="Telangana"/>
    <x v="16"/>
    <x v="2"/>
    <s v="T-Shirt"/>
    <s v="2"/>
    <s v="586.94000000000005"/>
    <n v="0.05"/>
    <s v="933.36"/>
    <s v="181.83"/>
    <x v="5"/>
    <x v="0"/>
    <s v="Website"/>
    <n v="1115.1859999999999"/>
  </r>
  <r>
    <s v="ORD101791"/>
    <x v="8"/>
    <s v="31-08-2025"/>
    <s v="CUST11222"/>
    <s v="Corporate"/>
    <s v="Karnataka"/>
    <x v="2"/>
    <x v="3"/>
    <s v="Air Fryer"/>
    <s v="1"/>
    <s v="15448.69"/>
    <n v="0.05"/>
    <s v="9511.02"/>
    <s v="5165.24"/>
    <x v="3"/>
    <x v="0"/>
    <s v="Website"/>
    <n v="14676.255499999999"/>
  </r>
  <r>
    <s v="ORD101792"/>
    <x v="4"/>
    <s v="12-04-2025"/>
    <s v="CUST11054"/>
    <s v="Consumer"/>
    <s v="Delhi"/>
    <x v="7"/>
    <x v="2"/>
    <s v="Jeans"/>
    <s v="3"/>
    <s v="5181.1400000000003"/>
    <n v="0"/>
    <s v="9296.7900000000009"/>
    <s v="6246.63"/>
    <x v="0"/>
    <x v="0"/>
    <s v="Mobile App"/>
    <n v="15543.42"/>
  </r>
  <r>
    <s v="ORD101795"/>
    <x v="0"/>
    <s v="26-01-2025"/>
    <s v="CUST11329"/>
    <s v="Corporate"/>
    <s v="Gujarat"/>
    <x v="18"/>
    <x v="3"/>
    <s v="Cookware Set"/>
    <s v="2"/>
    <s v="798.86"/>
    <n v="0.2"/>
    <s v="889.93"/>
    <s v="388.25"/>
    <x v="5"/>
    <x v="0"/>
    <s v="Website"/>
    <n v="1278.1759999999999"/>
  </r>
  <r>
    <s v="ORD101796"/>
    <x v="9"/>
    <s v="16-06-2025"/>
    <s v="CUST11016"/>
    <s v="Consumer"/>
    <s v="Telangana"/>
    <x v="16"/>
    <x v="0"/>
    <s v="Headphones"/>
    <s v="2"/>
    <s v="43342.92"/>
    <n v="0.1"/>
    <s v="64403.31"/>
    <s v="13613.95"/>
    <x v="1"/>
    <x v="0"/>
    <s v="Marketplace"/>
    <n v="78017.255999999994"/>
  </r>
  <r>
    <s v="ORD101797"/>
    <x v="2"/>
    <s v="14-12-2025"/>
    <s v="CUST12429"/>
    <s v="Consumer"/>
    <s v="Karnataka"/>
    <x v="2"/>
    <x v="3"/>
    <s v="Mixer Grinder"/>
    <s v="1"/>
    <s v="3861.71"/>
    <n v="0.15"/>
    <s v="2739.71"/>
    <s v="542.74"/>
    <x v="2"/>
    <x v="0"/>
    <s v="Mobile App"/>
    <n v="3282.4535000000001"/>
  </r>
  <r>
    <s v="ORD101799"/>
    <x v="2"/>
    <s v="21-12-2025"/>
    <s v="CUST11604"/>
    <s v="Consumer"/>
    <s v="Telangana"/>
    <x v="16"/>
    <x v="4"/>
    <s v="Football"/>
    <s v="1"/>
    <s v="7284.26"/>
    <n v="0.05"/>
    <s v="4740.82"/>
    <s v="2179.23"/>
    <x v="5"/>
    <x v="0"/>
    <s v="Website"/>
    <n v="6920.0469999999996"/>
  </r>
  <r>
    <s v="ORD101800"/>
    <x v="6"/>
    <s v="21-07-2025"/>
    <s v="CUST11534"/>
    <s v="Corporate"/>
    <s v="West Bengal"/>
    <x v="0"/>
    <x v="4"/>
    <s v="Running Shoes"/>
    <s v="2"/>
    <s v="7222.23"/>
    <n v="0.15"/>
    <s v="8687.82"/>
    <s v="3589.97"/>
    <x v="2"/>
    <x v="0"/>
    <s v="Website"/>
    <n v="12277.790999999999"/>
  </r>
  <r>
    <s v="ORD101801"/>
    <x v="3"/>
    <s v="12-03-2025"/>
    <s v="CUST11502"/>
    <s v="Consumer"/>
    <s v="Gujarat"/>
    <x v="18"/>
    <x v="3"/>
    <s v="Air Fryer"/>
    <s v="1"/>
    <s v="13390.7"/>
    <n v="0.1"/>
    <s v="10375.799999999999"/>
    <s v="1675.83"/>
    <x v="3"/>
    <x v="0"/>
    <s v="Mobile App"/>
    <n v="12051.63"/>
  </r>
  <r>
    <s v="ORD101804"/>
    <x v="8"/>
    <s v="04-08-2025"/>
    <s v="CUST13210"/>
    <s v="Home Office"/>
    <s v="Karnataka"/>
    <x v="22"/>
    <x v="2"/>
    <s v="Jacket"/>
    <s v="1"/>
    <s v="4775.7700000000004"/>
    <n v="0"/>
    <s v="3603.36"/>
    <s v="1172.4100000000001"/>
    <x v="1"/>
    <x v="1"/>
    <s v="Website"/>
    <n v="4775.7700000000004"/>
  </r>
  <r>
    <s v="ORD101805"/>
    <x v="6"/>
    <s v="19-07-2025"/>
    <s v="CUST10436"/>
    <s v="Corporate"/>
    <s v="Kerala"/>
    <x v="15"/>
    <x v="2"/>
    <s v="Handbag"/>
    <s v="1"/>
    <s v="5451.16"/>
    <n v="0.15"/>
    <s v="3072.97"/>
    <s v="1560.52"/>
    <x v="2"/>
    <x v="0"/>
    <s v="Mobile App"/>
    <n v="4633.4859999999999"/>
  </r>
  <r>
    <s v="ORD101807"/>
    <x v="11"/>
    <s v="22-10-2025"/>
    <s v="CUST12864"/>
    <s v="Corporate"/>
    <s v="Tamil Nadu"/>
    <x v="1"/>
    <x v="2"/>
    <s v="Jeans"/>
    <s v="2"/>
    <s v="4339.9399999999996"/>
    <n v="0.1"/>
    <s v="6201.76"/>
    <s v="1610.13"/>
    <x v="2"/>
    <x v="0"/>
    <s v="Mobile App"/>
    <n v="7811.8919999999998"/>
  </r>
  <r>
    <s v="ORD101809"/>
    <x v="10"/>
    <s v="18-11-2025"/>
    <s v="CUST12696"/>
    <s v="Corporate"/>
    <s v="West Bengal"/>
    <x v="9"/>
    <x v="2"/>
    <s v="Jacket"/>
    <s v="1"/>
    <s v="6076.46"/>
    <n v="0.1"/>
    <s v="3428.13"/>
    <s v="2040.68"/>
    <x v="5"/>
    <x v="0"/>
    <s v="Website"/>
    <n v="5468.8140000000003"/>
  </r>
  <r>
    <s v="ORD101810"/>
    <x v="11"/>
    <s v="12-10-2025"/>
    <s v="CUST11138"/>
    <s v="Corporate"/>
    <s v="Tamil Nadu"/>
    <x v="19"/>
    <x v="3"/>
    <s v="Cookware Set"/>
    <s v="4"/>
    <s v="12992.95"/>
    <n v="0.1"/>
    <s v="40558.550000000003"/>
    <s v="6216.07"/>
    <x v="5"/>
    <x v="0"/>
    <s v="Website"/>
    <n v="46774.62"/>
  </r>
  <r>
    <s v="ORD101811"/>
    <x v="8"/>
    <s v="19-08-2025"/>
    <s v="CUST12758"/>
    <s v="Corporate"/>
    <s v="Tamil Nadu"/>
    <x v="19"/>
    <x v="2"/>
    <s v="Handbag"/>
    <s v="2"/>
    <s v="302.79000000000002"/>
    <n v="0.2"/>
    <s v="348.22"/>
    <s v="136.24"/>
    <x v="3"/>
    <x v="0"/>
    <s v="Mobile App"/>
    <n v="484.464"/>
  </r>
  <r>
    <s v="ORD101815"/>
    <x v="4"/>
    <s v="13-04-2025"/>
    <s v="CUST13127"/>
    <s v="Consumer"/>
    <s v="Kerala"/>
    <x v="15"/>
    <x v="0"/>
    <s v="Tablet"/>
    <s v="2"/>
    <s v="12110.5"/>
    <n v="0.1"/>
    <s v="17002.189999999999"/>
    <s v="4796.71"/>
    <x v="5"/>
    <x v="1"/>
    <s v="Website"/>
    <n v="21798.9"/>
  </r>
  <r>
    <s v="ORD101816"/>
    <x v="7"/>
    <s v="21-05-2025"/>
    <s v="CUST11578"/>
    <s v="Corporate"/>
    <s v="Delhi"/>
    <x v="12"/>
    <x v="3"/>
    <s v="Mixer Grinder"/>
    <s v="2"/>
    <s v="14767.17"/>
    <n v="0.1"/>
    <s v="21707.01"/>
    <s v="4873.8999999999996"/>
    <x v="3"/>
    <x v="0"/>
    <s v="Mobile App"/>
    <n v="26580.905999999999"/>
  </r>
  <r>
    <s v="ORD101817"/>
    <x v="5"/>
    <s v="18-09-2025"/>
    <s v="CUST11051"/>
    <s v="Consumer"/>
    <s v="Telangana"/>
    <x v="14"/>
    <x v="2"/>
    <s v="Jacket"/>
    <s v="3"/>
    <s v="385.69"/>
    <n v="0"/>
    <s v="678.14"/>
    <s v="478.93"/>
    <x v="3"/>
    <x v="0"/>
    <s v="Marketplace"/>
    <n v="1157.07"/>
  </r>
  <r>
    <s v="ORD101818"/>
    <x v="4"/>
    <s v="12-04-2025"/>
    <s v="CUST12582"/>
    <s v="Home Office"/>
    <s v="Gujarat"/>
    <x v="3"/>
    <x v="3"/>
    <s v="Vacuum Cleaner"/>
    <s v="1"/>
    <s v="9988.44"/>
    <n v="0.05"/>
    <s v="8180.94"/>
    <s v="1308.08"/>
    <x v="2"/>
    <x v="0"/>
    <s v="Website"/>
    <n v="9489.018"/>
  </r>
  <r>
    <s v="ORD101819"/>
    <x v="10"/>
    <s v="27-11-2025"/>
    <s v="CUST11179"/>
    <s v="Consumer"/>
    <s v="Tamil Nadu"/>
    <x v="19"/>
    <x v="0"/>
    <s v="Headphones"/>
    <s v="2"/>
    <s v="51404.12"/>
    <n v="0.2"/>
    <s v="66532.039999999994"/>
    <s v="15714.55"/>
    <x v="5"/>
    <x v="0"/>
    <s v="Marketplace"/>
    <n v="82246.592000000004"/>
  </r>
  <r>
    <s v="ORD101820"/>
    <x v="0"/>
    <s v="09-01-2025"/>
    <s v="CUST10474"/>
    <s v="Corporate"/>
    <s v="Delhi"/>
    <x v="12"/>
    <x v="3"/>
    <s v="Vacuum Cleaner"/>
    <s v="2"/>
    <s v="13072.12"/>
    <n v="0.1"/>
    <s v="20754.7"/>
    <s v="2775.12"/>
    <x v="0"/>
    <x v="0"/>
    <s v="Website"/>
    <n v="23529.815999999999"/>
  </r>
  <r>
    <s v="ORD101821"/>
    <x v="0"/>
    <s v="22-01-2025"/>
    <s v="CUST10384"/>
    <s v="Corporate"/>
    <s v="Karnataka"/>
    <x v="22"/>
    <x v="0"/>
    <s v="Smartwatch"/>
    <s v="2"/>
    <s v="9784.8700000000008"/>
    <n v="0.15"/>
    <s v="14485.54"/>
    <s v="2148.7399999999998"/>
    <x v="1"/>
    <x v="0"/>
    <s v="Website"/>
    <n v="16634.278999999999"/>
  </r>
  <r>
    <s v="ORD101822"/>
    <x v="4"/>
    <s v="15-04-2025"/>
    <s v="CUST11537"/>
    <s v="Corporate"/>
    <s v="Delhi"/>
    <x v="7"/>
    <x v="0"/>
    <s v="Smartwatch"/>
    <s v="1"/>
    <s v="23778.95"/>
    <n v="0.15"/>
    <s v="16986.830000000002"/>
    <s v="3225.28"/>
    <x v="5"/>
    <x v="3"/>
    <s v="Website"/>
    <n v="20212.107499999998"/>
  </r>
  <r>
    <s v="ORD101823"/>
    <x v="9"/>
    <s v="19-06-2025"/>
    <s v="CUST11204"/>
    <s v="Corporate"/>
    <s v="West Bengal"/>
    <x v="0"/>
    <x v="0"/>
    <s v="Tablet"/>
    <s v="2"/>
    <s v="65430.87"/>
    <n v="0"/>
    <s v="82028.56"/>
    <s v="48833.18"/>
    <x v="0"/>
    <x v="0"/>
    <s v="Marketplace"/>
    <n v="130861.74"/>
  </r>
  <r>
    <s v="ORD101825"/>
    <x v="9"/>
    <s v="19-06-2025"/>
    <s v="CUST12751"/>
    <s v="Home Office"/>
    <s v="Telangana"/>
    <x v="16"/>
    <x v="4"/>
    <s v="Cricket Bat"/>
    <s v="2"/>
    <s v="10332.370000000001"/>
    <n v="0.1"/>
    <s v="16510.75"/>
    <s v="2087.52"/>
    <x v="5"/>
    <x v="0"/>
    <s v="Website"/>
    <n v="18598.266"/>
  </r>
  <r>
    <s v="ORD101828"/>
    <x v="6"/>
    <s v="16-07-2025"/>
    <s v="CUST12862"/>
    <s v="Corporate"/>
    <s v="Kerala"/>
    <x v="15"/>
    <x v="3"/>
    <s v="Mixer Grinder"/>
    <s v="1"/>
    <s v="8260.66"/>
    <n v="0"/>
    <s v="6583.69"/>
    <s v="1676.97"/>
    <x v="3"/>
    <x v="0"/>
    <s v="Website"/>
    <n v="8260.66"/>
  </r>
  <r>
    <s v="ORD101830"/>
    <x v="5"/>
    <s v="10-09-2025"/>
    <s v="CUST13060"/>
    <s v="Consumer"/>
    <s v="West Bengal"/>
    <x v="9"/>
    <x v="3"/>
    <s v="Mixer Grinder"/>
    <s v="1"/>
    <s v="5855.61"/>
    <n v="0.2"/>
    <s v="4294.8599999999997"/>
    <s v="389.63"/>
    <x v="3"/>
    <x v="0"/>
    <s v="Website"/>
    <n v="4684.4880000000003"/>
  </r>
  <r>
    <s v="ORD101831"/>
    <x v="9"/>
    <s v="18-06-2025"/>
    <s v="CUST11020"/>
    <s v="Consumer"/>
    <s v="Gujarat"/>
    <x v="3"/>
    <x v="1"/>
    <s v="Shampoo"/>
    <s v="1"/>
    <s v="4808.95"/>
    <n v="0.1"/>
    <s v="3592.03"/>
    <s v="736.03"/>
    <x v="5"/>
    <x v="2"/>
    <s v="Marketplace"/>
    <n v="4328.0550000000003"/>
  </r>
  <r>
    <s v="ORD101836"/>
    <x v="8"/>
    <s v="27-08-2025"/>
    <s v="CUST12515"/>
    <s v="Home Office"/>
    <s v="Gujarat"/>
    <x v="10"/>
    <x v="1"/>
    <s v="Shampoo"/>
    <s v="2"/>
    <s v="2571.04"/>
    <n v="0.05"/>
    <s v="2974.44"/>
    <s v="1910.54"/>
    <x v="1"/>
    <x v="0"/>
    <s v="Marketplace"/>
    <n v="4884.9759999999997"/>
  </r>
  <r>
    <s v="ORD101837"/>
    <x v="10"/>
    <s v="01-11-2025"/>
    <s v="CUST12411"/>
    <s v="Corporate"/>
    <s v="Tamil Nadu"/>
    <x v="19"/>
    <x v="0"/>
    <s v="Smartphone"/>
    <s v="1"/>
    <s v="17603.560000000001"/>
    <n v="0"/>
    <s v="10624.48"/>
    <s v="6979.08"/>
    <x v="1"/>
    <x v="0"/>
    <s v="Website"/>
    <n v="17603.560000000001"/>
  </r>
  <r>
    <s v="ORD101838"/>
    <x v="11"/>
    <s v="03-10-2025"/>
    <s v="CUST13190"/>
    <s v="Consumer"/>
    <s v="Kerala"/>
    <x v="6"/>
    <x v="0"/>
    <s v="Tablet"/>
    <s v="2"/>
    <s v="55088.84"/>
    <n v="0.15"/>
    <s v="74280.899999999994"/>
    <s v="19370.13"/>
    <x v="0"/>
    <x v="0"/>
    <s v="Mobile App"/>
    <n v="93651.027999999904"/>
  </r>
  <r>
    <s v="ORD101839"/>
    <x v="1"/>
    <s v="21-02-2025"/>
    <s v="CUST10251"/>
    <s v="Corporate"/>
    <s v="Telangana"/>
    <x v="16"/>
    <x v="0"/>
    <s v="Tablet"/>
    <s v="2"/>
    <s v="2062.5100000000002"/>
    <n v="0.15"/>
    <s v="3234.38"/>
    <s v="271.89"/>
    <x v="1"/>
    <x v="3"/>
    <s v="Website"/>
    <n v="3506.2669999999998"/>
  </r>
  <r>
    <s v="ORD101842"/>
    <x v="6"/>
    <s v="09-07-2025"/>
    <s v="CUST11390"/>
    <s v="Consumer"/>
    <s v="Karnataka"/>
    <x v="2"/>
    <x v="0"/>
    <s v="Smartwatch"/>
    <s v="1"/>
    <s v="33017.800000000003"/>
    <n v="0"/>
    <s v="18165.04"/>
    <s v="14852.76"/>
    <x v="0"/>
    <x v="0"/>
    <s v="Website"/>
    <n v="33017.800000000003"/>
  </r>
  <r>
    <s v="ORD101843"/>
    <x v="3"/>
    <s v="02-03-2025"/>
    <s v="CUST12476"/>
    <s v="Consumer"/>
    <s v="Kerala"/>
    <x v="5"/>
    <x v="3"/>
    <s v="Air Fryer"/>
    <s v="2"/>
    <s v="9559.7800000000007"/>
    <n v="0.1"/>
    <s v="10595.73"/>
    <s v="6611.87"/>
    <x v="0"/>
    <x v="2"/>
    <s v="Marketplace"/>
    <n v="17207.603999999999"/>
  </r>
  <r>
    <s v="ORD101845"/>
    <x v="8"/>
    <s v="27-08-2025"/>
    <s v="CUST12742"/>
    <s v="Corporate"/>
    <s v="Delhi"/>
    <x v="12"/>
    <x v="0"/>
    <s v="Smartwatch"/>
    <s v="1"/>
    <s v="43830.51"/>
    <n v="0"/>
    <s v="32140.05"/>
    <s v="11690.46"/>
    <x v="2"/>
    <x v="2"/>
    <s v="Website"/>
    <n v="43830.51"/>
  </r>
  <r>
    <s v="ORD101846"/>
    <x v="0"/>
    <s v="30-01-2025"/>
    <s v="CUST11990"/>
    <s v="Corporate"/>
    <s v="Kerala"/>
    <x v="15"/>
    <x v="4"/>
    <s v="Yoga Mat"/>
    <s v="4"/>
    <s v="9788.48"/>
    <n v="0.1"/>
    <s v="28384.78"/>
    <s v="6853.75"/>
    <x v="0"/>
    <x v="0"/>
    <s v="Marketplace"/>
    <n v="35238.527999999998"/>
  </r>
  <r>
    <s v="ORD101848"/>
    <x v="5"/>
    <s v="14-09-2025"/>
    <s v="CUST10139"/>
    <s v="Consumer"/>
    <s v="Telangana"/>
    <x v="14"/>
    <x v="1"/>
    <s v="Face Cream"/>
    <s v="1"/>
    <s v="3685.36"/>
    <n v="0"/>
    <s v="2559.37"/>
    <s v="1125.99"/>
    <x v="0"/>
    <x v="0"/>
    <s v="Mobile App"/>
    <n v="3685.36"/>
  </r>
  <r>
    <s v="ORD101849"/>
    <x v="8"/>
    <s v="06-08-2025"/>
    <s v="CUST11659"/>
    <s v="Home Office"/>
    <s v="Maharashtra"/>
    <x v="20"/>
    <x v="0"/>
    <s v="Tablet"/>
    <s v="2"/>
    <s v="62864.51"/>
    <n v="0.15"/>
    <s v="71057.95"/>
    <s v="35811.72"/>
    <x v="0"/>
    <x v="0"/>
    <s v="Mobile App"/>
    <n v="106869.667"/>
  </r>
  <r>
    <s v="ORD101850"/>
    <x v="8"/>
    <s v="28-08-2025"/>
    <s v="CUST11105"/>
    <s v="Corporate"/>
    <s v="West Bengal"/>
    <x v="0"/>
    <x v="3"/>
    <s v="Coffee Maker"/>
    <s v="1"/>
    <s v="1948.46"/>
    <n v="0.05"/>
    <s v="1306.05"/>
    <s v="544.99"/>
    <x v="5"/>
    <x v="0"/>
    <s v="Marketplace"/>
    <n v="1851.037"/>
  </r>
  <r>
    <s v="ORD101852"/>
    <x v="6"/>
    <s v="15-07-2025"/>
    <s v="CUST12703"/>
    <s v="Home Office"/>
    <s v="Gujarat"/>
    <x v="3"/>
    <x v="1"/>
    <s v="Face Cream"/>
    <s v="2"/>
    <s v="3840.07"/>
    <n v="0.15"/>
    <s v="4277.47"/>
    <s v="2250.65"/>
    <x v="1"/>
    <x v="0"/>
    <s v="Website"/>
    <n v="6528.1189999999997"/>
  </r>
  <r>
    <s v="ORD101857"/>
    <x v="1"/>
    <s v="14-02-2025"/>
    <s v="CUST11874"/>
    <s v="Consumer"/>
    <s v="Telangana"/>
    <x v="14"/>
    <x v="0"/>
    <s v="Tablet"/>
    <s v="1"/>
    <s v="8655.18"/>
    <n v="0.15"/>
    <s v="5712.08"/>
    <s v="1644.82"/>
    <x v="1"/>
    <x v="0"/>
    <s v="Marketplace"/>
    <n v="7356.9030000000002"/>
  </r>
  <r>
    <s v="ORD101859"/>
    <x v="2"/>
    <s v="13-12-2025"/>
    <s v="CUST11567"/>
    <s v="Corporate"/>
    <s v="Delhi"/>
    <x v="7"/>
    <x v="2"/>
    <s v="Handbag"/>
    <s v="2"/>
    <s v="5417.44"/>
    <n v="0.15"/>
    <s v="7842.51"/>
    <s v="1367.14"/>
    <x v="5"/>
    <x v="0"/>
    <s v="Website"/>
    <n v="9209.6479999999992"/>
  </r>
  <r>
    <s v="ORD101860"/>
    <x v="7"/>
    <s v="09-05-2025"/>
    <s v="CUST12028"/>
    <s v="Corporate"/>
    <s v="Tamil Nadu"/>
    <x v="1"/>
    <x v="2"/>
    <s v="Jacket"/>
    <s v="1"/>
    <s v="6110.02"/>
    <n v="0.2"/>
    <s v="3512.24"/>
    <s v="1375.78"/>
    <x v="0"/>
    <x v="3"/>
    <s v="Marketplace"/>
    <n v="4888.0159999999996"/>
  </r>
  <r>
    <s v="ORD101861"/>
    <x v="4"/>
    <s v="09-04-2025"/>
    <s v="CUST10429"/>
    <s v="Home Office"/>
    <s v="Maharashtra"/>
    <x v="4"/>
    <x v="2"/>
    <s v="Handbag"/>
    <s v="1"/>
    <s v="6650.21"/>
    <n v="0"/>
    <s v="4279.83"/>
    <s v="2370.38"/>
    <x v="0"/>
    <x v="0"/>
    <s v="Marketplace"/>
    <n v="6650.21"/>
  </r>
  <r>
    <s v="ORD101863"/>
    <x v="6"/>
    <s v="24-07-2025"/>
    <s v="CUST10254"/>
    <s v="Consumer"/>
    <s v="Tamil Nadu"/>
    <x v="13"/>
    <x v="4"/>
    <s v="Football"/>
    <s v="1"/>
    <s v="2595.5700000000002"/>
    <n v="0.1"/>
    <s v="1909.79"/>
    <s v="426.22"/>
    <x v="3"/>
    <x v="0"/>
    <s v="Website"/>
    <n v="2336.0129999999999"/>
  </r>
  <r>
    <s v="ORD101864"/>
    <x v="11"/>
    <s v="04-10-2025"/>
    <s v="CUST10101"/>
    <s v="Corporate"/>
    <s v="West Bengal"/>
    <x v="9"/>
    <x v="2"/>
    <s v="Jeans"/>
    <s v="1"/>
    <s v="3648.48"/>
    <n v="0.1"/>
    <s v="2845.51"/>
    <s v="438.12"/>
    <x v="0"/>
    <x v="0"/>
    <s v="Marketplace"/>
    <n v="3283.6320000000001"/>
  </r>
  <r>
    <s v="ORD101865"/>
    <x v="4"/>
    <s v="10-04-2025"/>
    <s v="CUST12089"/>
    <s v="Corporate"/>
    <s v="Delhi"/>
    <x v="12"/>
    <x v="2"/>
    <s v="Jeans"/>
    <s v="4"/>
    <s v="5757.65"/>
    <n v="0"/>
    <s v="17721.560000000001"/>
    <s v="5309.04"/>
    <x v="1"/>
    <x v="3"/>
    <s v="Website"/>
    <n v="23030.6"/>
  </r>
  <r>
    <s v="ORD101866"/>
    <x v="0"/>
    <s v="24-01-2025"/>
    <s v="CUST12373"/>
    <s v="Corporate"/>
    <s v="Maharashtra"/>
    <x v="20"/>
    <x v="2"/>
    <s v="Jeans"/>
    <s v="1"/>
    <s v="3226.25"/>
    <n v="0.1"/>
    <s v="2561.66"/>
    <s v="341.96"/>
    <x v="5"/>
    <x v="2"/>
    <s v="Marketplace"/>
    <n v="2903.625"/>
  </r>
  <r>
    <s v="ORD101867"/>
    <x v="11"/>
    <s v="12-10-2025"/>
    <s v="CUST10459"/>
    <s v="Home Office"/>
    <s v="Maharashtra"/>
    <x v="4"/>
    <x v="0"/>
    <s v="Tablet"/>
    <s v="1"/>
    <s v="69869.13"/>
    <n v="0"/>
    <s v="56484.79"/>
    <s v="13384.34"/>
    <x v="0"/>
    <x v="0"/>
    <s v="Mobile App"/>
    <n v="69869.13"/>
  </r>
  <r>
    <s v="ORD101869"/>
    <x v="3"/>
    <s v="19-03-2025"/>
    <s v="CUST11932"/>
    <s v="Consumer"/>
    <s v="Kerala"/>
    <x v="15"/>
    <x v="2"/>
    <s v="Handbag"/>
    <s v="1"/>
    <s v="6827.32"/>
    <n v="0"/>
    <s v="5442.72"/>
    <s v="1384.6"/>
    <x v="3"/>
    <x v="0"/>
    <s v="Marketplace"/>
    <n v="6827.32"/>
  </r>
  <r>
    <s v="ORD101870"/>
    <x v="4"/>
    <s v="02-04-2025"/>
    <s v="CUST10299"/>
    <s v="Home Office"/>
    <s v="Telangana"/>
    <x v="14"/>
    <x v="4"/>
    <s v="Cricket Bat"/>
    <s v="3"/>
    <s v="10260.68"/>
    <n v="0.1"/>
    <s v="22681.59"/>
    <s v="5022.25"/>
    <x v="5"/>
    <x v="0"/>
    <s v="Marketplace"/>
    <n v="27703.835999999999"/>
  </r>
  <r>
    <s v="ORD101872"/>
    <x v="9"/>
    <s v="25-06-2025"/>
    <s v="CUST10649"/>
    <s v="Corporate"/>
    <s v="Tamil Nadu"/>
    <x v="11"/>
    <x v="2"/>
    <s v="Jeans"/>
    <s v="4"/>
    <s v="2863.31"/>
    <n v="0.1"/>
    <s v="7783.75"/>
    <s v="2524.17"/>
    <x v="2"/>
    <x v="0"/>
    <s v="Website"/>
    <n v="10307.915999999999"/>
  </r>
  <r>
    <s v="ORD101875"/>
    <x v="2"/>
    <s v="09-12-2025"/>
    <s v="CUST13194"/>
    <s v="Corporate"/>
    <s v="Kerala"/>
    <x v="6"/>
    <x v="3"/>
    <s v="Vacuum Cleaner"/>
    <s v="1"/>
    <s v="8630.98"/>
    <n v="0.1"/>
    <s v="5595.53"/>
    <s v="2172.35"/>
    <x v="2"/>
    <x v="0"/>
    <s v="Marketplace"/>
    <n v="7767.8819999999996"/>
  </r>
  <r>
    <s v="ORD101876"/>
    <x v="7"/>
    <s v="02-05-2025"/>
    <s v="CUST11662"/>
    <s v="Corporate"/>
    <s v="Kerala"/>
    <x v="5"/>
    <x v="0"/>
    <s v="Smartphone"/>
    <s v="1"/>
    <s v="47249.2"/>
    <n v="0.05"/>
    <s v="27700.66"/>
    <s v="17186.080000000002"/>
    <x v="1"/>
    <x v="2"/>
    <s v="Mobile App"/>
    <n v="44886.74"/>
  </r>
  <r>
    <s v="ORD101877"/>
    <x v="6"/>
    <s v="10-07-2025"/>
    <s v="CUST12938"/>
    <s v="Consumer"/>
    <s v="Maharashtra"/>
    <x v="4"/>
    <x v="0"/>
    <s v="Laptop"/>
    <s v="2"/>
    <s v="7414.78"/>
    <n v="0"/>
    <s v="10925.31"/>
    <s v="3904.25"/>
    <x v="5"/>
    <x v="0"/>
    <s v="Website"/>
    <n v="14829.56"/>
  </r>
  <r>
    <s v="ORD101879"/>
    <x v="1"/>
    <s v="25-02-2025"/>
    <s v="CUST10195"/>
    <s v="Home Office"/>
    <s v="Maharashtra"/>
    <x v="20"/>
    <x v="3"/>
    <s v="Mixer Grinder"/>
    <s v="1"/>
    <s v="9124.07"/>
    <n v="0.2"/>
    <s v="7359.37"/>
    <s v="-60.11"/>
    <x v="2"/>
    <x v="0"/>
    <s v="Marketplace"/>
    <n v="7299.2560000000003"/>
  </r>
  <r>
    <s v="ORD101880"/>
    <x v="9"/>
    <s v="29-06-2025"/>
    <s v="CUST13344"/>
    <s v="Home Office"/>
    <s v="Maharashtra"/>
    <x v="21"/>
    <x v="4"/>
    <s v="Running Shoes"/>
    <s v="1"/>
    <s v="10865.29"/>
    <n v="0"/>
    <s v="8817.33"/>
    <s v="2047.96"/>
    <x v="0"/>
    <x v="3"/>
    <s v="Marketplace"/>
    <n v="10865.29"/>
  </r>
  <r>
    <s v="ORD101883"/>
    <x v="3"/>
    <s v="06-03-2025"/>
    <s v="CUST11846"/>
    <s v="Consumer"/>
    <s v="Kerala"/>
    <x v="6"/>
    <x v="4"/>
    <s v="Football"/>
    <s v="1"/>
    <s v="6793.05"/>
    <n v="0.15"/>
    <s v="4825.6899999999996"/>
    <s v="948.4"/>
    <x v="1"/>
    <x v="0"/>
    <s v="Website"/>
    <n v="5774.0924999999997"/>
  </r>
  <r>
    <s v="ORD101884"/>
    <x v="9"/>
    <s v="09-06-2025"/>
    <s v="CUST10078"/>
    <s v="Home Office"/>
    <s v="West Bengal"/>
    <x v="0"/>
    <x v="2"/>
    <s v="T-Shirt"/>
    <s v="2"/>
    <s v="4065.2"/>
    <n v="0.05"/>
    <s v="4556.28"/>
    <s v="3167.6"/>
    <x v="4"/>
    <x v="0"/>
    <s v="Marketplace"/>
    <n v="7723.8799999999901"/>
  </r>
  <r>
    <s v="ORD101886"/>
    <x v="10"/>
    <s v="26-11-2025"/>
    <s v="CUST12314"/>
    <s v="Corporate"/>
    <s v="Delhi"/>
    <x v="7"/>
    <x v="2"/>
    <s v="Jeans"/>
    <s v="1"/>
    <s v="6088.32"/>
    <n v="0.1"/>
    <s v="4573.79"/>
    <s v="905.7"/>
    <x v="3"/>
    <x v="3"/>
    <s v="Mobile App"/>
    <n v="5479.4880000000003"/>
  </r>
  <r>
    <s v="ORD101888"/>
    <x v="1"/>
    <s v="24-02-2025"/>
    <s v="CUST11444"/>
    <s v="Corporate"/>
    <s v="Tamil Nadu"/>
    <x v="8"/>
    <x v="4"/>
    <s v="Yoga Mat"/>
    <s v="1"/>
    <s v="700.51"/>
    <n v="0.15"/>
    <s v="462.36"/>
    <s v="133.07"/>
    <x v="1"/>
    <x v="0"/>
    <s v="Marketplace"/>
    <n v="595.43349999999998"/>
  </r>
  <r>
    <s v="ORD101892"/>
    <x v="7"/>
    <s v="06-05-2025"/>
    <s v="CUST13230"/>
    <s v="Home Office"/>
    <s v="Kerala"/>
    <x v="6"/>
    <x v="4"/>
    <s v="Running Shoes"/>
    <s v="1"/>
    <s v="1865.53"/>
    <n v="0.05"/>
    <s v="1518.36"/>
    <s v="253.89"/>
    <x v="1"/>
    <x v="0"/>
    <s v="Website"/>
    <n v="1772.25349999999"/>
  </r>
  <r>
    <s v="ORD101894"/>
    <x v="7"/>
    <s v="28-05-2025"/>
    <s v="CUST11237"/>
    <s v="Home Office"/>
    <s v="Kerala"/>
    <x v="15"/>
    <x v="2"/>
    <s v="T-Shirt"/>
    <s v="1"/>
    <s v="2725.42"/>
    <n v="0"/>
    <s v="1870.48"/>
    <s v="854.94"/>
    <x v="5"/>
    <x v="3"/>
    <s v="Marketplace"/>
    <n v="2725.42"/>
  </r>
  <r>
    <s v="ORD101895"/>
    <x v="1"/>
    <s v="09-02-2025"/>
    <s v="CUST10678"/>
    <s v="Consumer"/>
    <s v="Delhi"/>
    <x v="12"/>
    <x v="0"/>
    <s v="Headphones"/>
    <s v="1"/>
    <s v="36115.279999999999"/>
    <n v="0.1"/>
    <s v="22964.84"/>
    <s v="9538.91"/>
    <x v="1"/>
    <x v="0"/>
    <s v="Mobile App"/>
    <n v="32503.752"/>
  </r>
  <r>
    <s v="ORD101896"/>
    <x v="8"/>
    <s v="18-08-2025"/>
    <s v="CUST12664"/>
    <s v="Consumer"/>
    <s v="Telangana"/>
    <x v="14"/>
    <x v="0"/>
    <s v="Headphones"/>
    <s v="1"/>
    <s v="36215.699999999997"/>
    <n v="0.2"/>
    <s v="20549.169999999998"/>
    <s v="8423.39"/>
    <x v="3"/>
    <x v="1"/>
    <s v="Website"/>
    <n v="28972.559999999899"/>
  </r>
  <r>
    <s v="ORD101897"/>
    <x v="4"/>
    <s v="16-04-2025"/>
    <s v="CUST11733"/>
    <s v="Consumer"/>
    <s v="Telangana"/>
    <x v="16"/>
    <x v="4"/>
    <s v="Football"/>
    <s v="2"/>
    <s v="10466.370000000001"/>
    <n v="0"/>
    <s v="15088.07"/>
    <s v="5844.67"/>
    <x v="2"/>
    <x v="0"/>
    <s v="Marketplace"/>
    <n v="20932.740000000002"/>
  </r>
  <r>
    <s v="ORD101898"/>
    <x v="9"/>
    <s v="25-06-2025"/>
    <s v="CUST10819"/>
    <s v="Corporate"/>
    <s v="Telangana"/>
    <x v="16"/>
    <x v="1"/>
    <s v="Perfume"/>
    <s v="2"/>
    <s v="3006.91"/>
    <n v="0.15"/>
    <s v="4718.8500000000004"/>
    <s v="392.9"/>
    <x v="3"/>
    <x v="0"/>
    <s v="Mobile App"/>
    <n v="5111.7469999999903"/>
  </r>
  <r>
    <s v="ORD101900"/>
    <x v="7"/>
    <s v="04-05-2025"/>
    <s v="CUST11003"/>
    <s v="Home Office"/>
    <s v="Telangana"/>
    <x v="16"/>
    <x v="2"/>
    <s v="T-Shirt"/>
    <s v="2"/>
    <s v="6849.62"/>
    <n v="0"/>
    <s v="9263.7999999999993"/>
    <s v="4435.4399999999996"/>
    <x v="0"/>
    <x v="0"/>
    <s v="Marketplace"/>
    <n v="13699.24"/>
  </r>
  <r>
    <s v="ORD101901"/>
    <x v="6"/>
    <s v="22-07-2025"/>
    <s v="CUST10203"/>
    <s v="Consumer"/>
    <s v="Delhi"/>
    <x v="7"/>
    <x v="2"/>
    <s v="Handbag"/>
    <s v="1"/>
    <s v="885.21"/>
    <n v="0"/>
    <s v="536.67999999999995"/>
    <s v="348.53"/>
    <x v="0"/>
    <x v="0"/>
    <s v="Mobile App"/>
    <n v="885.21"/>
  </r>
  <r>
    <s v="ORD101905"/>
    <x v="3"/>
    <s v="27-03-2025"/>
    <s v="CUST12311"/>
    <s v="Corporate"/>
    <s v="Telangana"/>
    <x v="14"/>
    <x v="0"/>
    <s v="Headphones"/>
    <s v="1"/>
    <s v="62878.66"/>
    <n v="0"/>
    <s v="41713.879999999997"/>
    <s v="21164.78"/>
    <x v="5"/>
    <x v="3"/>
    <s v="Marketplace"/>
    <n v="62878.66"/>
  </r>
  <r>
    <s v="ORD101906"/>
    <x v="7"/>
    <s v="27-05-2025"/>
    <s v="CUST12220"/>
    <s v="Consumer"/>
    <s v="Karnataka"/>
    <x v="17"/>
    <x v="1"/>
    <s v="Hair Dryer"/>
    <s v="3"/>
    <s v="720.17"/>
    <n v="0.1"/>
    <s v="1255.33"/>
    <s v="689.13"/>
    <x v="5"/>
    <x v="3"/>
    <s v="Website"/>
    <n v="1944.4589999999901"/>
  </r>
  <r>
    <s v="ORD101907"/>
    <x v="6"/>
    <s v="22-07-2025"/>
    <s v="CUST13359"/>
    <s v="Corporate"/>
    <s v="Kerala"/>
    <x v="6"/>
    <x v="3"/>
    <s v="Mixer Grinder"/>
    <s v="4"/>
    <s v="8947.06"/>
    <n v="0.1"/>
    <s v="23273.26"/>
    <s v="8936.16"/>
    <x v="3"/>
    <x v="0"/>
    <s v="Website"/>
    <n v="32209.415999999899"/>
  </r>
  <r>
    <s v="ORD101908"/>
    <x v="5"/>
    <s v="12-09-2025"/>
    <s v="CUST11100"/>
    <s v="Home Office"/>
    <s v="West Bengal"/>
    <x v="9"/>
    <x v="2"/>
    <s v="T-Shirt"/>
    <s v="1"/>
    <s v="2383.1999999999998"/>
    <n v="0.15"/>
    <s v="1800.99"/>
    <s v="224.73"/>
    <x v="3"/>
    <x v="0"/>
    <s v="Mobile App"/>
    <n v="2025.71999999999"/>
  </r>
  <r>
    <s v="ORD101911"/>
    <x v="3"/>
    <s v="27-03-2025"/>
    <s v="CUST11902"/>
    <s v="Corporate"/>
    <s v="Delhi"/>
    <x v="12"/>
    <x v="2"/>
    <s v="T-Shirt"/>
    <s v="1"/>
    <s v="5673.34"/>
    <n v="0.2"/>
    <s v="3463.51"/>
    <s v="1075.1600000000001"/>
    <x v="1"/>
    <x v="0"/>
    <s v="Marketplace"/>
    <n v="4538.6719999999996"/>
  </r>
  <r>
    <s v="ORD101913"/>
    <x v="11"/>
    <s v="31-10-2025"/>
    <s v="CUST12276"/>
    <s v="Consumer"/>
    <s v="Tamil Nadu"/>
    <x v="1"/>
    <x v="4"/>
    <s v="Football"/>
    <s v="1"/>
    <s v="6094.93"/>
    <n v="0.2"/>
    <s v="3773.17"/>
    <s v="1102.77"/>
    <x v="1"/>
    <x v="0"/>
    <s v="Mobile App"/>
    <n v="4875.9440000000004"/>
  </r>
  <r>
    <s v="ORD101916"/>
    <x v="8"/>
    <s v="11-08-2025"/>
    <s v="CUST12057"/>
    <s v="Corporate"/>
    <s v="Maharashtra"/>
    <x v="20"/>
    <x v="0"/>
    <s v="Laptop"/>
    <s v="2"/>
    <s v="50439.57"/>
    <n v="0.1"/>
    <s v="71079.3"/>
    <s v="19711.93"/>
    <x v="5"/>
    <x v="0"/>
    <s v="Website"/>
    <n v="90791.225999999995"/>
  </r>
  <r>
    <s v="ORD101917"/>
    <x v="0"/>
    <s v="12-01-2025"/>
    <s v="CUST13321"/>
    <s v="Home Office"/>
    <s v="Karnataka"/>
    <x v="2"/>
    <x v="3"/>
    <s v="Mixer Grinder"/>
    <s v="1"/>
    <s v="3020.88"/>
    <n v="0.05"/>
    <s v="1728.64"/>
    <s v="1141.2"/>
    <x v="3"/>
    <x v="0"/>
    <s v="Mobile App"/>
    <n v="2869.8359999999998"/>
  </r>
  <r>
    <s v="ORD101919"/>
    <x v="9"/>
    <s v="02-06-2025"/>
    <s v="CUST11498"/>
    <s v="Corporate"/>
    <s v="Delhi"/>
    <x v="12"/>
    <x v="0"/>
    <s v="Headphones"/>
    <s v="1"/>
    <s v="14068.7"/>
    <n v="0.05"/>
    <s v="10263"/>
    <s v="3102.26"/>
    <x v="3"/>
    <x v="0"/>
    <s v="Marketplace"/>
    <n v="13365.264999999999"/>
  </r>
  <r>
    <s v="ORD101921"/>
    <x v="7"/>
    <s v="30-05-2025"/>
    <s v="CUST13332"/>
    <s v="Corporate"/>
    <s v="Kerala"/>
    <x v="5"/>
    <x v="2"/>
    <s v="T-Shirt"/>
    <s v="1"/>
    <s v="3403.53"/>
    <n v="0"/>
    <s v="2564.29"/>
    <s v="839.24"/>
    <x v="1"/>
    <x v="0"/>
    <s v="Mobile App"/>
    <n v="3403.53"/>
  </r>
  <r>
    <s v="ORD101922"/>
    <x v="9"/>
    <s v="25-06-2025"/>
    <s v="CUST12071"/>
    <s v="Corporate"/>
    <s v="Delhi"/>
    <x v="12"/>
    <x v="4"/>
    <s v="Yoga Mat"/>
    <s v="3"/>
    <s v="11622.27"/>
    <n v="0.15"/>
    <s v="27271.29"/>
    <s v="2365.5"/>
    <x v="0"/>
    <x v="0"/>
    <s v="Website"/>
    <n v="29636.788499999999"/>
  </r>
  <r>
    <s v="ORD101929"/>
    <x v="3"/>
    <s v="22-03-2025"/>
    <s v="CUST13188"/>
    <s v="Home Office"/>
    <s v="Delhi"/>
    <x v="7"/>
    <x v="4"/>
    <s v="Cricket Bat"/>
    <s v="1"/>
    <s v="4331.74"/>
    <n v="0.1"/>
    <s v="2418.69"/>
    <s v="1479.88"/>
    <x v="1"/>
    <x v="0"/>
    <s v="Marketplace"/>
    <n v="3898.5659999999998"/>
  </r>
  <r>
    <s v="ORD101930"/>
    <x v="9"/>
    <s v="19-06-2025"/>
    <s v="CUST11704"/>
    <s v="Consumer"/>
    <s v="Gujarat"/>
    <x v="3"/>
    <x v="0"/>
    <s v="Headphones"/>
    <s v="1"/>
    <s v="30665.45"/>
    <n v="0.15"/>
    <s v="24435.200000000001"/>
    <s v="1630.43"/>
    <x v="5"/>
    <x v="0"/>
    <s v="Mobile App"/>
    <n v="26065.6325"/>
  </r>
  <r>
    <s v="ORD101933"/>
    <x v="5"/>
    <s v="01-09-2025"/>
    <s v="CUST12480"/>
    <s v="Consumer"/>
    <s v="Karnataka"/>
    <x v="2"/>
    <x v="2"/>
    <s v="Handbag"/>
    <s v="1"/>
    <s v="4458.91"/>
    <n v="0.1"/>
    <s v="2838.32"/>
    <s v="1174.7"/>
    <x v="0"/>
    <x v="0"/>
    <s v="Marketplace"/>
    <n v="4013.0189999999998"/>
  </r>
  <r>
    <s v="ORD101935"/>
    <x v="10"/>
    <s v="30-11-2025"/>
    <s v="CUST13406"/>
    <s v="Corporate"/>
    <s v="Karnataka"/>
    <x v="17"/>
    <x v="0"/>
    <s v="Cookware Set"/>
    <s v="1"/>
    <s v="10114.6"/>
    <n v="0.1"/>
    <s v="6977.87"/>
    <s v="2125.27"/>
    <x v="5"/>
    <x v="0"/>
    <s v="Mobile App"/>
    <n v="9103.14"/>
  </r>
  <r>
    <s v="ORD101938"/>
    <x v="1"/>
    <s v="13-02-2025"/>
    <s v="CUST12980"/>
    <s v="Corporate"/>
    <s v="Gujarat"/>
    <x v="18"/>
    <x v="3"/>
    <s v="Vacuum Cleaner"/>
    <s v="1"/>
    <s v="6293.09"/>
    <n v="0.1"/>
    <s v="3551.27"/>
    <s v="2112.5100000000002"/>
    <x v="1"/>
    <x v="0"/>
    <s v="Mobile App"/>
    <n v="5663.7809999999999"/>
  </r>
  <r>
    <s v="ORD101939"/>
    <x v="9"/>
    <s v="23-06-2025"/>
    <s v="CUST11230"/>
    <s v="Consumer"/>
    <s v="Kerala"/>
    <x v="5"/>
    <x v="1"/>
    <s v="Lipstick"/>
    <s v="1"/>
    <s v="370.85"/>
    <n v="0.05"/>
    <s v="259.11"/>
    <s v="93.2"/>
    <x v="3"/>
    <x v="0"/>
    <s v="Mobile App"/>
    <n v="352.3075"/>
  </r>
  <r>
    <s v="ORD101940"/>
    <x v="6"/>
    <s v="17-07-2025"/>
    <s v="CUST10177"/>
    <s v="Home Office"/>
    <s v="Delhi"/>
    <x v="7"/>
    <x v="1"/>
    <s v="Perfume"/>
    <s v="4"/>
    <s v="3953.36"/>
    <n v="0.05"/>
    <s v="9033.69"/>
    <s v="5989.08"/>
    <x v="1"/>
    <x v="2"/>
    <s v="Website"/>
    <n v="15022.768"/>
  </r>
  <r>
    <s v="ORD101941"/>
    <x v="0"/>
    <s v="07-01-2025"/>
    <s v="CUST11065"/>
    <s v="Home Office"/>
    <s v="Telangana"/>
    <x v="14"/>
    <x v="2"/>
    <s v="Jacket"/>
    <s v="1"/>
    <s v="2870.81"/>
    <n v="0.15"/>
    <s v="1820.11"/>
    <s v="620.08000000000004"/>
    <x v="3"/>
    <x v="0"/>
    <s v="Marketplace"/>
    <n v="2440.1884999999902"/>
  </r>
  <r>
    <s v="ORD101942"/>
    <x v="0"/>
    <s v="11-01-2025"/>
    <s v="CUST12255"/>
    <s v="Corporate"/>
    <s v="Tamil Nadu"/>
    <x v="19"/>
    <x v="4"/>
    <s v="Yoga Mat"/>
    <s v="1"/>
    <s v="3528.9"/>
    <n v="0.05"/>
    <s v="2095.6799999999998"/>
    <s v="1256.78"/>
    <x v="5"/>
    <x v="0"/>
    <s v="Mobile App"/>
    <n v="3352.4549999999999"/>
  </r>
  <r>
    <s v="ORD101944"/>
    <x v="3"/>
    <s v="12-03-2025"/>
    <s v="CUST11177"/>
    <s v="Consumer"/>
    <s v="Karnataka"/>
    <x v="2"/>
    <x v="2"/>
    <s v="Sneakers"/>
    <s v="1"/>
    <s v="4809.24"/>
    <n v="0"/>
    <s v="2660.99"/>
    <s v="2148.25"/>
    <x v="0"/>
    <x v="2"/>
    <s v="Website"/>
    <n v="4809.24"/>
  </r>
  <r>
    <s v="ORD101946"/>
    <x v="0"/>
    <s v="02-01-2025"/>
    <s v="CUST10269"/>
    <s v="Home Office"/>
    <s v="Karnataka"/>
    <x v="22"/>
    <x v="0"/>
    <s v="Tablet"/>
    <s v="1"/>
    <s v="51389.67"/>
    <n v="0.1"/>
    <s v="31434.9"/>
    <s v="14815.8"/>
    <x v="3"/>
    <x v="0"/>
    <s v="Website"/>
    <n v="46250.703000000001"/>
  </r>
  <r>
    <s v="ORD101947"/>
    <x v="4"/>
    <s v="27-04-2025"/>
    <s v="CUST10618"/>
    <s v="Consumer"/>
    <s v="West Bengal"/>
    <x v="9"/>
    <x v="1"/>
    <s v="Lipstick"/>
    <s v="1"/>
    <s v="4420.29"/>
    <n v="0.15"/>
    <s v="3101.58"/>
    <s v="655.67"/>
    <x v="2"/>
    <x v="2"/>
    <s v="Website"/>
    <n v="3757.2464999999902"/>
  </r>
  <r>
    <s v="ORD101949"/>
    <x v="1"/>
    <s v="09-02-2025"/>
    <s v="CUST13126"/>
    <s v="Corporate"/>
    <s v="Tamil Nadu"/>
    <x v="11"/>
    <x v="4"/>
    <s v="Yoga Mat"/>
    <s v="1"/>
    <s v="4228.46"/>
    <n v="0.05"/>
    <s v="2414.77"/>
    <s v="1602.27"/>
    <x v="5"/>
    <x v="0"/>
    <s v="Website"/>
    <n v="4017.0369999999998"/>
  </r>
  <r>
    <s v="ORD101950"/>
    <x v="4"/>
    <s v="10-04-2025"/>
    <s v="CUST11757"/>
    <s v="Home Office"/>
    <s v="Kerala"/>
    <x v="5"/>
    <x v="0"/>
    <s v="Tablet"/>
    <s v="3"/>
    <s v="70430.13"/>
    <n v="0.15"/>
    <s v="172226.21"/>
    <s v="7370.62"/>
    <x v="2"/>
    <x v="0"/>
    <s v="Marketplace"/>
    <n v="179596.8315"/>
  </r>
  <r>
    <s v="ORD101951"/>
    <x v="5"/>
    <s v="04-09-2025"/>
    <s v="CUST13173"/>
    <s v="Consumer"/>
    <s v="Maharashtra"/>
    <x v="4"/>
    <x v="0"/>
    <s v="Headphones"/>
    <s v="2"/>
    <s v="40603.379999999997"/>
    <n v="0"/>
    <s v="57829.01"/>
    <s v="23377.75"/>
    <x v="2"/>
    <x v="2"/>
    <s v="Marketplace"/>
    <n v="81206.759999999995"/>
  </r>
  <r>
    <s v="ORD101954"/>
    <x v="4"/>
    <s v="21-04-2025"/>
    <s v="CUST10803"/>
    <s v="Corporate"/>
    <s v="Tamil Nadu"/>
    <x v="11"/>
    <x v="3"/>
    <s v="Cookware Set"/>
    <s v="2"/>
    <s v="6333.23"/>
    <n v="0.15"/>
    <s v="9063.65"/>
    <s v="1702.84"/>
    <x v="5"/>
    <x v="0"/>
    <s v="Marketplace"/>
    <n v="10766.4909999999"/>
  </r>
  <r>
    <s v="ORD101957"/>
    <x v="6"/>
    <s v="04-07-2025"/>
    <s v="CUST10975"/>
    <s v="Corporate"/>
    <s v="Maharashtra"/>
    <x v="20"/>
    <x v="1"/>
    <s v="Hair Dryer"/>
    <s v="1"/>
    <s v="4768.4399999999996"/>
    <n v="0.2"/>
    <s v="2809.76"/>
    <s v="1004.99"/>
    <x v="2"/>
    <x v="0"/>
    <s v="Mobile App"/>
    <n v="3814.752"/>
  </r>
  <r>
    <s v="ORD101959"/>
    <x v="7"/>
    <s v="16-05-2025"/>
    <s v="CUST12307"/>
    <s v="Consumer"/>
    <s v="Kerala"/>
    <x v="15"/>
    <x v="2"/>
    <s v="Jeans"/>
    <s v="1"/>
    <s v="4000.6"/>
    <n v="0.05"/>
    <s v="2990.78"/>
    <s v="809.79"/>
    <x v="3"/>
    <x v="0"/>
    <s v="Mobile App"/>
    <n v="3800.5699999999902"/>
  </r>
  <r>
    <s v="ORD101960"/>
    <x v="7"/>
    <s v="10-05-2025"/>
    <s v="CUST13236"/>
    <s v="Home Office"/>
    <s v="Tamil Nadu"/>
    <x v="19"/>
    <x v="3"/>
    <s v="Coffee Maker"/>
    <s v="2"/>
    <s v="9041.1299999999992"/>
    <n v="0.1"/>
    <s v="14669.29"/>
    <s v="1604.74"/>
    <x v="0"/>
    <x v="2"/>
    <s v="Marketplace"/>
    <n v="16274.034"/>
  </r>
  <r>
    <s v="ORD101963"/>
    <x v="9"/>
    <s v="29-06-2025"/>
    <s v="CUST10835"/>
    <s v="Consumer"/>
    <s v="Gujarat"/>
    <x v="3"/>
    <x v="2"/>
    <s v="Handbag"/>
    <s v="2"/>
    <s v="1822.53"/>
    <n v="0"/>
    <s v="2638.73"/>
    <s v="1006.33"/>
    <x v="2"/>
    <x v="0"/>
    <s v="Website"/>
    <n v="3645.06"/>
  </r>
  <r>
    <s v="ORD101964"/>
    <x v="9"/>
    <s v="27-06-2025"/>
    <s v="CUST11134"/>
    <s v="Home Office"/>
    <s v="West Bengal"/>
    <x v="0"/>
    <x v="2"/>
    <s v="Jeans"/>
    <s v="1"/>
    <s v="4004.84"/>
    <n v="0.2"/>
    <s v="2552.42"/>
    <s v="651.45000000000005"/>
    <x v="2"/>
    <x v="0"/>
    <s v="Website"/>
    <n v="3203.8719999999998"/>
  </r>
  <r>
    <s v="ORD101966"/>
    <x v="5"/>
    <s v="05-09-2025"/>
    <s v="CUST10001"/>
    <s v="Home Office"/>
    <s v="Telangana"/>
    <x v="14"/>
    <x v="0"/>
    <s v="Headphones"/>
    <s v="2"/>
    <s v="60817.88"/>
    <n v="0"/>
    <s v="72610"/>
    <s v="49025.760000000002"/>
    <x v="1"/>
    <x v="0"/>
    <s v="Website"/>
    <n v="121635.76"/>
  </r>
  <r>
    <s v="ORD101974"/>
    <x v="8"/>
    <s v="16-08-2025"/>
    <s v="CUST11529"/>
    <s v="Consumer"/>
    <s v="Kerala"/>
    <x v="5"/>
    <x v="4"/>
    <s v="Football"/>
    <s v="1"/>
    <s v="10066.61"/>
    <n v="0.05"/>
    <s v="5895.73"/>
    <s v="3667.55"/>
    <x v="2"/>
    <x v="0"/>
    <s v="Marketplace"/>
    <n v="9563.2795000000006"/>
  </r>
  <r>
    <s v="ORD101975"/>
    <x v="9"/>
    <s v="10-06-2025"/>
    <s v="CUST10077"/>
    <s v="Corporate"/>
    <s v="Delhi"/>
    <x v="12"/>
    <x v="2"/>
    <s v="T-Shirt"/>
    <s v="1"/>
    <s v="6600.58"/>
    <n v="0.05"/>
    <s v="3791.35"/>
    <s v="2479.1999999999998"/>
    <x v="0"/>
    <x v="3"/>
    <s v="Mobile App"/>
    <n v="6270.5509999999904"/>
  </r>
  <r>
    <s v="ORD101976"/>
    <x v="3"/>
    <s v="04-03-2025"/>
    <s v="CUST12279"/>
    <s v="Corporate"/>
    <s v="Karnataka"/>
    <x v="22"/>
    <x v="0"/>
    <s v="Tablet"/>
    <s v="1"/>
    <s v="73561.97"/>
    <n v="0.15"/>
    <s v="54063.16"/>
    <s v="8464.51"/>
    <x v="0"/>
    <x v="0"/>
    <s v="Marketplace"/>
    <n v="62527.674500000001"/>
  </r>
  <r>
    <s v="ORD101978"/>
    <x v="3"/>
    <s v="04-03-2025"/>
    <s v="CUST11438"/>
    <s v="Corporate"/>
    <s v="Maharashtra"/>
    <x v="21"/>
    <x v="2"/>
    <s v="Sneakers"/>
    <s v="1"/>
    <s v="2789.32"/>
    <n v="0.1"/>
    <s v="1540.01"/>
    <s v="970.38"/>
    <x v="2"/>
    <x v="0"/>
    <s v="Marketplace"/>
    <n v="2510.3879999999999"/>
  </r>
  <r>
    <s v="ORD101979"/>
    <x v="7"/>
    <s v="19-05-2025"/>
    <s v="CUST11033"/>
    <s v="Consumer"/>
    <s v="Telangana"/>
    <x v="14"/>
    <x v="3"/>
    <s v="Mixer Grinder"/>
    <s v="2"/>
    <s v="8195.7099999999991"/>
    <n v="0.05"/>
    <s v="9452.83"/>
    <s v="6119.02"/>
    <x v="3"/>
    <x v="0"/>
    <s v="Marketplace"/>
    <n v="15571.8489999999"/>
  </r>
  <r>
    <s v="ORD101981"/>
    <x v="3"/>
    <s v="23-03-2025"/>
    <s v="CUST12679"/>
    <s v="Corporate"/>
    <s v="Kerala"/>
    <x v="6"/>
    <x v="0"/>
    <s v="Smartphone"/>
    <s v="3"/>
    <s v="48645.17"/>
    <n v="0.05"/>
    <s v="84351.55"/>
    <s v="54287.18"/>
    <x v="3"/>
    <x v="3"/>
    <s v="Website"/>
    <n v="138638.73449999999"/>
  </r>
  <r>
    <s v="ORD101985"/>
    <x v="9"/>
    <s v="15-06-2025"/>
    <s v="CUST13306"/>
    <s v="Corporate"/>
    <s v="Gujarat"/>
    <x v="18"/>
    <x v="3"/>
    <s v="Air Fryer"/>
    <s v="2"/>
    <s v="17397.63"/>
    <n v="0.05"/>
    <s v="26076.97"/>
    <s v="6978.53"/>
    <x v="3"/>
    <x v="0"/>
    <s v="Marketplace"/>
    <n v="33055.497000000003"/>
  </r>
  <r>
    <s v="ORD101987"/>
    <x v="4"/>
    <s v="03-04-2025"/>
    <s v="CUST10573"/>
    <s v="Corporate"/>
    <s v="Delhi"/>
    <x v="7"/>
    <x v="4"/>
    <s v="Football"/>
    <s v="2"/>
    <s v="1115.33"/>
    <n v="0"/>
    <s v="1565.97"/>
    <s v="664.69"/>
    <x v="2"/>
    <x v="2"/>
    <s v="Website"/>
    <n v="2230.66"/>
  </r>
  <r>
    <s v="ORD101990"/>
    <x v="8"/>
    <s v="17-08-2025"/>
    <s v="CUST10213"/>
    <s v="Consumer"/>
    <s v="Gujarat"/>
    <x v="3"/>
    <x v="2"/>
    <s v="Jacket"/>
    <s v="1"/>
    <s v="3040.32"/>
    <n v="0.15"/>
    <s v="2237"/>
    <s v="347.27"/>
    <x v="1"/>
    <x v="0"/>
    <s v="Mobile App"/>
    <n v="2584.2719999999999"/>
  </r>
  <r>
    <s v="ORD101992"/>
    <x v="2"/>
    <s v="21-12-2025"/>
    <s v="CUST11758"/>
    <s v="Corporate"/>
    <s v="Gujarat"/>
    <x v="18"/>
    <x v="0"/>
    <s v="Laptop"/>
    <s v="1"/>
    <s v="62839.18"/>
    <n v="0.05"/>
    <s v="47694.04"/>
    <s v="12003.18"/>
    <x v="0"/>
    <x v="0"/>
    <s v="Website"/>
    <n v="59697.220999999998"/>
  </r>
  <r>
    <s v="ORD101993"/>
    <x v="6"/>
    <s v="23-07-2025"/>
    <s v="CUST11602"/>
    <s v="Home Office"/>
    <s v="Kerala"/>
    <x v="5"/>
    <x v="2"/>
    <s v="Jeans"/>
    <s v="4"/>
    <s v="4428.41"/>
    <n v="0.05"/>
    <s v="10291.780000000001"/>
    <s v="6536.18"/>
    <x v="3"/>
    <x v="3"/>
    <s v="Marketplace"/>
    <n v="16827.957999999999"/>
  </r>
  <r>
    <s v="ORD101994"/>
    <x v="3"/>
    <s v="16-03-2025"/>
    <s v="CUST10919"/>
    <s v="Corporate"/>
    <s v="Kerala"/>
    <x v="5"/>
    <x v="0"/>
    <s v="Smartwatch"/>
    <s v="1"/>
    <s v="58917.99"/>
    <n v="0.05"/>
    <s v="46908.39"/>
    <s v="9063.7000000000007"/>
    <x v="5"/>
    <x v="0"/>
    <s v="Mobile App"/>
    <n v="55972.090499999998"/>
  </r>
  <r>
    <s v="ORD101995"/>
    <x v="4"/>
    <s v="22-04-2025"/>
    <s v="CUST13390"/>
    <s v="Corporate"/>
    <s v="Maharashtra"/>
    <x v="20"/>
    <x v="2"/>
    <s v="T-Shirt"/>
    <s v="1"/>
    <s v="3057.39"/>
    <n v="0.2"/>
    <s v="1711.14"/>
    <s v="734.77"/>
    <x v="3"/>
    <x v="2"/>
    <s v="Mobile App"/>
    <n v="2445.9119999999998"/>
  </r>
  <r>
    <s v="ORD101999"/>
    <x v="1"/>
    <s v="19-02-2025"/>
    <s v="CUST10002"/>
    <s v="Home Office"/>
    <s v="Karnataka"/>
    <x v="22"/>
    <x v="2"/>
    <s v="Jeans"/>
    <s v="1"/>
    <s v="6320.4"/>
    <n v="0"/>
    <s v="4458.71"/>
    <s v="1861.69"/>
    <x v="0"/>
    <x v="1"/>
    <s v="Marketplace"/>
    <n v="6320.4"/>
  </r>
  <r>
    <s v="ORD102000"/>
    <x v="9"/>
    <s v="19-06-2025"/>
    <s v="CUST12415"/>
    <s v="Home Office"/>
    <s v="Karnataka"/>
    <x v="22"/>
    <x v="3"/>
    <s v="Mixer Grinder"/>
    <s v="2"/>
    <s v="16706.41"/>
    <n v="0"/>
    <s v="22763.29"/>
    <s v="10649.53"/>
    <x v="1"/>
    <x v="0"/>
    <s v="Marketplace"/>
    <n v="33412.82"/>
  </r>
  <r>
    <s v="ORD102001"/>
    <x v="11"/>
    <s v="14-10-2025"/>
    <s v="CUST10489"/>
    <s v="Consumer"/>
    <s v="Tamil Nadu"/>
    <x v="11"/>
    <x v="2"/>
    <s v="T-Shirt"/>
    <s v="1"/>
    <s v="319.74"/>
    <n v="0.15"/>
    <s v="229.68"/>
    <s v="42.1"/>
    <x v="0"/>
    <x v="0"/>
    <s v="Mobile App"/>
    <n v="271.779"/>
  </r>
  <r>
    <s v="ORD102002"/>
    <x v="11"/>
    <s v="22-10-2025"/>
    <s v="CUST10423"/>
    <s v="Corporate"/>
    <s v="Tamil Nadu"/>
    <x v="11"/>
    <x v="0"/>
    <s v="Smartwatch"/>
    <s v="1"/>
    <s v="36853.35"/>
    <n v="0"/>
    <s v="29005.38"/>
    <s v="7847.97"/>
    <x v="1"/>
    <x v="0"/>
    <s v="Website"/>
    <n v="36853.35"/>
  </r>
  <r>
    <s v="ORD102003"/>
    <x v="6"/>
    <s v="28-07-2025"/>
    <s v="CUST13244"/>
    <s v="Corporate"/>
    <s v="Tamil Nadu"/>
    <x v="8"/>
    <x v="4"/>
    <s v="Yoga Mat"/>
    <s v="2"/>
    <s v="5144.38"/>
    <n v="0"/>
    <s v="6473.16"/>
    <s v="3815.6"/>
    <x v="3"/>
    <x v="0"/>
    <s v="Mobile App"/>
    <n v="10288.76"/>
  </r>
  <r>
    <s v="ORD102006"/>
    <x v="4"/>
    <s v="11-04-2025"/>
    <s v="CUST10994"/>
    <s v="Corporate"/>
    <s v="West Bengal"/>
    <x v="9"/>
    <x v="2"/>
    <s v="Jacket"/>
    <s v="2"/>
    <s v="6632.43"/>
    <n v="0.1"/>
    <s v="9562.7099999999991"/>
    <s v="2375.66"/>
    <x v="2"/>
    <x v="0"/>
    <s v="Mobile App"/>
    <n v="11938.374"/>
  </r>
  <r>
    <s v="ORD102007"/>
    <x v="4"/>
    <s v="08-04-2025"/>
    <s v="CUST13189"/>
    <s v="Corporate"/>
    <s v="Kerala"/>
    <x v="15"/>
    <x v="4"/>
    <s v="Football"/>
    <s v="1"/>
    <s v="3062.82"/>
    <n v="0.1"/>
    <s v="2084.4299999999998"/>
    <s v="672.11"/>
    <x v="2"/>
    <x v="0"/>
    <s v="Mobile App"/>
    <n v="2756.538"/>
  </r>
  <r>
    <s v="ORD102008"/>
    <x v="10"/>
    <s v="15-11-2025"/>
    <s v="CUST11847"/>
    <s v="Consumer"/>
    <s v="Tamil Nadu"/>
    <x v="11"/>
    <x v="2"/>
    <s v="Jeans"/>
    <s v="1"/>
    <s v="1596.19"/>
    <n v="0.1"/>
    <s v="1156.3599999999999"/>
    <s v="280.20999999999998"/>
    <x v="5"/>
    <x v="0"/>
    <s v="Website"/>
    <n v="1436.5709999999999"/>
  </r>
  <r>
    <s v="ORD102009"/>
    <x v="11"/>
    <s v="02-10-2025"/>
    <s v="CUST12946"/>
    <s v="Home Office"/>
    <s v="Karnataka"/>
    <x v="2"/>
    <x v="4"/>
    <s v="Football"/>
    <s v="1"/>
    <s v="11561.14"/>
    <n v="0.15"/>
    <s v="7177.82"/>
    <s v="2649.15"/>
    <x v="5"/>
    <x v="2"/>
    <s v="Website"/>
    <n v="9826.9689999999991"/>
  </r>
  <r>
    <s v="ORD102012"/>
    <x v="3"/>
    <s v="03-03-2025"/>
    <s v="CUST12339"/>
    <s v="Home Office"/>
    <s v="Gujarat"/>
    <x v="18"/>
    <x v="4"/>
    <s v="Yoga Mat"/>
    <s v="1"/>
    <s v="10920.82"/>
    <n v="0.05"/>
    <s v="7033.98"/>
    <s v="3340.8"/>
    <x v="5"/>
    <x v="2"/>
    <s v="Mobile App"/>
    <n v="10374.7789999999"/>
  </r>
  <r>
    <s v="ORD102013"/>
    <x v="9"/>
    <s v="23-06-2025"/>
    <s v="CUST11702"/>
    <s v="Home Office"/>
    <s v="Delhi"/>
    <x v="7"/>
    <x v="3"/>
    <s v="Air Fryer"/>
    <s v="1"/>
    <s v="8594.8700000000008"/>
    <n v="0.1"/>
    <s v="4748.97"/>
    <s v="2986.41"/>
    <x v="2"/>
    <x v="0"/>
    <s v="Marketplace"/>
    <n v="7735.3829999999998"/>
  </r>
  <r>
    <s v="ORD102015"/>
    <x v="11"/>
    <s v="01-10-2025"/>
    <s v="CUST11365"/>
    <s v="Corporate"/>
    <s v="Maharashtra"/>
    <x v="4"/>
    <x v="2"/>
    <s v="T-Shirt"/>
    <s v="3"/>
    <s v="1045.27"/>
    <n v="0.1"/>
    <s v="1966.06"/>
    <s v="856.17"/>
    <x v="2"/>
    <x v="0"/>
    <s v="Website"/>
    <n v="2822.2289999999998"/>
  </r>
  <r>
    <s v="ORD102020"/>
    <x v="3"/>
    <s v="26-03-2025"/>
    <s v="CUST10031"/>
    <s v="Consumer"/>
    <s v="West Bengal"/>
    <x v="9"/>
    <x v="1"/>
    <s v="Shampoo"/>
    <s v="3"/>
    <s v="484.82"/>
    <n v="0.05"/>
    <s v="1024.82"/>
    <s v="356.92"/>
    <x v="1"/>
    <x v="0"/>
    <s v="Mobile App"/>
    <n v="1381.7370000000001"/>
  </r>
  <r>
    <s v="ORD102022"/>
    <x v="0"/>
    <s v="23-01-2025"/>
    <s v="CUST11373"/>
    <s v="Corporate"/>
    <s v="Gujarat"/>
    <x v="10"/>
    <x v="2"/>
    <s v="Jeans"/>
    <s v="1"/>
    <s v="4397.4399999999996"/>
    <n v="0.15"/>
    <s v="3037.11"/>
    <s v="700.71"/>
    <x v="3"/>
    <x v="0"/>
    <s v="Marketplace"/>
    <n v="3737.8239999999901"/>
  </r>
  <r>
    <s v="ORD102023"/>
    <x v="5"/>
    <s v="16-09-2025"/>
    <s v="CUST12086"/>
    <s v="Consumer"/>
    <s v="Telangana"/>
    <x v="16"/>
    <x v="2"/>
    <s v="Jacket"/>
    <s v="2"/>
    <s v="2907.16"/>
    <n v="0.05"/>
    <s v="3621.79"/>
    <s v="1901.81"/>
    <x v="0"/>
    <x v="0"/>
    <s v="Website"/>
    <n v="5523.6039999999903"/>
  </r>
  <r>
    <s v="ORD102025"/>
    <x v="6"/>
    <s v="27-07-2025"/>
    <s v="CUST11319"/>
    <s v="Consumer"/>
    <s v="West Bengal"/>
    <x v="0"/>
    <x v="0"/>
    <s v="Tablet"/>
    <s v="1"/>
    <s v="25969.25"/>
    <n v="0.2"/>
    <s v="21216.91"/>
    <s v="-441.51"/>
    <x v="5"/>
    <x v="0"/>
    <s v="Marketplace"/>
    <n v="20775.400000000001"/>
  </r>
  <r>
    <s v="ORD102027"/>
    <x v="8"/>
    <s v="08-08-2025"/>
    <s v="CUST13262"/>
    <s v="Consumer"/>
    <s v="Telangana"/>
    <x v="14"/>
    <x v="2"/>
    <s v="T-Shirt"/>
    <s v="1"/>
    <s v="5787.32"/>
    <n v="0.05"/>
    <s v="4398.16"/>
    <s v="1099.79"/>
    <x v="3"/>
    <x v="0"/>
    <s v="Website"/>
    <n v="5497.9539999999997"/>
  </r>
  <r>
    <s v="ORD102028"/>
    <x v="10"/>
    <s v="22-11-2025"/>
    <s v="CUST10694"/>
    <s v="Corporate"/>
    <s v="Gujarat"/>
    <x v="3"/>
    <x v="3"/>
    <s v="Air Fryer"/>
    <s v="1"/>
    <s v="10131.77"/>
    <n v="0.2"/>
    <s v="8300.4599999999991"/>
    <s v="-195.04"/>
    <x v="3"/>
    <x v="3"/>
    <s v="Website"/>
    <n v="8105.4160000000002"/>
  </r>
  <r>
    <s v="ORD102029"/>
    <x v="8"/>
    <s v="05-08-2025"/>
    <s v="CUST10514"/>
    <s v="Consumer"/>
    <s v="Gujarat"/>
    <x v="18"/>
    <x v="3"/>
    <s v="Coffee Maker"/>
    <s v="1"/>
    <s v="3799.41"/>
    <n v="0.15"/>
    <s v="2787.2"/>
    <s v="442.3"/>
    <x v="3"/>
    <x v="0"/>
    <s v="Website"/>
    <n v="3229.4984999999901"/>
  </r>
  <r>
    <s v="ORD102030"/>
    <x v="9"/>
    <s v="25-06-2025"/>
    <s v="CUST11046"/>
    <s v="Corporate"/>
    <s v="Telangana"/>
    <x v="16"/>
    <x v="2"/>
    <s v="Handbag"/>
    <s v="1"/>
    <s v="3525.49"/>
    <n v="0"/>
    <s v="2529.94"/>
    <s v="995.55"/>
    <x v="0"/>
    <x v="0"/>
    <s v="Mobile App"/>
    <n v="3525.49"/>
  </r>
  <r>
    <s v="ORD102032"/>
    <x v="2"/>
    <s v="16-12-2025"/>
    <s v="CUST13340"/>
    <s v="Home Office"/>
    <s v="Tamil Nadu"/>
    <x v="8"/>
    <x v="4"/>
    <s v="Fitness Band"/>
    <s v="1"/>
    <s v="11578.83"/>
    <n v="0.1"/>
    <s v="8027.45"/>
    <s v="2393.5"/>
    <x v="5"/>
    <x v="0"/>
    <s v="Website"/>
    <n v="10420.947"/>
  </r>
  <r>
    <s v="ORD102035"/>
    <x v="8"/>
    <s v="04-08-2025"/>
    <s v="CUST11699"/>
    <s v="Consumer"/>
    <s v="West Bengal"/>
    <x v="9"/>
    <x v="0"/>
    <s v="Laptop"/>
    <s v="1"/>
    <s v="41529"/>
    <n v="0.15"/>
    <s v="26834.26"/>
    <s v="8465.39"/>
    <x v="0"/>
    <x v="0"/>
    <s v="Website"/>
    <n v="35299.65"/>
  </r>
  <r>
    <s v="ORD102036"/>
    <x v="10"/>
    <s v="23-11-2025"/>
    <s v="CUST13315"/>
    <s v="Home Office"/>
    <s v="Delhi"/>
    <x v="12"/>
    <x v="0"/>
    <s v="Laptop"/>
    <s v="1"/>
    <s v="56169.25"/>
    <n v="0.15"/>
    <s v="32326.34"/>
    <s v="15417.52"/>
    <x v="2"/>
    <x v="0"/>
    <s v="Marketplace"/>
    <n v="47743.862499999901"/>
  </r>
  <r>
    <s v="ORD102037"/>
    <x v="0"/>
    <s v="28-01-2025"/>
    <s v="CUST12082"/>
    <s v="Home Office"/>
    <s v="West Bengal"/>
    <x v="0"/>
    <x v="2"/>
    <s v="Jacket"/>
    <s v="1"/>
    <s v="5116.8500000000004"/>
    <n v="0.05"/>
    <s v="3232.68"/>
    <s v="1628.33"/>
    <x v="5"/>
    <x v="0"/>
    <s v="Website"/>
    <n v="4861.0074999999997"/>
  </r>
  <r>
    <s v="ORD102038"/>
    <x v="6"/>
    <s v="01-07-2025"/>
    <s v="CUST12324"/>
    <s v="Consumer"/>
    <s v="Kerala"/>
    <x v="6"/>
    <x v="0"/>
    <s v="Smartphone"/>
    <s v="1"/>
    <s v="25445.22"/>
    <n v="0.15"/>
    <s v="20693.669999999998"/>
    <s v="934.77"/>
    <x v="1"/>
    <x v="0"/>
    <s v="Marketplace"/>
    <n v="21628.437000000002"/>
  </r>
  <r>
    <s v="ORD102039"/>
    <x v="9"/>
    <s v="03-06-2025"/>
    <s v="CUST12988"/>
    <s v="Consumer"/>
    <s v="Delhi"/>
    <x v="7"/>
    <x v="2"/>
    <s v="T-Shirt"/>
    <s v="2"/>
    <s v="5035.24"/>
    <n v="0.1"/>
    <s v="7218.25"/>
    <s v="1845.18"/>
    <x v="5"/>
    <x v="0"/>
    <s v="Marketplace"/>
    <n v="9063.4320000000007"/>
  </r>
  <r>
    <s v="ORD102044"/>
    <x v="2"/>
    <s v="10-12-2025"/>
    <s v="CUST11302"/>
    <s v="Consumer"/>
    <s v="Maharashtra"/>
    <x v="4"/>
    <x v="2"/>
    <s v="Jeans"/>
    <s v="2"/>
    <s v="2859.58"/>
    <n v="0.15"/>
    <s v="3168.93"/>
    <s v="1692.36"/>
    <x v="0"/>
    <x v="2"/>
    <s v="Mobile App"/>
    <n v="4861.2860000000001"/>
  </r>
  <r>
    <s v="ORD102045"/>
    <x v="1"/>
    <s v="04-02-2025"/>
    <s v="CUST10181"/>
    <s v="Home Office"/>
    <s v="Karnataka"/>
    <x v="22"/>
    <x v="3"/>
    <s v="Mixer Grinder"/>
    <s v="1"/>
    <s v="14750.21"/>
    <n v="0.05"/>
    <s v="8288.5"/>
    <s v="5724.2"/>
    <x v="2"/>
    <x v="0"/>
    <s v="Mobile App"/>
    <n v="14012.699499999901"/>
  </r>
  <r>
    <s v="ORD102046"/>
    <x v="7"/>
    <s v="24-05-2025"/>
    <s v="CUST12479"/>
    <s v="Corporate"/>
    <s v="Tamil Nadu"/>
    <x v="13"/>
    <x v="4"/>
    <s v="Football"/>
    <s v="1"/>
    <s v="5748.44"/>
    <n v="0.15"/>
    <s v="3414.86"/>
    <s v="1471.31"/>
    <x v="0"/>
    <x v="0"/>
    <s v="Marketplace"/>
    <n v="4886.174"/>
  </r>
  <r>
    <s v="ORD102049"/>
    <x v="8"/>
    <s v="18-08-2025"/>
    <s v="CUST12012"/>
    <s v="Home Office"/>
    <s v="Karnataka"/>
    <x v="22"/>
    <x v="4"/>
    <s v="Yoga Mat"/>
    <s v="1"/>
    <s v="1496.41"/>
    <n v="0.15"/>
    <s v="1092.28"/>
    <s v="179.67"/>
    <x v="3"/>
    <x v="0"/>
    <s v="Website"/>
    <n v="1271.9485"/>
  </r>
  <r>
    <s v="ORD102050"/>
    <x v="9"/>
    <s v="02-06-2025"/>
    <s v="CUST10274"/>
    <s v="Home Office"/>
    <s v="Telangana"/>
    <x v="16"/>
    <x v="0"/>
    <s v="Laptop"/>
    <s v="2"/>
    <s v="46824.39"/>
    <n v="0.05"/>
    <s v="74762.759999999995"/>
    <s v="14203.58"/>
    <x v="2"/>
    <x v="0"/>
    <s v="Website"/>
    <n v="88966.341"/>
  </r>
  <r>
    <s v="ORD102051"/>
    <x v="11"/>
    <s v="27-10-2025"/>
    <s v="CUST12695"/>
    <s v="Corporate"/>
    <s v="West Bengal"/>
    <x v="9"/>
    <x v="2"/>
    <s v="Sneakers"/>
    <s v="2"/>
    <s v="3248.34"/>
    <n v="0"/>
    <s v="3585.86"/>
    <s v="2910.82"/>
    <x v="5"/>
    <x v="0"/>
    <s v="Website"/>
    <n v="6496.68"/>
  </r>
  <r>
    <s v="ORD102052"/>
    <x v="8"/>
    <s v="25-08-2025"/>
    <s v="CUST11695"/>
    <s v="Corporate"/>
    <s v="Gujarat"/>
    <x v="10"/>
    <x v="3"/>
    <s v="Mixer Grinder"/>
    <s v="2"/>
    <s v="10721.42"/>
    <n v="0.05"/>
    <s v="12738.43"/>
    <s v="7632.27"/>
    <x v="2"/>
    <x v="0"/>
    <s v="Marketplace"/>
    <n v="20370.698"/>
  </r>
  <r>
    <s v="ORD102053"/>
    <x v="7"/>
    <s v="03-05-2025"/>
    <s v="CUST11827"/>
    <s v="Corporate"/>
    <s v="West Bengal"/>
    <x v="0"/>
    <x v="4"/>
    <s v="Cricket Bat"/>
    <s v="1"/>
    <s v="3076.27"/>
    <n v="0"/>
    <s v="2450.7399999999998"/>
    <s v="625.53"/>
    <x v="1"/>
    <x v="0"/>
    <s v="Website"/>
    <n v="3076.27"/>
  </r>
  <r>
    <s v="ORD102057"/>
    <x v="10"/>
    <s v="29-11-2025"/>
    <s v="CUST10242"/>
    <s v="Home Office"/>
    <s v="Tamil Nadu"/>
    <x v="1"/>
    <x v="2"/>
    <s v="Handbag"/>
    <s v="2"/>
    <s v="950.3"/>
    <n v="0.05"/>
    <s v="1498.57"/>
    <s v="307"/>
    <x v="0"/>
    <x v="0"/>
    <s v="Marketplace"/>
    <n v="1805.57"/>
  </r>
  <r>
    <s v="ORD102059"/>
    <x v="6"/>
    <s v="20-07-2025"/>
    <s v="CUST11227"/>
    <s v="Corporate"/>
    <s v="Tamil Nadu"/>
    <x v="19"/>
    <x v="1"/>
    <s v="Hair Dryer"/>
    <s v="2"/>
    <s v="5114.74"/>
    <n v="0.15"/>
    <s v="7963.47"/>
    <s v="731.59"/>
    <x v="2"/>
    <x v="3"/>
    <s v="Marketplace"/>
    <n v="8695.05799999999"/>
  </r>
  <r>
    <s v="ORD102060"/>
    <x v="9"/>
    <s v="02-06-2025"/>
    <s v="CUST11277"/>
    <s v="Corporate"/>
    <s v="Telangana"/>
    <x v="16"/>
    <x v="3"/>
    <s v="Coffee Maker"/>
    <s v="1"/>
    <s v="4013.87"/>
    <n v="0.15"/>
    <s v="2497.12"/>
    <s v="914.67"/>
    <x v="5"/>
    <x v="0"/>
    <s v="Marketplace"/>
    <n v="3411.7894999999999"/>
  </r>
  <r>
    <s v="ORD102061"/>
    <x v="0"/>
    <s v="20-01-2025"/>
    <s v="CUST12777"/>
    <s v="Corporate"/>
    <s v="West Bengal"/>
    <x v="0"/>
    <x v="3"/>
    <s v="Air Fryer"/>
    <s v="1"/>
    <s v="3209.2"/>
    <n v="0.1"/>
    <s v="2029.47"/>
    <s v="858.81"/>
    <x v="0"/>
    <x v="0"/>
    <s v="Marketplace"/>
    <n v="2888.2799999999902"/>
  </r>
  <r>
    <s v="ORD102067"/>
    <x v="3"/>
    <s v="08-03-2025"/>
    <s v="CUST10804"/>
    <s v="Corporate"/>
    <s v="Telangana"/>
    <x v="14"/>
    <x v="3"/>
    <s v="Coffee Maker"/>
    <s v="2"/>
    <s v="2370.4499999999998"/>
    <n v="0"/>
    <s v="3329.07"/>
    <s v="1411.83"/>
    <x v="1"/>
    <x v="0"/>
    <s v="Marketplace"/>
    <n v="4740.8999999999996"/>
  </r>
  <r>
    <s v="ORD102068"/>
    <x v="11"/>
    <s v="16-10-2025"/>
    <s v="CUST11011"/>
    <s v="Home Office"/>
    <s v="Telangana"/>
    <x v="14"/>
    <x v="4"/>
    <s v="Football"/>
    <s v="1"/>
    <s v="4880.6499999999996"/>
    <n v="0.05"/>
    <s v="2746.95"/>
    <s v="1889.67"/>
    <x v="1"/>
    <x v="0"/>
    <s v="Marketplace"/>
    <n v="4636.6174999999903"/>
  </r>
  <r>
    <s v="ORD102069"/>
    <x v="11"/>
    <s v="02-10-2025"/>
    <s v="CUST11868"/>
    <s v="Home Office"/>
    <s v="Delhi"/>
    <x v="12"/>
    <x v="0"/>
    <s v="Smartwatch"/>
    <s v="2"/>
    <s v="14942.6"/>
    <n v="0.1"/>
    <s v="16774.14"/>
    <s v="10122.540000000001"/>
    <x v="0"/>
    <x v="2"/>
    <s v="Mobile App"/>
    <n v="26896.68"/>
  </r>
  <r>
    <s v="ORD102071"/>
    <x v="6"/>
    <s v="03-07-2025"/>
    <s v="CUST13176"/>
    <s v="Home Office"/>
    <s v="Tamil Nadu"/>
    <x v="8"/>
    <x v="0"/>
    <s v="Tablet"/>
    <s v="1"/>
    <s v="34708.47"/>
    <n v="0.15"/>
    <s v="26213.83"/>
    <s v="3288.37"/>
    <x v="3"/>
    <x v="0"/>
    <s v="Website"/>
    <n v="29502.199499999999"/>
  </r>
  <r>
    <s v="ORD102072"/>
    <x v="5"/>
    <s v="25-09-2025"/>
    <s v="CUST10947"/>
    <s v="Consumer"/>
    <s v="Karnataka"/>
    <x v="22"/>
    <x v="4"/>
    <s v="Cricket Bat"/>
    <s v="1"/>
    <s v="2716.99"/>
    <n v="0.05"/>
    <s v="2045.25"/>
    <s v="535.89"/>
    <x v="5"/>
    <x v="0"/>
    <s v="Mobile App"/>
    <n v="2581.14049999999"/>
  </r>
  <r>
    <s v="ORD102074"/>
    <x v="5"/>
    <s v="09-09-2025"/>
    <s v="CUST10541"/>
    <s v="Home Office"/>
    <s v="Kerala"/>
    <x v="5"/>
    <x v="0"/>
    <s v="Smartwatch"/>
    <s v="1"/>
    <s v="8152.59"/>
    <n v="0"/>
    <s v="6253.44"/>
    <s v="1899.15"/>
    <x v="2"/>
    <x v="0"/>
    <s v="Website"/>
    <n v="8152.59"/>
  </r>
  <r>
    <s v="ORD102078"/>
    <x v="1"/>
    <s v="10-02-2025"/>
    <s v="CUST10455"/>
    <s v="Consumer"/>
    <s v="Telangana"/>
    <x v="16"/>
    <x v="0"/>
    <s v="Smartwatch"/>
    <s v="1"/>
    <s v="50731.4"/>
    <n v="0.15"/>
    <s v="36025.24"/>
    <s v="7096.45"/>
    <x v="3"/>
    <x v="0"/>
    <s v="Marketplace"/>
    <n v="43121.69"/>
  </r>
  <r>
    <s v="ORD102079"/>
    <x v="11"/>
    <s v="28-10-2025"/>
    <s v="CUST13373"/>
    <s v="Home Office"/>
    <s v="Telangana"/>
    <x v="14"/>
    <x v="0"/>
    <s v="Laptop"/>
    <s v="1"/>
    <s v="55447.040000000001"/>
    <n v="0.05"/>
    <s v="44690.62"/>
    <s v="7984.07"/>
    <x v="2"/>
    <x v="0"/>
    <s v="Mobile App"/>
    <n v="52674.688000000002"/>
  </r>
  <r>
    <s v="ORD102080"/>
    <x v="0"/>
    <s v="27-01-2025"/>
    <s v="CUST12821"/>
    <s v="Corporate"/>
    <s v="Telangana"/>
    <x v="16"/>
    <x v="2"/>
    <s v="Jacket"/>
    <s v="1"/>
    <s v="6758.84"/>
    <n v="0.1"/>
    <s v="4029.93"/>
    <s v="2053.0300000000002"/>
    <x v="2"/>
    <x v="0"/>
    <s v="Marketplace"/>
    <n v="6082.9560000000001"/>
  </r>
  <r>
    <s v="ORD102081"/>
    <x v="2"/>
    <s v="15-12-2025"/>
    <s v="CUST12926"/>
    <s v="Consumer"/>
    <s v="Telangana"/>
    <x v="14"/>
    <x v="2"/>
    <s v="Sneakers"/>
    <s v="1"/>
    <s v="5562.4"/>
    <n v="0.05"/>
    <s v="4352.8500000000004"/>
    <s v="931.43"/>
    <x v="0"/>
    <x v="0"/>
    <s v="Mobile App"/>
    <n v="5284.28"/>
  </r>
  <r>
    <s v="ORD102082"/>
    <x v="3"/>
    <s v="04-03-2025"/>
    <s v="CUST10383"/>
    <s v="Home Office"/>
    <s v="Gujarat"/>
    <x v="18"/>
    <x v="2"/>
    <s v="Jeans"/>
    <s v="1"/>
    <s v="4628.26"/>
    <n v="0.15"/>
    <s v="2927.71"/>
    <s v="1006.31"/>
    <x v="5"/>
    <x v="0"/>
    <s v="Website"/>
    <n v="3934.0210000000002"/>
  </r>
  <r>
    <s v="ORD102083"/>
    <x v="7"/>
    <s v="21-05-2025"/>
    <s v="CUST11311"/>
    <s v="Consumer"/>
    <s v="Telangana"/>
    <x v="14"/>
    <x v="2"/>
    <s v="Jacket"/>
    <s v="1"/>
    <s v="4182.45"/>
    <n v="0.1"/>
    <s v="2584.7199999999998"/>
    <s v="1179.48"/>
    <x v="0"/>
    <x v="2"/>
    <s v="Marketplace"/>
    <n v="3764.2049999999999"/>
  </r>
  <r>
    <s v="ORD102085"/>
    <x v="2"/>
    <s v="11-12-2025"/>
    <s v="CUST10798"/>
    <s v="Consumer"/>
    <s v="Gujarat"/>
    <x v="10"/>
    <x v="3"/>
    <s v="Coffee Maker"/>
    <s v="4"/>
    <s v="7345.03"/>
    <n v="0.05"/>
    <s v="17751.79"/>
    <s v="10159.32"/>
    <x v="3"/>
    <x v="0"/>
    <s v="Marketplace"/>
    <n v="27911.1139999999"/>
  </r>
  <r>
    <s v="ORD102086"/>
    <x v="9"/>
    <s v="07-06-2025"/>
    <s v="CUST10224"/>
    <s v="Corporate"/>
    <s v="Karnataka"/>
    <x v="17"/>
    <x v="4"/>
    <s v="Yoga Mat"/>
    <s v="1"/>
    <s v="4645.12"/>
    <n v="0.05"/>
    <s v="3626.59"/>
    <s v="786.27"/>
    <x v="5"/>
    <x v="0"/>
    <s v="Marketplace"/>
    <n v="4412.8639999999996"/>
  </r>
  <r>
    <s v="ORD102088"/>
    <x v="4"/>
    <s v="06-04-2025"/>
    <s v="CUST10900"/>
    <s v="Home Office"/>
    <s v="Maharashtra"/>
    <x v="21"/>
    <x v="1"/>
    <s v="Lipstick"/>
    <s v="1"/>
    <s v="2746.37"/>
    <n v="0.15"/>
    <s v="1825.42"/>
    <s v="508.99"/>
    <x v="1"/>
    <x v="3"/>
    <s v="Marketplace"/>
    <n v="2334.4144999999999"/>
  </r>
  <r>
    <s v="ORD102089"/>
    <x v="0"/>
    <s v="08-01-2025"/>
    <s v="CUST11542"/>
    <s v="Home Office"/>
    <s v="Telangana"/>
    <x v="14"/>
    <x v="1"/>
    <s v="Perfume"/>
    <s v="1"/>
    <s v="1908.1"/>
    <n v="0.05"/>
    <s v="1124.24"/>
    <s v="688.46"/>
    <x v="0"/>
    <x v="0"/>
    <s v="Website"/>
    <n v="1812.6949999999999"/>
  </r>
  <r>
    <s v="ORD102090"/>
    <x v="2"/>
    <s v="08-12-2025"/>
    <s v="CUST12208"/>
    <s v="Home Office"/>
    <s v="Delhi"/>
    <x v="7"/>
    <x v="0"/>
    <s v="Headphones"/>
    <s v="2"/>
    <s v="54876.04"/>
    <n v="0.1"/>
    <s v="62846.34"/>
    <s v="35930.53"/>
    <x v="5"/>
    <x v="2"/>
    <s v="Marketplace"/>
    <n v="98776.872000000003"/>
  </r>
  <r>
    <s v="ORD102091"/>
    <x v="9"/>
    <s v="29-06-2025"/>
    <s v="CUST10198"/>
    <s v="Home Office"/>
    <s v="Telangana"/>
    <x v="14"/>
    <x v="3"/>
    <s v="Air Fryer"/>
    <s v="2"/>
    <s v="1138.24"/>
    <n v="0.2"/>
    <s v="1314.17"/>
    <s v="507.01"/>
    <x v="3"/>
    <x v="0"/>
    <s v="Marketplace"/>
    <n v="1821.184"/>
  </r>
  <r>
    <s v="ORD102093"/>
    <x v="0"/>
    <s v="19-01-2025"/>
    <s v="CUST12691"/>
    <s v="Home Office"/>
    <s v="Karnataka"/>
    <x v="2"/>
    <x v="3"/>
    <s v="Cookware Set"/>
    <s v="2"/>
    <s v="9852.7800000000007"/>
    <n v="0.2"/>
    <s v="14974.06"/>
    <s v="790.39"/>
    <x v="2"/>
    <x v="0"/>
    <s v="Marketplace"/>
    <n v="15764.448"/>
  </r>
  <r>
    <s v="ORD102094"/>
    <x v="6"/>
    <s v="30-07-2025"/>
    <s v="CUST13226"/>
    <s v="Corporate"/>
    <s v="Telangana"/>
    <x v="16"/>
    <x v="0"/>
    <s v="Laptop"/>
    <s v="2"/>
    <s v="9095.5400000000009"/>
    <n v="0"/>
    <s v="13503.11"/>
    <s v="4687.97"/>
    <x v="3"/>
    <x v="0"/>
    <s v="Mobile App"/>
    <n v="18191.080000000002"/>
  </r>
  <r>
    <s v="ORD102096"/>
    <x v="5"/>
    <s v="17-09-2025"/>
    <s v="CUST10027"/>
    <s v="Corporate"/>
    <s v="Delhi"/>
    <x v="12"/>
    <x v="4"/>
    <s v="Yoga Mat"/>
    <s v="1"/>
    <s v="8500.31"/>
    <n v="0.15"/>
    <s v="6783.42"/>
    <s v="441.84"/>
    <x v="5"/>
    <x v="0"/>
    <s v="Website"/>
    <n v="7225.26349999999"/>
  </r>
  <r>
    <s v="ORD102098"/>
    <x v="1"/>
    <s v="28-02-2025"/>
    <s v="CUST12815"/>
    <s v="Home Office"/>
    <s v="Gujarat"/>
    <x v="18"/>
    <x v="2"/>
    <s v="Handbag"/>
    <s v="2"/>
    <s v="3969.36"/>
    <n v="0"/>
    <s v="4641.46"/>
    <s v="3297.26"/>
    <x v="5"/>
    <x v="0"/>
    <s v="Marketplace"/>
    <n v="7938.72"/>
  </r>
  <r>
    <s v="ORD102099"/>
    <x v="3"/>
    <s v="23-03-2025"/>
    <s v="CUST11715"/>
    <s v="Consumer"/>
    <s v="Maharashtra"/>
    <x v="21"/>
    <x v="4"/>
    <s v="Football"/>
    <s v="3"/>
    <s v="1815.15"/>
    <n v="0.2"/>
    <s v="3749.74"/>
    <s v="606.62"/>
    <x v="1"/>
    <x v="0"/>
    <s v="Mobile App"/>
    <n v="4356.3599999999997"/>
  </r>
  <r>
    <s v="ORD102100"/>
    <x v="0"/>
    <s v="18-01-2025"/>
    <s v="CUST11038"/>
    <s v="Corporate"/>
    <s v="Delhi"/>
    <x v="12"/>
    <x v="1"/>
    <s v="Lipstick"/>
    <s v="2"/>
    <s v="5029.45"/>
    <n v="0.15"/>
    <s v="6393.47"/>
    <s v="2156.59"/>
    <x v="1"/>
    <x v="0"/>
    <s v="Marketplace"/>
    <n v="8550.0649999999896"/>
  </r>
  <r>
    <s v="ORD102102"/>
    <x v="10"/>
    <s v="09-11-2025"/>
    <s v="CUST12321"/>
    <s v="Home Office"/>
    <s v="Kerala"/>
    <x v="5"/>
    <x v="3"/>
    <s v="Coffee Maker"/>
    <s v="2"/>
    <s v="1925.51"/>
    <n v="0.1"/>
    <s v="2552.21"/>
    <s v="913.71"/>
    <x v="1"/>
    <x v="0"/>
    <s v="Marketplace"/>
    <n v="3465.9180000000001"/>
  </r>
  <r>
    <s v="ORD102103"/>
    <x v="7"/>
    <s v="11-05-2025"/>
    <s v="CUST11585"/>
    <s v="Corporate"/>
    <s v="Karnataka"/>
    <x v="22"/>
    <x v="0"/>
    <s v="Headphones"/>
    <s v="3"/>
    <s v="53719.95"/>
    <n v="0"/>
    <s v="111838.07"/>
    <s v="49321.78"/>
    <x v="5"/>
    <x v="0"/>
    <s v="Mobile App"/>
    <n v="161159.84999999899"/>
  </r>
  <r>
    <s v="ORD102105"/>
    <x v="0"/>
    <s v="25-01-2025"/>
    <s v="CUST10164"/>
    <s v="Home Office"/>
    <s v="Tamil Nadu"/>
    <x v="13"/>
    <x v="2"/>
    <s v="T-Shirt"/>
    <s v="1"/>
    <s v="2895.11"/>
    <n v="0.15"/>
    <s v="1783.27"/>
    <s v="677.57"/>
    <x v="3"/>
    <x v="0"/>
    <s v="Website"/>
    <n v="2460.8434999999999"/>
  </r>
  <r>
    <s v="ORD102108"/>
    <x v="3"/>
    <s v="29-03-2025"/>
    <s v="CUST11984"/>
    <s v="Consumer"/>
    <s v="Telangana"/>
    <x v="16"/>
    <x v="3"/>
    <s v="Vacuum Cleaner"/>
    <s v="1"/>
    <s v="17721.45"/>
    <n v="0.05"/>
    <s v="9894.7000000000007"/>
    <s v="6940.68"/>
    <x v="3"/>
    <x v="0"/>
    <s v="Mobile App"/>
    <n v="16835.377499999999"/>
  </r>
  <r>
    <s v="ORD102111"/>
    <x v="11"/>
    <s v="23-10-2025"/>
    <s v="CUST11960"/>
    <s v="Consumer"/>
    <s v="Karnataka"/>
    <x v="22"/>
    <x v="3"/>
    <s v="Coffee Maker"/>
    <s v="1"/>
    <s v="11845.71"/>
    <n v="0"/>
    <s v="8243.36"/>
    <s v="3602.35"/>
    <x v="0"/>
    <x v="3"/>
    <s v="Mobile App"/>
    <n v="11845.71"/>
  </r>
  <r>
    <s v="ORD102112"/>
    <x v="1"/>
    <s v="02-02-2025"/>
    <s v="CUST12648"/>
    <s v="Home Office"/>
    <s v="Delhi"/>
    <x v="12"/>
    <x v="0"/>
    <s v="Laptop"/>
    <s v="1"/>
    <s v="55771.09"/>
    <n v="0"/>
    <s v="38444.660000000003"/>
    <s v="17326.43"/>
    <x v="0"/>
    <x v="0"/>
    <s v="Marketplace"/>
    <n v="55771.09"/>
  </r>
  <r>
    <s v="ORD102114"/>
    <x v="0"/>
    <s v="24-01-2025"/>
    <s v="CUST13459"/>
    <s v="Home Office"/>
    <s v="Kerala"/>
    <x v="5"/>
    <x v="0"/>
    <s v="Smartwatch"/>
    <s v="1"/>
    <s v="48153.24"/>
    <n v="0.1"/>
    <s v="26855.64"/>
    <s v="16482.28"/>
    <x v="2"/>
    <x v="0"/>
    <s v="Marketplace"/>
    <n v="43337.915999999997"/>
  </r>
  <r>
    <s v="ORD102115"/>
    <x v="5"/>
    <s v="15-09-2025"/>
    <s v="CUST10816"/>
    <s v="Consumer"/>
    <s v="Delhi"/>
    <x v="12"/>
    <x v="4"/>
    <s v="Running Shoes"/>
    <s v="1"/>
    <s v="2470.46"/>
    <n v="0"/>
    <s v="1540.33"/>
    <s v="930.13"/>
    <x v="2"/>
    <x v="0"/>
    <s v="Website"/>
    <n v="2470.46"/>
  </r>
  <r>
    <s v="ORD102116"/>
    <x v="10"/>
    <s v="28-11-2025"/>
    <s v="CUST12214"/>
    <s v="Home Office"/>
    <s v="Maharashtra"/>
    <x v="21"/>
    <x v="3"/>
    <s v="Mixer Grinder"/>
    <s v="2"/>
    <s v="17848.39"/>
    <n v="0.15"/>
    <s v="21630.15"/>
    <s v="8712.11"/>
    <x v="3"/>
    <x v="0"/>
    <s v="Marketplace"/>
    <n v="30342.262999999999"/>
  </r>
  <r>
    <s v="ORD102117"/>
    <x v="3"/>
    <s v="10-03-2025"/>
    <s v="CUST11088"/>
    <s v="Consumer"/>
    <s v="Karnataka"/>
    <x v="17"/>
    <x v="0"/>
    <s v="Smartwatch"/>
    <s v="1"/>
    <s v="55966.9"/>
    <n v="0"/>
    <s v="44969.73"/>
    <s v="10997.17"/>
    <x v="3"/>
    <x v="0"/>
    <s v="Mobile App"/>
    <n v="55966.9"/>
  </r>
  <r>
    <s v="ORD102118"/>
    <x v="8"/>
    <s v="28-08-2025"/>
    <s v="CUST10082"/>
    <s v="Corporate"/>
    <s v="Gujarat"/>
    <x v="18"/>
    <x v="0"/>
    <s v="Tablet"/>
    <s v="1"/>
    <s v="70799.3"/>
    <n v="0.1"/>
    <s v="41703.11"/>
    <s v="22016.26"/>
    <x v="0"/>
    <x v="1"/>
    <s v="Website"/>
    <n v="63719.37"/>
  </r>
  <r>
    <s v="ORD102119"/>
    <x v="4"/>
    <s v="01-04-2025"/>
    <s v="CUST13039"/>
    <s v="Consumer"/>
    <s v="Karnataka"/>
    <x v="17"/>
    <x v="2"/>
    <s v="Jacket"/>
    <s v="4"/>
    <s v="5742.33"/>
    <n v="0"/>
    <s v="15296.49"/>
    <s v="7672.83"/>
    <x v="0"/>
    <x v="0"/>
    <s v="Marketplace"/>
    <n v="22969.32"/>
  </r>
  <r>
    <s v="ORD102122"/>
    <x v="8"/>
    <s v="07-08-2025"/>
    <s v="CUST13461"/>
    <s v="Corporate"/>
    <s v="West Bengal"/>
    <x v="0"/>
    <x v="4"/>
    <s v="Football"/>
    <s v="1"/>
    <s v="1009.84"/>
    <n v="0.15"/>
    <s v="599.19000000000005"/>
    <s v="259.17"/>
    <x v="3"/>
    <x v="0"/>
    <s v="Marketplace"/>
    <n v="858.36400000000003"/>
  </r>
  <r>
    <s v="ORD102124"/>
    <x v="4"/>
    <s v="26-04-2025"/>
    <s v="CUST12332"/>
    <s v="Corporate"/>
    <s v="Telangana"/>
    <x v="14"/>
    <x v="0"/>
    <s v="Headphones"/>
    <s v="3"/>
    <s v="19082.919999999998"/>
    <n v="0"/>
    <s v="31741.56"/>
    <s v="25507.200000000001"/>
    <x v="1"/>
    <x v="0"/>
    <s v="Mobile App"/>
    <n v="57248.7599999999"/>
  </r>
  <r>
    <s v="ORD102128"/>
    <x v="0"/>
    <s v="03-01-2025"/>
    <s v="CUST11415"/>
    <s v="Consumer"/>
    <s v="Tamil Nadu"/>
    <x v="1"/>
    <x v="2"/>
    <s v="Jeans"/>
    <s v="3"/>
    <s v="6645.92"/>
    <n v="0"/>
    <s v="14798.12"/>
    <s v="5139.6400000000003"/>
    <x v="2"/>
    <x v="0"/>
    <s v="Website"/>
    <n v="19937.759999999998"/>
  </r>
  <r>
    <s v="ORD102129"/>
    <x v="3"/>
    <s v="24-03-2025"/>
    <s v="CUST12236"/>
    <s v="Home Office"/>
    <s v="Tamil Nadu"/>
    <x v="19"/>
    <x v="4"/>
    <s v="Football"/>
    <s v="4"/>
    <s v="6545.76"/>
    <n v="0.1"/>
    <s v="19067.89"/>
    <s v="4496.8500000000004"/>
    <x v="0"/>
    <x v="0"/>
    <s v="Marketplace"/>
    <n v="23564.736000000001"/>
  </r>
  <r>
    <s v="ORD102130"/>
    <x v="2"/>
    <s v="14-12-2025"/>
    <s v="CUST12541"/>
    <s v="Home Office"/>
    <s v="Delhi"/>
    <x v="12"/>
    <x v="4"/>
    <s v="Yoga Mat"/>
    <s v="1"/>
    <s v="414.09"/>
    <n v="0.1"/>
    <s v="277.95"/>
    <s v="94.73"/>
    <x v="0"/>
    <x v="0"/>
    <s v="Marketplace"/>
    <n v="372.68099999999998"/>
  </r>
  <r>
    <s v="ORD102134"/>
    <x v="9"/>
    <s v="13-06-2025"/>
    <s v="CUST10282"/>
    <s v="Consumer"/>
    <s v="Tamil Nadu"/>
    <x v="19"/>
    <x v="4"/>
    <s v="Yoga Mat"/>
    <s v="3"/>
    <s v="4372.97"/>
    <n v="0.15"/>
    <s v="8867.2099999999991"/>
    <s v="2283.86"/>
    <x v="1"/>
    <x v="0"/>
    <s v="Website"/>
    <n v="11151.0735"/>
  </r>
  <r>
    <s v="ORD102139"/>
    <x v="5"/>
    <s v="01-09-2025"/>
    <s v="CUST11518"/>
    <s v="Home Office"/>
    <s v="Kerala"/>
    <x v="5"/>
    <x v="4"/>
    <s v="Fitness Band"/>
    <s v="2"/>
    <s v="1194.01"/>
    <n v="0"/>
    <s v="1438.86"/>
    <s v="949.16"/>
    <x v="0"/>
    <x v="0"/>
    <s v="Marketplace"/>
    <n v="2388.02"/>
  </r>
  <r>
    <s v="ORD102141"/>
    <x v="9"/>
    <s v="15-06-2025"/>
    <s v="CUST12410"/>
    <s v="Consumer"/>
    <s v="Karnataka"/>
    <x v="22"/>
    <x v="1"/>
    <s v="Shampoo"/>
    <s v="1"/>
    <s v="3289.78"/>
    <n v="0.15"/>
    <s v="2538.02"/>
    <s v="258.29000000000002"/>
    <x v="1"/>
    <x v="0"/>
    <s v="Marketplace"/>
    <n v="2796.3130000000001"/>
  </r>
  <r>
    <s v="ORD102144"/>
    <x v="8"/>
    <s v="09-08-2025"/>
    <s v="CUST12913"/>
    <s v="Home Office"/>
    <s v="Kerala"/>
    <x v="6"/>
    <x v="3"/>
    <s v="Vacuum Cleaner"/>
    <s v="1"/>
    <s v="16083.4"/>
    <n v="0.15"/>
    <s v="12008.22"/>
    <s v="1662.67"/>
    <x v="5"/>
    <x v="0"/>
    <s v="Website"/>
    <n v="13670.89"/>
  </r>
  <r>
    <s v="ORD102145"/>
    <x v="0"/>
    <s v="04-01-2025"/>
    <s v="CUST12853"/>
    <s v="Home Office"/>
    <s v="Karnataka"/>
    <x v="2"/>
    <x v="0"/>
    <s v="Smartwatch"/>
    <s v="1"/>
    <s v="59218.43"/>
    <n v="0"/>
    <s v="43409.69"/>
    <s v="15808.74"/>
    <x v="0"/>
    <x v="1"/>
    <s v="Mobile App"/>
    <n v="59218.43"/>
  </r>
  <r>
    <s v="ORD102146"/>
    <x v="3"/>
    <s v="25-03-2025"/>
    <s v="CUST11074"/>
    <s v="Corporate"/>
    <s v="Karnataka"/>
    <x v="17"/>
    <x v="2"/>
    <s v="T-Shirt"/>
    <s v="1"/>
    <s v="6238.35"/>
    <n v="0.05"/>
    <s v="3914.24"/>
    <s v="2012.19"/>
    <x v="0"/>
    <x v="3"/>
    <s v="Marketplace"/>
    <n v="5926.4324999999999"/>
  </r>
  <r>
    <s v="ORD102148"/>
    <x v="3"/>
    <s v="06-03-2025"/>
    <s v="CUST12784"/>
    <s v="Consumer"/>
    <s v="Karnataka"/>
    <x v="2"/>
    <x v="0"/>
    <s v="Smartwatch"/>
    <s v="4"/>
    <s v="18159.07"/>
    <n v="0.2"/>
    <s v="46129.83"/>
    <s v="11979.19"/>
    <x v="5"/>
    <x v="0"/>
    <s v="Mobile App"/>
    <n v="58109.023999999998"/>
  </r>
  <r>
    <s v="ORD102149"/>
    <x v="8"/>
    <s v="02-08-2025"/>
    <s v="CUST10190"/>
    <s v="Home Office"/>
    <s v="West Bengal"/>
    <x v="9"/>
    <x v="0"/>
    <s v="Smartphone"/>
    <s v="1"/>
    <s v="19139.02"/>
    <n v="0.1"/>
    <s v="12035.31"/>
    <s v="5189.8100000000004"/>
    <x v="5"/>
    <x v="0"/>
    <s v="Website"/>
    <n v="17225.117999999999"/>
  </r>
  <r>
    <s v="ORD102150"/>
    <x v="2"/>
    <s v="07-12-2025"/>
    <s v="CUST10296"/>
    <s v="Corporate"/>
    <s v="Tamil Nadu"/>
    <x v="8"/>
    <x v="1"/>
    <s v="Hair Dryer"/>
    <s v="2"/>
    <s v="4507.8"/>
    <n v="0"/>
    <s v="6232.06"/>
    <s v="2783.54"/>
    <x v="1"/>
    <x v="0"/>
    <s v="Website"/>
    <n v="9015.6"/>
  </r>
  <r>
    <s v="ORD102152"/>
    <x v="6"/>
    <s v="01-07-2025"/>
    <s v="CUST12447"/>
    <s v="Home Office"/>
    <s v="Maharashtra"/>
    <x v="21"/>
    <x v="2"/>
    <s v="Jacket"/>
    <s v="1"/>
    <s v="6033.94"/>
    <n v="0.1"/>
    <s v="3607.39"/>
    <s v="1823.16"/>
    <x v="0"/>
    <x v="0"/>
    <s v="Mobile App"/>
    <n v="5430.5459999999903"/>
  </r>
  <r>
    <s v="ORD102153"/>
    <x v="6"/>
    <s v="11-07-2025"/>
    <s v="CUST10723"/>
    <s v="Home Office"/>
    <s v="Telangana"/>
    <x v="14"/>
    <x v="0"/>
    <s v="Headphones"/>
    <s v="1"/>
    <s v="26588.58"/>
    <n v="0.05"/>
    <s v="17078.14"/>
    <s v="8181.01"/>
    <x v="1"/>
    <x v="0"/>
    <s v="Website"/>
    <n v="25259.151000000002"/>
  </r>
  <r>
    <s v="ORD102154"/>
    <x v="6"/>
    <s v="24-07-2025"/>
    <s v="CUST10683"/>
    <s v="Consumer"/>
    <s v="West Bengal"/>
    <x v="9"/>
    <x v="2"/>
    <s v="T-Shirt"/>
    <s v="1"/>
    <s v="4341.8"/>
    <n v="0"/>
    <s v="2611.2199999999998"/>
    <s v="1730.58"/>
    <x v="3"/>
    <x v="0"/>
    <s v="Marketplace"/>
    <n v="4341.8"/>
  </r>
  <r>
    <s v="ORD102159"/>
    <x v="6"/>
    <s v="15-07-2025"/>
    <s v="CUST11729"/>
    <s v="Corporate"/>
    <s v="Kerala"/>
    <x v="5"/>
    <x v="3"/>
    <s v="Cookware Set"/>
    <s v="2"/>
    <s v="15088.61"/>
    <n v="0.1"/>
    <s v="19954.84"/>
    <s v="7204.66"/>
    <x v="0"/>
    <x v="0"/>
    <s v="Marketplace"/>
    <n v="27159.498"/>
  </r>
  <r>
    <s v="ORD102160"/>
    <x v="6"/>
    <s v="12-07-2025"/>
    <s v="CUST12386"/>
    <s v="Consumer"/>
    <s v="Telangana"/>
    <x v="16"/>
    <x v="2"/>
    <s v="Jacket"/>
    <s v="2"/>
    <s v="2929.27"/>
    <n v="0.05"/>
    <s v="4399.01"/>
    <s v="1166.5999999999999"/>
    <x v="3"/>
    <x v="0"/>
    <s v="Marketplace"/>
    <n v="5565.6129999999903"/>
  </r>
  <r>
    <s v="ORD102166"/>
    <x v="5"/>
    <s v="26-09-2025"/>
    <s v="CUST10542"/>
    <s v="Home Office"/>
    <s v="West Bengal"/>
    <x v="0"/>
    <x v="4"/>
    <s v="Yoga Mat"/>
    <s v="3"/>
    <s v="6732.35"/>
    <n v="0.05"/>
    <s v="12246.83"/>
    <s v="6940.37"/>
    <x v="2"/>
    <x v="2"/>
    <s v="Mobile App"/>
    <n v="19187.197499999998"/>
  </r>
  <r>
    <s v="ORD102167"/>
    <x v="0"/>
    <s v="21-01-2025"/>
    <s v="CUST11323"/>
    <s v="Home Office"/>
    <s v="Karnataka"/>
    <x v="22"/>
    <x v="3"/>
    <s v="Mixer Grinder"/>
    <s v="4"/>
    <s v="8295.64"/>
    <n v="0"/>
    <s v="26615.07"/>
    <s v="6567.49"/>
    <x v="5"/>
    <x v="2"/>
    <s v="Website"/>
    <n v="33182.559999999998"/>
  </r>
  <r>
    <s v="ORD102168"/>
    <x v="11"/>
    <s v="04-10-2025"/>
    <s v="CUST13393"/>
    <s v="Home Office"/>
    <s v="Karnataka"/>
    <x v="22"/>
    <x v="0"/>
    <s v="Tablet"/>
    <s v="1"/>
    <s v="62479.12"/>
    <n v="0"/>
    <s v="41963.39"/>
    <s v="20515.73"/>
    <x v="3"/>
    <x v="3"/>
    <s v="Mobile App"/>
    <n v="62479.12"/>
  </r>
  <r>
    <s v="ORD102169"/>
    <x v="6"/>
    <s v="16-07-2025"/>
    <s v="CUST11873"/>
    <s v="Consumer"/>
    <s v="Delhi"/>
    <x v="7"/>
    <x v="3"/>
    <s v="Air Fryer"/>
    <s v="1"/>
    <s v="9492.08"/>
    <n v="0.15"/>
    <s v="6108.24"/>
    <s v="1960.03"/>
    <x v="0"/>
    <x v="0"/>
    <s v="Mobile App"/>
    <n v="8068.268"/>
  </r>
  <r>
    <s v="ORD102170"/>
    <x v="10"/>
    <s v="14-11-2025"/>
    <s v="CUST10046"/>
    <s v="Home Office"/>
    <s v="Gujarat"/>
    <x v="3"/>
    <x v="3"/>
    <s v="Mixer Grinder"/>
    <s v="2"/>
    <s v="7707.15"/>
    <n v="0.05"/>
    <s v="8939.17"/>
    <s v="5704.41"/>
    <x v="0"/>
    <x v="0"/>
    <s v="Marketplace"/>
    <n v="14643.584999999999"/>
  </r>
  <r>
    <s v="ORD102171"/>
    <x v="10"/>
    <s v="09-11-2025"/>
    <s v="CUST10042"/>
    <s v="Consumer"/>
    <s v="Delhi"/>
    <x v="7"/>
    <x v="1"/>
    <s v="Face Cream"/>
    <s v="1"/>
    <s v="2426.62"/>
    <n v="0.15"/>
    <s v="1375.96"/>
    <s v="686.67"/>
    <x v="3"/>
    <x v="0"/>
    <s v="Website"/>
    <n v="2062.627"/>
  </r>
  <r>
    <s v="ORD102173"/>
    <x v="2"/>
    <s v="14-12-2025"/>
    <s v="CUST10603"/>
    <s v="Home Office"/>
    <s v="Karnataka"/>
    <x v="22"/>
    <x v="0"/>
    <s v="Headphones"/>
    <s v="1"/>
    <s v="54202.89"/>
    <n v="0"/>
    <s v="42769.1"/>
    <s v="11433.79"/>
    <x v="1"/>
    <x v="0"/>
    <s v="Website"/>
    <n v="54202.89"/>
  </r>
  <r>
    <s v="ORD102175"/>
    <x v="11"/>
    <s v="16-10-2025"/>
    <s v="CUST11491"/>
    <s v="Corporate"/>
    <s v="Maharashtra"/>
    <x v="21"/>
    <x v="4"/>
    <s v="Fitness Band"/>
    <s v="1"/>
    <s v="7986.28"/>
    <n v="0.15"/>
    <s v="6346.09"/>
    <s v="442.25"/>
    <x v="2"/>
    <x v="0"/>
    <s v="Website"/>
    <n v="6788.3379999999997"/>
  </r>
  <r>
    <s v="ORD102181"/>
    <x v="8"/>
    <s v="10-08-2025"/>
    <s v="CUST11701"/>
    <s v="Corporate"/>
    <s v="Telangana"/>
    <x v="14"/>
    <x v="1"/>
    <s v="Shampoo"/>
    <s v="1"/>
    <s v="3667.06"/>
    <n v="0.15"/>
    <s v="2402.85"/>
    <s v="714.15"/>
    <x v="0"/>
    <x v="0"/>
    <s v="Marketplace"/>
    <n v="3117.0009999999902"/>
  </r>
  <r>
    <s v="ORD102183"/>
    <x v="7"/>
    <s v="21-05-2025"/>
    <s v="CUST12535"/>
    <s v="Corporate"/>
    <s v="Kerala"/>
    <x v="15"/>
    <x v="2"/>
    <s v="Handbag"/>
    <s v="1"/>
    <s v="5667.95"/>
    <n v="0.1"/>
    <s v="3339.1"/>
    <s v="1762.06"/>
    <x v="0"/>
    <x v="0"/>
    <s v="Website"/>
    <n v="5101.1549999999997"/>
  </r>
  <r>
    <s v="ORD102186"/>
    <x v="7"/>
    <s v="30-05-2025"/>
    <s v="CUST13129"/>
    <s v="Home Office"/>
    <s v="Kerala"/>
    <x v="6"/>
    <x v="3"/>
    <s v="Vacuum Cleaner"/>
    <s v="1"/>
    <s v="3063.66"/>
    <n v="0.1"/>
    <s v="1685.2"/>
    <s v="1072.0899999999999"/>
    <x v="1"/>
    <x v="0"/>
    <s v="Marketplace"/>
    <n v="2757.2939999999999"/>
  </r>
  <r>
    <s v="ORD102187"/>
    <x v="11"/>
    <s v="07-10-2025"/>
    <s v="CUST12929"/>
    <s v="Home Office"/>
    <s v="Kerala"/>
    <x v="15"/>
    <x v="2"/>
    <s v="Handbag"/>
    <s v="3"/>
    <s v="6853.04"/>
    <n v="0"/>
    <s v="11484.08"/>
    <s v="9075.0400000000009"/>
    <x v="2"/>
    <x v="2"/>
    <s v="Marketplace"/>
    <n v="20559.12"/>
  </r>
  <r>
    <s v="ORD102193"/>
    <x v="3"/>
    <s v="18-03-2025"/>
    <s v="CUST12061"/>
    <s v="Corporate"/>
    <s v="Kerala"/>
    <x v="15"/>
    <x v="4"/>
    <s v="Cricket Bat"/>
    <s v="1"/>
    <s v="10246.16"/>
    <n v="0.1"/>
    <s v="5978.43"/>
    <s v="3243.11"/>
    <x v="2"/>
    <x v="0"/>
    <s v="Marketplace"/>
    <n v="9221.5439999999999"/>
  </r>
  <r>
    <s v="ORD102196"/>
    <x v="4"/>
    <s v="04-04-2025"/>
    <s v="CUST13371"/>
    <s v="Corporate"/>
    <s v="Gujarat"/>
    <x v="3"/>
    <x v="2"/>
    <s v="Handbag"/>
    <s v="2"/>
    <s v="5219.33"/>
    <n v="0"/>
    <s v="5871.66"/>
    <s v="4567"/>
    <x v="0"/>
    <x v="3"/>
    <s v="Mobile App"/>
    <n v="10438.66"/>
  </r>
  <r>
    <s v="ORD102197"/>
    <x v="0"/>
    <s v="30-01-2025"/>
    <s v="CUST13381"/>
    <s v="Consumer"/>
    <s v="Maharashtra"/>
    <x v="20"/>
    <x v="2"/>
    <s v="Jeans"/>
    <s v="2"/>
    <s v="6094.79"/>
    <n v="0"/>
    <s v="7584.27"/>
    <s v="4605.3100000000004"/>
    <x v="1"/>
    <x v="0"/>
    <s v="Marketplace"/>
    <n v="12189.58"/>
  </r>
  <r>
    <s v="ORD102201"/>
    <x v="2"/>
    <s v="27-12-2025"/>
    <s v="CUST13196"/>
    <s v="Home Office"/>
    <s v="Tamil Nadu"/>
    <x v="19"/>
    <x v="3"/>
    <s v="Mixer Grinder"/>
    <s v="3"/>
    <s v="17884.64"/>
    <n v="0.05"/>
    <s v="39345.599999999999"/>
    <s v="11625.62"/>
    <x v="3"/>
    <x v="0"/>
    <s v="Website"/>
    <n v="50971.2239999999"/>
  </r>
  <r>
    <s v="ORD102204"/>
    <x v="3"/>
    <s v="02-03-2025"/>
    <s v="CUST10407"/>
    <s v="Home Office"/>
    <s v="Karnataka"/>
    <x v="17"/>
    <x v="3"/>
    <s v="Mixer Grinder"/>
    <s v="1"/>
    <s v="1487.07"/>
    <n v="0"/>
    <s v="887.99"/>
    <s v="599.08000000000004"/>
    <x v="0"/>
    <x v="0"/>
    <s v="Website"/>
    <n v="1487.07"/>
  </r>
  <r>
    <s v="ORD102208"/>
    <x v="7"/>
    <s v="20-05-2025"/>
    <s v="CUST11479"/>
    <s v="Consumer"/>
    <s v="Tamil Nadu"/>
    <x v="11"/>
    <x v="0"/>
    <s v="Laptop"/>
    <s v="2"/>
    <s v="26506.54"/>
    <n v="0"/>
    <s v="41318.1"/>
    <s v="11694.98"/>
    <x v="1"/>
    <x v="1"/>
    <s v="Marketplace"/>
    <n v="53013.08"/>
  </r>
  <r>
    <s v="ORD102209"/>
    <x v="11"/>
    <s v="28-10-2025"/>
    <s v="CUST12949"/>
    <s v="Corporate"/>
    <s v="Tamil Nadu"/>
    <x v="1"/>
    <x v="2"/>
    <s v="Jacket"/>
    <s v="2"/>
    <s v="2959.11"/>
    <n v="0.05"/>
    <s v="3502.05"/>
    <s v="2120.2600000000002"/>
    <x v="0"/>
    <x v="2"/>
    <s v="Website"/>
    <n v="5622.3090000000002"/>
  </r>
  <r>
    <s v="ORD102210"/>
    <x v="10"/>
    <s v="19-11-2025"/>
    <s v="CUST13484"/>
    <s v="Consumer"/>
    <s v="Delhi"/>
    <x v="7"/>
    <x v="0"/>
    <s v="Laptop"/>
    <s v="2"/>
    <s v="1894.07"/>
    <n v="0.2"/>
    <s v="3022.49"/>
    <s v="8.02"/>
    <x v="3"/>
    <x v="3"/>
    <s v="Website"/>
    <n v="3030.5120000000002"/>
  </r>
  <r>
    <s v="ORD102211"/>
    <x v="2"/>
    <s v="17-12-2025"/>
    <s v="CUST10281"/>
    <s v="Home Office"/>
    <s v="Gujarat"/>
    <x v="3"/>
    <x v="3"/>
    <s v="Mixer Grinder"/>
    <s v="3"/>
    <s v="3706.4"/>
    <n v="0"/>
    <s v="6798.87"/>
    <s v="4320.33"/>
    <x v="3"/>
    <x v="0"/>
    <s v="Marketplace"/>
    <n v="11119.2"/>
  </r>
  <r>
    <s v="ORD102213"/>
    <x v="2"/>
    <s v="01-12-2025"/>
    <s v="CUST11376"/>
    <s v="Consumer"/>
    <s v="Kerala"/>
    <x v="5"/>
    <x v="2"/>
    <s v="Jeans"/>
    <s v="1"/>
    <s v="6351.65"/>
    <n v="0.2"/>
    <s v="4614.01"/>
    <s v="467.31"/>
    <x v="0"/>
    <x v="0"/>
    <s v="Mobile App"/>
    <n v="5081.32"/>
  </r>
  <r>
    <s v="ORD102214"/>
    <x v="0"/>
    <s v="10-01-2025"/>
    <s v="CUST12746"/>
    <s v="Home Office"/>
    <s v="Karnataka"/>
    <x v="17"/>
    <x v="0"/>
    <s v="Tablet"/>
    <s v="1"/>
    <s v="38323.910000000003"/>
    <n v="0"/>
    <s v="24638.27"/>
    <s v="13685.64"/>
    <x v="5"/>
    <x v="0"/>
    <s v="Website"/>
    <n v="38323.910000000003"/>
  </r>
  <r>
    <s v="ORD102215"/>
    <x v="8"/>
    <s v="31-08-2025"/>
    <s v="CUST10368"/>
    <s v="Home Office"/>
    <s v="West Bengal"/>
    <x v="9"/>
    <x v="1"/>
    <s v="Perfume"/>
    <s v="4"/>
    <s v="5202.24"/>
    <n v="0"/>
    <s v="16931.29"/>
    <s v="3877.67"/>
    <x v="0"/>
    <x v="2"/>
    <s v="Marketplace"/>
    <n v="20808.96"/>
  </r>
  <r>
    <s v="ORD102216"/>
    <x v="4"/>
    <s v="17-04-2025"/>
    <s v="CUST12976"/>
    <s v="Home Office"/>
    <s v="Telangana"/>
    <x v="16"/>
    <x v="4"/>
    <s v="Football"/>
    <s v="1"/>
    <s v="579.65"/>
    <n v="0.05"/>
    <s v="371.32"/>
    <s v="179.35"/>
    <x v="5"/>
    <x v="2"/>
    <s v="Website"/>
    <n v="550.667499999999"/>
  </r>
  <r>
    <s v="ORD102217"/>
    <x v="4"/>
    <s v="26-04-2025"/>
    <s v="CUST12125"/>
    <s v="Consumer"/>
    <s v="Tamil Nadu"/>
    <x v="1"/>
    <x v="1"/>
    <s v="Perfume"/>
    <s v="2"/>
    <s v="2617.9299999999998"/>
    <n v="0.05"/>
    <s v="4290.16"/>
    <s v="683.91"/>
    <x v="3"/>
    <x v="1"/>
    <s v="Website"/>
    <n v="4974.06699999999"/>
  </r>
  <r>
    <s v="ORD102222"/>
    <x v="10"/>
    <s v="13-11-2025"/>
    <s v="CUST10411"/>
    <s v="Home Office"/>
    <s v="West Bengal"/>
    <x v="0"/>
    <x v="2"/>
    <s v="Jacket"/>
    <s v="1"/>
    <s v="3614.41"/>
    <n v="0.05"/>
    <s v="2569.3000000000002"/>
    <s v="864.39"/>
    <x v="3"/>
    <x v="0"/>
    <s v="Marketplace"/>
    <n v="3433.6894999999899"/>
  </r>
  <r>
    <s v="ORD102223"/>
    <x v="3"/>
    <s v="24-03-2025"/>
    <s v="CUST12405"/>
    <s v="Consumer"/>
    <s v="Telangana"/>
    <x v="16"/>
    <x v="0"/>
    <s v="Smartwatch"/>
    <s v="2"/>
    <s v="24297.3"/>
    <n v="0.05"/>
    <s v="36869.01"/>
    <s v="9295.86"/>
    <x v="0"/>
    <x v="1"/>
    <s v="Website"/>
    <n v="46164.869999999901"/>
  </r>
  <r>
    <s v="ORD102233"/>
    <x v="7"/>
    <s v="05-05-2025"/>
    <s v="CUST12617"/>
    <s v="Corporate"/>
    <s v="Delhi"/>
    <x v="7"/>
    <x v="4"/>
    <s v="Cricket Bat"/>
    <s v="1"/>
    <s v="2295.4"/>
    <n v="0.15"/>
    <s v="1402.16"/>
    <s v="548.92999999999995"/>
    <x v="2"/>
    <x v="0"/>
    <s v="Marketplace"/>
    <n v="1951.09"/>
  </r>
  <r>
    <s v="ORD102236"/>
    <x v="1"/>
    <s v="09-02-2025"/>
    <s v="CUST11184"/>
    <s v="Corporate"/>
    <s v="Kerala"/>
    <x v="5"/>
    <x v="3"/>
    <s v="Coffee Maker"/>
    <s v="1"/>
    <s v="1278.82"/>
    <n v="0.15"/>
    <s v="963.03"/>
    <s v="123.97"/>
    <x v="1"/>
    <x v="0"/>
    <s v="Website"/>
    <n v="1086.9969999999901"/>
  </r>
  <r>
    <s v="ORD102237"/>
    <x v="2"/>
    <s v="15-12-2025"/>
    <s v="CUST12635"/>
    <s v="Corporate"/>
    <s v="Gujarat"/>
    <x v="3"/>
    <x v="0"/>
    <s v="Headphones"/>
    <s v="4"/>
    <s v="65109.93"/>
    <n v="0.1"/>
    <s v="163377.76"/>
    <s v="71017.990000000005"/>
    <x v="3"/>
    <x v="3"/>
    <s v="Mobile App"/>
    <n v="234395.74799999999"/>
  </r>
  <r>
    <s v="ORD102239"/>
    <x v="4"/>
    <s v="26-04-2025"/>
    <s v="CUST11496"/>
    <s v="Consumer"/>
    <s v="Karnataka"/>
    <x v="17"/>
    <x v="2"/>
    <s v="Handbag"/>
    <s v="1"/>
    <s v="6308.53"/>
    <n v="0.2"/>
    <s v="5145.2700000000004"/>
    <s v="-98.45"/>
    <x v="0"/>
    <x v="0"/>
    <s v="Marketplace"/>
    <n v="5046.8239999999996"/>
  </r>
  <r>
    <s v="ORD102241"/>
    <x v="4"/>
    <s v="15-04-2025"/>
    <s v="CUST10563"/>
    <s v="Corporate"/>
    <s v="Gujarat"/>
    <x v="10"/>
    <x v="3"/>
    <s v="Coffee Maker"/>
    <s v="1"/>
    <s v="5881.99"/>
    <n v="0.15"/>
    <s v="4151.68"/>
    <s v="848.01"/>
    <x v="0"/>
    <x v="3"/>
    <s v="Website"/>
    <n v="4999.6914999999999"/>
  </r>
  <r>
    <s v="ORD102242"/>
    <x v="7"/>
    <s v="09-05-2025"/>
    <s v="CUST10738"/>
    <s v="Consumer"/>
    <s v="West Bengal"/>
    <x v="9"/>
    <x v="2"/>
    <s v="T-Shirt"/>
    <s v="2"/>
    <s v="337.67"/>
    <n v="0.1"/>
    <s v="422.67"/>
    <s v="185.14"/>
    <x v="3"/>
    <x v="0"/>
    <s v="Mobile App"/>
    <n v="607.80600000000004"/>
  </r>
  <r>
    <s v="ORD102243"/>
    <x v="9"/>
    <s v="12-06-2025"/>
    <s v="CUST11070"/>
    <s v="Consumer"/>
    <s v="Maharashtra"/>
    <x v="20"/>
    <x v="0"/>
    <s v="Smartphone"/>
    <s v="1"/>
    <s v="9388.24"/>
    <n v="0.1"/>
    <s v="6361.51"/>
    <s v="2087.91"/>
    <x v="5"/>
    <x v="0"/>
    <s v="Website"/>
    <n v="8449.4159999999993"/>
  </r>
  <r>
    <s v="ORD102245"/>
    <x v="10"/>
    <s v="18-11-2025"/>
    <s v="CUST13076"/>
    <s v="Consumer"/>
    <s v="Tamil Nadu"/>
    <x v="1"/>
    <x v="0"/>
    <s v="Headphones"/>
    <s v="2"/>
    <s v="37201.410000000003"/>
    <n v="0.05"/>
    <s v="43363.58"/>
    <s v="27319.1"/>
    <x v="1"/>
    <x v="2"/>
    <s v="Marketplace"/>
    <n v="70682.679000000004"/>
  </r>
  <r>
    <s v="ORD102246"/>
    <x v="4"/>
    <s v="01-04-2025"/>
    <s v="CUST12684"/>
    <s v="Corporate"/>
    <s v="Delhi"/>
    <x v="7"/>
    <x v="3"/>
    <s v="Coffee Maker"/>
    <s v="2"/>
    <s v="17043.2"/>
    <n v="0.05"/>
    <s v="20676.55"/>
    <s v="11705.53"/>
    <x v="3"/>
    <x v="0"/>
    <s v="Mobile App"/>
    <n v="32382.0799999999"/>
  </r>
  <r>
    <s v="ORD102247"/>
    <x v="6"/>
    <s v="01-07-2025"/>
    <s v="CUST10380"/>
    <s v="Corporate"/>
    <s v="Telangana"/>
    <x v="14"/>
    <x v="0"/>
    <s v="Laptop"/>
    <s v="4"/>
    <s v="12765.62"/>
    <n v="0.15"/>
    <s v="38705.32"/>
    <s v="4697.79"/>
    <x v="3"/>
    <x v="0"/>
    <s v="Website"/>
    <n v="43403.108"/>
  </r>
  <r>
    <s v="ORD102249"/>
    <x v="9"/>
    <s v="29-06-2025"/>
    <s v="CUST10802"/>
    <s v="Home Office"/>
    <s v="Karnataka"/>
    <x v="17"/>
    <x v="0"/>
    <s v="Tablet"/>
    <s v="3"/>
    <s v="7448.96"/>
    <n v="0.1"/>
    <s v="12764.06"/>
    <s v="7348.13"/>
    <x v="2"/>
    <x v="0"/>
    <s v="Website"/>
    <n v="20112.191999999999"/>
  </r>
  <r>
    <s v="ORD102250"/>
    <x v="0"/>
    <s v="22-01-2025"/>
    <s v="CUST11935"/>
    <s v="Corporate"/>
    <s v="Kerala"/>
    <x v="15"/>
    <x v="2"/>
    <s v="Jeans"/>
    <s v="2"/>
    <s v="520.15"/>
    <n v="0"/>
    <s v="613.19000000000005"/>
    <s v="427.11"/>
    <x v="0"/>
    <x v="0"/>
    <s v="Website"/>
    <n v="1040.3"/>
  </r>
  <r>
    <s v="ORD102251"/>
    <x v="4"/>
    <s v="07-04-2025"/>
    <s v="CUST12921"/>
    <s v="Home Office"/>
    <s v="Karnataka"/>
    <x v="2"/>
    <x v="3"/>
    <s v="Air Fryer"/>
    <s v="1"/>
    <s v="14252.85"/>
    <n v="0"/>
    <s v="9387.07"/>
    <s v="4865.78"/>
    <x v="0"/>
    <x v="0"/>
    <s v="Marketplace"/>
    <n v="14252.85"/>
  </r>
  <r>
    <s v="ORD102252"/>
    <x v="7"/>
    <s v="02-05-2025"/>
    <s v="CUST10290"/>
    <s v="Corporate"/>
    <s v="West Bengal"/>
    <x v="0"/>
    <x v="2"/>
    <s v="Handbag"/>
    <s v="2"/>
    <s v="5703.26"/>
    <n v="0.05"/>
    <s v="6392.29"/>
    <s v="4443.8999999999996"/>
    <x v="0"/>
    <x v="0"/>
    <s v="Mobile App"/>
    <n v="10836.194"/>
  </r>
  <r>
    <s v="ORD102256"/>
    <x v="7"/>
    <s v="26-05-2025"/>
    <s v="CUST12380"/>
    <s v="Consumer"/>
    <s v="Gujarat"/>
    <x v="10"/>
    <x v="3"/>
    <s v="Vacuum Cleaner"/>
    <s v="3"/>
    <s v="12399.72"/>
    <n v="0.1"/>
    <s v="27521.81"/>
    <s v="5957.43"/>
    <x v="1"/>
    <x v="0"/>
    <s v="Website"/>
    <n v="33479.243999999999"/>
  </r>
  <r>
    <s v="ORD102257"/>
    <x v="10"/>
    <s v="09-11-2025"/>
    <s v="CUST11594"/>
    <s v="Corporate"/>
    <s v="Telangana"/>
    <x v="14"/>
    <x v="4"/>
    <s v="Football"/>
    <s v="1"/>
    <s v="802.31"/>
    <n v="0.05"/>
    <s v="592.65"/>
    <s v="169.54"/>
    <x v="1"/>
    <x v="2"/>
    <s v="Marketplace"/>
    <n v="762.19449999999995"/>
  </r>
  <r>
    <s v="ORD102258"/>
    <x v="9"/>
    <s v="03-06-2025"/>
    <s v="CUST11494"/>
    <s v="Corporate"/>
    <s v="Delhi"/>
    <x v="7"/>
    <x v="3"/>
    <s v="Vacuum Cleaner"/>
    <s v="3"/>
    <s v="4607.82"/>
    <n v="0.1"/>
    <s v="10269.57"/>
    <s v="2171.54"/>
    <x v="2"/>
    <x v="0"/>
    <s v="Marketplace"/>
    <n v="12441.114"/>
  </r>
  <r>
    <s v="ORD102260"/>
    <x v="7"/>
    <s v="07-05-2025"/>
    <s v="CUST11901"/>
    <s v="Consumer"/>
    <s v="Telangana"/>
    <x v="16"/>
    <x v="4"/>
    <s v="Fitness Band"/>
    <s v="1"/>
    <s v="3160.74"/>
    <n v="0"/>
    <s v="1882.4"/>
    <s v="1278.3399999999999"/>
    <x v="2"/>
    <x v="0"/>
    <s v="Marketplace"/>
    <n v="3160.74"/>
  </r>
  <r>
    <s v="ORD102261"/>
    <x v="8"/>
    <s v="22-08-2025"/>
    <s v="CUST12402"/>
    <s v="Home Office"/>
    <s v="West Bengal"/>
    <x v="9"/>
    <x v="4"/>
    <s v="Cricket Bat"/>
    <s v="3"/>
    <s v="5718.57"/>
    <n v="0.05"/>
    <s v="12419.82"/>
    <s v="3878.1"/>
    <x v="3"/>
    <x v="0"/>
    <s v="Mobile App"/>
    <n v="16297.924499999999"/>
  </r>
  <r>
    <s v="ORD102262"/>
    <x v="3"/>
    <s v="02-03-2025"/>
    <s v="CUST11164"/>
    <s v="Consumer"/>
    <s v="Kerala"/>
    <x v="6"/>
    <x v="4"/>
    <s v="Football"/>
    <s v="2"/>
    <s v="4948.55"/>
    <n v="0"/>
    <s v="7893.97"/>
    <s v="2003.13"/>
    <x v="5"/>
    <x v="2"/>
    <s v="Website"/>
    <n v="9897.1"/>
  </r>
  <r>
    <s v="ORD102264"/>
    <x v="3"/>
    <s v="19-03-2025"/>
    <s v="CUST10780"/>
    <s v="Corporate"/>
    <s v="West Bengal"/>
    <x v="0"/>
    <x v="2"/>
    <s v="Jacket"/>
    <s v="2"/>
    <s v="5707.4"/>
    <n v="0.1"/>
    <s v="8214.84"/>
    <s v="2058.48"/>
    <x v="5"/>
    <x v="0"/>
    <s v="Marketplace"/>
    <n v="10273.32"/>
  </r>
  <r>
    <s v="ORD102268"/>
    <x v="5"/>
    <s v="03-09-2025"/>
    <s v="CUST11568"/>
    <s v="Home Office"/>
    <s v="Maharashtra"/>
    <x v="20"/>
    <x v="3"/>
    <s v="Vacuum Cleaner"/>
    <s v="2"/>
    <s v="15803.57"/>
    <n v="0.05"/>
    <s v="17867.490000000002"/>
    <s v="12159.29"/>
    <x v="0"/>
    <x v="0"/>
    <s v="Website"/>
    <n v="30026.782999999999"/>
  </r>
  <r>
    <s v="ORD102270"/>
    <x v="4"/>
    <s v="10-04-2025"/>
    <s v="CUST10843"/>
    <s v="Corporate"/>
    <s v="Gujarat"/>
    <x v="3"/>
    <x v="0"/>
    <s v="Smartphone"/>
    <s v="1"/>
    <s v="36719.15"/>
    <n v="0"/>
    <s v="25769.66"/>
    <s v="10949.49"/>
    <x v="1"/>
    <x v="0"/>
    <s v="Marketplace"/>
    <n v="36719.15"/>
  </r>
  <r>
    <s v="ORD102273"/>
    <x v="8"/>
    <s v="30-08-2025"/>
    <s v="CUST10979"/>
    <s v="Corporate"/>
    <s v="Delhi"/>
    <x v="12"/>
    <x v="0"/>
    <s v="Smartphone"/>
    <s v="1"/>
    <s v="17745.68"/>
    <n v="0.15"/>
    <s v="11182.72"/>
    <s v="3901.11"/>
    <x v="0"/>
    <x v="2"/>
    <s v="Marketplace"/>
    <n v="15083.828"/>
  </r>
  <r>
    <s v="ORD102277"/>
    <x v="2"/>
    <s v="27-12-2025"/>
    <s v="CUST11363"/>
    <s v="Consumer"/>
    <s v="Maharashtra"/>
    <x v="4"/>
    <x v="3"/>
    <s v="Cookware Set"/>
    <s v="1"/>
    <s v="8099.32"/>
    <n v="0.05"/>
    <s v="4553.8100000000004"/>
    <s v="3140.54"/>
    <x v="5"/>
    <x v="0"/>
    <s v="Website"/>
    <n v="7694.3539999999903"/>
  </r>
  <r>
    <s v="ORD102279"/>
    <x v="8"/>
    <s v="19-08-2025"/>
    <s v="CUST10370"/>
    <s v="Consumer"/>
    <s v="Tamil Nadu"/>
    <x v="8"/>
    <x v="2"/>
    <s v="T-Shirt"/>
    <s v="1"/>
    <s v="4744.97"/>
    <n v="0.05"/>
    <s v="3851.19"/>
    <s v="656.53"/>
    <x v="4"/>
    <x v="3"/>
    <s v="Website"/>
    <n v="4507.7214999999997"/>
  </r>
  <r>
    <s v="ORD102280"/>
    <x v="11"/>
    <s v="29-10-2025"/>
    <s v="CUST12188"/>
    <s v="Corporate"/>
    <s v="West Bengal"/>
    <x v="9"/>
    <x v="0"/>
    <s v="Smartwatch"/>
    <s v="2"/>
    <s v="46436.36"/>
    <n v="0"/>
    <s v="53422.51"/>
    <s v="39450.21"/>
    <x v="2"/>
    <x v="0"/>
    <s v="Mobile App"/>
    <n v="92872.72"/>
  </r>
  <r>
    <s v="ORD102281"/>
    <x v="4"/>
    <s v="24-04-2025"/>
    <s v="CUST12281"/>
    <s v="Corporate"/>
    <s v="Delhi"/>
    <x v="7"/>
    <x v="3"/>
    <s v="Air Fryer"/>
    <s v="3"/>
    <s v="17006.98"/>
    <n v="0.1"/>
    <s v="30058.720000000001"/>
    <s v="15860.13"/>
    <x v="1"/>
    <x v="0"/>
    <s v="Mobile App"/>
    <n v="45918.845999999998"/>
  </r>
  <r>
    <s v="ORD102284"/>
    <x v="4"/>
    <s v="12-04-2025"/>
    <s v="CUST11613"/>
    <s v="Home Office"/>
    <s v="Kerala"/>
    <x v="15"/>
    <x v="0"/>
    <s v="Smartphone"/>
    <s v="3"/>
    <s v="74627.740000000005"/>
    <n v="0"/>
    <s v="136248.28"/>
    <s v="87634.94"/>
    <x v="2"/>
    <x v="0"/>
    <s v="Mobile App"/>
    <n v="223883.22"/>
  </r>
  <r>
    <s v="ORD102285"/>
    <x v="2"/>
    <s v="24-12-2025"/>
    <s v="CUST12183"/>
    <s v="Corporate"/>
    <s v="Karnataka"/>
    <x v="17"/>
    <x v="2"/>
    <s v="Handbag"/>
    <s v="2"/>
    <s v="3846.17"/>
    <n v="0.2"/>
    <s v="5936.56"/>
    <s v="217.31"/>
    <x v="5"/>
    <x v="0"/>
    <s v="Mobile App"/>
    <n v="6153.8720000000003"/>
  </r>
  <r>
    <s v="ORD102288"/>
    <x v="0"/>
    <s v="06-01-2025"/>
    <s v="CUST12485"/>
    <s v="Consumer"/>
    <s v="Karnataka"/>
    <x v="2"/>
    <x v="1"/>
    <s v="Hair Dryer"/>
    <s v="2"/>
    <s v="5325.31"/>
    <n v="0.1"/>
    <s v="6999.63"/>
    <s v="2585.9299999999998"/>
    <x v="5"/>
    <x v="2"/>
    <s v="Marketplace"/>
    <n v="9585.5580000000009"/>
  </r>
  <r>
    <s v="ORD102292"/>
    <x v="11"/>
    <s v="17-10-2025"/>
    <s v="CUST10757"/>
    <s v="Consumer"/>
    <s v="West Bengal"/>
    <x v="9"/>
    <x v="4"/>
    <s v="Fitness Band"/>
    <s v="1"/>
    <s v="4111.25"/>
    <n v="0.1"/>
    <s v="2444.29"/>
    <s v="1255.83"/>
    <x v="2"/>
    <x v="0"/>
    <s v="Mobile App"/>
    <n v="3700.125"/>
  </r>
  <r>
    <s v="ORD102293"/>
    <x v="1"/>
    <s v="07-02-2025"/>
    <s v="CUST11461"/>
    <s v="Home Office"/>
    <s v="Karnataka"/>
    <x v="17"/>
    <x v="3"/>
    <s v="Mixer Grinder"/>
    <s v="1"/>
    <s v="11375.24"/>
    <n v="0.15"/>
    <s v="7494.93"/>
    <s v="2174.02"/>
    <x v="5"/>
    <x v="0"/>
    <s v="Marketplace"/>
    <n v="9668.9539999999997"/>
  </r>
  <r>
    <s v="ORD102294"/>
    <x v="3"/>
    <s v="14-03-2025"/>
    <s v="CUST10232"/>
    <s v="Corporate"/>
    <s v="Tamil Nadu"/>
    <x v="8"/>
    <x v="2"/>
    <s v="Sneakers"/>
    <s v="1"/>
    <s v="6555.6"/>
    <n v="0.1"/>
    <s v="3887.84"/>
    <s v="2012.2"/>
    <x v="1"/>
    <x v="0"/>
    <s v="Marketplace"/>
    <n v="5900.04"/>
  </r>
  <r>
    <s v="ORD102298"/>
    <x v="6"/>
    <s v="20-07-2025"/>
    <s v="CUST10505"/>
    <s v="Home Office"/>
    <s v="Gujarat"/>
    <x v="3"/>
    <x v="2"/>
    <s v="Handbag"/>
    <s v="1"/>
    <s v="5594.72"/>
    <n v="0.1"/>
    <s v="3600.57"/>
    <s v="1434.68"/>
    <x v="2"/>
    <x v="0"/>
    <s v="Marketplace"/>
    <n v="5035.2479999999996"/>
  </r>
  <r>
    <s v="ORD102301"/>
    <x v="7"/>
    <s v="23-05-2025"/>
    <s v="CUST12437"/>
    <s v="Home Office"/>
    <s v="Kerala"/>
    <x v="15"/>
    <x v="4"/>
    <s v="Cricket Bat"/>
    <s v="1"/>
    <s v="11290.46"/>
    <n v="0.15"/>
    <s v="8734.56"/>
    <s v="862.33"/>
    <x v="1"/>
    <x v="2"/>
    <s v="Marketplace"/>
    <n v="9596.8909999999996"/>
  </r>
  <r>
    <s v="ORD102303"/>
    <x v="10"/>
    <s v="24-11-2025"/>
    <s v="CUST10257"/>
    <s v="Consumer"/>
    <s v="Gujarat"/>
    <x v="3"/>
    <x v="3"/>
    <s v="Cookware Set"/>
    <s v="1"/>
    <s v="7908.56"/>
    <n v="0.1"/>
    <s v="6460.74"/>
    <s v="656.96"/>
    <x v="1"/>
    <x v="0"/>
    <s v="Marketplace"/>
    <n v="7117.7039999999997"/>
  </r>
  <r>
    <s v="ORD102307"/>
    <x v="3"/>
    <s v="05-03-2025"/>
    <s v="CUST11399"/>
    <s v="Corporate"/>
    <s v="Kerala"/>
    <x v="6"/>
    <x v="4"/>
    <s v="Fitness Band"/>
    <s v="3"/>
    <s v="5005.63"/>
    <n v="0"/>
    <s v="11091.03"/>
    <s v="3925.86"/>
    <x v="3"/>
    <x v="0"/>
    <s v="Marketplace"/>
    <n v="15016.89"/>
  </r>
  <r>
    <s v="ORD102308"/>
    <x v="7"/>
    <s v="09-05-2025"/>
    <s v="CUST11347"/>
    <s v="Consumer"/>
    <s v="Telangana"/>
    <x v="16"/>
    <x v="3"/>
    <s v="Air Fryer"/>
    <s v="3"/>
    <s v="3930.83"/>
    <n v="0.1"/>
    <s v="8826.49"/>
    <s v="1786.75"/>
    <x v="1"/>
    <x v="1"/>
    <s v="Website"/>
    <n v="10613.241"/>
  </r>
  <r>
    <s v="ORD102312"/>
    <x v="3"/>
    <s v="18-03-2025"/>
    <s v="CUST11330"/>
    <s v="Consumer"/>
    <s v="Telangana"/>
    <x v="16"/>
    <x v="4"/>
    <s v="Cricket Bat"/>
    <s v="3"/>
    <s v="8665.86"/>
    <n v="0.05"/>
    <s v="15686.02"/>
    <s v="9011.68"/>
    <x v="3"/>
    <x v="3"/>
    <s v="Mobile App"/>
    <n v="24697.701000000001"/>
  </r>
  <r>
    <s v="ORD102313"/>
    <x v="2"/>
    <s v="12-12-2025"/>
    <s v="CUST13478"/>
    <s v="Home Office"/>
    <s v="Delhi"/>
    <x v="12"/>
    <x v="4"/>
    <s v="Cricket Bat"/>
    <s v="1"/>
    <s v="2675.46"/>
    <n v="0.05"/>
    <s v="1847.75"/>
    <s v="693.94"/>
    <x v="0"/>
    <x v="0"/>
    <s v="Marketplace"/>
    <n v="2541.6869999999999"/>
  </r>
  <r>
    <s v="ORD102315"/>
    <x v="6"/>
    <s v="24-07-2025"/>
    <s v="CUST12683"/>
    <s v="Home Office"/>
    <s v="West Bengal"/>
    <x v="0"/>
    <x v="3"/>
    <s v="Vacuum Cleaner"/>
    <s v="1"/>
    <s v="3282.01"/>
    <n v="0.15"/>
    <s v="2177.35"/>
    <s v="612.36"/>
    <x v="5"/>
    <x v="0"/>
    <s v="Mobile App"/>
    <n v="2789.7085000000002"/>
  </r>
  <r>
    <s v="ORD102316"/>
    <x v="0"/>
    <s v="06-01-2025"/>
    <s v="CUST11679"/>
    <s v="Home Office"/>
    <s v="Kerala"/>
    <x v="15"/>
    <x v="2"/>
    <s v="Sneakers"/>
    <s v="2"/>
    <s v="3318.6"/>
    <n v="0.05"/>
    <s v="5340.8"/>
    <s v="964.54"/>
    <x v="5"/>
    <x v="0"/>
    <s v="Website"/>
    <n v="6305.3399999999901"/>
  </r>
  <r>
    <s v="ORD102318"/>
    <x v="8"/>
    <s v="25-08-2025"/>
    <s v="CUST12404"/>
    <s v="Consumer"/>
    <s v="Telangana"/>
    <x v="14"/>
    <x v="4"/>
    <s v="Running Shoes"/>
    <s v="1"/>
    <s v="11133.36"/>
    <n v="0.15"/>
    <s v="8223.56"/>
    <s v="1239.8"/>
    <x v="2"/>
    <x v="2"/>
    <s v="Website"/>
    <n v="9463.3559999999998"/>
  </r>
  <r>
    <s v="ORD102320"/>
    <x v="9"/>
    <s v="03-06-2025"/>
    <s v="CUST12156"/>
    <s v="Corporate"/>
    <s v="Telangana"/>
    <x v="16"/>
    <x v="2"/>
    <s v="Jacket"/>
    <s v="1"/>
    <s v="2683.89"/>
    <n v="0"/>
    <s v="2036.96"/>
    <s v="646.92999999999995"/>
    <x v="5"/>
    <x v="0"/>
    <s v="Marketplace"/>
    <n v="2683.89"/>
  </r>
  <r>
    <s v="ORD102321"/>
    <x v="11"/>
    <s v="11-10-2025"/>
    <s v="CUST12578"/>
    <s v="Corporate"/>
    <s v="Tamil Nadu"/>
    <x v="13"/>
    <x v="3"/>
    <s v="Coffee Maker"/>
    <s v="2"/>
    <s v="5213.3100000000004"/>
    <n v="0.1"/>
    <s v="6519.67"/>
    <s v="2864.29"/>
    <x v="0"/>
    <x v="2"/>
    <s v="Mobile App"/>
    <n v="9383.9580000000005"/>
  </r>
  <r>
    <s v="ORD102322"/>
    <x v="10"/>
    <s v="09-11-2025"/>
    <s v="CUST12726"/>
    <s v="Home Office"/>
    <s v="Tamil Nadu"/>
    <x v="11"/>
    <x v="3"/>
    <s v="Air Fryer"/>
    <s v="1"/>
    <s v="11311.16"/>
    <n v="0.1"/>
    <s v="8883.6"/>
    <s v="1296.44"/>
    <x v="1"/>
    <x v="0"/>
    <s v="Mobile App"/>
    <n v="10180.044"/>
  </r>
  <r>
    <s v="ORD102323"/>
    <x v="7"/>
    <s v="05-05-2025"/>
    <s v="CUST11264"/>
    <s v="Home Office"/>
    <s v="Telangana"/>
    <x v="14"/>
    <x v="0"/>
    <s v="Tablet"/>
    <s v="1"/>
    <s v="59041.5"/>
    <n v="0.1"/>
    <s v="44244.6"/>
    <s v="8892.75"/>
    <x v="0"/>
    <x v="0"/>
    <s v="Marketplace"/>
    <n v="53137.35"/>
  </r>
  <r>
    <s v="ORD102324"/>
    <x v="11"/>
    <s v="01-10-2025"/>
    <s v="CUST10759"/>
    <s v="Consumer"/>
    <s v="Gujarat"/>
    <x v="18"/>
    <x v="0"/>
    <s v="Laptop"/>
    <s v="1"/>
    <s v="11773.99"/>
    <n v="0.1"/>
    <s v="7091.02"/>
    <s v="3505.57"/>
    <x v="5"/>
    <x v="2"/>
    <s v="Website"/>
    <n v="10596.591"/>
  </r>
  <r>
    <s v="ORD102329"/>
    <x v="1"/>
    <s v="06-02-2025"/>
    <s v="CUST11775"/>
    <s v="Home Office"/>
    <s v="Kerala"/>
    <x v="15"/>
    <x v="2"/>
    <s v="T-Shirt"/>
    <s v="1"/>
    <s v="2335.89"/>
    <n v="0.05"/>
    <s v="1882.23"/>
    <s v="336.87"/>
    <x v="0"/>
    <x v="1"/>
    <s v="Marketplace"/>
    <n v="2219.0954999999999"/>
  </r>
  <r>
    <s v="ORD102330"/>
    <x v="5"/>
    <s v="01-09-2025"/>
    <s v="CUST10492"/>
    <s v="Consumer"/>
    <s v="Tamil Nadu"/>
    <x v="19"/>
    <x v="3"/>
    <s v="Coffee Maker"/>
    <s v="2"/>
    <s v="15541.55"/>
    <n v="0"/>
    <s v="20568.75"/>
    <s v="10514.35"/>
    <x v="5"/>
    <x v="0"/>
    <s v="Marketplace"/>
    <n v="31083.1"/>
  </r>
  <r>
    <s v="ORD102331"/>
    <x v="7"/>
    <s v="02-05-2025"/>
    <s v="CUST12702"/>
    <s v="Corporate"/>
    <s v="Maharashtra"/>
    <x v="4"/>
    <x v="1"/>
    <s v="Face Cream"/>
    <s v="1"/>
    <s v="4726.63"/>
    <n v="0.1"/>
    <s v="3298.97"/>
    <s v="955"/>
    <x v="5"/>
    <x v="0"/>
    <s v="Website"/>
    <n v="4253.9669999999996"/>
  </r>
  <r>
    <s v="ORD102333"/>
    <x v="4"/>
    <s v="08-04-2025"/>
    <s v="CUST11262"/>
    <s v="Corporate"/>
    <s v="Telangana"/>
    <x v="14"/>
    <x v="2"/>
    <s v="Jeans"/>
    <s v="1"/>
    <s v="5994.86"/>
    <n v="0.15"/>
    <s v="3633.74"/>
    <s v="1461.89"/>
    <x v="2"/>
    <x v="2"/>
    <s v="Website"/>
    <n v="5095.6309999999903"/>
  </r>
  <r>
    <s v="ORD102337"/>
    <x v="8"/>
    <s v="07-08-2025"/>
    <s v="CUST10833"/>
    <s v="Home Office"/>
    <s v="Karnataka"/>
    <x v="22"/>
    <x v="2"/>
    <s v="Sneakers"/>
    <s v="1"/>
    <s v="322.79000000000002"/>
    <n v="0.05"/>
    <s v="207.39"/>
    <s v="99.26"/>
    <x v="5"/>
    <x v="2"/>
    <s v="Marketplace"/>
    <n v="306.65050000000002"/>
  </r>
  <r>
    <s v="ORD102339"/>
    <x v="3"/>
    <s v="09-03-2025"/>
    <s v="CUST10089"/>
    <s v="Home Office"/>
    <s v="Kerala"/>
    <x v="15"/>
    <x v="2"/>
    <s v="Jeans"/>
    <s v="1"/>
    <s v="4903.49"/>
    <n v="0.1"/>
    <s v="3125.57"/>
    <s v="1287.57"/>
    <x v="0"/>
    <x v="0"/>
    <s v="Website"/>
    <n v="4413.1409999999996"/>
  </r>
  <r>
    <s v="ORD102342"/>
    <x v="7"/>
    <s v="09-05-2025"/>
    <s v="CUST11194"/>
    <s v="Consumer"/>
    <s v="Maharashtra"/>
    <x v="21"/>
    <x v="4"/>
    <s v="Running Shoes"/>
    <s v="1"/>
    <s v="810.8"/>
    <n v="0.05"/>
    <s v="608.14"/>
    <s v="162.12"/>
    <x v="0"/>
    <x v="0"/>
    <s v="Marketplace"/>
    <n v="770.25999999999897"/>
  </r>
  <r>
    <s v="ORD102347"/>
    <x v="5"/>
    <s v="09-09-2025"/>
    <s v="CUST11276"/>
    <s v="Corporate"/>
    <s v="Tamil Nadu"/>
    <x v="8"/>
    <x v="1"/>
    <s v="Shampoo"/>
    <s v="1"/>
    <s v="5448.1"/>
    <n v="0.1"/>
    <s v="3082.02"/>
    <s v="1821.27"/>
    <x v="3"/>
    <x v="0"/>
    <s v="Website"/>
    <n v="4903.29"/>
  </r>
  <r>
    <s v="ORD102349"/>
    <x v="5"/>
    <s v="09-09-2025"/>
    <s v="CUST12109"/>
    <s v="Home Office"/>
    <s v="Tamil Nadu"/>
    <x v="13"/>
    <x v="3"/>
    <s v="Coffee Maker"/>
    <s v="1"/>
    <s v="16908.86"/>
    <n v="0.05"/>
    <s v="9712.6200000000008"/>
    <s v="6350.8"/>
    <x v="1"/>
    <x v="1"/>
    <s v="Marketplace"/>
    <n v="16063.416999999999"/>
  </r>
  <r>
    <s v="ORD102351"/>
    <x v="6"/>
    <s v="10-07-2025"/>
    <s v="CUST12140"/>
    <s v="Corporate"/>
    <s v="Gujarat"/>
    <x v="3"/>
    <x v="3"/>
    <s v="Cookware Set"/>
    <s v="1"/>
    <s v="14682.9"/>
    <n v="0.1"/>
    <s v="11537.96"/>
    <s v="1676.65"/>
    <x v="2"/>
    <x v="0"/>
    <s v="Marketplace"/>
    <n v="13214.61"/>
  </r>
  <r>
    <s v="ORD102352"/>
    <x v="6"/>
    <s v="06-07-2025"/>
    <s v="CUST10691"/>
    <s v="Consumer"/>
    <s v="Tamil Nadu"/>
    <x v="11"/>
    <x v="2"/>
    <s v="Handbag"/>
    <s v="1"/>
    <s v="2146.37"/>
    <n v="0.05"/>
    <s v="1473.08"/>
    <s v="565.97"/>
    <x v="5"/>
    <x v="0"/>
    <s v="Marketplace"/>
    <n v="2039.05149999999"/>
  </r>
  <r>
    <s v="ORD102353"/>
    <x v="0"/>
    <s v="08-01-2025"/>
    <s v="CUST11206"/>
    <s v="Consumer"/>
    <s v="Delhi"/>
    <x v="7"/>
    <x v="1"/>
    <s v="Hair Dryer"/>
    <s v="1"/>
    <s v="3873.1"/>
    <n v="0.1"/>
    <s v="2895.49"/>
    <s v="590.29999999999995"/>
    <x v="2"/>
    <x v="1"/>
    <s v="Marketplace"/>
    <n v="3485.79"/>
  </r>
  <r>
    <s v="ORD102354"/>
    <x v="3"/>
    <s v="26-03-2025"/>
    <s v="CUST12894"/>
    <s v="Home Office"/>
    <s v="Delhi"/>
    <x v="12"/>
    <x v="4"/>
    <s v="Football"/>
    <s v="1"/>
    <s v="4346.1099999999997"/>
    <n v="0.15"/>
    <s v="3211.7"/>
    <s v="482.49"/>
    <x v="2"/>
    <x v="0"/>
    <s v="Mobile App"/>
    <n v="3694.1934999999899"/>
  </r>
  <r>
    <s v="ORD102357"/>
    <x v="11"/>
    <s v="04-10-2025"/>
    <s v="CUST10294"/>
    <s v="Corporate"/>
    <s v="Delhi"/>
    <x v="12"/>
    <x v="3"/>
    <s v="Air Fryer"/>
    <s v="1"/>
    <s v="1861.63"/>
    <n v="0"/>
    <s v="1048.8699999999999"/>
    <s v="812.76"/>
    <x v="3"/>
    <x v="0"/>
    <s v="Mobile App"/>
    <n v="1861.63"/>
  </r>
  <r>
    <s v="ORD102358"/>
    <x v="0"/>
    <s v="27-01-2025"/>
    <s v="CUST13029"/>
    <s v="Consumer"/>
    <s v="Karnataka"/>
    <x v="22"/>
    <x v="2"/>
    <s v="T-Shirt"/>
    <s v="1"/>
    <s v="4074.5"/>
    <n v="0.1"/>
    <s v="2873.74"/>
    <s v="793.31"/>
    <x v="5"/>
    <x v="0"/>
    <s v="Website"/>
    <n v="3667.05"/>
  </r>
  <r>
    <s v="ORD102360"/>
    <x v="7"/>
    <s v="05-05-2025"/>
    <s v="CUST13116"/>
    <s v="Consumer"/>
    <s v="Tamil Nadu"/>
    <x v="8"/>
    <x v="0"/>
    <s v="Headphones"/>
    <s v="3"/>
    <s v="18670.62"/>
    <n v="0.05"/>
    <s v="45477.01"/>
    <s v="7734.26"/>
    <x v="2"/>
    <x v="0"/>
    <s v="Website"/>
    <n v="53211.267"/>
  </r>
  <r>
    <s v="ORD102364"/>
    <x v="8"/>
    <s v="28-08-2025"/>
    <s v="CUST12624"/>
    <s v="Consumer"/>
    <s v="West Bengal"/>
    <x v="0"/>
    <x v="0"/>
    <s v="Smartwatch"/>
    <s v="1"/>
    <s v="20966.7"/>
    <n v="0.05"/>
    <s v="11949.68"/>
    <s v="7968.68"/>
    <x v="3"/>
    <x v="2"/>
    <s v="Mobile App"/>
    <n v="19918.3649999999"/>
  </r>
  <r>
    <s v="ORD102365"/>
    <x v="1"/>
    <s v="27-02-2025"/>
    <s v="CUST12977"/>
    <s v="Consumer"/>
    <s v="Gujarat"/>
    <x v="3"/>
    <x v="4"/>
    <s v="Cricket Bat"/>
    <s v="1"/>
    <s v="7536.94"/>
    <n v="0.2"/>
    <s v="5655.31"/>
    <s v="374.24"/>
    <x v="2"/>
    <x v="1"/>
    <s v="Mobile App"/>
    <n v="6029.5519999999997"/>
  </r>
  <r>
    <s v="ORD102366"/>
    <x v="1"/>
    <s v="19-02-2025"/>
    <s v="CUST12168"/>
    <s v="Corporate"/>
    <s v="Telangana"/>
    <x v="14"/>
    <x v="0"/>
    <s v="Smartwatch"/>
    <s v="1"/>
    <s v="66017.59"/>
    <n v="0.1"/>
    <s v="39363.65"/>
    <s v="20052.18"/>
    <x v="0"/>
    <x v="0"/>
    <s v="Marketplace"/>
    <n v="59415.830999999998"/>
  </r>
  <r>
    <s v="ORD102368"/>
    <x v="3"/>
    <s v="28-03-2025"/>
    <s v="CUST10636"/>
    <s v="Corporate"/>
    <s v="Maharashtra"/>
    <x v="20"/>
    <x v="4"/>
    <s v="Yoga Mat"/>
    <s v="1"/>
    <s v="2733.97"/>
    <n v="0.1"/>
    <s v="1590.91"/>
    <s v="869.66"/>
    <x v="2"/>
    <x v="0"/>
    <s v="Website"/>
    <n v="2460.5729999999999"/>
  </r>
  <r>
    <s v="ORD102369"/>
    <x v="5"/>
    <s v="30-09-2025"/>
    <s v="CUST12750"/>
    <s v="Corporate"/>
    <s v="Delhi"/>
    <x v="7"/>
    <x v="0"/>
    <s v="Tablet"/>
    <s v="2"/>
    <s v="70092.95"/>
    <n v="0.05"/>
    <s v="95976.65"/>
    <s v="37199.949999999997"/>
    <x v="5"/>
    <x v="2"/>
    <s v="Website"/>
    <n v="133176.60499999899"/>
  </r>
  <r>
    <s v="ORD102372"/>
    <x v="2"/>
    <s v="15-12-2025"/>
    <s v="CUST10103"/>
    <s v="Home Office"/>
    <s v="Maharashtra"/>
    <x v="20"/>
    <x v="3"/>
    <s v="Coffee Maker"/>
    <s v="1"/>
    <s v="7648.06"/>
    <n v="0.15"/>
    <s v="5487.29"/>
    <s v="1013.56"/>
    <x v="2"/>
    <x v="2"/>
    <s v="Website"/>
    <n v="6500.8509999999997"/>
  </r>
  <r>
    <s v="ORD102373"/>
    <x v="3"/>
    <s v="28-03-2025"/>
    <s v="CUST10394"/>
    <s v="Consumer"/>
    <s v="Delhi"/>
    <x v="7"/>
    <x v="3"/>
    <s v="Air Fryer"/>
    <s v="1"/>
    <s v="3278.21"/>
    <n v="0"/>
    <s v="2086.66"/>
    <s v="1191.55"/>
    <x v="0"/>
    <x v="0"/>
    <s v="Website"/>
    <n v="3278.21"/>
  </r>
  <r>
    <s v="ORD102375"/>
    <x v="9"/>
    <s v="27-06-2025"/>
    <s v="CUST12264"/>
    <s v="Home Office"/>
    <s v="Delhi"/>
    <x v="12"/>
    <x v="1"/>
    <s v="Lipstick"/>
    <s v="1"/>
    <s v="5667.6"/>
    <n v="0.1"/>
    <s v="4133.72"/>
    <s v="967.12"/>
    <x v="3"/>
    <x v="2"/>
    <s v="Marketplace"/>
    <n v="5100.84"/>
  </r>
  <r>
    <s v="ORD102376"/>
    <x v="11"/>
    <s v="29-10-2025"/>
    <s v="CUST11554"/>
    <s v="Home Office"/>
    <s v="Delhi"/>
    <x v="12"/>
    <x v="2"/>
    <s v="T-Shirt"/>
    <s v="1"/>
    <s v="5131.8999999999996"/>
    <n v="0.15"/>
    <s v="3396"/>
    <s v="966.12"/>
    <x v="2"/>
    <x v="0"/>
    <s v="Website"/>
    <n v="4362.1149999999998"/>
  </r>
  <r>
    <s v="ORD102377"/>
    <x v="4"/>
    <s v="21-04-2025"/>
    <s v="CUST11709"/>
    <s v="Corporate"/>
    <s v="Telangana"/>
    <x v="16"/>
    <x v="0"/>
    <s v="Laptop"/>
    <s v="1"/>
    <s v="10347.39"/>
    <n v="0"/>
    <s v="5959.92"/>
    <s v="4387.47"/>
    <x v="2"/>
    <x v="0"/>
    <s v="Marketplace"/>
    <n v="10347.39"/>
  </r>
  <r>
    <s v="ORD102378"/>
    <x v="0"/>
    <s v="31-01-2025"/>
    <s v="CUST10673"/>
    <s v="Consumer"/>
    <s v="Tamil Nadu"/>
    <x v="1"/>
    <x v="3"/>
    <s v="Mixer Grinder"/>
    <s v="1"/>
    <s v="16573.87"/>
    <n v="0.1"/>
    <s v="9855.7000000000007"/>
    <s v="5060.78"/>
    <x v="0"/>
    <x v="0"/>
    <s v="Marketplace"/>
    <n v="14916.483"/>
  </r>
  <r>
    <s v="ORD102380"/>
    <x v="5"/>
    <s v="19-09-2025"/>
    <s v="CUST12491"/>
    <s v="Consumer"/>
    <s v="West Bengal"/>
    <x v="9"/>
    <x v="2"/>
    <s v="Jeans"/>
    <s v="1"/>
    <s v="843.31"/>
    <n v="0.1"/>
    <s v="497.66"/>
    <s v="261.32"/>
    <x v="0"/>
    <x v="3"/>
    <s v="Website"/>
    <n v="758.97899999999902"/>
  </r>
  <r>
    <s v="ORD102381"/>
    <x v="11"/>
    <s v="25-10-2025"/>
    <s v="CUST11735"/>
    <s v="Home Office"/>
    <s v="Karnataka"/>
    <x v="22"/>
    <x v="0"/>
    <s v="Smartwatch"/>
    <s v="1"/>
    <s v="59440.79"/>
    <n v="0.1"/>
    <s v="40090.879999999997"/>
    <s v="13405.83"/>
    <x v="3"/>
    <x v="0"/>
    <s v="Marketplace"/>
    <n v="53496.711000000003"/>
  </r>
  <r>
    <s v="ORD102382"/>
    <x v="0"/>
    <s v="26-01-2025"/>
    <s v="CUST11805"/>
    <s v="Corporate"/>
    <s v="Delhi"/>
    <x v="7"/>
    <x v="1"/>
    <s v="Perfume"/>
    <s v="1"/>
    <s v="4395.57"/>
    <n v="0"/>
    <s v="2623.39"/>
    <s v="1772.18"/>
    <x v="2"/>
    <x v="0"/>
    <s v="Mobile App"/>
    <n v="4395.57"/>
  </r>
  <r>
    <s v="ORD102386"/>
    <x v="7"/>
    <s v="05-05-2025"/>
    <s v="CUST12277"/>
    <s v="Consumer"/>
    <s v="West Bengal"/>
    <x v="9"/>
    <x v="2"/>
    <s v="Jacket"/>
    <s v="1"/>
    <s v="2369.85"/>
    <n v="0.05"/>
    <s v="1881.96"/>
    <s v="369.4"/>
    <x v="5"/>
    <x v="0"/>
    <s v="Website"/>
    <n v="2251.3574999999901"/>
  </r>
  <r>
    <s v="ORD102390"/>
    <x v="3"/>
    <s v="30-03-2025"/>
    <s v="CUST10887"/>
    <s v="Corporate"/>
    <s v="West Bengal"/>
    <x v="9"/>
    <x v="0"/>
    <s v="Smartwatch"/>
    <s v="1"/>
    <s v="11057.59"/>
    <n v="0.05"/>
    <s v="7556.17"/>
    <s v="2948.54"/>
    <x v="1"/>
    <x v="0"/>
    <s v="Marketplace"/>
    <n v="10504.710499999999"/>
  </r>
  <r>
    <s v="ORD102392"/>
    <x v="1"/>
    <s v="22-02-2025"/>
    <s v="CUST10654"/>
    <s v="Consumer"/>
    <s v="Maharashtra"/>
    <x v="21"/>
    <x v="3"/>
    <s v="Coffee Maker"/>
    <s v="2"/>
    <s v="5302.47"/>
    <n v="0"/>
    <s v="7192.03"/>
    <s v="3412.91"/>
    <x v="3"/>
    <x v="2"/>
    <s v="Marketplace"/>
    <n v="10604.94"/>
  </r>
  <r>
    <s v="ORD102395"/>
    <x v="7"/>
    <s v="25-05-2025"/>
    <s v="CUST13387"/>
    <s v="Consumer"/>
    <s v="Telangana"/>
    <x v="14"/>
    <x v="0"/>
    <s v="Smartphone"/>
    <s v="2"/>
    <s v="23173.67"/>
    <n v="0.15"/>
    <s v="25579.05"/>
    <s v="13816.19"/>
    <x v="3"/>
    <x v="0"/>
    <s v="Mobile App"/>
    <n v="39395.2389999999"/>
  </r>
  <r>
    <s v="ORD102396"/>
    <x v="0"/>
    <s v="14-01-2025"/>
    <s v="CUST11769"/>
    <s v="Consumer"/>
    <s v="West Bengal"/>
    <x v="0"/>
    <x v="0"/>
    <s v="Smartwatch"/>
    <s v="1"/>
    <s v="12361.94"/>
    <n v="0.05"/>
    <s v="8167.71"/>
    <s v="3576.13"/>
    <x v="5"/>
    <x v="0"/>
    <s v="Marketplace"/>
    <n v="11743.843000000001"/>
  </r>
  <r>
    <s v="ORD102397"/>
    <x v="2"/>
    <s v="12-12-2025"/>
    <s v="CUST11310"/>
    <s v="Consumer"/>
    <s v="Telangana"/>
    <x v="14"/>
    <x v="3"/>
    <s v="Vacuum Cleaner"/>
    <s v="2"/>
    <s v="10127.81"/>
    <n v="0.2"/>
    <s v="13559.98"/>
    <s v="2644.52"/>
    <x v="5"/>
    <x v="0"/>
    <s v="Website"/>
    <n v="16204.495999999999"/>
  </r>
  <r>
    <s v="ORD102398"/>
    <x v="4"/>
    <s v="19-04-2025"/>
    <s v="CUST13073"/>
    <s v="Consumer"/>
    <s v="Tamil Nadu"/>
    <x v="19"/>
    <x v="3"/>
    <s v="Cookware Set"/>
    <s v="2"/>
    <s v="17290.75"/>
    <n v="0.1"/>
    <s v="19866.91"/>
    <s v="11256.44"/>
    <x v="1"/>
    <x v="0"/>
    <s v="Mobile App"/>
    <n v="31123.35"/>
  </r>
  <r>
    <s v="ORD102399"/>
    <x v="11"/>
    <s v="27-10-2025"/>
    <s v="CUST12018"/>
    <s v="Home Office"/>
    <s v="Delhi"/>
    <x v="7"/>
    <x v="3"/>
    <s v="Cookware Set"/>
    <s v="1"/>
    <s v="11714.87"/>
    <n v="0.15"/>
    <s v="8605.92"/>
    <s v="1351.72"/>
    <x v="5"/>
    <x v="0"/>
    <s v="Marketplace"/>
    <n v="9957.6394999999993"/>
  </r>
  <r>
    <s v="ORD102400"/>
    <x v="7"/>
    <s v="04-05-2025"/>
    <s v="CUST12155"/>
    <s v="Home Office"/>
    <s v="Telangana"/>
    <x v="16"/>
    <x v="3"/>
    <s v="Cookware Set"/>
    <s v="1"/>
    <s v="2927.17"/>
    <n v="0.15"/>
    <s v="2349.27"/>
    <s v="138.82"/>
    <x v="0"/>
    <x v="0"/>
    <s v="Mobile App"/>
    <n v="2488.0945000000002"/>
  </r>
  <r>
    <s v="ORD102405"/>
    <x v="6"/>
    <s v="26-07-2025"/>
    <s v="CUST13169"/>
    <s v="Corporate"/>
    <s v="Karnataka"/>
    <x v="2"/>
    <x v="1"/>
    <s v="Face Cream"/>
    <s v="2"/>
    <s v="887.99"/>
    <n v="0.05"/>
    <s v="1351.71"/>
    <s v="335.47"/>
    <x v="1"/>
    <x v="2"/>
    <s v="Mobile App"/>
    <n v="1687.181"/>
  </r>
  <r>
    <s v="ORD102406"/>
    <x v="3"/>
    <s v="02-03-2025"/>
    <s v="CUST12325"/>
    <s v="Home Office"/>
    <s v="Delhi"/>
    <x v="12"/>
    <x v="0"/>
    <s v="Tablet"/>
    <s v="2"/>
    <s v="22221.41"/>
    <n v="0.05"/>
    <s v="31370.97"/>
    <s v="10849.71"/>
    <x v="1"/>
    <x v="0"/>
    <s v="Website"/>
    <n v="42220.678999999996"/>
  </r>
  <r>
    <s v="ORD102407"/>
    <x v="10"/>
    <s v="06-11-2025"/>
    <s v="CUST12473"/>
    <s v="Home Office"/>
    <s v="Delhi"/>
    <x v="7"/>
    <x v="0"/>
    <s v="Laptop"/>
    <s v="2"/>
    <s v="38615.599999999999"/>
    <n v="0.05"/>
    <s v="56714.85"/>
    <s v="16654.79"/>
    <x v="5"/>
    <x v="0"/>
    <s v="Mobile App"/>
    <n v="73369.64"/>
  </r>
  <r>
    <s v="ORD102409"/>
    <x v="10"/>
    <s v="13-11-2025"/>
    <s v="CUST11007"/>
    <s v="Home Office"/>
    <s v="Karnataka"/>
    <x v="17"/>
    <x v="0"/>
    <s v="Smartphone"/>
    <s v="3"/>
    <s v="3059.1"/>
    <n v="0.15"/>
    <s v="5389.25"/>
    <s v="2411.4499999999998"/>
    <x v="2"/>
    <x v="0"/>
    <s v="Mobile App"/>
    <n v="7800.7049999999899"/>
  </r>
  <r>
    <s v="ORD102411"/>
    <x v="8"/>
    <s v="15-08-2025"/>
    <s v="CUST12871"/>
    <s v="Corporate"/>
    <s v="Gujarat"/>
    <x v="18"/>
    <x v="3"/>
    <s v="Air Fryer"/>
    <s v="1"/>
    <s v="7629.64"/>
    <n v="0.1"/>
    <s v="6128.77"/>
    <s v="737.91"/>
    <x v="2"/>
    <x v="0"/>
    <s v="Website"/>
    <n v="6866.6760000000004"/>
  </r>
  <r>
    <s v="ORD102412"/>
    <x v="4"/>
    <s v="10-04-2025"/>
    <s v="CUST11520"/>
    <s v="Home Office"/>
    <s v="Kerala"/>
    <x v="6"/>
    <x v="0"/>
    <s v="Smartphone"/>
    <s v="3"/>
    <s v="26749.62"/>
    <n v="0"/>
    <s v="47373.14"/>
    <s v="32875.72"/>
    <x v="0"/>
    <x v="0"/>
    <s v="Marketplace"/>
    <n v="80248.86"/>
  </r>
  <r>
    <s v="ORD102413"/>
    <x v="2"/>
    <s v="06-12-2025"/>
    <s v="CUST12496"/>
    <s v="Corporate"/>
    <s v="Karnataka"/>
    <x v="17"/>
    <x v="4"/>
    <s v="Fitness Band"/>
    <s v="1"/>
    <s v="1743.35"/>
    <n v="0.15"/>
    <s v="1065.54"/>
    <s v="416.31"/>
    <x v="1"/>
    <x v="0"/>
    <s v="Marketplace"/>
    <n v="1481.8474999999901"/>
  </r>
  <r>
    <s v="ORD102414"/>
    <x v="1"/>
    <s v="24-02-2025"/>
    <s v="CUST10667"/>
    <s v="Consumer"/>
    <s v="Gujarat"/>
    <x v="10"/>
    <x v="3"/>
    <s v="Mixer Grinder"/>
    <s v="1"/>
    <s v="2281.8000000000002"/>
    <n v="0.05"/>
    <s v="1843.57"/>
    <s v="324.14"/>
    <x v="1"/>
    <x v="0"/>
    <s v="Website"/>
    <n v="2167.71"/>
  </r>
  <r>
    <s v="ORD102416"/>
    <x v="2"/>
    <s v="22-12-2025"/>
    <s v="CUST13248"/>
    <s v="Consumer"/>
    <s v="Delhi"/>
    <x v="7"/>
    <x v="1"/>
    <s v="Face Cream"/>
    <s v="1"/>
    <s v="4100.01"/>
    <n v="0.1"/>
    <s v="2416.63"/>
    <s v="1273.3800000000001"/>
    <x v="1"/>
    <x v="1"/>
    <s v="Marketplace"/>
    <n v="3690.009"/>
  </r>
  <r>
    <s v="ORD102418"/>
    <x v="9"/>
    <s v="27-06-2025"/>
    <s v="CUST10677"/>
    <s v="Home Office"/>
    <s v="Delhi"/>
    <x v="12"/>
    <x v="0"/>
    <s v="Tablet"/>
    <s v="1"/>
    <s v="63958.46"/>
    <n v="0.1"/>
    <s v="43593.440000000002"/>
    <s v="13969.17"/>
    <x v="0"/>
    <x v="3"/>
    <s v="Website"/>
    <n v="57562.614000000001"/>
  </r>
  <r>
    <s v="ORD102419"/>
    <x v="11"/>
    <s v="26-10-2025"/>
    <s v="CUST10560"/>
    <s v="Consumer"/>
    <s v="Tamil Nadu"/>
    <x v="19"/>
    <x v="4"/>
    <s v="Cricket Bat"/>
    <s v="3"/>
    <s v="3691.35"/>
    <n v="0.05"/>
    <s v="6978.13"/>
    <s v="3542.22"/>
    <x v="1"/>
    <x v="0"/>
    <s v="Mobile App"/>
    <n v="10520.3474999999"/>
  </r>
  <r>
    <s v="ORD102420"/>
    <x v="7"/>
    <s v="26-05-2025"/>
    <s v="CUST11201"/>
    <s v="Corporate"/>
    <s v="West Bengal"/>
    <x v="0"/>
    <x v="4"/>
    <s v="Cricket Bat"/>
    <s v="2"/>
    <s v="8325.68"/>
    <n v="0.1"/>
    <s v="9217.66"/>
    <s v="5768.56"/>
    <x v="5"/>
    <x v="0"/>
    <s v="Mobile App"/>
    <n v="14986.224"/>
  </r>
  <r>
    <s v="ORD102421"/>
    <x v="7"/>
    <s v="09-05-2025"/>
    <s v="CUST10846"/>
    <s v="Consumer"/>
    <s v="Karnataka"/>
    <x v="2"/>
    <x v="0"/>
    <s v="Headphones"/>
    <s v="1"/>
    <s v="73824.88"/>
    <n v="0.1"/>
    <s v="56404.32"/>
    <s v="10038.07"/>
    <x v="0"/>
    <x v="0"/>
    <s v="Mobile App"/>
    <n v="66442.392000000007"/>
  </r>
  <r>
    <s v="ORD102423"/>
    <x v="1"/>
    <s v="20-02-2025"/>
    <s v="CUST10063"/>
    <s v="Home Office"/>
    <s v="Kerala"/>
    <x v="15"/>
    <x v="0"/>
    <s v="Laptop"/>
    <s v="1"/>
    <s v="3699.38"/>
    <n v="0"/>
    <s v="2757.11"/>
    <s v="942.27"/>
    <x v="3"/>
    <x v="2"/>
    <s v="Mobile App"/>
    <n v="3699.38"/>
  </r>
  <r>
    <s v="ORD102427"/>
    <x v="5"/>
    <s v="28-09-2025"/>
    <s v="CUST11730"/>
    <s v="Home Office"/>
    <s v="Tamil Nadu"/>
    <x v="13"/>
    <x v="3"/>
    <s v="Coffee Maker"/>
    <s v="1"/>
    <s v="8476.5400000000009"/>
    <n v="0"/>
    <s v="6528.75"/>
    <s v="1947.79"/>
    <x v="0"/>
    <x v="0"/>
    <s v="Website"/>
    <n v="8476.5400000000009"/>
  </r>
  <r>
    <s v="ORD102429"/>
    <x v="11"/>
    <s v="07-10-2025"/>
    <s v="CUST10025"/>
    <s v="Corporate"/>
    <s v="Tamil Nadu"/>
    <x v="19"/>
    <x v="0"/>
    <s v="Laptop"/>
    <s v="1"/>
    <s v="35474.15"/>
    <n v="0.15"/>
    <s v="19663.96"/>
    <s v="10489.07"/>
    <x v="2"/>
    <x v="0"/>
    <s v="Marketplace"/>
    <n v="30153.0275"/>
  </r>
  <r>
    <s v="ORD102431"/>
    <x v="3"/>
    <s v="01-03-2025"/>
    <s v="CUST10746"/>
    <s v="Consumer"/>
    <s v="Delhi"/>
    <x v="12"/>
    <x v="2"/>
    <s v="T-Shirt"/>
    <s v="2"/>
    <s v="5214.4399999999996"/>
    <n v="0.2"/>
    <s v="6539.44"/>
    <s v="1803.66"/>
    <x v="1"/>
    <x v="0"/>
    <s v="Website"/>
    <n v="8343.1039999999994"/>
  </r>
  <r>
    <s v="ORD102433"/>
    <x v="1"/>
    <s v="19-02-2025"/>
    <s v="CUST12483"/>
    <s v="Corporate"/>
    <s v="Maharashtra"/>
    <x v="4"/>
    <x v="4"/>
    <s v="Yoga Mat"/>
    <s v="1"/>
    <s v="3286.3"/>
    <n v="0.05"/>
    <s v="2172.63"/>
    <s v="949.35"/>
    <x v="3"/>
    <x v="0"/>
    <s v="Mobile App"/>
    <n v="3121.9850000000001"/>
  </r>
  <r>
    <s v="ORD102434"/>
    <x v="0"/>
    <s v="30-01-2025"/>
    <s v="CUST11286"/>
    <s v="Home Office"/>
    <s v="Kerala"/>
    <x v="15"/>
    <x v="2"/>
    <s v="Sneakers"/>
    <s v="1"/>
    <s v="6429.43"/>
    <n v="0"/>
    <s v="4406.3"/>
    <s v="2023.13"/>
    <x v="5"/>
    <x v="0"/>
    <s v="Website"/>
    <n v="6429.43"/>
  </r>
  <r>
    <s v="ORD102437"/>
    <x v="0"/>
    <s v="06-01-2025"/>
    <s v="CUST12877"/>
    <s v="Corporate"/>
    <s v="Kerala"/>
    <x v="6"/>
    <x v="3"/>
    <s v="Mixer Grinder"/>
    <s v="1"/>
    <s v="3421.09"/>
    <n v="0.15"/>
    <s v="2113.21"/>
    <s v="794.72"/>
    <x v="0"/>
    <x v="0"/>
    <s v="Mobile App"/>
    <n v="2907.9265"/>
  </r>
  <r>
    <s v="ORD102441"/>
    <x v="7"/>
    <s v="23-05-2025"/>
    <s v="CUST13301"/>
    <s v="Corporate"/>
    <s v="Gujarat"/>
    <x v="3"/>
    <x v="4"/>
    <s v="Fitness Band"/>
    <s v="1"/>
    <s v="5657.35"/>
    <n v="0.2"/>
    <s v="4512.79"/>
    <s v="13.09"/>
    <x v="3"/>
    <x v="0"/>
    <s v="Marketplace"/>
    <n v="4525.88"/>
  </r>
  <r>
    <s v="ORD102442"/>
    <x v="7"/>
    <s v="25-05-2025"/>
    <s v="CUST12788"/>
    <s v="Home Office"/>
    <s v="Delhi"/>
    <x v="12"/>
    <x v="2"/>
    <s v="Jacket"/>
    <s v="1"/>
    <s v="711.04"/>
    <n v="0.05"/>
    <s v="395.46"/>
    <s v="280.02999999999997"/>
    <x v="0"/>
    <x v="0"/>
    <s v="Mobile App"/>
    <n v="675.48799999999903"/>
  </r>
  <r>
    <s v="ORD102443"/>
    <x v="9"/>
    <s v="03-06-2025"/>
    <s v="CUST11166"/>
    <s v="Corporate"/>
    <s v="West Bengal"/>
    <x v="9"/>
    <x v="2"/>
    <s v="Handbag"/>
    <s v="1"/>
    <s v="6467.02"/>
    <n v="0.15"/>
    <s v="5148.22"/>
    <s v="348.75"/>
    <x v="1"/>
    <x v="0"/>
    <s v="Marketplace"/>
    <n v="5496.9669999999996"/>
  </r>
  <r>
    <s v="ORD102446"/>
    <x v="2"/>
    <s v="13-12-2025"/>
    <s v="CUST13425"/>
    <s v="Corporate"/>
    <s v="Kerala"/>
    <x v="5"/>
    <x v="0"/>
    <s v="Smartphone"/>
    <s v="1"/>
    <s v="33904.129999999997"/>
    <n v="0.05"/>
    <s v="23700.3"/>
    <s v="8508.6200000000008"/>
    <x v="3"/>
    <x v="0"/>
    <s v="Mobile App"/>
    <n v="32208.923499999899"/>
  </r>
  <r>
    <s v="ORD102447"/>
    <x v="7"/>
    <s v="14-05-2025"/>
    <s v="CUST12201"/>
    <s v="Consumer"/>
    <s v="Delhi"/>
    <x v="12"/>
    <x v="0"/>
    <s v="Laptop"/>
    <s v="1"/>
    <s v="29183.38"/>
    <n v="0.05"/>
    <s v="20990.57"/>
    <s v="6733.64"/>
    <x v="1"/>
    <x v="0"/>
    <s v="Mobile App"/>
    <n v="27724.210999999999"/>
  </r>
  <r>
    <s v="ORD102449"/>
    <x v="1"/>
    <s v="19-02-2025"/>
    <s v="CUST12451"/>
    <s v="Home Office"/>
    <s v="Kerala"/>
    <x v="15"/>
    <x v="0"/>
    <s v="Headphones"/>
    <s v="2"/>
    <s v="20523.61"/>
    <n v="0.15"/>
    <s v="27281.360000000001"/>
    <s v="7608.78"/>
    <x v="0"/>
    <x v="0"/>
    <s v="Mobile App"/>
    <n v="34890.137000000002"/>
  </r>
  <r>
    <s v="ORD102450"/>
    <x v="2"/>
    <s v="31-12-2025"/>
    <s v="CUST12189"/>
    <s v="Home Office"/>
    <s v="Gujarat"/>
    <x v="10"/>
    <x v="2"/>
    <s v="T-Shirt"/>
    <s v="2"/>
    <s v="6804.44"/>
    <n v="0.2"/>
    <s v="8920.0300000000007"/>
    <s v="1967.07"/>
    <x v="3"/>
    <x v="0"/>
    <s v="Marketplace"/>
    <n v="10887.103999999999"/>
  </r>
  <r>
    <s v="ORD102453"/>
    <x v="8"/>
    <s v="29-08-2025"/>
    <s v="CUST10904"/>
    <s v="Corporate"/>
    <s v="Tamil Nadu"/>
    <x v="13"/>
    <x v="4"/>
    <s v="Running Shoes"/>
    <s v="3"/>
    <s v="5749.86"/>
    <n v="0.05"/>
    <s v="11207.62"/>
    <s v="5179.4799999999996"/>
    <x v="0"/>
    <x v="0"/>
    <s v="Website"/>
    <n v="16387.100999999999"/>
  </r>
  <r>
    <s v="ORD102454"/>
    <x v="4"/>
    <s v="21-04-2025"/>
    <s v="CUST11377"/>
    <s v="Home Office"/>
    <s v="West Bengal"/>
    <x v="0"/>
    <x v="0"/>
    <s v="Smartphone"/>
    <s v="1"/>
    <s v="60834.81"/>
    <n v="0.1"/>
    <s v="49027.54"/>
    <s v="5723.79"/>
    <x v="0"/>
    <x v="0"/>
    <s v="Mobile App"/>
    <n v="54751.328999999998"/>
  </r>
  <r>
    <s v="ORD102457"/>
    <x v="3"/>
    <s v="16-03-2025"/>
    <s v="CUST12348"/>
    <s v="Consumer"/>
    <s v="Maharashtra"/>
    <x v="21"/>
    <x v="0"/>
    <s v="Smartphone"/>
    <s v="1"/>
    <s v="30999.48"/>
    <n v="0.15"/>
    <s v="19859.48"/>
    <s v="6490.08"/>
    <x v="0"/>
    <x v="0"/>
    <s v="Website"/>
    <n v="26349.557999999899"/>
  </r>
  <r>
    <s v="ORD102458"/>
    <x v="1"/>
    <s v="28-02-2025"/>
    <s v="CUST12559"/>
    <s v="Home Office"/>
    <s v="Kerala"/>
    <x v="5"/>
    <x v="2"/>
    <s v="Handbag"/>
    <s v="1"/>
    <s v="4235.6400000000003"/>
    <n v="0.05"/>
    <s v="2663.92"/>
    <s v="1359.94"/>
    <x v="3"/>
    <x v="3"/>
    <s v="Mobile App"/>
    <n v="4023.8580000000002"/>
  </r>
  <r>
    <s v="ORD102461"/>
    <x v="10"/>
    <s v="28-11-2025"/>
    <s v="CUST12520"/>
    <s v="Home Office"/>
    <s v="Gujarat"/>
    <x v="18"/>
    <x v="3"/>
    <s v="Coffee Maker"/>
    <s v="2"/>
    <s v="2283.41"/>
    <n v="0.05"/>
    <s v="3676.43"/>
    <s v="662.05"/>
    <x v="2"/>
    <x v="0"/>
    <s v="Website"/>
    <n v="4338.4789999999903"/>
  </r>
  <r>
    <s v="ORD102462"/>
    <x v="8"/>
    <s v="13-08-2025"/>
    <s v="CUST10468"/>
    <s v="Consumer"/>
    <s v="Karnataka"/>
    <x v="17"/>
    <x v="4"/>
    <s v="Yoga Mat"/>
    <s v="3"/>
    <s v="3733.05"/>
    <n v="0.1"/>
    <s v="7623.69"/>
    <s v="2455.5500000000002"/>
    <x v="5"/>
    <x v="0"/>
    <s v="Marketplace"/>
    <n v="10079.235000000001"/>
  </r>
  <r>
    <s v="ORD102464"/>
    <x v="1"/>
    <s v="21-02-2025"/>
    <s v="CUST12427"/>
    <s v="Consumer"/>
    <s v="Karnataka"/>
    <x v="17"/>
    <x v="0"/>
    <s v="Smartwatch"/>
    <s v="2"/>
    <s v="20461.72"/>
    <n v="0.1"/>
    <s v="32155.33"/>
    <s v="4675.7700000000004"/>
    <x v="1"/>
    <x v="0"/>
    <s v="Website"/>
    <n v="36831.095999999998"/>
  </r>
  <r>
    <s v="ORD102466"/>
    <x v="10"/>
    <s v="30-11-2025"/>
    <s v="CUST13174"/>
    <s v="Consumer"/>
    <s v="Tamil Nadu"/>
    <x v="8"/>
    <x v="3"/>
    <s v="Vacuum Cleaner"/>
    <s v="1"/>
    <s v="17685.52"/>
    <n v="0.15"/>
    <s v="11987.9"/>
    <s v="3044.79"/>
    <x v="3"/>
    <x v="2"/>
    <s v="Website"/>
    <n v="15032.691999999999"/>
  </r>
  <r>
    <s v="ORD102467"/>
    <x v="7"/>
    <s v="18-05-2025"/>
    <s v="CUST11371"/>
    <s v="Home Office"/>
    <s v="Telangana"/>
    <x v="16"/>
    <x v="0"/>
    <s v="Laptop"/>
    <s v="1"/>
    <s v="41750.33"/>
    <n v="0.15"/>
    <s v="24794.2"/>
    <s v="10693.58"/>
    <x v="0"/>
    <x v="0"/>
    <s v="Mobile App"/>
    <n v="35487.780500000001"/>
  </r>
  <r>
    <s v="ORD102468"/>
    <x v="2"/>
    <s v="13-12-2025"/>
    <s v="CUST12770"/>
    <s v="Home Office"/>
    <s v="Karnataka"/>
    <x v="22"/>
    <x v="0"/>
    <s v="Smartphone"/>
    <s v="1"/>
    <s v="32169.31"/>
    <n v="0"/>
    <s v="22247.279999999999"/>
    <s v="9922.0300000000007"/>
    <x v="1"/>
    <x v="0"/>
    <s v="Mobile App"/>
    <n v="32169.31"/>
  </r>
  <r>
    <s v="ORD102469"/>
    <x v="2"/>
    <s v="18-12-2025"/>
    <s v="CUST12260"/>
    <s v="Consumer"/>
    <s v="Maharashtra"/>
    <x v="21"/>
    <x v="1"/>
    <s v="Shampoo"/>
    <s v="3"/>
    <s v="450.92"/>
    <n v="0.1"/>
    <s v="790.39"/>
    <s v="427.09"/>
    <x v="1"/>
    <x v="2"/>
    <s v="Marketplace"/>
    <n v="1217.4839999999999"/>
  </r>
  <r>
    <s v="ORD102472"/>
    <x v="1"/>
    <s v="27-02-2025"/>
    <s v="CUST13083"/>
    <s v="Home Office"/>
    <s v="Gujarat"/>
    <x v="3"/>
    <x v="0"/>
    <s v="Laptop"/>
    <s v="2"/>
    <s v="39762.03"/>
    <n v="0.05"/>
    <s v="60446.89"/>
    <s v="15100.97"/>
    <x v="2"/>
    <x v="0"/>
    <s v="Mobile App"/>
    <n v="75547.856999999902"/>
  </r>
  <r>
    <s v="ORD102475"/>
    <x v="3"/>
    <s v="29-03-2025"/>
    <s v="CUST12863"/>
    <s v="Home Office"/>
    <s v="Maharashtra"/>
    <x v="21"/>
    <x v="2"/>
    <s v="Jacket"/>
    <s v="3"/>
    <s v="4933.08"/>
    <n v="0.05"/>
    <s v="11151.46"/>
    <s v="2907.82"/>
    <x v="1"/>
    <x v="0"/>
    <s v="Website"/>
    <n v="14059.2779999999"/>
  </r>
  <r>
    <s v="ORD102476"/>
    <x v="11"/>
    <s v="23-10-2025"/>
    <s v="CUST13289"/>
    <s v="Consumer"/>
    <s v="Kerala"/>
    <x v="6"/>
    <x v="0"/>
    <s v="Laptop"/>
    <s v="1"/>
    <s v="67632.479999999996"/>
    <n v="0.1"/>
    <s v="43647.86"/>
    <s v="17221.37"/>
    <x v="0"/>
    <x v="0"/>
    <s v="Website"/>
    <n v="60869.231999999902"/>
  </r>
  <r>
    <s v="ORD102478"/>
    <x v="7"/>
    <s v="07-05-2025"/>
    <s v="CUST10681"/>
    <s v="Corporate"/>
    <s v="Telangana"/>
    <x v="16"/>
    <x v="2"/>
    <s v="Coffee Maker"/>
    <s v="2"/>
    <s v="6835.85"/>
    <n v="0.2"/>
    <s v="7723.47"/>
    <s v="3213.89"/>
    <x v="1"/>
    <x v="0"/>
    <s v="Website"/>
    <n v="10937.36"/>
  </r>
  <r>
    <s v="ORD102480"/>
    <x v="4"/>
    <s v="30-04-2025"/>
    <s v="CUST10602"/>
    <s v="Consumer"/>
    <s v="Maharashtra"/>
    <x v="20"/>
    <x v="3"/>
    <s v="Vacuum Cleaner"/>
    <s v="1"/>
    <s v="11986.19"/>
    <n v="0.15"/>
    <s v="8982.2800000000007"/>
    <s v="1205.98"/>
    <x v="5"/>
    <x v="0"/>
    <s v="Website"/>
    <n v="10188.261500000001"/>
  </r>
  <r>
    <s v="ORD102481"/>
    <x v="4"/>
    <s v="02-04-2025"/>
    <s v="CUST13078"/>
    <s v="Consumer"/>
    <s v="Kerala"/>
    <x v="6"/>
    <x v="0"/>
    <s v="Tablet"/>
    <s v="1"/>
    <s v="19502.669999999998"/>
    <n v="0.1"/>
    <s v="13442.73"/>
    <s v="4109.67"/>
    <x v="2"/>
    <x v="2"/>
    <s v="Marketplace"/>
    <n v="17552.402999999998"/>
  </r>
  <r>
    <s v="ORD102485"/>
    <x v="1"/>
    <s v="02-02-2025"/>
    <s v="CUST12176"/>
    <s v="Corporate"/>
    <s v="Telangana"/>
    <x v="14"/>
    <x v="2"/>
    <s v="Handbag"/>
    <s v="1"/>
    <s v="531.08000000000004"/>
    <n v="0"/>
    <s v="405.42"/>
    <s v="125.66"/>
    <x v="1"/>
    <x v="0"/>
    <s v="Marketplace"/>
    <n v="531.08000000000004"/>
  </r>
  <r>
    <s v="ORD102487"/>
    <x v="11"/>
    <s v="05-10-2025"/>
    <s v="CUST12967"/>
    <s v="Consumer"/>
    <s v="Telangana"/>
    <x v="16"/>
    <x v="3"/>
    <s v="Cookware Set"/>
    <s v="2"/>
    <s v="6953.64"/>
    <n v="0.1"/>
    <s v="8265.34"/>
    <s v="4251.21"/>
    <x v="0"/>
    <x v="0"/>
    <s v="Marketplace"/>
    <n v="12516.552"/>
  </r>
  <r>
    <s v="ORD102490"/>
    <x v="9"/>
    <s v="17-06-2025"/>
    <s v="CUST13261"/>
    <s v="Corporate"/>
    <s v="Maharashtra"/>
    <x v="21"/>
    <x v="1"/>
    <s v="Lipstick"/>
    <s v="1"/>
    <s v="2177.6"/>
    <n v="0.05"/>
    <s v="1268.55"/>
    <s v="800.17"/>
    <x v="2"/>
    <x v="0"/>
    <s v="Marketplace"/>
    <n v="2068.7199999999998"/>
  </r>
  <r>
    <s v="ORD102492"/>
    <x v="10"/>
    <s v="25-11-2025"/>
    <s v="CUST13360"/>
    <s v="Corporate"/>
    <s v="Delhi"/>
    <x v="7"/>
    <x v="2"/>
    <s v="T-Shirt"/>
    <s v="1"/>
    <s v="4259.91"/>
    <n v="0"/>
    <s v="3464.32"/>
    <s v="795.59"/>
    <x v="3"/>
    <x v="3"/>
    <s v="Mobile App"/>
    <n v="4259.91"/>
  </r>
  <r>
    <s v="ORD102493"/>
    <x v="3"/>
    <s v="29-03-2025"/>
    <s v="CUST13006"/>
    <s v="Consumer"/>
    <s v="Tamil Nadu"/>
    <x v="13"/>
    <x v="2"/>
    <s v="Handbag"/>
    <s v="3"/>
    <s v="4208.62"/>
    <n v="0"/>
    <s v="7132.72"/>
    <s v="5493.14"/>
    <x v="2"/>
    <x v="0"/>
    <s v="Mobile App"/>
    <n v="12625.86"/>
  </r>
  <r>
    <s v="ORD102494"/>
    <x v="8"/>
    <s v="01-08-2025"/>
    <s v="CUST11510"/>
    <s v="Consumer"/>
    <s v="Maharashtra"/>
    <x v="21"/>
    <x v="0"/>
    <s v="Tablet"/>
    <s v="1"/>
    <s v="32297.27"/>
    <n v="0.1"/>
    <s v="20646.740000000002"/>
    <s v="8420.7999999999993"/>
    <x v="3"/>
    <x v="2"/>
    <s v="Mobile App"/>
    <n v="29067.543000000001"/>
  </r>
  <r>
    <s v="ORD102495"/>
    <x v="11"/>
    <s v="15-10-2025"/>
    <s v="CUST12366"/>
    <s v="Consumer"/>
    <s v="Gujarat"/>
    <x v="10"/>
    <x v="3"/>
    <s v="Coffee Maker"/>
    <s v="3"/>
    <s v="1861.71"/>
    <n v="0"/>
    <s v="3075.97"/>
    <s v="2509.16"/>
    <x v="0"/>
    <x v="0"/>
    <s v="Marketplace"/>
    <n v="5585.13"/>
  </r>
  <r>
    <s v="ORD102496"/>
    <x v="2"/>
    <s v="28-12-2025"/>
    <s v="CUST13020"/>
    <s v="Consumer"/>
    <s v="Delhi"/>
    <x v="7"/>
    <x v="0"/>
    <s v="Headphones"/>
    <s v="1"/>
    <s v="31658.55"/>
    <n v="0.1"/>
    <s v="21430.67"/>
    <s v="7062.03"/>
    <x v="0"/>
    <x v="0"/>
    <s v="Website"/>
    <n v="28492.695"/>
  </r>
  <r>
    <s v="ORD102498"/>
    <x v="7"/>
    <s v="25-05-2025"/>
    <s v="CUST11947"/>
    <s v="Consumer"/>
    <s v="West Bengal"/>
    <x v="9"/>
    <x v="2"/>
    <s v="Jacket"/>
    <s v="2"/>
    <s v="673.07"/>
    <n v="0.2"/>
    <s v="757.76"/>
    <s v="319.14999999999998"/>
    <x v="2"/>
    <x v="1"/>
    <s v="Marketplace"/>
    <n v="1076.912"/>
  </r>
  <r>
    <s v="ORD102499"/>
    <x v="10"/>
    <s v="07-11-2025"/>
    <s v="CUST13440"/>
    <s v="Consumer"/>
    <s v="Gujarat"/>
    <x v="18"/>
    <x v="3"/>
    <s v="Coffee Maker"/>
    <s v="2"/>
    <s v="6862.78"/>
    <n v="0.2"/>
    <s v="10214.700000000001"/>
    <s v="765.75"/>
    <x v="1"/>
    <x v="0"/>
    <s v="Marketplace"/>
    <n v="10980.448"/>
  </r>
  <r>
    <s v="ORD102500"/>
    <x v="3"/>
    <s v="07-03-2025"/>
    <s v="CUST12192"/>
    <s v="Corporate"/>
    <s v="Tamil Nadu"/>
    <x v="19"/>
    <x v="2"/>
    <s v="T-Shirt"/>
    <s v="3"/>
    <s v="4742.6400000000003"/>
    <n v="0"/>
    <s v="10262.44"/>
    <s v="3965.48"/>
    <x v="5"/>
    <x v="0"/>
    <s v="Website"/>
    <n v="14227.92"/>
  </r>
  <r>
    <s v="ORD102501"/>
    <x v="11"/>
    <s v="26-10-2025"/>
    <s v="CUST11667"/>
    <s v="Corporate"/>
    <s v="Telangana"/>
    <x v="16"/>
    <x v="4"/>
    <s v="Yoga Mat"/>
    <s v="1"/>
    <s v="4460.25"/>
    <n v="0.05"/>
    <s v="3606.48"/>
    <s v="630.76"/>
    <x v="1"/>
    <x v="0"/>
    <s v="Mobile App"/>
    <n v="4237.2375000000002"/>
  </r>
  <r>
    <s v="ORD102503"/>
    <x v="8"/>
    <s v="16-08-2025"/>
    <s v="CUST12174"/>
    <s v="Home Office"/>
    <s v="Maharashtra"/>
    <x v="4"/>
    <x v="1"/>
    <s v="Shampoo"/>
    <s v="1"/>
    <s v="2200.77"/>
    <n v="0"/>
    <s v="1548.02"/>
    <s v="652.75"/>
    <x v="1"/>
    <x v="0"/>
    <s v="Mobile App"/>
    <n v="2200.77"/>
  </r>
  <r>
    <s v="ORD102504"/>
    <x v="2"/>
    <s v="16-12-2025"/>
    <s v="CUST11982"/>
    <s v="Consumer"/>
    <s v="Maharashtra"/>
    <x v="21"/>
    <x v="2"/>
    <s v="Jacket"/>
    <s v="1"/>
    <s v="4672.26"/>
    <n v="0.1"/>
    <s v="2776.2"/>
    <s v="1428.83"/>
    <x v="3"/>
    <x v="0"/>
    <s v="Marketplace"/>
    <n v="4205.0339999999997"/>
  </r>
  <r>
    <s v="ORD102505"/>
    <x v="0"/>
    <s v="01-01-2025"/>
    <s v="CUST11903"/>
    <s v="Consumer"/>
    <s v="Tamil Nadu"/>
    <x v="13"/>
    <x v="0"/>
    <s v="Tablet"/>
    <s v="3"/>
    <s v="21508.080000000002"/>
    <n v="0.1"/>
    <s v="40397.199999999997"/>
    <s v="17674.62"/>
    <x v="0"/>
    <x v="0"/>
    <s v="Mobile App"/>
    <n v="58071.815999999999"/>
  </r>
  <r>
    <s v="ORD102507"/>
    <x v="7"/>
    <s v="17-05-2025"/>
    <s v="CUST12013"/>
    <s v="Home Office"/>
    <s v="Delhi"/>
    <x v="7"/>
    <x v="1"/>
    <s v="Perfume"/>
    <s v="3"/>
    <s v="2110.88"/>
    <n v="0"/>
    <s v="3823.39"/>
    <s v="2509.25"/>
    <x v="3"/>
    <x v="1"/>
    <s v="Marketplace"/>
    <n v="6332.64"/>
  </r>
  <r>
    <s v="ORD102509"/>
    <x v="9"/>
    <s v="12-06-2025"/>
    <s v="CUST12130"/>
    <s v="Home Office"/>
    <s v="West Bengal"/>
    <x v="0"/>
    <x v="2"/>
    <s v="Sneakers"/>
    <s v="1"/>
    <s v="1395.85"/>
    <n v="0.1"/>
    <s v="782.56"/>
    <s v="473.7"/>
    <x v="2"/>
    <x v="0"/>
    <s v="Website"/>
    <n v="1256.2649999999901"/>
  </r>
  <r>
    <s v="ORD102510"/>
    <x v="0"/>
    <s v="25-01-2025"/>
    <s v="CUST13490"/>
    <s v="Home Office"/>
    <s v="Karnataka"/>
    <x v="17"/>
    <x v="0"/>
    <s v="Smartphone"/>
    <s v="3"/>
    <s v="43904.87"/>
    <n v="0"/>
    <s v="85740.46"/>
    <s v="45974.15"/>
    <x v="2"/>
    <x v="0"/>
    <s v="Website"/>
    <n v="131714.60999999999"/>
  </r>
  <r>
    <s v="ORD102512"/>
    <x v="11"/>
    <s v="07-10-2025"/>
    <s v="CUST10593"/>
    <s v="Corporate"/>
    <s v="Maharashtra"/>
    <x v="20"/>
    <x v="4"/>
    <s v="Yoga Mat"/>
    <s v="3"/>
    <s v="8619.5499999999993"/>
    <n v="0.05"/>
    <s v="20839.54"/>
    <s v="3726.18"/>
    <x v="2"/>
    <x v="0"/>
    <s v="Marketplace"/>
    <n v="24565.717499999901"/>
  </r>
  <r>
    <s v="ORD102513"/>
    <x v="0"/>
    <s v="12-01-2025"/>
    <s v="CUST12458"/>
    <s v="Home Office"/>
    <s v="Karnataka"/>
    <x v="17"/>
    <x v="0"/>
    <s v="Smartphone"/>
    <s v="1"/>
    <s v="68595.75"/>
    <n v="0.05"/>
    <s v="39048.199999999997"/>
    <s v="26117.759999999998"/>
    <x v="0"/>
    <x v="0"/>
    <s v="Mobile App"/>
    <n v="65165.9624999999"/>
  </r>
  <r>
    <s v="ORD102514"/>
    <x v="4"/>
    <s v="18-04-2025"/>
    <s v="CUST12224"/>
    <s v="Home Office"/>
    <s v="Tamil Nadu"/>
    <x v="19"/>
    <x v="3"/>
    <s v="Mixer Grinder"/>
    <s v="1"/>
    <s v="12672.78"/>
    <n v="0.05"/>
    <s v="8898.15"/>
    <s v="3140.99"/>
    <x v="1"/>
    <x v="0"/>
    <s v="Website"/>
    <n v="12039.141"/>
  </r>
  <r>
    <s v="ORD102515"/>
    <x v="9"/>
    <s v="24-06-2025"/>
    <s v="CUST10155"/>
    <s v="Corporate"/>
    <s v="Telangana"/>
    <x v="14"/>
    <x v="2"/>
    <s v="Sneakers"/>
    <s v="4"/>
    <s v="3184.4"/>
    <n v="0.05"/>
    <s v="8590.23"/>
    <s v="3510.49"/>
    <x v="2"/>
    <x v="0"/>
    <s v="Marketplace"/>
    <n v="12100.72"/>
  </r>
  <r>
    <s v="ORD102518"/>
    <x v="6"/>
    <s v="26-07-2025"/>
    <s v="CUST10222"/>
    <s v="Corporate"/>
    <s v="Telangana"/>
    <x v="14"/>
    <x v="1"/>
    <s v="Face Cream"/>
    <s v="1"/>
    <s v="4241.25"/>
    <n v="0"/>
    <s v="3197.22"/>
    <s v="1044.03"/>
    <x v="2"/>
    <x v="0"/>
    <s v="Mobile App"/>
    <n v="4241.25"/>
  </r>
  <r>
    <s v="ORD102523"/>
    <x v="4"/>
    <s v="22-04-2025"/>
    <s v="CUST11773"/>
    <s v="Home Office"/>
    <s v="Karnataka"/>
    <x v="22"/>
    <x v="4"/>
    <s v="Yoga Mat"/>
    <s v="1"/>
    <s v="10426.24"/>
    <n v="0.15"/>
    <s v="5833.03"/>
    <s v="3029.27"/>
    <x v="3"/>
    <x v="0"/>
    <s v="Marketplace"/>
    <n v="8862.3040000000001"/>
  </r>
  <r>
    <s v="ORD102524"/>
    <x v="1"/>
    <s v="18-02-2025"/>
    <s v="CUST10670"/>
    <s v="Corporate"/>
    <s v="Maharashtra"/>
    <x v="4"/>
    <x v="0"/>
    <s v="Laptop"/>
    <s v="2"/>
    <s v="22580.6"/>
    <n v="0.1"/>
    <s v="34609.86"/>
    <s v="6035.22"/>
    <x v="3"/>
    <x v="0"/>
    <s v="Marketplace"/>
    <n v="40645.08"/>
  </r>
  <r>
    <s v="ORD102532"/>
    <x v="9"/>
    <s v="18-06-2025"/>
    <s v="CUST11855"/>
    <s v="Corporate"/>
    <s v="Tamil Nadu"/>
    <x v="11"/>
    <x v="0"/>
    <s v="Smartphone"/>
    <s v="4"/>
    <s v="64121.91"/>
    <n v="0"/>
    <s v="187266.11"/>
    <s v="69221.53"/>
    <x v="1"/>
    <x v="0"/>
    <s v="Marketplace"/>
    <n v="256487.64"/>
  </r>
  <r>
    <s v="ORD102533"/>
    <x v="2"/>
    <s v="02-12-2025"/>
    <s v="CUST11821"/>
    <s v="Corporate"/>
    <s v="Delhi"/>
    <x v="7"/>
    <x v="2"/>
    <s v="Jeans"/>
    <s v="1"/>
    <s v="1684.31"/>
    <n v="0.05"/>
    <s v="1109.9100000000001"/>
    <s v="490.18"/>
    <x v="0"/>
    <x v="3"/>
    <s v="Mobile App"/>
    <n v="1600.0944999999999"/>
  </r>
  <r>
    <s v="ORD102538"/>
    <x v="10"/>
    <s v="25-11-2025"/>
    <s v="CUST11740"/>
    <s v="Consumer"/>
    <s v="Gujarat"/>
    <x v="18"/>
    <x v="4"/>
    <s v="Yoga Mat"/>
    <s v="2"/>
    <s v="8662.2000000000007"/>
    <n v="0.1"/>
    <s v="11031.12"/>
    <s v="4560.84"/>
    <x v="2"/>
    <x v="0"/>
    <s v="Website"/>
    <n v="15591.96"/>
  </r>
  <r>
    <s v="ORD102540"/>
    <x v="7"/>
    <s v="23-05-2025"/>
    <s v="CUST11660"/>
    <s v="Home Office"/>
    <s v="Kerala"/>
    <x v="6"/>
    <x v="4"/>
    <s v="Fitness Band"/>
    <s v="3"/>
    <s v="2539.4299999999998"/>
    <n v="0"/>
    <s v="5313.87"/>
    <s v="2304.42"/>
    <x v="0"/>
    <x v="0"/>
    <s v="Mobile App"/>
    <n v="7618.28999999999"/>
  </r>
  <r>
    <s v="ORD102542"/>
    <x v="3"/>
    <s v="29-03-2025"/>
    <s v="CUST10313"/>
    <s v="Home Office"/>
    <s v="Maharashtra"/>
    <x v="21"/>
    <x v="2"/>
    <s v="Sneakers"/>
    <s v="1"/>
    <s v="666.55"/>
    <n v="0.1"/>
    <s v="447.98"/>
    <s v="151.91999999999999"/>
    <x v="5"/>
    <x v="0"/>
    <s v="Mobile App"/>
    <n v="599.89499999999998"/>
  </r>
  <r>
    <s v="ORD102544"/>
    <x v="11"/>
    <s v="03-10-2025"/>
    <s v="CUST12441"/>
    <s v="Corporate"/>
    <s v="Telangana"/>
    <x v="14"/>
    <x v="0"/>
    <s v="Smartwatch"/>
    <s v="2"/>
    <s v="15153.98"/>
    <n v="0.05"/>
    <s v="19541.22"/>
    <s v="9251.34"/>
    <x v="0"/>
    <x v="2"/>
    <s v="Marketplace"/>
    <n v="28792.5619999999"/>
  </r>
  <r>
    <s v="ORD102547"/>
    <x v="6"/>
    <s v="21-07-2025"/>
    <s v="CUST12391"/>
    <s v="Corporate"/>
    <s v="Gujarat"/>
    <x v="18"/>
    <x v="0"/>
    <s v="Smartwatch"/>
    <s v="2"/>
    <s v="30939.22"/>
    <n v="0.1"/>
    <s v="44297.9"/>
    <s v="11392.7"/>
    <x v="1"/>
    <x v="2"/>
    <s v="Marketplace"/>
    <n v="55690.595999999998"/>
  </r>
  <r>
    <s v="ORD102548"/>
    <x v="9"/>
    <s v="08-06-2025"/>
    <s v="CUST12668"/>
    <s v="Home Office"/>
    <s v="Maharashtra"/>
    <x v="20"/>
    <x v="1"/>
    <s v="Perfume"/>
    <s v="1"/>
    <s v="4600.13"/>
    <n v="0"/>
    <s v="3607.13"/>
    <s v="993"/>
    <x v="0"/>
    <x v="0"/>
    <s v="Mobile App"/>
    <n v="4600.13"/>
  </r>
  <r>
    <s v="ORD102549"/>
    <x v="6"/>
    <s v="17-07-2025"/>
    <s v="CUST11937"/>
    <s v="Corporate"/>
    <s v="Kerala"/>
    <x v="6"/>
    <x v="1"/>
    <s v="Hair Dryer"/>
    <s v="1"/>
    <s v="5371.55"/>
    <n v="0.05"/>
    <s v="3314.92"/>
    <s v="1788.05"/>
    <x v="0"/>
    <x v="0"/>
    <s v="Website"/>
    <n v="5102.9724999999999"/>
  </r>
  <r>
    <s v="ORD102550"/>
    <x v="0"/>
    <s v="12-01-2025"/>
    <s v="CUST13485"/>
    <s v="Home Office"/>
    <s v="Maharashtra"/>
    <x v="21"/>
    <x v="2"/>
    <s v="Jacket"/>
    <s v="1"/>
    <s v="423.17"/>
    <n v="0"/>
    <s v="321.55"/>
    <s v="101.62"/>
    <x v="2"/>
    <x v="0"/>
    <s v="Website"/>
    <n v="423.17"/>
  </r>
  <r>
    <s v="ORD102552"/>
    <x v="11"/>
    <s v="19-10-2025"/>
    <s v="CUST10643"/>
    <s v="Consumer"/>
    <s v="Delhi"/>
    <x v="7"/>
    <x v="4"/>
    <s v="Fitness Band"/>
    <s v="1"/>
    <s v="2844.47"/>
    <n v="0"/>
    <s v="2047.42"/>
    <s v="797.05"/>
    <x v="3"/>
    <x v="0"/>
    <s v="Mobile App"/>
    <n v="2844.47"/>
  </r>
  <r>
    <s v="ORD102554"/>
    <x v="0"/>
    <s v="18-01-2025"/>
    <s v="CUST11048"/>
    <s v="Corporate"/>
    <s v="Karnataka"/>
    <x v="2"/>
    <x v="2"/>
    <s v="Sneakers"/>
    <s v="2"/>
    <s v="3013"/>
    <n v="0.1"/>
    <s v="4866.21"/>
    <s v="557.19000000000005"/>
    <x v="0"/>
    <x v="0"/>
    <s v="Mobile App"/>
    <n v="5423.4"/>
  </r>
  <r>
    <s v="ORD102556"/>
    <x v="2"/>
    <s v="13-12-2025"/>
    <s v="CUST12800"/>
    <s v="Corporate"/>
    <s v="Tamil Nadu"/>
    <x v="13"/>
    <x v="0"/>
    <s v="Smartwatch"/>
    <s v="2"/>
    <s v="60210.33"/>
    <n v="0"/>
    <s v="72546.509999999995"/>
    <s v="47874.15"/>
    <x v="2"/>
    <x v="0"/>
    <s v="Marketplace"/>
    <n v="120420.66"/>
  </r>
  <r>
    <s v="ORD102559"/>
    <x v="2"/>
    <s v="07-12-2025"/>
    <s v="CUST12809"/>
    <s v="Corporate"/>
    <s v="Telangana"/>
    <x v="14"/>
    <x v="3"/>
    <s v="Air Fryer"/>
    <s v="1"/>
    <s v="9041.7999999999993"/>
    <n v="0.05"/>
    <s v="6387.2"/>
    <s v="2202.5100000000002"/>
    <x v="2"/>
    <x v="0"/>
    <s v="Mobile App"/>
    <n v="8589.7099999999991"/>
  </r>
  <r>
    <s v="ORD102560"/>
    <x v="9"/>
    <s v="15-06-2025"/>
    <s v="CUST11440"/>
    <s v="Home Office"/>
    <s v="Tamil Nadu"/>
    <x v="19"/>
    <x v="2"/>
    <s v="Jacket"/>
    <s v="2"/>
    <s v="1543.02"/>
    <n v="0"/>
    <s v="2035.3"/>
    <s v="1050.74"/>
    <x v="0"/>
    <x v="0"/>
    <s v="Marketplace"/>
    <n v="3086.04"/>
  </r>
  <r>
    <s v="ORD102561"/>
    <x v="7"/>
    <s v="29-05-2025"/>
    <s v="CUST10518"/>
    <s v="Consumer"/>
    <s v="Karnataka"/>
    <x v="17"/>
    <x v="3"/>
    <s v="Mixer Grinder"/>
    <s v="2"/>
    <s v="8760.64"/>
    <n v="0.1"/>
    <s v="14364.11"/>
    <s v="1405.04"/>
    <x v="3"/>
    <x v="0"/>
    <s v="Marketplace"/>
    <n v="15769.152"/>
  </r>
  <r>
    <s v="ORD102562"/>
    <x v="2"/>
    <s v="12-12-2025"/>
    <s v="CUST12150"/>
    <s v="Corporate"/>
    <s v="Delhi"/>
    <x v="7"/>
    <x v="4"/>
    <s v="Running Shoes"/>
    <s v="3"/>
    <s v="622.16"/>
    <n v="0.05"/>
    <s v="1095.51"/>
    <s v="677.65"/>
    <x v="5"/>
    <x v="0"/>
    <s v="Website"/>
    <n v="1773.1559999999999"/>
  </r>
  <r>
    <s v="ORD102563"/>
    <x v="2"/>
    <s v="17-12-2025"/>
    <s v="CUST13167"/>
    <s v="Home Office"/>
    <s v="Tamil Nadu"/>
    <x v="19"/>
    <x v="2"/>
    <s v="Jacket"/>
    <s v="1"/>
    <s v="750.62"/>
    <n v="0.05"/>
    <s v="530.61"/>
    <s v="182.48"/>
    <x v="3"/>
    <x v="0"/>
    <s v="Mobile App"/>
    <n v="713.08899999999903"/>
  </r>
  <r>
    <s v="ORD102564"/>
    <x v="6"/>
    <s v="28-07-2025"/>
    <s v="CUST13409"/>
    <s v="Home Office"/>
    <s v="Tamil Nadu"/>
    <x v="13"/>
    <x v="3"/>
    <s v="Air Fryer"/>
    <s v="1"/>
    <s v="13995.66"/>
    <n v="0.1"/>
    <s v="8856.1200000000008"/>
    <s v="3739.97"/>
    <x v="3"/>
    <x v="0"/>
    <s v="Mobile App"/>
    <n v="12596.093999999999"/>
  </r>
  <r>
    <s v="ORD102566"/>
    <x v="4"/>
    <s v="14-04-2025"/>
    <s v="CUST11095"/>
    <s v="Corporate"/>
    <s v="Karnataka"/>
    <x v="17"/>
    <x v="0"/>
    <s v="Smartwatch"/>
    <s v="2"/>
    <s v="5938.89"/>
    <n v="0.1"/>
    <s v="7531.87"/>
    <s v="3158.13"/>
    <x v="0"/>
    <x v="0"/>
    <s v="Mobile App"/>
    <n v="10690.002"/>
  </r>
  <r>
    <s v="ORD102567"/>
    <x v="6"/>
    <s v="13-07-2025"/>
    <s v="CUST13458"/>
    <s v="Corporate"/>
    <s v="Maharashtra"/>
    <x v="4"/>
    <x v="0"/>
    <s v="Smartwatch"/>
    <s v="1"/>
    <s v="23846.58"/>
    <n v="0.1"/>
    <s v="14983"/>
    <s v="6478.92"/>
    <x v="0"/>
    <x v="0"/>
    <s v="Website"/>
    <n v="21461.921999999999"/>
  </r>
  <r>
    <s v="ORD102568"/>
    <x v="11"/>
    <s v="11-10-2025"/>
    <s v="CUST13053"/>
    <s v="Consumer"/>
    <s v="Karnataka"/>
    <x v="2"/>
    <x v="0"/>
    <s v="Laptop"/>
    <s v="1"/>
    <s v="71560.19"/>
    <n v="0"/>
    <s v="51509.88"/>
    <s v="20050.310000000001"/>
    <x v="5"/>
    <x v="0"/>
    <s v="Website"/>
    <n v="71560.19"/>
  </r>
  <r>
    <s v="ORD102571"/>
    <x v="6"/>
    <s v="04-07-2025"/>
    <s v="CUST12287"/>
    <s v="Consumer"/>
    <s v="Tamil Nadu"/>
    <x v="8"/>
    <x v="0"/>
    <s v="Smartphone"/>
    <s v="1"/>
    <s v="64372.72"/>
    <n v="0.1"/>
    <s v="42514.47"/>
    <s v="15420.98"/>
    <x v="3"/>
    <x v="0"/>
    <s v="Marketplace"/>
    <n v="57935.447999999997"/>
  </r>
  <r>
    <s v="ORD102573"/>
    <x v="8"/>
    <s v="06-08-2025"/>
    <s v="CUST12097"/>
    <s v="Home Office"/>
    <s v="Kerala"/>
    <x v="6"/>
    <x v="0"/>
    <s v="Smartwatch"/>
    <s v="2"/>
    <s v="61169.41"/>
    <n v="0.05"/>
    <s v="91258.59"/>
    <s v="24963.29"/>
    <x v="1"/>
    <x v="1"/>
    <s v="Website"/>
    <n v="116221.879"/>
  </r>
  <r>
    <s v="ORD102574"/>
    <x v="11"/>
    <s v="15-10-2025"/>
    <s v="CUST13378"/>
    <s v="Corporate"/>
    <s v="Telangana"/>
    <x v="14"/>
    <x v="2"/>
    <s v="Handbag"/>
    <s v="2"/>
    <s v="2501.1799999999998"/>
    <n v="0.1"/>
    <s v="3094.55"/>
    <s v="1407.57"/>
    <x v="1"/>
    <x v="0"/>
    <s v="Marketplace"/>
    <n v="4502.1239999999998"/>
  </r>
  <r>
    <s v="ORD102575"/>
    <x v="0"/>
    <s v="24-01-2025"/>
    <s v="CUST13422"/>
    <s v="Consumer"/>
    <s v="Maharashtra"/>
    <x v="20"/>
    <x v="1"/>
    <s v="Perfume"/>
    <s v="3"/>
    <s v="2119.35"/>
    <n v="0.1"/>
    <s v="4903.07"/>
    <s v="819.17"/>
    <x v="0"/>
    <x v="0"/>
    <s v="Marketplace"/>
    <n v="5722.2449999999999"/>
  </r>
  <r>
    <s v="ORD102576"/>
    <x v="8"/>
    <s v="16-08-2025"/>
    <s v="CUST10161"/>
    <s v="Home Office"/>
    <s v="West Bengal"/>
    <x v="9"/>
    <x v="3"/>
    <s v="Mixer Grinder"/>
    <s v="1"/>
    <s v="2285.79"/>
    <n v="0.15"/>
    <s v="1787.91"/>
    <s v="155.01"/>
    <x v="2"/>
    <x v="0"/>
    <s v="Website"/>
    <n v="1942.9214999999999"/>
  </r>
  <r>
    <s v="ORD102579"/>
    <x v="9"/>
    <s v="21-06-2025"/>
    <s v="CUST12857"/>
    <s v="Home Office"/>
    <s v="West Bengal"/>
    <x v="0"/>
    <x v="1"/>
    <s v="Perfume"/>
    <s v="1"/>
    <s v="4970.87"/>
    <n v="0.05"/>
    <s v="3421.02"/>
    <s v="1301.31"/>
    <x v="5"/>
    <x v="0"/>
    <s v="Marketplace"/>
    <n v="4722.3265000000001"/>
  </r>
  <r>
    <s v="ORD102581"/>
    <x v="4"/>
    <s v="02-04-2025"/>
    <s v="CUST12420"/>
    <s v="Consumer"/>
    <s v="Gujarat"/>
    <x v="10"/>
    <x v="3"/>
    <s v="Coffee Maker"/>
    <s v="1"/>
    <s v="841.62"/>
    <n v="0.1"/>
    <s v="485.44"/>
    <s v="272.02"/>
    <x v="5"/>
    <x v="0"/>
    <s v="Mobile App"/>
    <n v="757.45799999999997"/>
  </r>
  <r>
    <s v="ORD102583"/>
    <x v="5"/>
    <s v="22-09-2025"/>
    <s v="CUST11418"/>
    <s v="Corporate"/>
    <s v="West Bengal"/>
    <x v="9"/>
    <x v="2"/>
    <s v="Handbag"/>
    <s v="1"/>
    <s v="6312.36"/>
    <n v="0.05"/>
    <s v="4405.3"/>
    <s v="1591.44"/>
    <x v="5"/>
    <x v="2"/>
    <s v="Marketplace"/>
    <n v="5996.7419999999902"/>
  </r>
  <r>
    <s v="ORD102584"/>
    <x v="6"/>
    <s v="16-07-2025"/>
    <s v="CUST12816"/>
    <s v="Consumer"/>
    <s v="Delhi"/>
    <x v="12"/>
    <x v="2"/>
    <s v="Jacket"/>
    <s v="1"/>
    <s v="2485.04"/>
    <n v="0"/>
    <s v="1568.31"/>
    <s v="916.73"/>
    <x v="5"/>
    <x v="0"/>
    <s v="Website"/>
    <n v="2485.04"/>
  </r>
  <r>
    <s v="ORD102585"/>
    <x v="0"/>
    <s v="30-01-2025"/>
    <s v="CUST11930"/>
    <s v="Consumer"/>
    <s v="Karnataka"/>
    <x v="2"/>
    <x v="0"/>
    <s v="Smartwatch"/>
    <s v="1"/>
    <s v="38772.910000000003"/>
    <n v="0.15"/>
    <s v="26726.2"/>
    <s v="6230.77"/>
    <x v="5"/>
    <x v="0"/>
    <s v="Marketplace"/>
    <n v="32956.9735"/>
  </r>
  <r>
    <s v="ORD102587"/>
    <x v="8"/>
    <s v="25-08-2025"/>
    <s v="CUST12423"/>
    <s v="Corporate"/>
    <s v="Gujarat"/>
    <x v="18"/>
    <x v="4"/>
    <s v="Fitness Band"/>
    <s v="4"/>
    <s v="5233.51"/>
    <n v="0"/>
    <s v="15969.23"/>
    <s v="4964.8100000000004"/>
    <x v="3"/>
    <x v="1"/>
    <s v="Website"/>
    <n v="20934.04"/>
  </r>
  <r>
    <s v="ORD102588"/>
    <x v="6"/>
    <s v="25-07-2025"/>
    <s v="CUST12580"/>
    <s v="Home Office"/>
    <s v="Delhi"/>
    <x v="12"/>
    <x v="0"/>
    <s v="Smartwatch"/>
    <s v="2"/>
    <s v="18494.71"/>
    <n v="0"/>
    <s v="26555.75"/>
    <s v="10433.67"/>
    <x v="1"/>
    <x v="0"/>
    <s v="Marketplace"/>
    <n v="36989.42"/>
  </r>
  <r>
    <s v="ORD102590"/>
    <x v="2"/>
    <s v="03-12-2025"/>
    <s v="CUST11156"/>
    <s v="Corporate"/>
    <s v="Kerala"/>
    <x v="6"/>
    <x v="2"/>
    <s v="T-Shirt"/>
    <s v="1"/>
    <s v="6058.13"/>
    <n v="0.15"/>
    <s v="3615.04"/>
    <s v="1534.37"/>
    <x v="1"/>
    <x v="0"/>
    <s v="Website"/>
    <n v="5149.4105"/>
  </r>
  <r>
    <s v="ORD102591"/>
    <x v="1"/>
    <s v="01-02-2025"/>
    <s v="CUST11314"/>
    <s v="Corporate"/>
    <s v="Kerala"/>
    <x v="6"/>
    <x v="1"/>
    <s v="Face Cream"/>
    <s v="1"/>
    <s v="2353.58"/>
    <n v="0.05"/>
    <s v="1573.18"/>
    <s v="662.72"/>
    <x v="2"/>
    <x v="0"/>
    <s v="Website"/>
    <n v="2235.9009999999998"/>
  </r>
  <r>
    <s v="ORD102594"/>
    <x v="9"/>
    <s v="10-06-2025"/>
    <s v="CUST12989"/>
    <s v="Home Office"/>
    <s v="Gujarat"/>
    <x v="3"/>
    <x v="0"/>
    <s v="Smartphone"/>
    <s v="2"/>
    <s v="43653"/>
    <n v="0.2"/>
    <s v="48509.62"/>
    <s v="21335.18"/>
    <x v="2"/>
    <x v="0"/>
    <s v="Mobile App"/>
    <n v="69844.800000000003"/>
  </r>
  <r>
    <s v="ORD102598"/>
    <x v="2"/>
    <s v="27-12-2025"/>
    <s v="CUST10549"/>
    <s v="Consumer"/>
    <s v="Karnataka"/>
    <x v="17"/>
    <x v="3"/>
    <s v="Mixer Grinder"/>
    <s v="2"/>
    <s v="9613.7099999999991"/>
    <n v="0.05"/>
    <s v="11828.51"/>
    <s v="6437.54"/>
    <x v="5"/>
    <x v="0"/>
    <s v="Marketplace"/>
    <n v="18266.048999999999"/>
  </r>
  <r>
    <s v="ORD102599"/>
    <x v="0"/>
    <s v="10-01-2025"/>
    <s v="CUST11261"/>
    <s v="Home Office"/>
    <s v="Tamil Nadu"/>
    <x v="19"/>
    <x v="4"/>
    <s v="Football"/>
    <s v="1"/>
    <s v="1822.52"/>
    <n v="0.15"/>
    <s v="1409.16"/>
    <s v="139.97999999999999"/>
    <x v="3"/>
    <x v="3"/>
    <s v="Website"/>
    <n v="1549.1420000000001"/>
  </r>
  <r>
    <s v="ORD102600"/>
    <x v="9"/>
    <s v="08-06-2025"/>
    <s v="CUST13112"/>
    <s v="Home Office"/>
    <s v="Kerala"/>
    <x v="6"/>
    <x v="3"/>
    <s v="Mixer Grinder"/>
    <s v="1"/>
    <s v="17148.66"/>
    <n v="0"/>
    <s v="13259.33"/>
    <s v="3889.33"/>
    <x v="5"/>
    <x v="0"/>
    <s v="Website"/>
    <n v="17148.66"/>
  </r>
  <r>
    <s v="ORD102602"/>
    <x v="2"/>
    <s v="29-12-2025"/>
    <s v="CUST11964"/>
    <s v="Home Office"/>
    <s v="Maharashtra"/>
    <x v="21"/>
    <x v="0"/>
    <s v="Laptop"/>
    <s v="1"/>
    <s v="10510.46"/>
    <n v="0.15"/>
    <s v="6109.93"/>
    <s v="2823.96"/>
    <x v="0"/>
    <x v="2"/>
    <s v="Marketplace"/>
    <n v="8933.8909999999996"/>
  </r>
  <r>
    <s v="ORD102603"/>
    <x v="0"/>
    <s v="06-01-2025"/>
    <s v="CUST12579"/>
    <s v="Home Office"/>
    <s v="Kerala"/>
    <x v="6"/>
    <x v="3"/>
    <s v="Air Fryer"/>
    <s v="1"/>
    <s v="1789.43"/>
    <n v="0.1"/>
    <s v="1167.43"/>
    <s v="443.06"/>
    <x v="0"/>
    <x v="0"/>
    <s v="Website"/>
    <n v="1610.4870000000001"/>
  </r>
  <r>
    <s v="ORD102604"/>
    <x v="3"/>
    <s v="07-03-2025"/>
    <s v="CUST10388"/>
    <s v="Home Office"/>
    <s v="West Bengal"/>
    <x v="9"/>
    <x v="3"/>
    <s v="Vacuum Cleaner"/>
    <s v="2"/>
    <s v="12162.63"/>
    <n v="0.1"/>
    <s v="17358.599999999999"/>
    <s v="4534.13"/>
    <x v="5"/>
    <x v="0"/>
    <s v="Website"/>
    <n v="21892.734"/>
  </r>
  <r>
    <s v="ORD102610"/>
    <x v="10"/>
    <s v="23-11-2025"/>
    <s v="CUST12498"/>
    <s v="Consumer"/>
    <s v="Maharashtra"/>
    <x v="21"/>
    <x v="1"/>
    <s v="Shampoo"/>
    <s v="1"/>
    <s v="2109.2800000000002"/>
    <n v="0.1"/>
    <s v="1372.09"/>
    <s v="526.26"/>
    <x v="3"/>
    <x v="0"/>
    <s v="Marketplace"/>
    <n v="1898.3520000000001"/>
  </r>
  <r>
    <s v="ORD102611"/>
    <x v="11"/>
    <s v="16-10-2025"/>
    <s v="CUST10828"/>
    <s v="Consumer"/>
    <s v="Gujarat"/>
    <x v="3"/>
    <x v="3"/>
    <s v="Air Fryer"/>
    <s v="1"/>
    <s v="8097.95"/>
    <n v="0.15"/>
    <s v="6393.76"/>
    <s v="489.5"/>
    <x v="3"/>
    <x v="0"/>
    <s v="Website"/>
    <n v="6883.2574999999997"/>
  </r>
  <r>
    <s v="ORD102615"/>
    <x v="4"/>
    <s v="07-04-2025"/>
    <s v="CUST10513"/>
    <s v="Corporate"/>
    <s v="Tamil Nadu"/>
    <x v="8"/>
    <x v="2"/>
    <s v="Handbag"/>
    <s v="1"/>
    <s v="479.04"/>
    <n v="0.05"/>
    <s v="295.89999999999998"/>
    <s v="159.19"/>
    <x v="3"/>
    <x v="0"/>
    <s v="Website"/>
    <n v="455.08800000000002"/>
  </r>
  <r>
    <s v="ORD102617"/>
    <x v="0"/>
    <s v="04-01-2025"/>
    <s v="CUST11315"/>
    <s v="Home Office"/>
    <s v="Maharashtra"/>
    <x v="21"/>
    <x v="3"/>
    <s v="Cookware Set"/>
    <s v="1"/>
    <s v="13162.04"/>
    <n v="0.05"/>
    <s v="9573.83"/>
    <s v="2930.11"/>
    <x v="1"/>
    <x v="1"/>
    <s v="Mobile App"/>
    <n v="12503.938"/>
  </r>
  <r>
    <s v="ORD102618"/>
    <x v="6"/>
    <s v="12-07-2025"/>
    <s v="CUST10508"/>
    <s v="Consumer"/>
    <s v="Telangana"/>
    <x v="14"/>
    <x v="0"/>
    <s v="Smartwatch"/>
    <s v="2"/>
    <s v="51782.28"/>
    <n v="0.1"/>
    <s v="80820.160000000003"/>
    <s v="12387.94"/>
    <x v="3"/>
    <x v="3"/>
    <s v="Marketplace"/>
    <n v="93208.104000000007"/>
  </r>
  <r>
    <s v="ORD102619"/>
    <x v="10"/>
    <s v="25-11-2025"/>
    <s v="CUST13471"/>
    <s v="Home Office"/>
    <s v="Karnataka"/>
    <x v="2"/>
    <x v="4"/>
    <s v="Football"/>
    <s v="1"/>
    <s v="10385.450000000001"/>
    <n v="0.05"/>
    <s v="7311.12"/>
    <s v="2555.06"/>
    <x v="1"/>
    <x v="3"/>
    <s v="Website"/>
    <n v="9866.1774999999998"/>
  </r>
  <r>
    <s v="ORD102621"/>
    <x v="10"/>
    <s v="27-11-2025"/>
    <s v="CUST12033"/>
    <s v="Home Office"/>
    <s v="Tamil Nadu"/>
    <x v="8"/>
    <x v="1"/>
    <s v="Lipstick"/>
    <s v="4"/>
    <s v="1871.53"/>
    <n v="0.05"/>
    <s v="5017.57"/>
    <s v="2094.2399999999998"/>
    <x v="0"/>
    <x v="1"/>
    <s v="Mobile App"/>
    <n v="7111.8139999999903"/>
  </r>
  <r>
    <s v="ORD102623"/>
    <x v="0"/>
    <s v="03-01-2025"/>
    <s v="CUST12294"/>
    <s v="Corporate"/>
    <s v="Kerala"/>
    <x v="5"/>
    <x v="3"/>
    <s v="Mixer Grinder"/>
    <s v="2"/>
    <s v="12446.02"/>
    <n v="0.15"/>
    <s v="20203.54"/>
    <s v="954.69"/>
    <x v="5"/>
    <x v="0"/>
    <s v="Mobile App"/>
    <n v="21158.234"/>
  </r>
  <r>
    <s v="ORD102624"/>
    <x v="10"/>
    <s v="07-11-2025"/>
    <s v="CUST11777"/>
    <s v="Consumer"/>
    <s v="Kerala"/>
    <x v="15"/>
    <x v="2"/>
    <s v="Handbag"/>
    <s v="1"/>
    <s v="4226.87"/>
    <n v="0.15"/>
    <s v="2979.52"/>
    <s v="613.32000000000005"/>
    <x v="1"/>
    <x v="0"/>
    <s v="Mobile App"/>
    <n v="3592.83949999999"/>
  </r>
  <r>
    <s v="ORD102626"/>
    <x v="10"/>
    <s v="21-11-2025"/>
    <s v="CUST13351"/>
    <s v="Home Office"/>
    <s v="Karnataka"/>
    <x v="17"/>
    <x v="0"/>
    <s v="Headphones"/>
    <s v="1"/>
    <s v="3936.28"/>
    <n v="0.1"/>
    <s v="2463.5"/>
    <s v="1079.1500000000001"/>
    <x v="2"/>
    <x v="0"/>
    <s v="Website"/>
    <n v="3542.652"/>
  </r>
  <r>
    <s v="ORD102627"/>
    <x v="4"/>
    <s v="21-04-2025"/>
    <s v="CUST10522"/>
    <s v="Consumer"/>
    <s v="West Bengal"/>
    <x v="9"/>
    <x v="3"/>
    <s v="Vacuum Cleaner"/>
    <s v="1"/>
    <s v="10343.790000000001"/>
    <n v="0.1"/>
    <s v="7017.42"/>
    <s v="2291.9899999999998"/>
    <x v="5"/>
    <x v="1"/>
    <s v="Website"/>
    <n v="9309.4110000000001"/>
  </r>
  <r>
    <s v="ORD102628"/>
    <x v="3"/>
    <s v="05-03-2025"/>
    <s v="CUST10741"/>
    <s v="Corporate"/>
    <s v="Maharashtra"/>
    <x v="20"/>
    <x v="4"/>
    <s v="Yoga Mat"/>
    <s v="2"/>
    <s v="3525.89"/>
    <n v="0.1"/>
    <s v="4503.32"/>
    <s v="1843.28"/>
    <x v="0"/>
    <x v="0"/>
    <s v="Marketplace"/>
    <n v="6346.6019999999999"/>
  </r>
  <r>
    <s v="ORD102631"/>
    <x v="9"/>
    <s v="03-06-2025"/>
    <s v="CUST13242"/>
    <s v="Home Office"/>
    <s v="Tamil Nadu"/>
    <x v="19"/>
    <x v="1"/>
    <s v="Shampoo"/>
    <s v="4"/>
    <s v="3931.35"/>
    <n v="0"/>
    <s v="8936.7000000000007"/>
    <s v="6788.7"/>
    <x v="5"/>
    <x v="0"/>
    <s v="Mobile App"/>
    <n v="15725.4"/>
  </r>
  <r>
    <s v="ORD102632"/>
    <x v="7"/>
    <s v="31-05-2025"/>
    <s v="CUST12525"/>
    <s v="Corporate"/>
    <s v="Gujarat"/>
    <x v="10"/>
    <x v="0"/>
    <s v="Laptop"/>
    <s v="3"/>
    <s v="66540.92"/>
    <n v="0.1"/>
    <s v="162940.28"/>
    <s v="16720.2"/>
    <x v="5"/>
    <x v="0"/>
    <s v="Mobile App"/>
    <n v="179660.484"/>
  </r>
  <r>
    <s v="ORD102633"/>
    <x v="8"/>
    <s v="21-08-2025"/>
    <s v="CUST11681"/>
    <s v="Corporate"/>
    <s v="Tamil Nadu"/>
    <x v="13"/>
    <x v="2"/>
    <s v="Jacket"/>
    <s v="4"/>
    <s v="3219.88"/>
    <n v="0.05"/>
    <s v="7563.17"/>
    <s v="4672.37"/>
    <x v="3"/>
    <x v="0"/>
    <s v="Website"/>
    <n v="12235.544"/>
  </r>
  <r>
    <s v="ORD102635"/>
    <x v="7"/>
    <s v="14-05-2025"/>
    <s v="CUST13258"/>
    <s v="Corporate"/>
    <s v="Kerala"/>
    <x v="6"/>
    <x v="3"/>
    <s v="Cookware Set"/>
    <s v="1"/>
    <s v="10507.55"/>
    <n v="0.2"/>
    <s v="7605.6"/>
    <s v="800.44"/>
    <x v="5"/>
    <x v="1"/>
    <s v="Website"/>
    <n v="8406.03999999999"/>
  </r>
  <r>
    <s v="ORD102636"/>
    <x v="9"/>
    <s v="09-06-2025"/>
    <s v="CUST12170"/>
    <s v="Consumer"/>
    <s v="West Bengal"/>
    <x v="9"/>
    <x v="0"/>
    <s v="Laptop"/>
    <s v="1"/>
    <s v="49359.91"/>
    <n v="0.2"/>
    <s v="30897.16"/>
    <s v="8590.77"/>
    <x v="3"/>
    <x v="0"/>
    <s v="Mobile App"/>
    <n v="39487.928"/>
  </r>
  <r>
    <s v="ORD102637"/>
    <x v="10"/>
    <s v="15-11-2025"/>
    <s v="CUST11617"/>
    <s v="Consumer"/>
    <s v="Maharashtra"/>
    <x v="20"/>
    <x v="1"/>
    <s v="Perfume"/>
    <s v="1"/>
    <s v="4509.63"/>
    <n v="0.05"/>
    <s v="3397.11"/>
    <s v="887.04"/>
    <x v="3"/>
    <x v="0"/>
    <s v="Website"/>
    <n v="4284.1485000000002"/>
  </r>
  <r>
    <s v="ORD102639"/>
    <x v="8"/>
    <s v="06-08-2025"/>
    <s v="CUST10569"/>
    <s v="Home Office"/>
    <s v="Delhi"/>
    <x v="7"/>
    <x v="0"/>
    <s v="Tablet"/>
    <s v="1"/>
    <s v="63388.73"/>
    <n v="0.1"/>
    <s v="51297.8"/>
    <s v="5752.06"/>
    <x v="2"/>
    <x v="0"/>
    <s v="Marketplace"/>
    <n v="57049.857000000004"/>
  </r>
  <r>
    <s v="ORD102640"/>
    <x v="1"/>
    <s v="18-02-2025"/>
    <s v="CUST10447"/>
    <s v="Corporate"/>
    <s v="Gujarat"/>
    <x v="3"/>
    <x v="0"/>
    <s v="Headphones"/>
    <s v="2"/>
    <s v="31600.59"/>
    <n v="0.05"/>
    <s v="47717.8"/>
    <s v="12323.32"/>
    <x v="2"/>
    <x v="3"/>
    <s v="Website"/>
    <n v="60041.120999999999"/>
  </r>
  <r>
    <s v="ORD102644"/>
    <x v="8"/>
    <s v="31-08-2025"/>
    <s v="CUST11908"/>
    <s v="Consumer"/>
    <s v="Karnataka"/>
    <x v="17"/>
    <x v="4"/>
    <s v="Running Shoes"/>
    <s v="1"/>
    <s v="5463.9"/>
    <n v="0.1"/>
    <s v="3774.1"/>
    <s v="1143.4100000000001"/>
    <x v="5"/>
    <x v="0"/>
    <s v="Website"/>
    <n v="4917.51"/>
  </r>
  <r>
    <s v="ORD102645"/>
    <x v="5"/>
    <s v="08-09-2025"/>
    <s v="CUST11484"/>
    <s v="Corporate"/>
    <s v="Telangana"/>
    <x v="14"/>
    <x v="4"/>
    <s v="Fitness Band"/>
    <s v="2"/>
    <s v="4033.7"/>
    <n v="0.15"/>
    <s v="5436.99"/>
    <s v="1420.3"/>
    <x v="3"/>
    <x v="0"/>
    <s v="Marketplace"/>
    <n v="6857.29"/>
  </r>
  <r>
    <s v="ORD102646"/>
    <x v="4"/>
    <s v="30-04-2025"/>
    <s v="CUST10644"/>
    <s v="Corporate"/>
    <s v="Kerala"/>
    <x v="15"/>
    <x v="2"/>
    <s v="Sneakers"/>
    <s v="2"/>
    <s v="604.41"/>
    <n v="0.1"/>
    <s v="981.96"/>
    <s v="105.98"/>
    <x v="0"/>
    <x v="0"/>
    <s v="Mobile App"/>
    <n v="1087.9379999999901"/>
  </r>
  <r>
    <s v="ORD102647"/>
    <x v="2"/>
    <s v="08-12-2025"/>
    <s v="CUST10379"/>
    <s v="Corporate"/>
    <s v="Delhi"/>
    <x v="12"/>
    <x v="0"/>
    <s v="Laptop"/>
    <s v="1"/>
    <s v="15044.37"/>
    <n v="0.1"/>
    <s v="11695.07"/>
    <s v="1844.86"/>
    <x v="1"/>
    <x v="3"/>
    <s v="Marketplace"/>
    <n v="13539.933000000001"/>
  </r>
  <r>
    <s v="ORD102648"/>
    <x v="3"/>
    <s v="08-03-2025"/>
    <s v="CUST12868"/>
    <s v="Consumer"/>
    <s v="West Bengal"/>
    <x v="0"/>
    <x v="3"/>
    <s v="Cookware Set"/>
    <s v="1"/>
    <s v="9660.41"/>
    <n v="0.15"/>
    <s v="7424.77"/>
    <s v="786.58"/>
    <x v="2"/>
    <x v="0"/>
    <s v="Mobile App"/>
    <n v="8211.3485000000001"/>
  </r>
  <r>
    <s v="ORD102652"/>
    <x v="10"/>
    <s v="25-11-2025"/>
    <s v="CUST12830"/>
    <s v="Corporate"/>
    <s v="Maharashtra"/>
    <x v="20"/>
    <x v="3"/>
    <s v="Coffee Maker"/>
    <s v="1"/>
    <s v="17382.830000000002"/>
    <n v="0"/>
    <s v="10971"/>
    <s v="6411.83"/>
    <x v="2"/>
    <x v="0"/>
    <s v="Website"/>
    <n v="17382.830000000002"/>
  </r>
  <r>
    <s v="ORD102655"/>
    <x v="1"/>
    <s v="11-02-2025"/>
    <s v="CUST12796"/>
    <s v="Corporate"/>
    <s v="Gujarat"/>
    <x v="18"/>
    <x v="0"/>
    <s v="Tablet"/>
    <s v="4"/>
    <s v="37809.120000000003"/>
    <n v="0.05"/>
    <s v="91745.29"/>
    <s v="51929.37"/>
    <x v="1"/>
    <x v="0"/>
    <s v="Website"/>
    <n v="143674.65599999999"/>
  </r>
  <r>
    <s v="ORD102657"/>
    <x v="6"/>
    <s v="02-07-2025"/>
    <s v="CUST11429"/>
    <s v="Consumer"/>
    <s v="Maharashtra"/>
    <x v="4"/>
    <x v="2"/>
    <s v="Handbag"/>
    <s v="4"/>
    <s v="6134.38"/>
    <n v="0.1"/>
    <s v="15824.57"/>
    <s v="6259.2"/>
    <x v="5"/>
    <x v="2"/>
    <s v="Mobile App"/>
    <n v="22083.768"/>
  </r>
  <r>
    <s v="ORD102659"/>
    <x v="6"/>
    <s v="31-07-2025"/>
    <s v="CUST10978"/>
    <s v="Consumer"/>
    <s v="Gujarat"/>
    <x v="3"/>
    <x v="4"/>
    <s v="Fitness Band"/>
    <s v="2"/>
    <s v="4898.4799999999996"/>
    <n v="0.05"/>
    <s v="6319.23"/>
    <s v="2987.88"/>
    <x v="1"/>
    <x v="2"/>
    <s v="Website"/>
    <n v="9307.1119999999992"/>
  </r>
  <r>
    <s v="ORD102661"/>
    <x v="8"/>
    <s v="26-08-2025"/>
    <s v="CUST11006"/>
    <s v="Home Office"/>
    <s v="Telangana"/>
    <x v="14"/>
    <x v="0"/>
    <s v="Laptop"/>
    <s v="2"/>
    <s v="47201.97"/>
    <n v="0.05"/>
    <s v="65223.74"/>
    <s v="24460"/>
    <x v="0"/>
    <x v="0"/>
    <s v="Mobile App"/>
    <n v="89683.743000000002"/>
  </r>
  <r>
    <s v="ORD102662"/>
    <x v="0"/>
    <s v="09-01-2025"/>
    <s v="CUST10433"/>
    <s v="Consumer"/>
    <s v="Delhi"/>
    <x v="12"/>
    <x v="4"/>
    <s v="Football"/>
    <s v="1"/>
    <s v="5722.88"/>
    <n v="0.15"/>
    <s v="4512.33"/>
    <s v="352.12"/>
    <x v="5"/>
    <x v="0"/>
    <s v="Mobile App"/>
    <n v="4864.4480000000003"/>
  </r>
  <r>
    <s v="ORD102664"/>
    <x v="6"/>
    <s v="20-07-2025"/>
    <s v="CUST13171"/>
    <s v="Corporate"/>
    <s v="Gujarat"/>
    <x v="3"/>
    <x v="0"/>
    <s v="Smartwatch"/>
    <s v="2"/>
    <s v="27536.6"/>
    <n v="0.15"/>
    <s v="32168.18"/>
    <s v="14644.04"/>
    <x v="1"/>
    <x v="0"/>
    <s v="Mobile App"/>
    <n v="46812.219999999899"/>
  </r>
  <r>
    <s v="ORD102667"/>
    <x v="4"/>
    <s v="02-04-2025"/>
    <s v="CUST10747"/>
    <s v="Consumer"/>
    <s v="Gujarat"/>
    <x v="10"/>
    <x v="4"/>
    <s v="Fitness Band"/>
    <s v="1"/>
    <s v="2149.8000000000002"/>
    <n v="0.05"/>
    <s v="1689.34"/>
    <s v="352.97"/>
    <x v="3"/>
    <x v="2"/>
    <s v="Mobile App"/>
    <n v="2042.31"/>
  </r>
  <r>
    <s v="ORD102668"/>
    <x v="10"/>
    <s v="27-11-2025"/>
    <s v="CUST10858"/>
    <s v="Consumer"/>
    <s v="Gujarat"/>
    <x v="3"/>
    <x v="2"/>
    <s v="Sneakers"/>
    <s v="3"/>
    <s v="5573.12"/>
    <n v="0.1"/>
    <s v="10827.59"/>
    <s v="4219.83"/>
    <x v="2"/>
    <x v="2"/>
    <s v="Marketplace"/>
    <n v="15047.424000000001"/>
  </r>
  <r>
    <s v="ORD102669"/>
    <x v="10"/>
    <s v="07-11-2025"/>
    <s v="CUST10865"/>
    <s v="Consumer"/>
    <s v="West Bengal"/>
    <x v="0"/>
    <x v="2"/>
    <s v="Jeans"/>
    <s v="1"/>
    <s v="2104.7800000000002"/>
    <n v="0.2"/>
    <s v="1553.22"/>
    <s v="130.6"/>
    <x v="5"/>
    <x v="3"/>
    <s v="Marketplace"/>
    <n v="1683.8240000000001"/>
  </r>
  <r>
    <s v="ORD102673"/>
    <x v="11"/>
    <s v="29-10-2025"/>
    <s v="CUST11251"/>
    <s v="Consumer"/>
    <s v="Delhi"/>
    <x v="12"/>
    <x v="0"/>
    <s v="Headphones"/>
    <s v="4"/>
    <s v="11516.02"/>
    <n v="0.1"/>
    <s v="25863.29"/>
    <s v="15594.38"/>
    <x v="2"/>
    <x v="0"/>
    <s v="Mobile App"/>
    <n v="41457.671999999999"/>
  </r>
  <r>
    <s v="ORD102676"/>
    <x v="9"/>
    <s v="04-06-2025"/>
    <s v="CUST11099"/>
    <s v="Corporate"/>
    <s v="Kerala"/>
    <x v="5"/>
    <x v="4"/>
    <s v="Football"/>
    <s v="3"/>
    <s v="5568.75"/>
    <n v="0.05"/>
    <s v="11712.5"/>
    <s v="4158.4399999999996"/>
    <x v="5"/>
    <x v="0"/>
    <s v="Mobile App"/>
    <n v="15870.9375"/>
  </r>
  <r>
    <s v="ORD102678"/>
    <x v="6"/>
    <s v="05-07-2025"/>
    <s v="CUST12674"/>
    <s v="Corporate"/>
    <s v="Kerala"/>
    <x v="15"/>
    <x v="2"/>
    <s v="Jeans"/>
    <s v="1"/>
    <s v="374.46"/>
    <n v="0.05"/>
    <s v="236.44"/>
    <s v="119.3"/>
    <x v="2"/>
    <x v="2"/>
    <s v="Website"/>
    <n v="355.736999999999"/>
  </r>
  <r>
    <s v="ORD102679"/>
    <x v="1"/>
    <s v="28-02-2025"/>
    <s v="CUST12467"/>
    <s v="Home Office"/>
    <s v="Tamil Nadu"/>
    <x v="8"/>
    <x v="1"/>
    <s v="Perfume"/>
    <s v="1"/>
    <s v="1485.82"/>
    <n v="0.05"/>
    <s v="952.68"/>
    <s v="458.85"/>
    <x v="1"/>
    <x v="0"/>
    <s v="Website"/>
    <n v="1411.52899999999"/>
  </r>
  <r>
    <s v="ORD102682"/>
    <x v="8"/>
    <s v="03-08-2025"/>
    <s v="CUST11283"/>
    <s v="Corporate"/>
    <s v="Maharashtra"/>
    <x v="20"/>
    <x v="0"/>
    <s v="Laptop"/>
    <s v="1"/>
    <s v="21812.25"/>
    <n v="0.05"/>
    <s v="16239.18"/>
    <s v="4482.46"/>
    <x v="1"/>
    <x v="0"/>
    <s v="Mobile App"/>
    <n v="20721.637500000001"/>
  </r>
  <r>
    <s v="ORD102684"/>
    <x v="10"/>
    <s v="17-11-2025"/>
    <s v="CUST10458"/>
    <s v="Corporate"/>
    <s v="Kerala"/>
    <x v="15"/>
    <x v="0"/>
    <s v="Headphones"/>
    <s v="1"/>
    <s v="21380.51"/>
    <n v="0.15"/>
    <s v="15767.37"/>
    <s v="2406.06"/>
    <x v="0"/>
    <x v="0"/>
    <s v="Mobile App"/>
    <n v="18173.433499999999"/>
  </r>
  <r>
    <s v="ORD102687"/>
    <x v="7"/>
    <s v="18-05-2025"/>
    <s v="CUST13099"/>
    <s v="Home Office"/>
    <s v="Maharashtra"/>
    <x v="4"/>
    <x v="0"/>
    <s v="Smartphone"/>
    <s v="2"/>
    <s v="24495.14"/>
    <n v="0"/>
    <s v="29912.9"/>
    <s v="19077.38"/>
    <x v="5"/>
    <x v="2"/>
    <s v="Website"/>
    <n v="48990.28"/>
  </r>
  <r>
    <s v="ORD102688"/>
    <x v="1"/>
    <s v="23-02-2025"/>
    <s v="CUST12081"/>
    <s v="Home Office"/>
    <s v="Delhi"/>
    <x v="7"/>
    <x v="0"/>
    <s v="Laptop"/>
    <s v="1"/>
    <s v="23382.28"/>
    <n v="0.2"/>
    <s v="15186.35"/>
    <s v="3519.47"/>
    <x v="0"/>
    <x v="2"/>
    <s v="Mobile App"/>
    <n v="18705.824000000001"/>
  </r>
  <r>
    <s v="ORD102690"/>
    <x v="6"/>
    <s v="13-07-2025"/>
    <s v="CUST12133"/>
    <s v="Corporate"/>
    <s v="Maharashtra"/>
    <x v="20"/>
    <x v="3"/>
    <s v="Coffee Maker"/>
    <s v="2"/>
    <s v="14839.94"/>
    <n v="0"/>
    <s v="20872.759999999998"/>
    <s v="8807.1200000000008"/>
    <x v="0"/>
    <x v="0"/>
    <s v="Mobile App"/>
    <n v="29679.88"/>
  </r>
  <r>
    <s v="ORD102692"/>
    <x v="8"/>
    <s v="22-08-2025"/>
    <s v="CUST11108"/>
    <s v="Consumer"/>
    <s v="Karnataka"/>
    <x v="17"/>
    <x v="1"/>
    <s v="Lipstick"/>
    <s v="1"/>
    <s v="2645.16"/>
    <n v="0.1"/>
    <s v="1873.9"/>
    <s v="506.74"/>
    <x v="2"/>
    <x v="0"/>
    <s v="Website"/>
    <n v="2380.6439999999998"/>
  </r>
  <r>
    <s v="ORD102694"/>
    <x v="7"/>
    <s v="28-05-2025"/>
    <s v="CUST12910"/>
    <s v="Consumer"/>
    <s v="Kerala"/>
    <x v="5"/>
    <x v="4"/>
    <s v="Fitness Band"/>
    <s v="1"/>
    <s v="7621.36"/>
    <n v="0"/>
    <s v="5747.13"/>
    <s v="1874.23"/>
    <x v="3"/>
    <x v="0"/>
    <s v="Website"/>
    <n v="7621.36"/>
  </r>
  <r>
    <s v="ORD102695"/>
    <x v="6"/>
    <s v="10-07-2025"/>
    <s v="CUST11707"/>
    <s v="Consumer"/>
    <s v="Maharashtra"/>
    <x v="20"/>
    <x v="3"/>
    <s v="Air Fryer"/>
    <s v="2"/>
    <s v="5227.8900000000003"/>
    <n v="0.15"/>
    <s v="6474.83"/>
    <s v="2412.58"/>
    <x v="2"/>
    <x v="0"/>
    <s v="Website"/>
    <n v="8887.4130000000005"/>
  </r>
  <r>
    <s v="ORD102697"/>
    <x v="5"/>
    <s v="23-09-2025"/>
    <s v="CUST12715"/>
    <s v="Corporate"/>
    <s v="Delhi"/>
    <x v="12"/>
    <x v="0"/>
    <s v="Headphones"/>
    <s v="1"/>
    <s v="16446.96"/>
    <n v="0.1"/>
    <s v="11525"/>
    <s v="3277.26"/>
    <x v="3"/>
    <x v="0"/>
    <s v="Mobile App"/>
    <n v="14802.263999999999"/>
  </r>
  <r>
    <s v="ORD102698"/>
    <x v="2"/>
    <s v="21-12-2025"/>
    <s v="CUST11021"/>
    <s v="Corporate"/>
    <s v="Gujarat"/>
    <x v="18"/>
    <x v="4"/>
    <s v="Running Shoes"/>
    <s v="1"/>
    <s v="4115.6899999999996"/>
    <n v="0.05"/>
    <s v="3084.05"/>
    <s v="825.86"/>
    <x v="3"/>
    <x v="0"/>
    <s v="Mobile App"/>
    <n v="3909.9054999999898"/>
  </r>
  <r>
    <s v="ORD102699"/>
    <x v="1"/>
    <s v="28-02-2025"/>
    <s v="CUST11625"/>
    <s v="Consumer"/>
    <s v="Maharashtra"/>
    <x v="21"/>
    <x v="0"/>
    <s v="Headphones"/>
    <s v="4"/>
    <s v="55261.59"/>
    <n v="0.15"/>
    <s v="161522.99"/>
    <s v="26366.42"/>
    <x v="0"/>
    <x v="0"/>
    <s v="Mobile App"/>
    <n v="187889.40599999999"/>
  </r>
  <r>
    <s v="ORD102700"/>
    <x v="5"/>
    <s v="25-09-2025"/>
    <s v="CUST12534"/>
    <s v="Corporate"/>
    <s v="Karnataka"/>
    <x v="2"/>
    <x v="0"/>
    <s v="Headphones"/>
    <s v="2"/>
    <s v="37301.78"/>
    <n v="0.15"/>
    <s v="43465.02"/>
    <s v="19948.009999999998"/>
    <x v="2"/>
    <x v="0"/>
    <s v="Website"/>
    <n v="63413.025999999998"/>
  </r>
  <r>
    <s v="ORD102701"/>
    <x v="1"/>
    <s v="19-02-2025"/>
    <s v="CUST12753"/>
    <s v="Corporate"/>
    <s v="Karnataka"/>
    <x v="22"/>
    <x v="1"/>
    <s v="Perfume"/>
    <s v="1"/>
    <s v="4589.58"/>
    <n v="0.05"/>
    <s v="3068.31"/>
    <s v="1291.79"/>
    <x v="5"/>
    <x v="1"/>
    <s v="Mobile App"/>
    <n v="4360.1009999999997"/>
  </r>
  <r>
    <s v="ORD102703"/>
    <x v="3"/>
    <s v="02-03-2025"/>
    <s v="CUST12764"/>
    <s v="Consumer"/>
    <s v="Delhi"/>
    <x v="12"/>
    <x v="0"/>
    <s v="Tablet"/>
    <s v="2"/>
    <s v="1769.06"/>
    <n v="0.1"/>
    <s v="2747.34"/>
    <s v="436.97"/>
    <x v="3"/>
    <x v="0"/>
    <s v="Website"/>
    <n v="3184.308"/>
  </r>
  <r>
    <s v="ORD102704"/>
    <x v="3"/>
    <s v="03-03-2025"/>
    <s v="CUST12555"/>
    <s v="Corporate"/>
    <s v="Maharashtra"/>
    <x v="21"/>
    <x v="2"/>
    <s v="Sneakers"/>
    <s v="1"/>
    <s v="5790.6"/>
    <n v="0.1"/>
    <s v="3244.37"/>
    <s v="1967.17"/>
    <x v="0"/>
    <x v="0"/>
    <s v="Mobile App"/>
    <n v="5211.54"/>
  </r>
  <r>
    <s v="ORD102708"/>
    <x v="0"/>
    <s v="07-01-2025"/>
    <s v="CUST12126"/>
    <s v="Corporate"/>
    <s v="Telangana"/>
    <x v="14"/>
    <x v="3"/>
    <s v="Football"/>
    <s v="1"/>
    <s v="3853.32"/>
    <n v="0.15"/>
    <s v="2437.66"/>
    <s v="837.66"/>
    <x v="1"/>
    <x v="0"/>
    <s v="Website"/>
    <n v="3275.3220000000001"/>
  </r>
  <r>
    <s v="ORD102711"/>
    <x v="7"/>
    <s v="31-05-2025"/>
    <s v="CUST11180"/>
    <s v="Corporate"/>
    <s v="Gujarat"/>
    <x v="3"/>
    <x v="0"/>
    <s v="Laptop"/>
    <s v="4"/>
    <s v="13929.54"/>
    <n v="0.1"/>
    <s v="45378.29"/>
    <s v="4768.05"/>
    <x v="2"/>
    <x v="0"/>
    <s v="Mobile App"/>
    <n v="50146.343999999997"/>
  </r>
  <r>
    <s v="ORD102712"/>
    <x v="3"/>
    <s v="04-03-2025"/>
    <s v="CUST11622"/>
    <s v="Home Office"/>
    <s v="Karnataka"/>
    <x v="2"/>
    <x v="3"/>
    <s v="Vacuum Cleaner"/>
    <s v="3"/>
    <s v="3857"/>
    <n v="0"/>
    <s v="8319.7199999999993"/>
    <s v="3251.28"/>
    <x v="1"/>
    <x v="2"/>
    <s v="Website"/>
    <n v="11571"/>
  </r>
  <r>
    <s v="ORD102713"/>
    <x v="9"/>
    <s v="02-06-2025"/>
    <s v="CUST10539"/>
    <s v="Corporate"/>
    <s v="Telangana"/>
    <x v="16"/>
    <x v="1"/>
    <s v="Shampoo"/>
    <s v="2"/>
    <s v="2926.82"/>
    <n v="0.1"/>
    <s v="4128.62"/>
    <s v="1139.6600000000001"/>
    <x v="3"/>
    <x v="3"/>
    <s v="Mobile App"/>
    <n v="5268.2759999999998"/>
  </r>
  <r>
    <s v="ORD102714"/>
    <x v="7"/>
    <s v="03-05-2025"/>
    <s v="CUST11782"/>
    <s v="Consumer"/>
    <s v="Karnataka"/>
    <x v="2"/>
    <x v="2"/>
    <s v="Jeans"/>
    <s v="1"/>
    <s v="5440.33"/>
    <n v="0.1"/>
    <s v="3997.48"/>
    <s v="898.82"/>
    <x v="0"/>
    <x v="2"/>
    <s v="Marketplace"/>
    <n v="4896.2969999999996"/>
  </r>
  <r>
    <s v="ORD102716"/>
    <x v="7"/>
    <s v="06-05-2025"/>
    <s v="CUST11464"/>
    <s v="Corporate"/>
    <s v="Tamil Nadu"/>
    <x v="19"/>
    <x v="3"/>
    <s v="Cookware Set"/>
    <s v="1"/>
    <s v="11419.09"/>
    <n v="0.15"/>
    <s v="9015.52"/>
    <s v="690.71"/>
    <x v="3"/>
    <x v="3"/>
    <s v="Mobile App"/>
    <n v="9706.2265000000007"/>
  </r>
  <r>
    <s v="ORD102717"/>
    <x v="5"/>
    <s v="21-09-2025"/>
    <s v="CUST10692"/>
    <s v="Home Office"/>
    <s v="Tamil Nadu"/>
    <x v="11"/>
    <x v="4"/>
    <s v="Football"/>
    <s v="1"/>
    <s v="2506.92"/>
    <n v="0"/>
    <s v="1888.72"/>
    <s v="618.20000000000005"/>
    <x v="3"/>
    <x v="0"/>
    <s v="Website"/>
    <n v="2506.92"/>
  </r>
  <r>
    <s v="ORD102720"/>
    <x v="0"/>
    <s v="08-01-2025"/>
    <s v="CUST11453"/>
    <s v="Consumer"/>
    <s v="West Bengal"/>
    <x v="9"/>
    <x v="0"/>
    <s v="Smartwatch"/>
    <s v="2"/>
    <s v="12310.37"/>
    <n v="0.2"/>
    <s v="16602.63"/>
    <s v="3093.96"/>
    <x v="1"/>
    <x v="0"/>
    <s v="Marketplace"/>
    <n v="19696.592000000001"/>
  </r>
  <r>
    <s v="ORD102722"/>
    <x v="7"/>
    <s v="05-05-2025"/>
    <s v="CUST10191"/>
    <s v="Consumer"/>
    <s v="Maharashtra"/>
    <x v="4"/>
    <x v="3"/>
    <s v="Vacuum Cleaner"/>
    <s v="1"/>
    <s v="10706.14"/>
    <n v="0"/>
    <s v="8394.44"/>
    <s v="2311.6999999999998"/>
    <x v="0"/>
    <x v="0"/>
    <s v="Marketplace"/>
    <n v="10706.14"/>
  </r>
  <r>
    <s v="ORD102723"/>
    <x v="8"/>
    <s v="25-08-2025"/>
    <s v="CUST12964"/>
    <s v="Consumer"/>
    <s v="Telangana"/>
    <x v="14"/>
    <x v="1"/>
    <s v="Lipstick"/>
    <s v="2"/>
    <s v="2540.16"/>
    <n v="0.15"/>
    <s v="3857.78"/>
    <s v="460.49"/>
    <x v="0"/>
    <x v="0"/>
    <s v="Website"/>
    <n v="4318.2719999999999"/>
  </r>
  <r>
    <s v="ORD102726"/>
    <x v="11"/>
    <s v="20-10-2025"/>
    <s v="CUST12450"/>
    <s v="Consumer"/>
    <s v="Kerala"/>
    <x v="15"/>
    <x v="0"/>
    <s v="Smartwatch"/>
    <s v="1"/>
    <s v="16200.23"/>
    <n v="0.1"/>
    <s v="11805.62"/>
    <s v="2774.59"/>
    <x v="2"/>
    <x v="0"/>
    <s v="Website"/>
    <n v="14580.207"/>
  </r>
  <r>
    <s v="ORD102727"/>
    <x v="0"/>
    <s v="24-01-2025"/>
    <s v="CUST12005"/>
    <s v="Home Office"/>
    <s v="Telangana"/>
    <x v="16"/>
    <x v="3"/>
    <s v="Coffee Maker"/>
    <s v="1"/>
    <s v="3063.05"/>
    <n v="0.05"/>
    <s v="2179.52"/>
    <s v="730.38"/>
    <x v="1"/>
    <x v="3"/>
    <s v="Mobile App"/>
    <n v="2909.8975"/>
  </r>
  <r>
    <s v="ORD102732"/>
    <x v="6"/>
    <s v="14-07-2025"/>
    <s v="CUST11788"/>
    <s v="Corporate"/>
    <s v="Delhi"/>
    <x v="12"/>
    <x v="2"/>
    <s v="Handbag"/>
    <s v="2"/>
    <s v="5793.52"/>
    <n v="0.1"/>
    <s v="6859.29"/>
    <s v="3569.05"/>
    <x v="1"/>
    <x v="0"/>
    <s v="Marketplace"/>
    <n v="10428.335999999999"/>
  </r>
  <r>
    <s v="ORD102735"/>
    <x v="1"/>
    <s v="10-02-2025"/>
    <s v="CUST10035"/>
    <s v="Corporate"/>
    <s v="Telangana"/>
    <x v="14"/>
    <x v="0"/>
    <s v="Smartphone"/>
    <s v="1"/>
    <s v="42503.01"/>
    <n v="0.05"/>
    <s v="31383.33"/>
    <s v="8994.5300000000007"/>
    <x v="2"/>
    <x v="0"/>
    <s v="Website"/>
    <n v="40377.859499999999"/>
  </r>
  <r>
    <s v="ORD102736"/>
    <x v="0"/>
    <s v="08-01-2025"/>
    <s v="CUST10536"/>
    <s v="Consumer"/>
    <s v="Karnataka"/>
    <x v="2"/>
    <x v="0"/>
    <s v="Tablet"/>
    <s v="1"/>
    <s v="10095.51"/>
    <n v="0"/>
    <s v="7859.48"/>
    <s v="2236.0300000000002"/>
    <x v="1"/>
    <x v="2"/>
    <s v="Mobile App"/>
    <n v="10095.51"/>
  </r>
  <r>
    <s v="ORD102738"/>
    <x v="4"/>
    <s v="02-04-2025"/>
    <s v="CUST13486"/>
    <s v="Home Office"/>
    <s v="Kerala"/>
    <x v="5"/>
    <x v="0"/>
    <s v="Smartphone"/>
    <s v="3"/>
    <s v="22182"/>
    <n v="0.05"/>
    <s v="50272.99"/>
    <s v="12945.71"/>
    <x v="1"/>
    <x v="3"/>
    <s v="Website"/>
    <n v="63218.7"/>
  </r>
  <r>
    <s v="ORD102739"/>
    <x v="6"/>
    <s v="23-07-2025"/>
    <s v="CUST10856"/>
    <s v="Corporate"/>
    <s v="Telangana"/>
    <x v="16"/>
    <x v="2"/>
    <s v="Handbag"/>
    <s v="3"/>
    <s v="5877.6"/>
    <n v="0.2"/>
    <s v="13311.56"/>
    <s v="794.68"/>
    <x v="1"/>
    <x v="0"/>
    <s v="Mobile App"/>
    <n v="14106.24"/>
  </r>
  <r>
    <s v="ORD102740"/>
    <x v="10"/>
    <s v="20-11-2025"/>
    <s v="CUST12319"/>
    <s v="Home Office"/>
    <s v="Karnataka"/>
    <x v="2"/>
    <x v="2"/>
    <s v="Jacket"/>
    <s v="1"/>
    <s v="5053.4799999999996"/>
    <n v="0.2"/>
    <s v="3114.65"/>
    <s v="928.13"/>
    <x v="5"/>
    <x v="0"/>
    <s v="Marketplace"/>
    <n v="4042.7839999999901"/>
  </r>
  <r>
    <s v="ORD102744"/>
    <x v="3"/>
    <s v="22-03-2025"/>
    <s v="CUST11899"/>
    <s v="Home Office"/>
    <s v="Gujarat"/>
    <x v="18"/>
    <x v="0"/>
    <s v="Tablet"/>
    <s v="2"/>
    <s v="20681.259999999998"/>
    <n v="0.15"/>
    <s v="32526.03"/>
    <s v="2632.11"/>
    <x v="5"/>
    <x v="3"/>
    <s v="Marketplace"/>
    <n v="35158.142"/>
  </r>
  <r>
    <s v="ORD102745"/>
    <x v="10"/>
    <s v="06-11-2025"/>
    <s v="CUST11485"/>
    <s v="Home Office"/>
    <s v="Gujarat"/>
    <x v="3"/>
    <x v="0"/>
    <s v="Laptop"/>
    <s v="1"/>
    <s v="46090.09"/>
    <n v="0.2"/>
    <s v="30634.09"/>
    <s v="6237.98"/>
    <x v="2"/>
    <x v="0"/>
    <s v="Marketplace"/>
    <n v="36872.072"/>
  </r>
  <r>
    <s v="ORD102746"/>
    <x v="0"/>
    <s v="08-01-2025"/>
    <s v="CUST12431"/>
    <s v="Home Office"/>
    <s v="Gujarat"/>
    <x v="3"/>
    <x v="2"/>
    <s v="Handbag"/>
    <s v="1"/>
    <s v="3547.9"/>
    <n v="0"/>
    <s v="2724.25"/>
    <s v="823.65"/>
    <x v="3"/>
    <x v="0"/>
    <s v="Website"/>
    <n v="3547.9"/>
  </r>
  <r>
    <s v="ORD102747"/>
    <x v="11"/>
    <s v="01-10-2025"/>
    <s v="CUST10635"/>
    <s v="Home Office"/>
    <s v="Telangana"/>
    <x v="14"/>
    <x v="3"/>
    <s v="Cookware Set"/>
    <s v="2"/>
    <s v="14835.55"/>
    <n v="0.1"/>
    <s v="18225.060000000001"/>
    <s v="8478.93"/>
    <x v="2"/>
    <x v="0"/>
    <s v="Marketplace"/>
    <n v="26703.9899999999"/>
  </r>
  <r>
    <s v="ORD102749"/>
    <x v="3"/>
    <s v="21-03-2025"/>
    <s v="CUST10233"/>
    <s v="Corporate"/>
    <s v="Gujarat"/>
    <x v="18"/>
    <x v="2"/>
    <s v="Jeans"/>
    <s v="1"/>
    <s v="2918.85"/>
    <n v="0.1"/>
    <s v="1893.68"/>
    <s v="733.28"/>
    <x v="3"/>
    <x v="3"/>
    <s v="Marketplace"/>
    <n v="2626.9650000000001"/>
  </r>
  <r>
    <s v="ORD102750"/>
    <x v="8"/>
    <s v="22-08-2025"/>
    <s v="CUST12916"/>
    <s v="Consumer"/>
    <s v="Karnataka"/>
    <x v="22"/>
    <x v="0"/>
    <s v="Smartwatch"/>
    <s v="1"/>
    <s v="2295.89"/>
    <n v="0.15"/>
    <s v="1334.09"/>
    <s v="617.41999999999996"/>
    <x v="2"/>
    <x v="0"/>
    <s v="Mobile App"/>
    <n v="1951.50649999999"/>
  </r>
  <r>
    <s v="ORD102751"/>
    <x v="5"/>
    <s v="30-09-2025"/>
    <s v="CUST10225"/>
    <s v="Home Office"/>
    <s v="Tamil Nadu"/>
    <x v="13"/>
    <x v="1"/>
    <s v="Shampoo"/>
    <s v="3"/>
    <s v="5171.75"/>
    <n v="0.05"/>
    <s v="10431.379999999999"/>
    <s v="4308.1099999999997"/>
    <x v="1"/>
    <x v="2"/>
    <s v="Mobile App"/>
    <n v="14739.487499999999"/>
  </r>
  <r>
    <s v="ORD102754"/>
    <x v="11"/>
    <s v="09-10-2025"/>
    <s v="CUST10526"/>
    <s v="Corporate"/>
    <s v="Tamil Nadu"/>
    <x v="11"/>
    <x v="2"/>
    <s v="Sneakers"/>
    <s v="2"/>
    <s v="6228.5"/>
    <n v="0"/>
    <s v="7450.52"/>
    <s v="5006.4799999999996"/>
    <x v="5"/>
    <x v="0"/>
    <s v="Mobile App"/>
    <n v="12457"/>
  </r>
  <r>
    <s v="ORD102755"/>
    <x v="7"/>
    <s v="20-05-2025"/>
    <s v="CUST10620"/>
    <s v="Corporate"/>
    <s v="Karnataka"/>
    <x v="17"/>
    <x v="2"/>
    <s v="Jacket"/>
    <s v="1"/>
    <s v="6381.65"/>
    <n v="0.15"/>
    <s v="4305.34"/>
    <s v="1119.06"/>
    <x v="2"/>
    <x v="0"/>
    <s v="Marketplace"/>
    <n v="5424.4024999999901"/>
  </r>
  <r>
    <s v="ORD102757"/>
    <x v="3"/>
    <s v="28-03-2025"/>
    <s v="CUST12029"/>
    <s v="Corporate"/>
    <s v="Telangana"/>
    <x v="16"/>
    <x v="4"/>
    <s v="Yoga Mat"/>
    <s v="2"/>
    <s v="1434.43"/>
    <n v="0.15"/>
    <s v="2167.4499999999998"/>
    <s v="271.08"/>
    <x v="0"/>
    <x v="3"/>
    <s v="Mobile App"/>
    <n v="2438.5309999999999"/>
  </r>
  <r>
    <s v="ORD102759"/>
    <x v="10"/>
    <s v="23-11-2025"/>
    <s v="CUST10930"/>
    <s v="Consumer"/>
    <s v="Kerala"/>
    <x v="5"/>
    <x v="0"/>
    <s v="Tablet"/>
    <s v="1"/>
    <s v="45832.02"/>
    <n v="0.15"/>
    <s v="30571.38"/>
    <s v="8385.84"/>
    <x v="0"/>
    <x v="0"/>
    <s v="Mobile App"/>
    <n v="38957.216999999997"/>
  </r>
  <r>
    <s v="ORD102763"/>
    <x v="11"/>
    <s v="19-10-2025"/>
    <s v="CUST12872"/>
    <s v="Consumer"/>
    <s v="Karnataka"/>
    <x v="17"/>
    <x v="2"/>
    <s v="Sneakers"/>
    <s v="1"/>
    <s v="4203.74"/>
    <n v="0.05"/>
    <s v="2622.73"/>
    <s v="1370.82"/>
    <x v="5"/>
    <x v="0"/>
    <s v="Mobile App"/>
    <n v="3993.5529999999899"/>
  </r>
  <r>
    <s v="ORD102764"/>
    <x v="6"/>
    <s v="01-07-2025"/>
    <s v="CUST12900"/>
    <s v="Home Office"/>
    <s v="Telangana"/>
    <x v="16"/>
    <x v="2"/>
    <s v="T-Shirt"/>
    <s v="1"/>
    <s v="5726.26"/>
    <n v="0.15"/>
    <s v="4661.8599999999997"/>
    <s v="205.46"/>
    <x v="3"/>
    <x v="0"/>
    <s v="Marketplace"/>
    <n v="4867.3209999999999"/>
  </r>
  <r>
    <s v="ORD102765"/>
    <x v="5"/>
    <s v="15-09-2025"/>
    <s v="CUST12671"/>
    <s v="Corporate"/>
    <s v="Telangana"/>
    <x v="16"/>
    <x v="1"/>
    <s v="Face Cream"/>
    <s v="1"/>
    <s v="2593"/>
    <n v="0.1"/>
    <s v="1673.54"/>
    <s v="660.16"/>
    <x v="5"/>
    <x v="0"/>
    <s v="Mobile App"/>
    <n v="2333.6999999999998"/>
  </r>
  <r>
    <s v="ORD102766"/>
    <x v="7"/>
    <s v="23-05-2025"/>
    <s v="CUST11737"/>
    <s v="Corporate"/>
    <s v="Gujarat"/>
    <x v="3"/>
    <x v="1"/>
    <s v="Perfume"/>
    <s v="1"/>
    <s v="2658.6"/>
    <n v="0.15"/>
    <s v="1937.8"/>
    <s v="322.01"/>
    <x v="2"/>
    <x v="0"/>
    <s v="Mobile App"/>
    <n v="2259.81"/>
  </r>
  <r>
    <s v="ORD102767"/>
    <x v="11"/>
    <s v="02-10-2025"/>
    <s v="CUST10717"/>
    <s v="Corporate"/>
    <s v="Telangana"/>
    <x v="14"/>
    <x v="3"/>
    <s v="Mixer Grinder"/>
    <s v="1"/>
    <s v="13708.87"/>
    <n v="0.1"/>
    <s v="10017.25"/>
    <s v="2320.73"/>
    <x v="0"/>
    <x v="0"/>
    <s v="Marketplace"/>
    <n v="12337.983"/>
  </r>
  <r>
    <s v="ORD102771"/>
    <x v="10"/>
    <s v="08-11-2025"/>
    <s v="CUST13376"/>
    <s v="Home Office"/>
    <s v="Maharashtra"/>
    <x v="21"/>
    <x v="2"/>
    <s v="Jeans"/>
    <s v="2"/>
    <s v="4567.25"/>
    <n v="0.1"/>
    <s v="5332.9"/>
    <s v="2888.15"/>
    <x v="3"/>
    <x v="0"/>
    <s v="Mobile App"/>
    <n v="8221.0499999999993"/>
  </r>
  <r>
    <s v="ORD102775"/>
    <x v="4"/>
    <s v="03-04-2025"/>
    <s v="CUST12513"/>
    <s v="Home Office"/>
    <s v="Tamil Nadu"/>
    <x v="1"/>
    <x v="3"/>
    <s v="Air Fryer"/>
    <s v="2"/>
    <s v="10946.24"/>
    <n v="0.15"/>
    <s v="12909.43"/>
    <s v="5699.18"/>
    <x v="3"/>
    <x v="3"/>
    <s v="Marketplace"/>
    <n v="18608.608"/>
  </r>
  <r>
    <s v="ORD102777"/>
    <x v="1"/>
    <s v="17-02-2025"/>
    <s v="CUST13061"/>
    <s v="Corporate"/>
    <s v="Kerala"/>
    <x v="6"/>
    <x v="3"/>
    <s v="Air Fryer"/>
    <s v="1"/>
    <s v="13977.28"/>
    <n v="0.1"/>
    <s v="11275.35"/>
    <s v="1304.2"/>
    <x v="5"/>
    <x v="0"/>
    <s v="Website"/>
    <n v="12579.552"/>
  </r>
  <r>
    <s v="ORD102778"/>
    <x v="0"/>
    <s v="09-01-2025"/>
    <s v="CUST10246"/>
    <s v="Corporate"/>
    <s v="Maharashtra"/>
    <x v="20"/>
    <x v="3"/>
    <s v="Air Fryer"/>
    <s v="1"/>
    <s v="17396.400000000001"/>
    <n v="0"/>
    <s v="13482.37"/>
    <s v="3914.03"/>
    <x v="3"/>
    <x v="0"/>
    <s v="Website"/>
    <n v="17396.400000000001"/>
  </r>
  <r>
    <s v="ORD102780"/>
    <x v="4"/>
    <s v="17-04-2025"/>
    <s v="CUST11296"/>
    <s v="Home Office"/>
    <s v="Telangana"/>
    <x v="16"/>
    <x v="2"/>
    <s v="Jeans"/>
    <s v="3"/>
    <s v="5514.9"/>
    <n v="0.15"/>
    <s v="11060.94"/>
    <s v="3002.05"/>
    <x v="2"/>
    <x v="0"/>
    <s v="Marketplace"/>
    <n v="14062.994999999901"/>
  </r>
  <r>
    <s v="ORD102781"/>
    <x v="0"/>
    <s v="01-01-2025"/>
    <s v="CUST10590"/>
    <s v="Corporate"/>
    <s v="West Bengal"/>
    <x v="9"/>
    <x v="3"/>
    <s v="Mixer Grinder"/>
    <s v="2"/>
    <s v="13832.61"/>
    <n v="0.2"/>
    <s v="17864.84"/>
    <s v="4267.34"/>
    <x v="0"/>
    <x v="3"/>
    <s v="Website"/>
    <n v="22132.175999999999"/>
  </r>
  <r>
    <s v="ORD102783"/>
    <x v="4"/>
    <s v="16-04-2025"/>
    <s v="CUST11411"/>
    <s v="Home Office"/>
    <s v="Maharashtra"/>
    <x v="4"/>
    <x v="0"/>
    <s v="Smartphone"/>
    <s v="3"/>
    <s v="31209.93"/>
    <n v="0.1"/>
    <s v="59924.55"/>
    <s v="24342.26"/>
    <x v="3"/>
    <x v="0"/>
    <s v="Mobile App"/>
    <n v="84266.811000000002"/>
  </r>
  <r>
    <s v="ORD102791"/>
    <x v="1"/>
    <s v="03-02-2025"/>
    <s v="CUST12271"/>
    <s v="Home Office"/>
    <s v="Maharashtra"/>
    <x v="4"/>
    <x v="3"/>
    <s v="Vacuum Cleaner"/>
    <s v="1"/>
    <s v="11268.34"/>
    <n v="0.1"/>
    <s v="7753.99"/>
    <s v="2387.52"/>
    <x v="1"/>
    <x v="0"/>
    <s v="Marketplace"/>
    <n v="10141.505999999999"/>
  </r>
  <r>
    <s v="ORD102794"/>
    <x v="4"/>
    <s v="03-04-2025"/>
    <s v="CUST10927"/>
    <s v="Consumer"/>
    <s v="Telangana"/>
    <x v="16"/>
    <x v="4"/>
    <s v="Fitness Band"/>
    <s v="1"/>
    <s v="7497.42"/>
    <n v="0"/>
    <s v="4517.22"/>
    <s v="2980.2"/>
    <x v="5"/>
    <x v="0"/>
    <s v="Mobile App"/>
    <n v="7497.42"/>
  </r>
  <r>
    <s v="ORD102800"/>
    <x v="5"/>
    <s v="30-09-2025"/>
    <s v="CUST12182"/>
    <s v="Consumer"/>
    <s v="Maharashtra"/>
    <x v="21"/>
    <x v="2"/>
    <s v="Jacket"/>
    <s v="1"/>
    <s v="5497.72"/>
    <n v="0.1"/>
    <s v="4372.26"/>
    <s v="575.69000000000005"/>
    <x v="5"/>
    <x v="0"/>
    <s v="Mobile App"/>
    <n v="4947.9480000000003"/>
  </r>
  <r>
    <s v="ORD102804"/>
    <x v="7"/>
    <s v="01-05-2025"/>
    <s v="CUST12920"/>
    <s v="Consumer"/>
    <s v="Kerala"/>
    <x v="15"/>
    <x v="2"/>
    <s v="Jacket"/>
    <s v="2"/>
    <s v="6490.95"/>
    <n v="0.15"/>
    <s v="7805.66"/>
    <s v="3228.96"/>
    <x v="5"/>
    <x v="0"/>
    <s v="Marketplace"/>
    <n v="11034.615"/>
  </r>
  <r>
    <s v="ORD102807"/>
    <x v="3"/>
    <s v="26-03-2025"/>
    <s v="CUST10928"/>
    <s v="Consumer"/>
    <s v="Tamil Nadu"/>
    <x v="19"/>
    <x v="1"/>
    <s v="Shampoo"/>
    <s v="1"/>
    <s v="2740.55"/>
    <n v="0.1"/>
    <s v="1737.94"/>
    <s v="728.56"/>
    <x v="0"/>
    <x v="2"/>
    <s v="Website"/>
    <n v="2466.4949999999999"/>
  </r>
  <r>
    <s v="ORD102808"/>
    <x v="9"/>
    <s v="02-06-2025"/>
    <s v="CUST12813"/>
    <s v="Corporate"/>
    <s v="Kerala"/>
    <x v="5"/>
    <x v="4"/>
    <s v="Yoga Mat"/>
    <s v="1"/>
    <s v="10376.549999999999"/>
    <n v="0.2"/>
    <s v="8345.64"/>
    <s v="-44.4"/>
    <x v="2"/>
    <x v="0"/>
    <s v="Mobile App"/>
    <n v="8301.24"/>
  </r>
  <r>
    <s v="ORD102810"/>
    <x v="5"/>
    <s v="14-09-2025"/>
    <s v="CUST13339"/>
    <s v="Home Office"/>
    <s v="Gujarat"/>
    <x v="18"/>
    <x v="1"/>
    <s v="Shampoo"/>
    <s v="1"/>
    <s v="477.02"/>
    <n v="0.05"/>
    <s v="336.43"/>
    <s v="116.74"/>
    <x v="2"/>
    <x v="0"/>
    <s v="Marketplace"/>
    <n v="453.16899999999998"/>
  </r>
  <r>
    <s v="ORD102811"/>
    <x v="6"/>
    <s v="14-07-2025"/>
    <s v="CUST11871"/>
    <s v="Home Office"/>
    <s v="Delhi"/>
    <x v="12"/>
    <x v="0"/>
    <s v="Smartwatch"/>
    <s v="1"/>
    <s v="21487.56"/>
    <n v="0.1"/>
    <s v="12215.89"/>
    <s v="7122.91"/>
    <x v="1"/>
    <x v="2"/>
    <s v="Website"/>
    <n v="19338.804"/>
  </r>
  <r>
    <s v="ORD102814"/>
    <x v="9"/>
    <s v="16-06-2025"/>
    <s v="CUST11792"/>
    <s v="Consumer"/>
    <s v="West Bengal"/>
    <x v="9"/>
    <x v="0"/>
    <s v="Smartphone"/>
    <s v="1"/>
    <s v="72449.14"/>
    <n v="0"/>
    <s v="45260.97"/>
    <s v="27188.17"/>
    <x v="1"/>
    <x v="2"/>
    <s v="Mobile App"/>
    <n v="72449.14"/>
  </r>
  <r>
    <s v="ORD102816"/>
    <x v="8"/>
    <s v="13-08-2025"/>
    <s v="CUST10650"/>
    <s v="Corporate"/>
    <s v="Tamil Nadu"/>
    <x v="13"/>
    <x v="0"/>
    <s v="Smartphone"/>
    <s v="1"/>
    <s v="41630.19"/>
    <n v="0.05"/>
    <s v="28890.28"/>
    <s v="10658.4"/>
    <x v="5"/>
    <x v="2"/>
    <s v="Mobile App"/>
    <n v="39548.680500000002"/>
  </r>
  <r>
    <s v="ORD102817"/>
    <x v="6"/>
    <s v="09-07-2025"/>
    <s v="CUST10817"/>
    <s v="Corporate"/>
    <s v="Maharashtra"/>
    <x v="4"/>
    <x v="0"/>
    <s v="Smartwatch"/>
    <s v="1"/>
    <s v="26277.18"/>
    <n v="0.15"/>
    <s v="16456.09"/>
    <s v="5879.51"/>
    <x v="3"/>
    <x v="2"/>
    <s v="Marketplace"/>
    <n v="22335.602999999999"/>
  </r>
  <r>
    <s v="ORD102820"/>
    <x v="5"/>
    <s v="08-09-2025"/>
    <s v="CUST10480"/>
    <s v="Home Office"/>
    <s v="Maharashtra"/>
    <x v="4"/>
    <x v="3"/>
    <s v="Mixer Grinder"/>
    <s v="1"/>
    <s v="17188.22"/>
    <n v="0.15"/>
    <s v="13015.35"/>
    <s v="1594.64"/>
    <x v="2"/>
    <x v="3"/>
    <s v="Marketplace"/>
    <n v="14609.986999999999"/>
  </r>
  <r>
    <s v="ORD102822"/>
    <x v="9"/>
    <s v="10-06-2025"/>
    <s v="CUST11002"/>
    <s v="Home Office"/>
    <s v="Tamil Nadu"/>
    <x v="1"/>
    <x v="1"/>
    <s v="Hair Dryer"/>
    <s v="1"/>
    <s v="2376.64"/>
    <n v="0"/>
    <s v="1919.12"/>
    <s v="457.52"/>
    <x v="5"/>
    <x v="3"/>
    <s v="Marketplace"/>
    <n v="2376.64"/>
  </r>
  <r>
    <s v="ORD102824"/>
    <x v="5"/>
    <s v="24-09-2025"/>
    <s v="CUST10645"/>
    <s v="Corporate"/>
    <s v="West Bengal"/>
    <x v="0"/>
    <x v="3"/>
    <s v="Cookware Set"/>
    <s v="1"/>
    <s v="10685.75"/>
    <n v="0.15"/>
    <s v="6314.67"/>
    <s v="2768.22"/>
    <x v="3"/>
    <x v="0"/>
    <s v="Marketplace"/>
    <n v="9082.8874999999898"/>
  </r>
  <r>
    <s v="ORD102825"/>
    <x v="4"/>
    <s v="25-04-2025"/>
    <s v="CUST13470"/>
    <s v="Consumer"/>
    <s v="Kerala"/>
    <x v="6"/>
    <x v="3"/>
    <s v="Vacuum Cleaner"/>
    <s v="2"/>
    <s v="6135.4"/>
    <n v="0.15"/>
    <s v="7334.75"/>
    <s v="3095.43"/>
    <x v="5"/>
    <x v="3"/>
    <s v="Website"/>
    <n v="10430.1799999999"/>
  </r>
  <r>
    <s v="ORD102826"/>
    <x v="9"/>
    <s v="04-06-2025"/>
    <s v="CUST12041"/>
    <s v="Corporate"/>
    <s v="Karnataka"/>
    <x v="2"/>
    <x v="4"/>
    <s v="Yoga Mat"/>
    <s v="2"/>
    <s v="11889.32"/>
    <n v="0.05"/>
    <s v="14852.75"/>
    <s v="7736.96"/>
    <x v="0"/>
    <x v="0"/>
    <s v="Website"/>
    <n v="22589.707999999999"/>
  </r>
  <r>
    <s v="ORD102831"/>
    <x v="1"/>
    <s v="04-02-2025"/>
    <s v="CUST12694"/>
    <s v="Consumer"/>
    <s v="West Bengal"/>
    <x v="9"/>
    <x v="3"/>
    <s v="Mixer Grinder"/>
    <s v="1"/>
    <s v="3350.28"/>
    <n v="0.05"/>
    <s v="2191.91"/>
    <s v="990.86"/>
    <x v="5"/>
    <x v="3"/>
    <s v="Marketplace"/>
    <n v="3182.7660000000001"/>
  </r>
  <r>
    <s v="ORD102832"/>
    <x v="8"/>
    <s v="19-08-2025"/>
    <s v="CUST10940"/>
    <s v="Consumer"/>
    <s v="Tamil Nadu"/>
    <x v="8"/>
    <x v="4"/>
    <s v="Running Shoes"/>
    <s v="2"/>
    <s v="514.24"/>
    <n v="0.15"/>
    <s v="800.32"/>
    <s v="73.89"/>
    <x v="0"/>
    <x v="0"/>
    <s v="Marketplace"/>
    <n v="874.20799999999997"/>
  </r>
  <r>
    <s v="ORD102835"/>
    <x v="7"/>
    <s v="03-05-2025"/>
    <s v="CUST10034"/>
    <s v="Consumer"/>
    <s v="Telangana"/>
    <x v="14"/>
    <x v="2"/>
    <s v="T-Shirt"/>
    <s v="1"/>
    <s v="3683.93"/>
    <n v="0.1"/>
    <s v="2132.6999999999998"/>
    <s v="1182.8399999999999"/>
    <x v="2"/>
    <x v="0"/>
    <s v="Website"/>
    <n v="3315.5369999999998"/>
  </r>
  <r>
    <s v="ORD102838"/>
    <x v="1"/>
    <s v="23-02-2025"/>
    <s v="CUST10756"/>
    <s v="Consumer"/>
    <s v="Maharashtra"/>
    <x v="21"/>
    <x v="0"/>
    <s v="Smartwatch"/>
    <s v="2"/>
    <s v="74570.44"/>
    <n v="0.15"/>
    <s v="91962.72"/>
    <s v="34807.03"/>
    <x v="5"/>
    <x v="0"/>
    <s v="Mobile App"/>
    <n v="126769.74800000001"/>
  </r>
  <r>
    <s v="ORD102839"/>
    <x v="11"/>
    <s v="04-10-2025"/>
    <s v="CUST11281"/>
    <s v="Home Office"/>
    <s v="Maharashtra"/>
    <x v="4"/>
    <x v="0"/>
    <s v="Smartwatch"/>
    <s v="1"/>
    <s v="13138.24"/>
    <n v="0"/>
    <s v="10313.74"/>
    <s v="2824.5"/>
    <x v="1"/>
    <x v="0"/>
    <s v="Website"/>
    <n v="13138.24"/>
  </r>
  <r>
    <s v="ORD102841"/>
    <x v="1"/>
    <s v="28-02-2025"/>
    <s v="CUST12568"/>
    <s v="Corporate"/>
    <s v="West Bengal"/>
    <x v="0"/>
    <x v="0"/>
    <s v="Smartphone"/>
    <s v="1"/>
    <s v="37008.480000000003"/>
    <n v="0"/>
    <s v="22514.78"/>
    <s v="14493.7"/>
    <x v="0"/>
    <x v="0"/>
    <s v="Mobile App"/>
    <n v="37008.480000000003"/>
  </r>
  <r>
    <s v="ORD102843"/>
    <x v="11"/>
    <s v="08-10-2025"/>
    <s v="CUST10874"/>
    <s v="Consumer"/>
    <s v="Karnataka"/>
    <x v="2"/>
    <x v="4"/>
    <s v="Fitness Band"/>
    <s v="1"/>
    <s v="8430.4"/>
    <n v="0.1"/>
    <s v="5946.82"/>
    <s v="1640.54"/>
    <x v="2"/>
    <x v="0"/>
    <s v="Marketplace"/>
    <n v="7587.36"/>
  </r>
  <r>
    <s v="ORD102847"/>
    <x v="1"/>
    <s v="21-02-2025"/>
    <s v="CUST10387"/>
    <s v="Consumer"/>
    <s v="Gujarat"/>
    <x v="10"/>
    <x v="0"/>
    <s v="Smartwatch"/>
    <s v="2"/>
    <s v="29784.880000000001"/>
    <n v="0.05"/>
    <s v="42718.93"/>
    <s v="13872.34"/>
    <x v="3"/>
    <x v="0"/>
    <s v="Marketplace"/>
    <n v="56591.271999999997"/>
  </r>
  <r>
    <s v="ORD102848"/>
    <x v="9"/>
    <s v="13-06-2025"/>
    <s v="CUST12902"/>
    <s v="Consumer"/>
    <s v="Karnataka"/>
    <x v="2"/>
    <x v="2"/>
    <s v="Sneakers"/>
    <s v="2"/>
    <s v="4272.59"/>
    <n v="0"/>
    <s v="5388.08"/>
    <s v="3157.1"/>
    <x v="3"/>
    <x v="0"/>
    <s v="Marketplace"/>
    <n v="8545.18"/>
  </r>
  <r>
    <s v="ORD102850"/>
    <x v="8"/>
    <s v="21-08-2025"/>
    <s v="CUST12828"/>
    <s v="Corporate"/>
    <s v="Karnataka"/>
    <x v="22"/>
    <x v="4"/>
    <s v="Running Shoes"/>
    <s v="1"/>
    <s v="10567.55"/>
    <n v="0.2"/>
    <s v="8628.94"/>
    <s v="-174.9"/>
    <x v="5"/>
    <x v="0"/>
    <s v="Mobile App"/>
    <n v="8454.03999999999"/>
  </r>
  <r>
    <s v="ORD102851"/>
    <x v="7"/>
    <s v="28-05-2025"/>
    <s v="CUST10557"/>
    <s v="Consumer"/>
    <s v="Gujarat"/>
    <x v="3"/>
    <x v="3"/>
    <s v="Vacuum Cleaner"/>
    <s v="1"/>
    <s v="1956.65"/>
    <n v="0.15"/>
    <s v="1142.49"/>
    <s v="520.66"/>
    <x v="0"/>
    <x v="0"/>
    <s v="Mobile App"/>
    <n v="1663.1524999999999"/>
  </r>
  <r>
    <s v="ORD102852"/>
    <x v="6"/>
    <s v="11-07-2025"/>
    <s v="CUST11199"/>
    <s v="Corporate"/>
    <s v="West Bengal"/>
    <x v="0"/>
    <x v="0"/>
    <s v="Headphones"/>
    <s v="1"/>
    <s v="24497.17"/>
    <n v="0.1"/>
    <s v="16196.79"/>
    <s v="5850.66"/>
    <x v="1"/>
    <x v="1"/>
    <s v="Mobile App"/>
    <n v="22047.452999999899"/>
  </r>
  <r>
    <s v="ORD102854"/>
    <x v="7"/>
    <s v="06-05-2025"/>
    <s v="CUST12499"/>
    <s v="Home Office"/>
    <s v="Maharashtra"/>
    <x v="4"/>
    <x v="2"/>
    <s v="Handbag"/>
    <s v="1"/>
    <s v="4934.3500000000004"/>
    <n v="0.1"/>
    <s v="3239.11"/>
    <s v="1201.81"/>
    <x v="1"/>
    <x v="0"/>
    <s v="Marketplace"/>
    <n v="4440.915"/>
  </r>
  <r>
    <s v="ORD102860"/>
    <x v="2"/>
    <s v="09-12-2025"/>
    <s v="CUST11132"/>
    <s v="Corporate"/>
    <s v="Gujarat"/>
    <x v="10"/>
    <x v="2"/>
    <s v="T-Shirt"/>
    <s v="2"/>
    <s v="4094.34"/>
    <n v="0"/>
    <s v="5809.54"/>
    <s v="2379.14"/>
    <x v="2"/>
    <x v="0"/>
    <s v="Marketplace"/>
    <n v="8188.68"/>
  </r>
  <r>
    <s v="ORD102861"/>
    <x v="3"/>
    <s v="08-03-2025"/>
    <s v="CUST13048"/>
    <s v="Corporate"/>
    <s v="West Bengal"/>
    <x v="9"/>
    <x v="2"/>
    <s v="Jeans"/>
    <s v="1"/>
    <s v="2618.65"/>
    <n v="0.05"/>
    <s v="1657.8"/>
    <s v="829.92"/>
    <x v="3"/>
    <x v="2"/>
    <s v="Mobile App"/>
    <n v="2487.7174999999902"/>
  </r>
  <r>
    <s v="ORD102865"/>
    <x v="8"/>
    <s v="16-08-2025"/>
    <s v="CUST12961"/>
    <s v="Corporate"/>
    <s v="Kerala"/>
    <x v="15"/>
    <x v="4"/>
    <s v="Football"/>
    <s v="3"/>
    <s v="6672.3"/>
    <n v="0.05"/>
    <s v="14633.04"/>
    <s v="4383.0200000000004"/>
    <x v="0"/>
    <x v="0"/>
    <s v="Website"/>
    <n v="19016.055"/>
  </r>
  <r>
    <s v="ORD102866"/>
    <x v="3"/>
    <s v="09-03-2025"/>
    <s v="CUST12958"/>
    <s v="Corporate"/>
    <s v="Tamil Nadu"/>
    <x v="8"/>
    <x v="2"/>
    <s v="Jacket"/>
    <s v="2"/>
    <s v="578.91"/>
    <n v="0.1"/>
    <s v="700.94"/>
    <s v="341.1"/>
    <x v="0"/>
    <x v="0"/>
    <s v="Mobile App"/>
    <n v="1042.038"/>
  </r>
  <r>
    <s v="ORD102867"/>
    <x v="5"/>
    <s v="17-09-2025"/>
    <s v="CUST12849"/>
    <s v="Corporate"/>
    <s v="Telangana"/>
    <x v="16"/>
    <x v="4"/>
    <s v="Cricket Bat"/>
    <s v="1"/>
    <s v="11188.52"/>
    <n v="0.15"/>
    <s v="7354.05"/>
    <s v="2156.19"/>
    <x v="5"/>
    <x v="0"/>
    <s v="Marketplace"/>
    <n v="9510.2420000000002"/>
  </r>
  <r>
    <s v="ORD102868"/>
    <x v="0"/>
    <s v="16-01-2025"/>
    <s v="CUST12471"/>
    <s v="Corporate"/>
    <s v="Delhi"/>
    <x v="7"/>
    <x v="0"/>
    <s v="Laptop"/>
    <s v="1"/>
    <s v="23039.599999999999"/>
    <n v="0.1"/>
    <s v="14351.17"/>
    <s v="6384.47"/>
    <x v="3"/>
    <x v="0"/>
    <s v="Website"/>
    <n v="20735.64"/>
  </r>
  <r>
    <s v="ORD102871"/>
    <x v="0"/>
    <s v="06-01-2025"/>
    <s v="CUST13193"/>
    <s v="Home Office"/>
    <s v="Maharashtra"/>
    <x v="20"/>
    <x v="3"/>
    <s v="Air Fryer"/>
    <s v="1"/>
    <s v="17911.580000000002"/>
    <n v="0"/>
    <s v="12779.23"/>
    <s v="5132.3500000000004"/>
    <x v="2"/>
    <x v="0"/>
    <s v="Mobile App"/>
    <n v="17911.580000000002"/>
  </r>
  <r>
    <s v="ORD102873"/>
    <x v="0"/>
    <s v="21-01-2025"/>
    <s v="CUST11382"/>
    <s v="Home Office"/>
    <s v="Tamil Nadu"/>
    <x v="11"/>
    <x v="3"/>
    <s v="Vacuum Cleaner"/>
    <s v="3"/>
    <s v="2873.11"/>
    <n v="0.15"/>
    <s v="5527.99"/>
    <s v="1798.44"/>
    <x v="1"/>
    <x v="2"/>
    <s v="Marketplace"/>
    <n v="7326.4304999999904"/>
  </r>
  <r>
    <s v="ORD102876"/>
    <x v="2"/>
    <s v="15-12-2025"/>
    <s v="CUST11741"/>
    <s v="Home Office"/>
    <s v="Gujarat"/>
    <x v="3"/>
    <x v="4"/>
    <s v="Yoga Mat"/>
    <s v="2"/>
    <s v="9879.77"/>
    <n v="0"/>
    <s v="14844.97"/>
    <s v="4914.57"/>
    <x v="3"/>
    <x v="0"/>
    <s v="Website"/>
    <n v="19759.54"/>
  </r>
  <r>
    <s v="ORD102877"/>
    <x v="3"/>
    <s v="16-03-2025"/>
    <s v="CUST11495"/>
    <s v="Corporate"/>
    <s v="West Bengal"/>
    <x v="0"/>
    <x v="0"/>
    <s v="Tablet"/>
    <s v="1"/>
    <s v="37519.49"/>
    <n v="0"/>
    <s v="22486.95"/>
    <s v="15032.54"/>
    <x v="3"/>
    <x v="0"/>
    <s v="Website"/>
    <n v="37519.49"/>
  </r>
  <r>
    <s v="ORD102879"/>
    <x v="1"/>
    <s v="07-02-2025"/>
    <s v="CUST11581"/>
    <s v="Consumer"/>
    <s v="Kerala"/>
    <x v="6"/>
    <x v="2"/>
    <s v="Hair Dryer"/>
    <s v="1"/>
    <s v="1965.23"/>
    <n v="0"/>
    <s v="1207.82"/>
    <s v="757.41"/>
    <x v="3"/>
    <x v="0"/>
    <s v="Website"/>
    <n v="1965.23"/>
  </r>
  <r>
    <s v="ORD102880"/>
    <x v="0"/>
    <s v="28-01-2025"/>
    <s v="CUST10245"/>
    <s v="Corporate"/>
    <s v="Kerala"/>
    <x v="5"/>
    <x v="3"/>
    <s v="Coffee Maker"/>
    <s v="3"/>
    <s v="7807.46"/>
    <n v="0.05"/>
    <s v="15670.95"/>
    <s v="6580.31"/>
    <x v="3"/>
    <x v="0"/>
    <s v="Marketplace"/>
    <n v="22251.260999999999"/>
  </r>
  <r>
    <s v="ORD102894"/>
    <x v="6"/>
    <s v="09-07-2025"/>
    <s v="CUST10320"/>
    <s v="Corporate"/>
    <s v="Delhi"/>
    <x v="12"/>
    <x v="2"/>
    <s v="Sneakers"/>
    <s v="1"/>
    <s v="2778.52"/>
    <n v="0"/>
    <s v="1748.17"/>
    <s v="1030.3499999999999"/>
    <x v="0"/>
    <x v="0"/>
    <s v="Mobile App"/>
    <n v="2778.52"/>
  </r>
  <r>
    <s v="ORD102896"/>
    <x v="4"/>
    <s v="23-04-2025"/>
    <s v="CUST12601"/>
    <s v="Home Office"/>
    <s v="Kerala"/>
    <x v="5"/>
    <x v="2"/>
    <s v="Jeans"/>
    <s v="1"/>
    <s v="3864.9"/>
    <n v="0.1"/>
    <s v="2761.25"/>
    <s v="717.16"/>
    <x v="5"/>
    <x v="3"/>
    <s v="Marketplace"/>
    <n v="3478.41"/>
  </r>
  <r>
    <s v="ORD102899"/>
    <x v="1"/>
    <s v="03-02-2025"/>
    <s v="CUST10234"/>
    <s v="Consumer"/>
    <s v="Karnataka"/>
    <x v="22"/>
    <x v="3"/>
    <s v="Cookware Set"/>
    <s v="3"/>
    <s v="12167.55"/>
    <n v="0.1"/>
    <s v="25377.35"/>
    <s v="7475.03"/>
    <x v="1"/>
    <x v="0"/>
    <s v="Marketplace"/>
    <n v="32852.3849999999"/>
  </r>
  <r>
    <s v="ORD102902"/>
    <x v="0"/>
    <s v="16-01-2025"/>
    <s v="CUST11644"/>
    <s v="Home Office"/>
    <s v="West Bengal"/>
    <x v="0"/>
    <x v="0"/>
    <s v="Smartphone"/>
    <s v="1"/>
    <s v="34330.19"/>
    <n v="0.1"/>
    <s v="21477.119999999999"/>
    <s v="9420.0499999999993"/>
    <x v="5"/>
    <x v="0"/>
    <s v="Website"/>
    <n v="30897.170999999998"/>
  </r>
  <r>
    <s v="ORD102904"/>
    <x v="7"/>
    <s v="27-05-2025"/>
    <s v="CUST11346"/>
    <s v="Corporate"/>
    <s v="West Bengal"/>
    <x v="0"/>
    <x v="3"/>
    <s v="Vacuum Cleaner"/>
    <s v="3"/>
    <s v="4340.1400000000003"/>
    <n v="0.05"/>
    <s v="7787.82"/>
    <s v="4581.58"/>
    <x v="3"/>
    <x v="0"/>
    <s v="Website"/>
    <n v="12369.398999999999"/>
  </r>
  <r>
    <s v="ORD102906"/>
    <x v="4"/>
    <s v="08-04-2025"/>
    <s v="CUST11213"/>
    <s v="Consumer"/>
    <s v="Delhi"/>
    <x v="7"/>
    <x v="2"/>
    <s v="Jacket"/>
    <s v="2"/>
    <s v="471.05"/>
    <n v="0.05"/>
    <s v="571.85"/>
    <s v="323.14999999999998"/>
    <x v="0"/>
    <x v="0"/>
    <s v="Marketplace"/>
    <n v="894.995"/>
  </r>
  <r>
    <s v="ORD102910"/>
    <x v="6"/>
    <s v="11-07-2025"/>
    <s v="CUST10482"/>
    <s v="Home Office"/>
    <s v="West Bengal"/>
    <x v="9"/>
    <x v="3"/>
    <s v="Coffee Maker"/>
    <s v="1"/>
    <s v="12212.09"/>
    <n v="0.1"/>
    <s v="7900.73"/>
    <s v="3090.15"/>
    <x v="2"/>
    <x v="0"/>
    <s v="Marketplace"/>
    <n v="10990.880999999999"/>
  </r>
  <r>
    <s v="ORD102913"/>
    <x v="1"/>
    <s v="14-02-2025"/>
    <s v="CUST12259"/>
    <s v="Consumer"/>
    <s v="West Bengal"/>
    <x v="0"/>
    <x v="2"/>
    <s v="Sneakers"/>
    <s v="3"/>
    <s v="5000.03"/>
    <n v="0.1"/>
    <s v="12052.57"/>
    <s v="1447.51"/>
    <x v="2"/>
    <x v="0"/>
    <s v="Marketplace"/>
    <n v="13500.081"/>
  </r>
  <r>
    <s v="ORD102915"/>
    <x v="2"/>
    <s v="27-12-2025"/>
    <s v="CUST13077"/>
    <s v="Corporate"/>
    <s v="Telangana"/>
    <x v="14"/>
    <x v="0"/>
    <s v="Smartwatch"/>
    <s v="4"/>
    <s v="20146.73"/>
    <n v="0"/>
    <s v="52768.87"/>
    <s v="27818.05"/>
    <x v="0"/>
    <x v="0"/>
    <s v="Mobile App"/>
    <n v="80586.92"/>
  </r>
  <r>
    <s v="ORD102919"/>
    <x v="2"/>
    <s v="02-12-2025"/>
    <s v="CUST10049"/>
    <s v="Consumer"/>
    <s v="West Bengal"/>
    <x v="9"/>
    <x v="0"/>
    <s v="Laptop"/>
    <s v="1"/>
    <s v="13503.75"/>
    <n v="0.15"/>
    <s v="7985.09"/>
    <s v="3493.1"/>
    <x v="0"/>
    <x v="2"/>
    <s v="Website"/>
    <n v="11478.1875"/>
  </r>
  <r>
    <s v="ORD102924"/>
    <x v="8"/>
    <s v="13-08-2025"/>
    <s v="CUST12114"/>
    <s v="Home Office"/>
    <s v="Gujarat"/>
    <x v="10"/>
    <x v="2"/>
    <s v="Jeans"/>
    <s v="3"/>
    <s v="5528.84"/>
    <n v="0.05"/>
    <s v="10754.21"/>
    <s v="5002.9799999999996"/>
    <x v="4"/>
    <x v="3"/>
    <s v="Mobile App"/>
    <n v="15757.194"/>
  </r>
  <r>
    <s v="ORD102925"/>
    <x v="9"/>
    <s v="20-06-2025"/>
    <s v="CUST10289"/>
    <s v="Home Office"/>
    <s v="Maharashtra"/>
    <x v="4"/>
    <x v="0"/>
    <s v="Smartphone"/>
    <s v="1"/>
    <s v="3630.05"/>
    <n v="0.1"/>
    <s v="2447.65"/>
    <s v="819.39"/>
    <x v="0"/>
    <x v="0"/>
    <s v="Marketplace"/>
    <n v="3267.0450000000001"/>
  </r>
  <r>
    <s v="ORD102928"/>
    <x v="6"/>
    <s v="26-07-2025"/>
    <s v="CUST12375"/>
    <s v="Consumer"/>
    <s v="Karnataka"/>
    <x v="22"/>
    <x v="3"/>
    <s v="Vacuum Cleaner"/>
    <s v="1"/>
    <s v="16026.79"/>
    <n v="0.15"/>
    <s v="10691.37"/>
    <s v="2931.4"/>
    <x v="3"/>
    <x v="0"/>
    <s v="Mobile App"/>
    <n v="13622.771500000001"/>
  </r>
  <r>
    <s v="ORD102935"/>
    <x v="0"/>
    <s v="16-01-2025"/>
    <s v="CUST12718"/>
    <s v="Corporate"/>
    <s v="Delhi"/>
    <x v="12"/>
    <x v="2"/>
    <s v="Sneakers"/>
    <s v="1"/>
    <s v="1618.44"/>
    <n v="0.1"/>
    <s v="1006.15"/>
    <s v="450.45"/>
    <x v="2"/>
    <x v="0"/>
    <s v="Marketplace"/>
    <n v="1456.596"/>
  </r>
  <r>
    <s v="ORD102936"/>
    <x v="8"/>
    <s v="29-08-2025"/>
    <s v="CUST12297"/>
    <s v="Consumer"/>
    <s v="Maharashtra"/>
    <x v="21"/>
    <x v="0"/>
    <s v="Headphones"/>
    <s v="2"/>
    <s v="19624.91"/>
    <n v="0.05"/>
    <s v="29512.36"/>
    <s v="7774.97"/>
    <x v="0"/>
    <x v="1"/>
    <s v="Website"/>
    <n v="37287.328999999998"/>
  </r>
  <r>
    <s v="ORD102938"/>
    <x v="5"/>
    <s v="09-09-2025"/>
    <s v="CUST12197"/>
    <s v="Corporate"/>
    <s v="Tamil Nadu"/>
    <x v="1"/>
    <x v="4"/>
    <s v="Fitness Band"/>
    <s v="1"/>
    <s v="11540.36"/>
    <n v="0"/>
    <s v="7071.21"/>
    <s v="4469.1499999999996"/>
    <x v="0"/>
    <x v="0"/>
    <s v="Website"/>
    <n v="11540.36"/>
  </r>
  <r>
    <s v="ORD102939"/>
    <x v="7"/>
    <s v="13-05-2025"/>
    <s v="CUST12819"/>
    <s v="Consumer"/>
    <s v="West Bengal"/>
    <x v="0"/>
    <x v="0"/>
    <s v="Laptop"/>
    <s v="1"/>
    <s v="36103.360000000001"/>
    <n v="0.05"/>
    <s v="28977.59"/>
    <s v="5320.6"/>
    <x v="0"/>
    <x v="0"/>
    <s v="Website"/>
    <n v="34298.191999999901"/>
  </r>
  <r>
    <s v="ORD102940"/>
    <x v="3"/>
    <s v="02-03-2025"/>
    <s v="CUST13281"/>
    <s v="Corporate"/>
    <s v="Kerala"/>
    <x v="5"/>
    <x v="3"/>
    <s v="Air Fryer"/>
    <s v="1"/>
    <s v="10308.24"/>
    <n v="0.1"/>
    <s v="7419.48"/>
    <s v="1857.94"/>
    <x v="2"/>
    <x v="0"/>
    <s v="Mobile App"/>
    <n v="9277.4159999999993"/>
  </r>
  <r>
    <s v="ORD102941"/>
    <x v="10"/>
    <s v="12-11-2025"/>
    <s v="CUST12619"/>
    <s v="Consumer"/>
    <s v="Gujarat"/>
    <x v="10"/>
    <x v="2"/>
    <s v="Jacket"/>
    <s v="2"/>
    <s v="2785.21"/>
    <n v="0.2"/>
    <s v="3432.14"/>
    <s v="1024.2"/>
    <x v="1"/>
    <x v="2"/>
    <s v="Marketplace"/>
    <n v="4456.3360000000002"/>
  </r>
  <r>
    <s v="ORD102942"/>
    <x v="2"/>
    <s v="15-12-2025"/>
    <s v="CUST10218"/>
    <s v="Consumer"/>
    <s v="Telangana"/>
    <x v="14"/>
    <x v="3"/>
    <s v="Vacuum Cleaner"/>
    <s v="1"/>
    <s v="2661.93"/>
    <n v="0.15"/>
    <s v="1706.18"/>
    <s v="556.46"/>
    <x v="0"/>
    <x v="0"/>
    <s v="Website"/>
    <n v="2262.6405"/>
  </r>
  <r>
    <s v="ORD102943"/>
    <x v="3"/>
    <s v="20-03-2025"/>
    <s v="CUST12978"/>
    <s v="Home Office"/>
    <s v="Karnataka"/>
    <x v="17"/>
    <x v="0"/>
    <s v="Smartwatch"/>
    <s v="1"/>
    <s v="35454.18"/>
    <n v="0"/>
    <s v="28162.48"/>
    <s v="7291.7"/>
    <x v="3"/>
    <x v="0"/>
    <s v="Mobile App"/>
    <n v="35454.18"/>
  </r>
  <r>
    <s v="ORD102947"/>
    <x v="6"/>
    <s v="25-07-2025"/>
    <s v="CUST10579"/>
    <s v="Home Office"/>
    <s v="Tamil Nadu"/>
    <x v="11"/>
    <x v="2"/>
    <s v="Handbag"/>
    <s v="1"/>
    <s v="4274.5600000000004"/>
    <n v="0.05"/>
    <s v="2753.57"/>
    <s v="1307.26"/>
    <x v="2"/>
    <x v="2"/>
    <s v="Mobile App"/>
    <n v="4060.8319999999999"/>
  </r>
  <r>
    <s v="ORD102948"/>
    <x v="7"/>
    <s v="14-05-2025"/>
    <s v="CUST12759"/>
    <s v="Corporate"/>
    <s v="Gujarat"/>
    <x v="18"/>
    <x v="1"/>
    <s v="Shampoo"/>
    <s v="3"/>
    <s v="3300.72"/>
    <n v="0.05"/>
    <s v="6155.77"/>
    <s v="3251.28"/>
    <x v="1"/>
    <x v="0"/>
    <s v="Mobile App"/>
    <n v="9407.0519999999997"/>
  </r>
  <r>
    <s v="ORD102953"/>
    <x v="0"/>
    <s v="29-01-2025"/>
    <s v="CUST11080"/>
    <s v="Consumer"/>
    <s v="Telangana"/>
    <x v="16"/>
    <x v="0"/>
    <s v="Smartphone"/>
    <s v="1"/>
    <s v="50186.41"/>
    <n v="0"/>
    <s v="37569.29"/>
    <s v="12617.12"/>
    <x v="0"/>
    <x v="0"/>
    <s v="Mobile App"/>
    <n v="50186.41"/>
  </r>
  <r>
    <s v="ORD102956"/>
    <x v="5"/>
    <s v="02-09-2025"/>
    <s v="CUST10578"/>
    <s v="Consumer"/>
    <s v="Gujarat"/>
    <x v="18"/>
    <x v="2"/>
    <s v="Sneakers"/>
    <s v="3"/>
    <s v="1828.27"/>
    <n v="0"/>
    <s v="3628.47"/>
    <s v="1856.34"/>
    <x v="3"/>
    <x v="0"/>
    <s v="Website"/>
    <n v="5484.8099999999904"/>
  </r>
  <r>
    <s v="ORD102959"/>
    <x v="0"/>
    <s v="10-01-2025"/>
    <s v="CUST11945"/>
    <s v="Home Office"/>
    <s v="Telangana"/>
    <x v="14"/>
    <x v="3"/>
    <s v="Vacuum Cleaner"/>
    <s v="2"/>
    <s v="4866.93"/>
    <n v="0.05"/>
    <s v="6052.34"/>
    <s v="3194.83"/>
    <x v="2"/>
    <x v="0"/>
    <s v="Marketplace"/>
    <n v="9247.1669999999995"/>
  </r>
  <r>
    <s v="ORD102961"/>
    <x v="9"/>
    <s v="28-06-2025"/>
    <s v="CUST12131"/>
    <s v="Consumer"/>
    <s v="Kerala"/>
    <x v="6"/>
    <x v="3"/>
    <s v="Coffee Maker"/>
    <s v="1"/>
    <s v="12101.36"/>
    <n v="0.2"/>
    <s v="7735.06"/>
    <s v="1946.03"/>
    <x v="2"/>
    <x v="0"/>
    <s v="Website"/>
    <n v="9681.0879999999997"/>
  </r>
  <r>
    <s v="ORD102966"/>
    <x v="6"/>
    <s v="03-07-2025"/>
    <s v="CUST10111"/>
    <s v="Corporate"/>
    <s v="Karnataka"/>
    <x v="17"/>
    <x v="0"/>
    <s v="Smartwatch"/>
    <s v="1"/>
    <s v="23674"/>
    <n v="0.1"/>
    <s v="13810.47"/>
    <s v="7496.13"/>
    <x v="1"/>
    <x v="2"/>
    <s v="Marketplace"/>
    <n v="21306.6"/>
  </r>
  <r>
    <s v="ORD102967"/>
    <x v="0"/>
    <s v="12-01-2025"/>
    <s v="CUST11513"/>
    <s v="Consumer"/>
    <s v="Kerala"/>
    <x v="15"/>
    <x v="2"/>
    <s v="Jacket"/>
    <s v="1"/>
    <s v="5867.05"/>
    <n v="0.15"/>
    <s v="4626.28"/>
    <s v="360.71"/>
    <x v="1"/>
    <x v="0"/>
    <s v="Marketplace"/>
    <n v="4986.9925000000003"/>
  </r>
  <r>
    <s v="ORD102970"/>
    <x v="8"/>
    <s v="12-08-2025"/>
    <s v="CUST12807"/>
    <s v="Home Office"/>
    <s v="Gujarat"/>
    <x v="18"/>
    <x v="4"/>
    <s v="Yoga Mat"/>
    <s v="1"/>
    <s v="10886.57"/>
    <n v="0"/>
    <s v="6468.46"/>
    <s v="4418.1099999999997"/>
    <x v="0"/>
    <x v="0"/>
    <s v="Marketplace"/>
    <n v="10886.57"/>
  </r>
  <r>
    <s v="ORD102971"/>
    <x v="9"/>
    <s v="18-06-2025"/>
    <s v="CUST10736"/>
    <s v="Corporate"/>
    <s v="Gujarat"/>
    <x v="3"/>
    <x v="2"/>
    <s v="Jeans"/>
    <s v="1"/>
    <s v="1548.82"/>
    <n v="0.15"/>
    <s v="867.2"/>
    <s v="449.3"/>
    <x v="1"/>
    <x v="0"/>
    <s v="Mobile App"/>
    <n v="1316.4969999999901"/>
  </r>
  <r>
    <s v="ORD102973"/>
    <x v="6"/>
    <s v="01-07-2025"/>
    <s v="CUST12538"/>
    <s v="Home Office"/>
    <s v="Delhi"/>
    <x v="12"/>
    <x v="1"/>
    <s v="Face Cream"/>
    <s v="2"/>
    <s v="1254.68"/>
    <n v="0"/>
    <s v="1864.67"/>
    <s v="644.69000000000005"/>
    <x v="5"/>
    <x v="0"/>
    <s v="Website"/>
    <n v="2509.36"/>
  </r>
  <r>
    <s v="ORD102974"/>
    <x v="6"/>
    <s v="11-07-2025"/>
    <s v="CUST13487"/>
    <s v="Corporate"/>
    <s v="Gujarat"/>
    <x v="18"/>
    <x v="2"/>
    <s v="Handbag"/>
    <s v="3"/>
    <s v="3851.55"/>
    <n v="0"/>
    <s v="8620.59"/>
    <s v="2934.06"/>
    <x v="2"/>
    <x v="0"/>
    <s v="Mobile App"/>
    <n v="11554.65"/>
  </r>
  <r>
    <s v="ORD102975"/>
    <x v="9"/>
    <s v="25-06-2025"/>
    <s v="CUST13150"/>
    <s v="Corporate"/>
    <s v="Tamil Nadu"/>
    <x v="8"/>
    <x v="4"/>
    <s v="Yoga Mat"/>
    <s v="4"/>
    <s v="6407.54"/>
    <n v="0"/>
    <s v="14934.29"/>
    <s v="10695.87"/>
    <x v="2"/>
    <x v="0"/>
    <s v="Marketplace"/>
    <n v="25630.16"/>
  </r>
  <r>
    <s v="ORD102976"/>
    <x v="1"/>
    <s v="18-02-2025"/>
    <s v="CUST13482"/>
    <s v="Corporate"/>
    <s v="Kerala"/>
    <x v="15"/>
    <x v="3"/>
    <s v="Mixer Grinder"/>
    <s v="1"/>
    <s v="10117.120000000001"/>
    <n v="0"/>
    <s v="5990.54"/>
    <s v="4126.58"/>
    <x v="3"/>
    <x v="0"/>
    <s v="Marketplace"/>
    <n v="10117.120000000001"/>
  </r>
  <r>
    <s v="ORD102977"/>
    <x v="5"/>
    <s v="23-09-2025"/>
    <s v="CUST13043"/>
    <s v="Consumer"/>
    <s v="Tamil Nadu"/>
    <x v="11"/>
    <x v="2"/>
    <s v="Sneakers"/>
    <s v="3"/>
    <s v="773.54"/>
    <n v="0.2"/>
    <s v="1685.88"/>
    <s v="170.62"/>
    <x v="2"/>
    <x v="0"/>
    <s v="Website"/>
    <n v="1856.4960000000001"/>
  </r>
  <r>
    <s v="ORD102978"/>
    <x v="8"/>
    <s v="18-08-2025"/>
    <s v="CUST12193"/>
    <s v="Corporate"/>
    <s v="Maharashtra"/>
    <x v="21"/>
    <x v="0"/>
    <s v="Laptop"/>
    <s v="4"/>
    <s v="4587.24"/>
    <n v="0.1"/>
    <s v="14466.52"/>
    <s v="2047.54"/>
    <x v="2"/>
    <x v="0"/>
    <s v="Mobile App"/>
    <n v="16514.063999999998"/>
  </r>
  <r>
    <s v="ORD102979"/>
    <x v="11"/>
    <s v="11-10-2025"/>
    <s v="CUST11756"/>
    <s v="Home Office"/>
    <s v="Tamil Nadu"/>
    <x v="11"/>
    <x v="1"/>
    <s v="Face Cream"/>
    <s v="1"/>
    <s v="5480.89"/>
    <n v="0.1"/>
    <s v="3130.12"/>
    <s v="1802.68"/>
    <x v="1"/>
    <x v="0"/>
    <s v="Website"/>
    <n v="4932.8010000000004"/>
  </r>
  <r>
    <s v="ORD102982"/>
    <x v="2"/>
    <s v="08-12-2025"/>
    <s v="CUST13212"/>
    <s v="Corporate"/>
    <s v="Kerala"/>
    <x v="5"/>
    <x v="3"/>
    <s v="Coffee Maker"/>
    <s v="3"/>
    <s v="8782.27"/>
    <n v="0"/>
    <s v="15124.61"/>
    <s v="5952.84"/>
    <x v="5"/>
    <x v="0"/>
    <s v="Marketplace"/>
    <n v="26346.81"/>
  </r>
  <r>
    <s v="ORD102983"/>
    <x v="5"/>
    <s v="14-09-2025"/>
    <s v="CUST11639"/>
    <s v="Home Office"/>
    <s v="Tamil Nadu"/>
    <x v="19"/>
    <x v="1"/>
    <s v="Face Cream"/>
    <s v="1"/>
    <s v="954.26"/>
    <n v="0.15"/>
    <s v="726.5"/>
    <s v="84.62"/>
    <x v="2"/>
    <x v="3"/>
    <s v="Mobile App"/>
    <n v="811.12099999999998"/>
  </r>
  <r>
    <s v="ORD102992"/>
    <x v="7"/>
    <s v="09-05-2025"/>
    <s v="CUST10451"/>
    <s v="Home Office"/>
    <s v="Delhi"/>
    <x v="12"/>
    <x v="0"/>
    <s v="Laptop"/>
    <s v="2"/>
    <s v="66552.17"/>
    <n v="0.15"/>
    <s v="74701.38"/>
    <s v="38437.31"/>
    <x v="5"/>
    <x v="0"/>
    <s v="Mobile App"/>
    <n v="113138.689"/>
  </r>
  <r>
    <s v="ORD102995"/>
    <x v="10"/>
    <s v="06-11-2025"/>
    <s v="CUST11196"/>
    <s v="Home Office"/>
    <s v="Tamil Nadu"/>
    <x v="13"/>
    <x v="0"/>
    <s v="Tablet"/>
    <s v="1"/>
    <s v="65683.539999999994"/>
    <n v="0.1"/>
    <s v="44672.19"/>
    <s v="14443"/>
    <x v="5"/>
    <x v="0"/>
    <s v="Website"/>
    <n v="59115.1859999999"/>
  </r>
  <r>
    <s v="ORD102998"/>
    <x v="10"/>
    <s v="16-11-2025"/>
    <s v="CUST10608"/>
    <s v="Home Office"/>
    <s v="Tamil Nadu"/>
    <x v="1"/>
    <x v="2"/>
    <s v="Jeans"/>
    <s v="2"/>
    <s v="3928.73"/>
    <n v="0.15"/>
    <s v="5657.77"/>
    <s v="1021.07"/>
    <x v="0"/>
    <x v="0"/>
    <s v="Marketplace"/>
    <n v="6678.8409999999903"/>
  </r>
  <r>
    <s v="ORD103000"/>
    <x v="0"/>
    <s v="22-01-2025"/>
    <s v="CUST13272"/>
    <s v="Home Office"/>
    <s v="Tamil Nadu"/>
    <x v="8"/>
    <x v="2"/>
    <s v="Jeans"/>
    <s v="1"/>
    <s v="1664.77"/>
    <n v="0.05"/>
    <s v="1192.23"/>
    <s v="389.3"/>
    <x v="5"/>
    <x v="0"/>
    <s v="Marketplace"/>
    <n v="1581.53149999999"/>
  </r>
  <r>
    <s v="ORD103001"/>
    <x v="5"/>
    <s v="01-09-2025"/>
    <s v="CUST10275"/>
    <s v="Corporate"/>
    <s v="Maharashtra"/>
    <x v="4"/>
    <x v="2"/>
    <s v="Jacket"/>
    <s v="2"/>
    <s v="1924.14"/>
    <n v="0"/>
    <s v="2448.08"/>
    <s v="1400.2"/>
    <x v="1"/>
    <x v="2"/>
    <s v="Website"/>
    <n v="3848.28"/>
  </r>
  <r>
    <s v="ORD103005"/>
    <x v="0"/>
    <s v="18-01-2025"/>
    <s v="CUST12284"/>
    <s v="Corporate"/>
    <s v="Telangana"/>
    <x v="16"/>
    <x v="3"/>
    <s v="Air Fryer"/>
    <s v="1"/>
    <s v="6812.32"/>
    <n v="0"/>
    <s v="3858.45"/>
    <s v="2953.87"/>
    <x v="5"/>
    <x v="0"/>
    <s v="Website"/>
    <n v="6812.32"/>
  </r>
  <r>
    <s v="ORD103007"/>
    <x v="11"/>
    <s v="22-10-2025"/>
    <s v="CUST11739"/>
    <s v="Home Office"/>
    <s v="Karnataka"/>
    <x v="17"/>
    <x v="3"/>
    <s v="Vacuum Cleaner"/>
    <s v="4"/>
    <s v="7472.96"/>
    <n v="0.15"/>
    <s v="17422.95"/>
    <s v="7985.11"/>
    <x v="3"/>
    <x v="0"/>
    <s v="Website"/>
    <n v="25408.063999999998"/>
  </r>
  <r>
    <s v="ORD103008"/>
    <x v="2"/>
    <s v="15-12-2025"/>
    <s v="CUST12413"/>
    <s v="Home Office"/>
    <s v="West Bengal"/>
    <x v="0"/>
    <x v="2"/>
    <s v="Jeans"/>
    <s v="1"/>
    <s v="2694.81"/>
    <n v="0.15"/>
    <s v="1906.9"/>
    <s v="383.69"/>
    <x v="0"/>
    <x v="3"/>
    <s v="Mobile App"/>
    <n v="2290.5884999999998"/>
  </r>
  <r>
    <s v="ORD103010"/>
    <x v="3"/>
    <s v="19-03-2025"/>
    <s v="CUST12085"/>
    <s v="Home Office"/>
    <s v="Maharashtra"/>
    <x v="21"/>
    <x v="1"/>
    <s v="Face Cream"/>
    <s v="1"/>
    <s v="1214.8699999999999"/>
    <n v="0.1"/>
    <s v="742.7"/>
    <s v="350.68"/>
    <x v="2"/>
    <x v="0"/>
    <s v="Mobile App"/>
    <n v="1093.383"/>
  </r>
  <r>
    <s v="ORD103012"/>
    <x v="9"/>
    <s v="14-06-2025"/>
    <s v="CUST13199"/>
    <s v="Home Office"/>
    <s v="Karnataka"/>
    <x v="2"/>
    <x v="0"/>
    <s v="Headphones"/>
    <s v="3"/>
    <s v="59121.89"/>
    <n v="0"/>
    <s v="112396.51"/>
    <s v="64969.16"/>
    <x v="2"/>
    <x v="2"/>
    <s v="Website"/>
    <n v="177365.66999999899"/>
  </r>
  <r>
    <s v="ORD103015"/>
    <x v="6"/>
    <s v="19-07-2025"/>
    <s v="CUST13255"/>
    <s v="Home Office"/>
    <s v="Kerala"/>
    <x v="6"/>
    <x v="4"/>
    <s v="Football"/>
    <s v="3"/>
    <s v="6420.8"/>
    <n v="0.1"/>
    <s v="11294.1"/>
    <s v="6042.06"/>
    <x v="1"/>
    <x v="1"/>
    <s v="Website"/>
    <n v="17336.16"/>
  </r>
  <r>
    <s v="ORD103016"/>
    <x v="11"/>
    <s v="28-10-2025"/>
    <s v="CUST11752"/>
    <s v="Corporate"/>
    <s v="Telangana"/>
    <x v="16"/>
    <x v="3"/>
    <s v="Coffee Maker"/>
    <s v="1"/>
    <s v="2862.92"/>
    <n v="0.15"/>
    <s v="1617.72"/>
    <s v="815.76"/>
    <x v="2"/>
    <x v="0"/>
    <s v="Marketplace"/>
    <n v="2433.482"/>
  </r>
  <r>
    <s v="ORD103020"/>
    <x v="11"/>
    <s v="06-10-2025"/>
    <s v="CUST11224"/>
    <s v="Consumer"/>
    <s v="Maharashtra"/>
    <x v="21"/>
    <x v="1"/>
    <s v="Shampoo"/>
    <s v="1"/>
    <s v="1363.51"/>
    <n v="0.2"/>
    <s v="804.33"/>
    <s v="286.48"/>
    <x v="1"/>
    <x v="0"/>
    <s v="Website"/>
    <n v="1090.808"/>
  </r>
  <r>
    <s v="ORD103022"/>
    <x v="6"/>
    <s v="22-07-2025"/>
    <s v="CUST10702"/>
    <s v="Corporate"/>
    <s v="West Bengal"/>
    <x v="0"/>
    <x v="3"/>
    <s v="Vacuum Cleaner"/>
    <s v="1"/>
    <s v="12589.85"/>
    <n v="0.05"/>
    <s v="8414.5400000000009"/>
    <s v="3545.82"/>
    <x v="3"/>
    <x v="2"/>
    <s v="Mobile App"/>
    <n v="11960.3575"/>
  </r>
  <r>
    <s v="ORD103028"/>
    <x v="0"/>
    <s v="26-01-2025"/>
    <s v="CUST12557"/>
    <s v="Consumer"/>
    <s v="Delhi"/>
    <x v="7"/>
    <x v="0"/>
    <s v="Smartwatch"/>
    <s v="4"/>
    <s v="19346.57"/>
    <n v="0.1"/>
    <s v="53907.88"/>
    <s v="15739.77"/>
    <x v="5"/>
    <x v="2"/>
    <s v="Marketplace"/>
    <n v="69647.652000000002"/>
  </r>
  <r>
    <s v="ORD103029"/>
    <x v="6"/>
    <s v="11-07-2025"/>
    <s v="CUST11111"/>
    <s v="Consumer"/>
    <s v="Karnataka"/>
    <x v="22"/>
    <x v="3"/>
    <s v="Air Fryer"/>
    <s v="1"/>
    <s v="5135.5200000000004"/>
    <n v="0"/>
    <s v="4152.67"/>
    <s v="982.85"/>
    <x v="3"/>
    <x v="0"/>
    <s v="Mobile App"/>
    <n v="5135.5200000000004"/>
  </r>
  <r>
    <s v="ORD103030"/>
    <x v="5"/>
    <s v="02-09-2025"/>
    <s v="CUST11809"/>
    <s v="Corporate"/>
    <s v="Karnataka"/>
    <x v="17"/>
    <x v="2"/>
    <s v="T-Shirt"/>
    <s v="1"/>
    <s v="1122.93"/>
    <n v="0"/>
    <s v="816.15"/>
    <s v="306.77999999999997"/>
    <x v="2"/>
    <x v="0"/>
    <s v="Marketplace"/>
    <n v="1122.93"/>
  </r>
  <r>
    <s v="ORD103037"/>
    <x v="0"/>
    <s v="11-01-2025"/>
    <s v="CUST10414"/>
    <s v="Consumer"/>
    <s v="Maharashtra"/>
    <x v="20"/>
    <x v="0"/>
    <s v="Smartphone"/>
    <s v="2"/>
    <s v="32060.7"/>
    <n v="0"/>
    <s v="48162.17"/>
    <s v="15959.23"/>
    <x v="3"/>
    <x v="3"/>
    <s v="Marketplace"/>
    <n v="64121.4"/>
  </r>
  <r>
    <s v="ORD103039"/>
    <x v="5"/>
    <s v="11-09-2025"/>
    <s v="CUST12831"/>
    <s v="Corporate"/>
    <s v="Tamil Nadu"/>
    <x v="13"/>
    <x v="4"/>
    <s v="Yoga Mat"/>
    <s v="1"/>
    <s v="3891.71"/>
    <n v="0"/>
    <s v="3108.43"/>
    <s v="783.28"/>
    <x v="3"/>
    <x v="0"/>
    <s v="Mobile App"/>
    <n v="3891.71"/>
  </r>
  <r>
    <s v="ORD103042"/>
    <x v="11"/>
    <s v="13-10-2025"/>
    <s v="CUST10052"/>
    <s v="Consumer"/>
    <s v="Karnataka"/>
    <x v="17"/>
    <x v="0"/>
    <s v="Tablet"/>
    <s v="1"/>
    <s v="29659.39"/>
    <n v="0.1"/>
    <s v="18348.16"/>
    <s v="8345.2900000000009"/>
    <x v="5"/>
    <x v="2"/>
    <s v="Marketplace"/>
    <n v="26693.451000000001"/>
  </r>
  <r>
    <s v="ORD103044"/>
    <x v="10"/>
    <s v="10-11-2025"/>
    <s v="CUST11312"/>
    <s v="Corporate"/>
    <s v="Tamil Nadu"/>
    <x v="13"/>
    <x v="2"/>
    <s v="Jeans"/>
    <s v="2"/>
    <s v="3588.64"/>
    <n v="0.15"/>
    <s v="5763.45"/>
    <s v="337.24"/>
    <x v="2"/>
    <x v="0"/>
    <s v="Mobile App"/>
    <n v="6100.6879999999901"/>
  </r>
  <r>
    <s v="ORD103049"/>
    <x v="2"/>
    <s v="08-12-2025"/>
    <s v="CUST12331"/>
    <s v="Home Office"/>
    <s v="Kerala"/>
    <x v="15"/>
    <x v="1"/>
    <s v="Face Cream"/>
    <s v="1"/>
    <s v="529.87"/>
    <n v="0.15"/>
    <s v="338.65"/>
    <s v="111.74"/>
    <x v="1"/>
    <x v="3"/>
    <s v="Website"/>
    <n v="450.3895"/>
  </r>
  <r>
    <s v="ORD103050"/>
    <x v="3"/>
    <s v="20-03-2025"/>
    <s v="CUST13109"/>
    <s v="Home Office"/>
    <s v="Kerala"/>
    <x v="15"/>
    <x v="2"/>
    <s v="Sneakers"/>
    <s v="1"/>
    <s v="4858.12"/>
    <n v="0.15"/>
    <s v="3604.2"/>
    <s v="525.20000000000005"/>
    <x v="3"/>
    <x v="3"/>
    <s v="Mobile App"/>
    <n v="4129.402"/>
  </r>
  <r>
    <s v="ORD103052"/>
    <x v="10"/>
    <s v="18-11-2025"/>
    <s v="CUST10708"/>
    <s v="Home Office"/>
    <s v="West Bengal"/>
    <x v="0"/>
    <x v="2"/>
    <s v="Sneakers"/>
    <s v="1"/>
    <s v="302.38"/>
    <n v="0.15"/>
    <s v="204.66"/>
    <s v="52.36"/>
    <x v="0"/>
    <x v="0"/>
    <s v="Marketplace"/>
    <n v="257.022999999999"/>
  </r>
  <r>
    <s v="ORD103058"/>
    <x v="1"/>
    <s v="20-02-2025"/>
    <s v="CUST13455"/>
    <s v="Home Office"/>
    <s v="Telangana"/>
    <x v="14"/>
    <x v="3"/>
    <s v="Air Fryer"/>
    <s v="1"/>
    <s v="8772.16"/>
    <n v="0.05"/>
    <s v="6775.38"/>
    <s v="1558.17"/>
    <x v="2"/>
    <x v="0"/>
    <s v="Mobile App"/>
    <n v="8333.5519999999997"/>
  </r>
  <r>
    <s v="ORD103059"/>
    <x v="6"/>
    <s v="05-07-2025"/>
    <s v="CUST13159"/>
    <s v="Corporate"/>
    <s v="Tamil Nadu"/>
    <x v="8"/>
    <x v="0"/>
    <s v="Tablet"/>
    <s v="2"/>
    <s v="25270.87"/>
    <n v="0.1"/>
    <s v="33886.83"/>
    <s v="11600.74"/>
    <x v="5"/>
    <x v="0"/>
    <s v="Website"/>
    <n v="45487.565999999999"/>
  </r>
  <r>
    <s v="ORD103061"/>
    <x v="7"/>
    <s v="11-05-2025"/>
    <s v="CUST11632"/>
    <s v="Consumer"/>
    <s v="Karnataka"/>
    <x v="22"/>
    <x v="4"/>
    <s v="Cricket Bat"/>
    <s v="1"/>
    <s v="1234.47"/>
    <n v="0.1"/>
    <s v="889.88"/>
    <s v="221.14"/>
    <x v="1"/>
    <x v="3"/>
    <s v="Website"/>
    <n v="1111.0229999999999"/>
  </r>
  <r>
    <s v="ORD103065"/>
    <x v="9"/>
    <s v="05-06-2025"/>
    <s v="CUST13479"/>
    <s v="Corporate"/>
    <s v="West Bengal"/>
    <x v="0"/>
    <x v="2"/>
    <s v="Handbag"/>
    <s v="1"/>
    <s v="3037.37"/>
    <n v="0.15"/>
    <s v="2027.04"/>
    <s v="554.72"/>
    <x v="1"/>
    <x v="2"/>
    <s v="Website"/>
    <n v="2581.7644999999902"/>
  </r>
  <r>
    <s v="ORD103066"/>
    <x v="6"/>
    <s v="01-07-2025"/>
    <s v="CUST12564"/>
    <s v="Consumer"/>
    <s v="Delhi"/>
    <x v="12"/>
    <x v="3"/>
    <s v="Air Fryer"/>
    <s v="2"/>
    <s v="3694.43"/>
    <n v="0"/>
    <s v="5276.44"/>
    <s v="2112.42"/>
    <x v="5"/>
    <x v="0"/>
    <s v="Website"/>
    <n v="7388.86"/>
  </r>
  <r>
    <s v="ORD103067"/>
    <x v="11"/>
    <s v="01-10-2025"/>
    <s v="CUST13051"/>
    <s v="Corporate"/>
    <s v="West Bengal"/>
    <x v="0"/>
    <x v="4"/>
    <s v="Fitness Band"/>
    <s v="1"/>
    <s v="7281.69"/>
    <n v="0.05"/>
    <s v="5946.86"/>
    <s v="970.75"/>
    <x v="1"/>
    <x v="0"/>
    <s v="Marketplace"/>
    <n v="6917.6054999999997"/>
  </r>
  <r>
    <s v="ORD103070"/>
    <x v="1"/>
    <s v="27-02-2025"/>
    <s v="CUST11770"/>
    <s v="Home Office"/>
    <s v="Delhi"/>
    <x v="7"/>
    <x v="2"/>
    <s v="Sneakers"/>
    <s v="2"/>
    <s v="3590.6"/>
    <n v="0"/>
    <s v="4375.25"/>
    <s v="2805.95"/>
    <x v="2"/>
    <x v="0"/>
    <s v="Marketplace"/>
    <n v="7181.2"/>
  </r>
  <r>
    <s v="ORD103071"/>
    <x v="3"/>
    <s v="20-03-2025"/>
    <s v="CUST12822"/>
    <s v="Home Office"/>
    <s v="Gujarat"/>
    <x v="18"/>
    <x v="3"/>
    <s v="Air Fryer"/>
    <s v="1"/>
    <s v="11048.32"/>
    <n v="0.05"/>
    <s v="7849.09"/>
    <s v="2646.81"/>
    <x v="5"/>
    <x v="0"/>
    <s v="Mobile App"/>
    <n v="10495.9039999999"/>
  </r>
  <r>
    <s v="ORD103072"/>
    <x v="2"/>
    <s v="28-12-2025"/>
    <s v="CUST10744"/>
    <s v="Corporate"/>
    <s v="Delhi"/>
    <x v="12"/>
    <x v="4"/>
    <s v="Fitness Band"/>
    <s v="1"/>
    <s v="2117.59"/>
    <n v="0.05"/>
    <s v="1369.87"/>
    <s v="641.84"/>
    <x v="0"/>
    <x v="0"/>
    <s v="Marketplace"/>
    <n v="2011.7104999999999"/>
  </r>
  <r>
    <s v="ORD103076"/>
    <x v="7"/>
    <s v="12-05-2025"/>
    <s v="CUST11784"/>
    <s v="Home Office"/>
    <s v="Maharashtra"/>
    <x v="20"/>
    <x v="2"/>
    <s v="T-Shirt"/>
    <s v="3"/>
    <s v="5512"/>
    <n v="0"/>
    <s v="12517.2"/>
    <s v="4018.8"/>
    <x v="5"/>
    <x v="3"/>
    <s v="Mobile App"/>
    <n v="16536"/>
  </r>
  <r>
    <s v="ORD103077"/>
    <x v="2"/>
    <s v="07-12-2025"/>
    <s v="CUST11888"/>
    <s v="Home Office"/>
    <s v="Karnataka"/>
    <x v="2"/>
    <x v="0"/>
    <s v="Headphones"/>
    <s v="2"/>
    <s v="5724.54"/>
    <n v="0.05"/>
    <s v="8751.67"/>
    <s v="2124.96"/>
    <x v="2"/>
    <x v="0"/>
    <s v="Marketplace"/>
    <n v="10876.626"/>
  </r>
  <r>
    <s v="ORD103078"/>
    <x v="0"/>
    <s v="14-01-2025"/>
    <s v="CUST10537"/>
    <s v="Home Office"/>
    <s v="Tamil Nadu"/>
    <x v="13"/>
    <x v="1"/>
    <s v="Face Cream"/>
    <s v="1"/>
    <s v="5154.33"/>
    <n v="0"/>
    <s v="3190.45"/>
    <s v="1963.88"/>
    <x v="0"/>
    <x v="0"/>
    <s v="Marketplace"/>
    <n v="5154.33"/>
  </r>
  <r>
    <s v="ORD103080"/>
    <x v="3"/>
    <s v="04-03-2025"/>
    <s v="CUST10194"/>
    <s v="Consumer"/>
    <s v="Kerala"/>
    <x v="5"/>
    <x v="1"/>
    <s v="Hair Dryer"/>
    <s v="3"/>
    <s v="1374"/>
    <n v="0.1"/>
    <s v="3118.52"/>
    <s v="591.28"/>
    <x v="5"/>
    <x v="0"/>
    <s v="Marketplace"/>
    <n v="3709.8"/>
  </r>
  <r>
    <s v="ORD103081"/>
    <x v="6"/>
    <s v="22-07-2025"/>
    <s v="CUST10365"/>
    <s v="Consumer"/>
    <s v="Tamil Nadu"/>
    <x v="8"/>
    <x v="4"/>
    <s v="Cricket Bat"/>
    <s v="1"/>
    <s v="9061.11"/>
    <n v="0"/>
    <s v="5131.5600000000004"/>
    <s v="3929.55"/>
    <x v="5"/>
    <x v="0"/>
    <s v="Mobile App"/>
    <n v="9061.11"/>
  </r>
  <r>
    <s v="ORD103085"/>
    <x v="5"/>
    <s v="08-09-2025"/>
    <s v="CUST12995"/>
    <s v="Home Office"/>
    <s v="Kerala"/>
    <x v="5"/>
    <x v="0"/>
    <s v="Headphones"/>
    <s v="1"/>
    <s v="51235.61"/>
    <n v="0"/>
    <s v="42006.39"/>
    <s v="9229.2199999999993"/>
    <x v="3"/>
    <x v="3"/>
    <s v="Mobile App"/>
    <n v="51235.61"/>
  </r>
  <r>
    <s v="ORD103086"/>
    <x v="6"/>
    <s v="06-07-2025"/>
    <s v="CUST11030"/>
    <s v="Corporate"/>
    <s v="Gujarat"/>
    <x v="3"/>
    <x v="2"/>
    <s v="Sneakers"/>
    <s v="2"/>
    <s v="2141.7600000000002"/>
    <n v="0"/>
    <s v="3045.5"/>
    <s v="1238.02"/>
    <x v="2"/>
    <x v="0"/>
    <s v="Website"/>
    <n v="4283.5200000000004"/>
  </r>
  <r>
    <s v="ORD103087"/>
    <x v="1"/>
    <s v="12-02-2025"/>
    <s v="CUST12443"/>
    <s v="Home Office"/>
    <s v="Tamil Nadu"/>
    <x v="8"/>
    <x v="2"/>
    <s v="Sneakers"/>
    <s v="1"/>
    <s v="5767.9"/>
    <n v="0.1"/>
    <s v="3173.14"/>
    <s v="2017.97"/>
    <x v="1"/>
    <x v="0"/>
    <s v="Marketplace"/>
    <n v="5191.1099999999997"/>
  </r>
  <r>
    <s v="ORD103090"/>
    <x v="7"/>
    <s v="24-05-2025"/>
    <s v="CUST13147"/>
    <s v="Consumer"/>
    <s v="Tamil Nadu"/>
    <x v="11"/>
    <x v="1"/>
    <s v="Perfume"/>
    <s v="1"/>
    <s v="2518.9699999999998"/>
    <n v="0.05"/>
    <s v="1989.34"/>
    <s v="403.68"/>
    <x v="5"/>
    <x v="0"/>
    <s v="Marketplace"/>
    <n v="2393.0214999999998"/>
  </r>
  <r>
    <s v="ORD103091"/>
    <x v="1"/>
    <s v="05-02-2025"/>
    <s v="CUST13202"/>
    <s v="Corporate"/>
    <s v="Delhi"/>
    <x v="7"/>
    <x v="3"/>
    <s v="Air Fryer"/>
    <s v="2"/>
    <s v="12286.54"/>
    <n v="0.05"/>
    <s v="16598.810000000001"/>
    <s v="6745.62"/>
    <x v="5"/>
    <x v="2"/>
    <s v="Website"/>
    <n v="23344.425999999999"/>
  </r>
  <r>
    <s v="ORD103092"/>
    <x v="6"/>
    <s v="08-07-2025"/>
    <s v="CUST12218"/>
    <s v="Corporate"/>
    <s v="Telangana"/>
    <x v="14"/>
    <x v="4"/>
    <s v="Fitness Band"/>
    <s v="1"/>
    <s v="1358.51"/>
    <n v="0.15"/>
    <s v="969.76"/>
    <s v="184.97"/>
    <x v="2"/>
    <x v="0"/>
    <s v="Mobile App"/>
    <n v="1154.7335"/>
  </r>
  <r>
    <s v="ORD103094"/>
    <x v="4"/>
    <s v="14-04-2025"/>
    <s v="CUST11171"/>
    <s v="Corporate"/>
    <s v="Karnataka"/>
    <x v="2"/>
    <x v="2"/>
    <s v="Jeans"/>
    <s v="2"/>
    <s v="4228.8599999999997"/>
    <n v="0.15"/>
    <s v="6595.25"/>
    <s v="593.80999999999995"/>
    <x v="5"/>
    <x v="0"/>
    <s v="Website"/>
    <n v="7189.0619999999899"/>
  </r>
  <r>
    <s v="ORD103102"/>
    <x v="7"/>
    <s v="30-05-2025"/>
    <s v="CUST12421"/>
    <s v="Corporate"/>
    <s v="Maharashtra"/>
    <x v="21"/>
    <x v="3"/>
    <s v="Vacuum Cleaner"/>
    <s v="2"/>
    <s v="17341.78"/>
    <n v="0.1"/>
    <s v="24494.71"/>
    <s v="6720.49"/>
    <x v="3"/>
    <x v="0"/>
    <s v="Marketplace"/>
    <n v="31215.2039999999"/>
  </r>
  <r>
    <s v="ORD103104"/>
    <x v="2"/>
    <s v="26-12-2025"/>
    <s v="CUST12306"/>
    <s v="Home Office"/>
    <s v="Karnataka"/>
    <x v="17"/>
    <x v="0"/>
    <s v="Laptop"/>
    <s v="3"/>
    <s v="10030.69"/>
    <n v="0"/>
    <s v="24670.49"/>
    <s v="5421.58"/>
    <x v="2"/>
    <x v="0"/>
    <s v="Mobile App"/>
    <n v="30092.07"/>
  </r>
  <r>
    <s v="ORD103110"/>
    <x v="2"/>
    <s v="02-12-2025"/>
    <s v="CUST12865"/>
    <s v="Home Office"/>
    <s v="Tamil Nadu"/>
    <x v="19"/>
    <x v="0"/>
    <s v="Tablet"/>
    <s v="1"/>
    <s v="67841.960000000006"/>
    <n v="0.05"/>
    <s v="46162.25"/>
    <s v="18287.61"/>
    <x v="2"/>
    <x v="0"/>
    <s v="Marketplace"/>
    <n v="64449.862000000001"/>
  </r>
  <r>
    <s v="ORD103113"/>
    <x v="10"/>
    <s v="29-11-2025"/>
    <s v="CUST13279"/>
    <s v="Home Office"/>
    <s v="Karnataka"/>
    <x v="17"/>
    <x v="1"/>
    <s v="Shampoo"/>
    <s v="1"/>
    <s v="5837.41"/>
    <n v="0.05"/>
    <s v="3585.23"/>
    <s v="1960.31"/>
    <x v="2"/>
    <x v="0"/>
    <s v="Mobile App"/>
    <n v="5545.5394999999999"/>
  </r>
  <r>
    <s v="ORD103114"/>
    <x v="4"/>
    <s v="15-04-2025"/>
    <s v="CUST11778"/>
    <s v="Corporate"/>
    <s v="Tamil Nadu"/>
    <x v="8"/>
    <x v="0"/>
    <s v="Smartphone"/>
    <s v="2"/>
    <s v="53903.08"/>
    <n v="0.05"/>
    <s v="82486.34"/>
    <s v="19929.509999999998"/>
    <x v="3"/>
    <x v="0"/>
    <s v="Mobile App"/>
    <n v="102415.852"/>
  </r>
  <r>
    <s v="ORD103115"/>
    <x v="7"/>
    <s v="20-05-2025"/>
    <s v="CUST10796"/>
    <s v="Home Office"/>
    <s v="Gujarat"/>
    <x v="18"/>
    <x v="0"/>
    <s v="Laptop"/>
    <s v="2"/>
    <s v="31250.85"/>
    <n v="0.1"/>
    <s v="48393.67"/>
    <s v="7857.86"/>
    <x v="0"/>
    <x v="0"/>
    <s v="Website"/>
    <n v="56251.53"/>
  </r>
  <r>
    <s v="ORD103119"/>
    <x v="8"/>
    <s v="02-08-2025"/>
    <s v="CUST11190"/>
    <s v="Home Office"/>
    <s v="West Bengal"/>
    <x v="9"/>
    <x v="4"/>
    <s v="Cricket Bat"/>
    <s v="4"/>
    <s v="9981.86"/>
    <n v="0.05"/>
    <s v="27451.87"/>
    <s v="10479.200000000001"/>
    <x v="5"/>
    <x v="0"/>
    <s v="Marketplace"/>
    <n v="37931.067999999999"/>
  </r>
  <r>
    <s v="ORD103121"/>
    <x v="8"/>
    <s v="20-08-2025"/>
    <s v="CUST13221"/>
    <s v="Consumer"/>
    <s v="Kerala"/>
    <x v="5"/>
    <x v="2"/>
    <s v="Jacket"/>
    <s v="4"/>
    <s v="888.8"/>
    <n v="0.1"/>
    <s v="2387.16"/>
    <s v="812.52"/>
    <x v="0"/>
    <x v="0"/>
    <s v="Mobile App"/>
    <n v="3199.68"/>
  </r>
  <r>
    <s v="ORD103122"/>
    <x v="4"/>
    <s v="02-04-2025"/>
    <s v="CUST12531"/>
    <s v="Consumer"/>
    <s v="Kerala"/>
    <x v="15"/>
    <x v="0"/>
    <s v="Laptop"/>
    <s v="1"/>
    <s v="72095.58"/>
    <n v="0.2"/>
    <s v="46211.98"/>
    <s v="11464.48"/>
    <x v="0"/>
    <x v="2"/>
    <s v="Website"/>
    <n v="57676.464"/>
  </r>
  <r>
    <s v="ORD103124"/>
    <x v="5"/>
    <s v="06-09-2025"/>
    <s v="CUST13465"/>
    <s v="Consumer"/>
    <s v="Gujarat"/>
    <x v="18"/>
    <x v="2"/>
    <s v="Sneakers"/>
    <s v="1"/>
    <s v="4748.25"/>
    <n v="0.1"/>
    <s v="3044.02"/>
    <s v="1229.4000000000001"/>
    <x v="2"/>
    <x v="0"/>
    <s v="Website"/>
    <n v="4273.4250000000002"/>
  </r>
  <r>
    <s v="ORD103125"/>
    <x v="4"/>
    <s v="08-04-2025"/>
    <s v="CUST10302"/>
    <s v="Corporate"/>
    <s v="Gujarat"/>
    <x v="18"/>
    <x v="3"/>
    <s v="Air Fryer"/>
    <s v="2"/>
    <s v="9770.7099999999991"/>
    <n v="0.15"/>
    <s v="15031.49"/>
    <s v="1578.72"/>
    <x v="2"/>
    <x v="2"/>
    <s v="Website"/>
    <n v="16610.206999999999"/>
  </r>
  <r>
    <s v="ORD103126"/>
    <x v="9"/>
    <s v="21-06-2025"/>
    <s v="CUST10587"/>
    <s v="Consumer"/>
    <s v="Tamil Nadu"/>
    <x v="8"/>
    <x v="1"/>
    <s v="Hair Dryer"/>
    <s v="1"/>
    <s v="2274.38"/>
    <n v="0"/>
    <s v="1469.03"/>
    <s v="805.35"/>
    <x v="5"/>
    <x v="0"/>
    <s v="Marketplace"/>
    <n v="2274.38"/>
  </r>
  <r>
    <s v="ORD103128"/>
    <x v="5"/>
    <s v="04-09-2025"/>
    <s v="CUST12039"/>
    <s v="Consumer"/>
    <s v="Karnataka"/>
    <x v="22"/>
    <x v="0"/>
    <s v="Tablet"/>
    <s v="1"/>
    <s v="48566.400000000001"/>
    <n v="0.1"/>
    <s v="36711.89"/>
    <s v="6997.87"/>
    <x v="0"/>
    <x v="0"/>
    <s v="Mobile App"/>
    <n v="43709.760000000002"/>
  </r>
  <r>
    <s v="ORD103131"/>
    <x v="9"/>
    <s v="01-06-2025"/>
    <s v="CUST11780"/>
    <s v="Corporate"/>
    <s v="Kerala"/>
    <x v="15"/>
    <x v="1"/>
    <s v="Perfume"/>
    <s v="1"/>
    <s v="3126.41"/>
    <n v="0.1"/>
    <s v="1779.08"/>
    <s v="1034.69"/>
    <x v="1"/>
    <x v="0"/>
    <s v="Mobile App"/>
    <n v="2813.7689999999998"/>
  </r>
  <r>
    <s v="ORD103135"/>
    <x v="6"/>
    <s v="12-07-2025"/>
    <s v="CUST12546"/>
    <s v="Home Office"/>
    <s v="Maharashtra"/>
    <x v="4"/>
    <x v="0"/>
    <s v="Laptop"/>
    <s v="3"/>
    <s v="74833.440000000002"/>
    <n v="0.1"/>
    <s v="127983.42"/>
    <s v="74066.87"/>
    <x v="5"/>
    <x v="2"/>
    <s v="Marketplace"/>
    <n v="202050.288"/>
  </r>
  <r>
    <s v="ORD103137"/>
    <x v="6"/>
    <s v="23-07-2025"/>
    <s v="CUST10831"/>
    <s v="Consumer"/>
    <s v="Telangana"/>
    <x v="14"/>
    <x v="4"/>
    <s v="Football"/>
    <s v="2"/>
    <s v="11728.04"/>
    <n v="0.1"/>
    <s v="14802.46"/>
    <s v="6308.01"/>
    <x v="3"/>
    <x v="0"/>
    <s v="Marketplace"/>
    <n v="21110.472000000002"/>
  </r>
  <r>
    <s v="ORD103138"/>
    <x v="8"/>
    <s v="15-08-2025"/>
    <s v="CUST12655"/>
    <s v="Corporate"/>
    <s v="Maharashtra"/>
    <x v="4"/>
    <x v="3"/>
    <s v="Mixer Grinder"/>
    <s v="1"/>
    <s v="1573.12"/>
    <n v="0.05"/>
    <s v="1122.1600000000001"/>
    <s v="372.3"/>
    <x v="1"/>
    <x v="0"/>
    <s v="Website"/>
    <n v="1494.4639999999899"/>
  </r>
  <r>
    <s v="ORD103139"/>
    <x v="9"/>
    <s v="04-06-2025"/>
    <s v="CUST13067"/>
    <s v="Consumer"/>
    <s v="Maharashtra"/>
    <x v="20"/>
    <x v="1"/>
    <s v="Perfume"/>
    <s v="4"/>
    <s v="4713.6400000000003"/>
    <n v="0.05"/>
    <s v="11521.46"/>
    <s v="6390.37"/>
    <x v="5"/>
    <x v="2"/>
    <s v="Website"/>
    <n v="17911.831999999999"/>
  </r>
  <r>
    <s v="ORD103141"/>
    <x v="1"/>
    <s v="19-02-2025"/>
    <s v="CUST11531"/>
    <s v="Corporate"/>
    <s v="Karnataka"/>
    <x v="17"/>
    <x v="2"/>
    <s v="Jeans"/>
    <s v="1"/>
    <s v="2943.49"/>
    <n v="0.05"/>
    <s v="1644.47"/>
    <s v="1151.8499999999999"/>
    <x v="1"/>
    <x v="0"/>
    <s v="Website"/>
    <n v="2796.3154999999902"/>
  </r>
  <r>
    <s v="ORD103143"/>
    <x v="1"/>
    <s v="08-02-2025"/>
    <s v="CUST10258"/>
    <s v="Corporate"/>
    <s v="Delhi"/>
    <x v="7"/>
    <x v="2"/>
    <s v="Jeans"/>
    <s v="2"/>
    <s v="610.70000000000005"/>
    <n v="0.1"/>
    <s v="687.91"/>
    <s v="411.35"/>
    <x v="1"/>
    <x v="0"/>
    <s v="Marketplace"/>
    <n v="1099.26"/>
  </r>
  <r>
    <s v="ORD103144"/>
    <x v="6"/>
    <s v="21-07-2025"/>
    <s v="CUST10685"/>
    <s v="Corporate"/>
    <s v="Karnataka"/>
    <x v="22"/>
    <x v="2"/>
    <s v="Sneakers"/>
    <s v="1"/>
    <s v="4579.1899999999996"/>
    <n v="0.05"/>
    <s v="2770.74"/>
    <s v="1579.49"/>
    <x v="3"/>
    <x v="0"/>
    <s v="Website"/>
    <n v="4350.2304999999997"/>
  </r>
  <r>
    <s v="ORD103145"/>
    <x v="9"/>
    <s v="25-06-2025"/>
    <s v="CUST12705"/>
    <s v="Consumer"/>
    <s v="Kerala"/>
    <x v="6"/>
    <x v="1"/>
    <s v="Shampoo"/>
    <s v="3"/>
    <s v="3141.03"/>
    <n v="0"/>
    <s v="6350.9"/>
    <s v="3072.19"/>
    <x v="5"/>
    <x v="2"/>
    <s v="Website"/>
    <n v="9423.09"/>
  </r>
  <r>
    <s v="ORD103150"/>
    <x v="3"/>
    <s v="10-03-2025"/>
    <s v="CUST13220"/>
    <s v="Corporate"/>
    <s v="Kerala"/>
    <x v="15"/>
    <x v="3"/>
    <s v="Cookware Set"/>
    <s v="3"/>
    <s v="16545.28"/>
    <n v="0"/>
    <s v="29114.7"/>
    <s v="20521.14"/>
    <x v="1"/>
    <x v="0"/>
    <s v="Mobile App"/>
    <n v="49635.839999999997"/>
  </r>
  <r>
    <s v="ORD103152"/>
    <x v="0"/>
    <s v="29-01-2025"/>
    <s v="CUST12530"/>
    <s v="Home Office"/>
    <s v="West Bengal"/>
    <x v="0"/>
    <x v="4"/>
    <s v="Football"/>
    <s v="4"/>
    <s v="3783"/>
    <n v="0.05"/>
    <s v="10144.700000000001"/>
    <s v="4230.7"/>
    <x v="0"/>
    <x v="0"/>
    <s v="Mobile App"/>
    <n v="14375.4"/>
  </r>
  <r>
    <s v="ORD103157"/>
    <x v="7"/>
    <s v="06-05-2025"/>
    <s v="CUST13358"/>
    <s v="Home Office"/>
    <s v="Kerala"/>
    <x v="5"/>
    <x v="2"/>
    <s v="Jacket"/>
    <s v="1"/>
    <s v="4636.8"/>
    <n v="0.1"/>
    <s v="3015.85"/>
    <s v="1157.27"/>
    <x v="5"/>
    <x v="2"/>
    <s v="Website"/>
    <n v="4173.12"/>
  </r>
  <r>
    <s v="ORD103159"/>
    <x v="11"/>
    <s v="04-10-2025"/>
    <s v="CUST13133"/>
    <s v="Home Office"/>
    <s v="Gujarat"/>
    <x v="18"/>
    <x v="0"/>
    <s v="Smartphone"/>
    <s v="1"/>
    <s v="29974.41"/>
    <n v="0.15"/>
    <s v="18769.310000000001"/>
    <s v="6708.94"/>
    <x v="1"/>
    <x v="0"/>
    <s v="Website"/>
    <n v="25478.2484999999"/>
  </r>
  <r>
    <s v="ORD103162"/>
    <x v="6"/>
    <s v="27-07-2025"/>
    <s v="CUST11326"/>
    <s v="Corporate"/>
    <s v="Maharashtra"/>
    <x v="21"/>
    <x v="3"/>
    <s v="Cookware Set"/>
    <s v="1"/>
    <s v="6746.7"/>
    <n v="0"/>
    <s v="4487.3100000000004"/>
    <s v="2259.39"/>
    <x v="5"/>
    <x v="0"/>
    <s v="Mobile App"/>
    <n v="6746.7"/>
  </r>
  <r>
    <s v="ORD103163"/>
    <x v="2"/>
    <s v="25-12-2025"/>
    <s v="CUST10452"/>
    <s v="Home Office"/>
    <s v="Kerala"/>
    <x v="6"/>
    <x v="0"/>
    <s v="Tablet"/>
    <s v="1"/>
    <s v="57139.27"/>
    <n v="0.1"/>
    <s v="37655.85"/>
    <s v="13769.49"/>
    <x v="3"/>
    <x v="0"/>
    <s v="Mobile App"/>
    <n v="51425.343000000001"/>
  </r>
  <r>
    <s v="ORD103166"/>
    <x v="10"/>
    <s v="05-11-2025"/>
    <s v="CUST10839"/>
    <s v="Corporate"/>
    <s v="Delhi"/>
    <x v="7"/>
    <x v="2"/>
    <s v="T-Shirt"/>
    <s v="2"/>
    <s v="4984.76"/>
    <n v="0.1"/>
    <s v="8035.37"/>
    <s v="937.2"/>
    <x v="3"/>
    <x v="0"/>
    <s v="Marketplace"/>
    <n v="8972.5679999999993"/>
  </r>
  <r>
    <s v="ORD103168"/>
    <x v="5"/>
    <s v="20-09-2025"/>
    <s v="CUST12533"/>
    <s v="Consumer"/>
    <s v="Kerala"/>
    <x v="6"/>
    <x v="2"/>
    <s v="Handbag"/>
    <s v="3"/>
    <s v="714.54"/>
    <n v="0.15"/>
    <s v="1342.1"/>
    <s v="479.98"/>
    <x v="5"/>
    <x v="0"/>
    <s v="Website"/>
    <n v="1822.07699999999"/>
  </r>
  <r>
    <s v="ORD103170"/>
    <x v="3"/>
    <s v="23-03-2025"/>
    <s v="CUST11129"/>
    <s v="Consumer"/>
    <s v="West Bengal"/>
    <x v="9"/>
    <x v="4"/>
    <s v="Fitness Band"/>
    <s v="1"/>
    <s v="9752.68"/>
    <n v="0.2"/>
    <s v="5400.75"/>
    <s v="2401.39"/>
    <x v="2"/>
    <x v="0"/>
    <s v="Mobile App"/>
    <n v="7802.1440000000002"/>
  </r>
  <r>
    <s v="ORD103171"/>
    <x v="8"/>
    <s v="08-08-2025"/>
    <s v="CUST11504"/>
    <s v="Consumer"/>
    <s v="West Bengal"/>
    <x v="0"/>
    <x v="3"/>
    <s v="Coffee Maker"/>
    <s v="2"/>
    <s v="8140.63"/>
    <n v="0.05"/>
    <s v="12081.67"/>
    <s v="3385.53"/>
    <x v="3"/>
    <x v="0"/>
    <s v="Mobile App"/>
    <n v="15467.197"/>
  </r>
  <r>
    <s v="ORD103174"/>
    <x v="4"/>
    <s v="11-04-2025"/>
    <s v="CUST13314"/>
    <s v="Home Office"/>
    <s v="Gujarat"/>
    <x v="3"/>
    <x v="2"/>
    <s v="T-Shirt"/>
    <s v="1"/>
    <s v="5828.16"/>
    <n v="0.15"/>
    <s v="3573.8"/>
    <s v="1380.14"/>
    <x v="3"/>
    <x v="0"/>
    <s v="Marketplace"/>
    <n v="4953.9359999999997"/>
  </r>
  <r>
    <s v="ORD103175"/>
    <x v="8"/>
    <s v="09-08-2025"/>
    <s v="CUST10202"/>
    <s v="Consumer"/>
    <s v="Delhi"/>
    <x v="12"/>
    <x v="0"/>
    <s v="Smartwatch"/>
    <s v="1"/>
    <s v="29425.87"/>
    <n v="0.05"/>
    <s v="19026.66"/>
    <s v="8927.92"/>
    <x v="0"/>
    <x v="0"/>
    <s v="Marketplace"/>
    <n v="27954.576499999999"/>
  </r>
  <r>
    <s v="ORD103176"/>
    <x v="3"/>
    <s v="22-03-2025"/>
    <s v="CUST13300"/>
    <s v="Home Office"/>
    <s v="Kerala"/>
    <x v="6"/>
    <x v="0"/>
    <s v="Headphones"/>
    <s v="3"/>
    <s v="18137.2"/>
    <n v="0.1"/>
    <s v="34399.67"/>
    <s v="14570.77"/>
    <x v="0"/>
    <x v="1"/>
    <s v="Marketplace"/>
    <n v="48970.44"/>
  </r>
  <r>
    <s v="ORD103183"/>
    <x v="11"/>
    <s v="11-10-2025"/>
    <s v="CUST12932"/>
    <s v="Home Office"/>
    <s v="Delhi"/>
    <x v="7"/>
    <x v="1"/>
    <s v="Lipstick"/>
    <s v="1"/>
    <s v="322.10000000000002"/>
    <n v="0.1"/>
    <s v="218.65"/>
    <s v="71.239999999999995"/>
    <x v="1"/>
    <x v="0"/>
    <s v="Marketplace"/>
    <n v="289.89"/>
  </r>
  <r>
    <s v="ORD103184"/>
    <x v="3"/>
    <s v="04-03-2025"/>
    <s v="CUST11266"/>
    <s v="Consumer"/>
    <s v="Karnataka"/>
    <x v="22"/>
    <x v="2"/>
    <s v="T-Shirt"/>
    <s v="1"/>
    <s v="4889.66"/>
    <n v="0.05"/>
    <s v="2877.89"/>
    <s v="1767.29"/>
    <x v="1"/>
    <x v="0"/>
    <s v="Mobile App"/>
    <n v="4645.1769999999997"/>
  </r>
  <r>
    <s v="ORD103185"/>
    <x v="0"/>
    <s v="29-01-2025"/>
    <s v="CUST12105"/>
    <s v="Corporate"/>
    <s v="Karnataka"/>
    <x v="2"/>
    <x v="3"/>
    <s v="Coffee Maker"/>
    <s v="1"/>
    <s v="5936.03"/>
    <n v="0.2"/>
    <s v="4210.68"/>
    <s v="538.14"/>
    <x v="2"/>
    <x v="0"/>
    <s v="Mobile App"/>
    <n v="4748.8239999999996"/>
  </r>
  <r>
    <s v="ORD103188"/>
    <x v="5"/>
    <s v="16-09-2025"/>
    <s v="CUST12320"/>
    <s v="Home Office"/>
    <s v="Telangana"/>
    <x v="16"/>
    <x v="3"/>
    <s v="Vacuum Cleaner"/>
    <s v="1"/>
    <s v="13110.04"/>
    <n v="0.05"/>
    <s v="7595.2"/>
    <s v="4859.34"/>
    <x v="5"/>
    <x v="0"/>
    <s v="Website"/>
    <n v="12454.538"/>
  </r>
  <r>
    <s v="ORD103190"/>
    <x v="7"/>
    <s v="17-05-2025"/>
    <s v="CUST12833"/>
    <s v="Home Office"/>
    <s v="Telangana"/>
    <x v="14"/>
    <x v="0"/>
    <s v="Smartwatch"/>
    <s v="2"/>
    <s v="16104.97"/>
    <n v="0.15"/>
    <s v="24170.3"/>
    <s v="3208.15"/>
    <x v="1"/>
    <x v="0"/>
    <s v="Mobile App"/>
    <n v="27378.448999999899"/>
  </r>
  <r>
    <s v="ORD103193"/>
    <x v="5"/>
    <s v="25-09-2025"/>
    <s v="CUST10507"/>
    <s v="Home Office"/>
    <s v="Delhi"/>
    <x v="7"/>
    <x v="0"/>
    <s v="Headphones"/>
    <s v="1"/>
    <s v="52913.87"/>
    <n v="0.1"/>
    <s v="32406.34"/>
    <s v="15216.14"/>
    <x v="2"/>
    <x v="2"/>
    <s v="Mobile App"/>
    <n v="47622.483"/>
  </r>
  <r>
    <s v="ORD103194"/>
    <x v="5"/>
    <s v="14-09-2025"/>
    <s v="CUST11961"/>
    <s v="Consumer"/>
    <s v="Delhi"/>
    <x v="12"/>
    <x v="3"/>
    <s v="Air Fryer"/>
    <s v="1"/>
    <s v="17210"/>
    <n v="0.05"/>
    <s v="11823.52"/>
    <s v="4525.9799999999996"/>
    <x v="1"/>
    <x v="0"/>
    <s v="Marketplace"/>
    <n v="16349.5"/>
  </r>
  <r>
    <s v="ORD103195"/>
    <x v="3"/>
    <s v="27-03-2025"/>
    <s v="CUST10215"/>
    <s v="Corporate"/>
    <s v="Gujarat"/>
    <x v="10"/>
    <x v="4"/>
    <s v="Football"/>
    <s v="3"/>
    <s v="5843.49"/>
    <n v="0.15"/>
    <s v="10277.81"/>
    <s v="4623.09"/>
    <x v="0"/>
    <x v="0"/>
    <s v="Mobile App"/>
    <n v="14900.8995"/>
  </r>
  <r>
    <s v="ORD103196"/>
    <x v="11"/>
    <s v="06-10-2025"/>
    <s v="CUST10410"/>
    <s v="Consumer"/>
    <s v="West Bengal"/>
    <x v="9"/>
    <x v="1"/>
    <s v="Hair Dryer"/>
    <s v="2"/>
    <s v="3238.21"/>
    <n v="0.05"/>
    <s v="4732.79"/>
    <s v="1419.81"/>
    <x v="3"/>
    <x v="0"/>
    <s v="Marketplace"/>
    <n v="6152.5990000000002"/>
  </r>
  <r>
    <s v="ORD103198"/>
    <x v="9"/>
    <s v="11-06-2025"/>
    <s v="CUST11147"/>
    <s v="Home Office"/>
    <s v="Karnataka"/>
    <x v="2"/>
    <x v="4"/>
    <s v="Football"/>
    <s v="1"/>
    <s v="4133.79"/>
    <n v="0.05"/>
    <s v="3355.63"/>
    <s v="571.47"/>
    <x v="2"/>
    <x v="2"/>
    <s v="Website"/>
    <n v="3927.10049999999"/>
  </r>
  <r>
    <s v="ORD103199"/>
    <x v="0"/>
    <s v="19-01-2025"/>
    <s v="CUST11055"/>
    <s v="Corporate"/>
    <s v="Maharashtra"/>
    <x v="4"/>
    <x v="3"/>
    <s v="Air Fryer"/>
    <s v="1"/>
    <s v="13462.89"/>
    <n v="0.1"/>
    <s v="8821.93"/>
    <s v="3294.67"/>
    <x v="0"/>
    <x v="0"/>
    <s v="Marketplace"/>
    <n v="12116.601000000001"/>
  </r>
  <r>
    <s v="ORD103200"/>
    <x v="3"/>
    <s v="04-03-2025"/>
    <s v="CUST10813"/>
    <s v="Home Office"/>
    <s v="Maharashtra"/>
    <x v="20"/>
    <x v="1"/>
    <s v="Hair Dryer"/>
    <s v="1"/>
    <s v="3249.05"/>
    <n v="0.05"/>
    <s v="1966.41"/>
    <s v="1120.19"/>
    <x v="3"/>
    <x v="0"/>
    <s v="Mobile App"/>
    <n v="3086.5974999999999"/>
  </r>
  <r>
    <s v="ORD103203"/>
    <x v="3"/>
    <s v="31-03-2025"/>
    <s v="CUST12272"/>
    <s v="Corporate"/>
    <s v="Kerala"/>
    <x v="5"/>
    <x v="3"/>
    <s v="Cookware Set"/>
    <s v="1"/>
    <s v="11844.67"/>
    <n v="0.05"/>
    <s v="9284.3799999999992"/>
    <s v="1968.06"/>
    <x v="5"/>
    <x v="0"/>
    <s v="Marketplace"/>
    <n v="11252.4365"/>
  </r>
  <r>
    <s v="ORD103205"/>
    <x v="4"/>
    <s v="09-04-2025"/>
    <s v="CUST10355"/>
    <s v="Corporate"/>
    <s v="Telangana"/>
    <x v="14"/>
    <x v="0"/>
    <s v="Laptop"/>
    <s v="2"/>
    <s v="69679.72"/>
    <n v="0.1"/>
    <s v="102312.78"/>
    <s v="23110.720000000001"/>
    <x v="0"/>
    <x v="0"/>
    <s v="Website"/>
    <n v="125423.496"/>
  </r>
  <r>
    <s v="ORD103206"/>
    <x v="9"/>
    <s v="18-06-2025"/>
    <s v="CUST12776"/>
    <s v="Home Office"/>
    <s v="Telangana"/>
    <x v="16"/>
    <x v="4"/>
    <s v="Football"/>
    <s v="1"/>
    <s v="3080.94"/>
    <n v="0.05"/>
    <s v="2141.7800000000002"/>
    <s v="785.11"/>
    <x v="0"/>
    <x v="0"/>
    <s v="Mobile App"/>
    <n v="2926.893"/>
  </r>
  <r>
    <s v="ORD103208"/>
    <x v="8"/>
    <s v="27-08-2025"/>
    <s v="CUST12078"/>
    <s v="Consumer"/>
    <s v="West Bengal"/>
    <x v="9"/>
    <x v="0"/>
    <s v="Smartphone"/>
    <s v="1"/>
    <s v="38385.550000000003"/>
    <n v="0.1"/>
    <s v="29843.22"/>
    <s v="4703.78"/>
    <x v="5"/>
    <x v="0"/>
    <s v="Mobile App"/>
    <n v="34546.995000000003"/>
  </r>
  <r>
    <s v="ORD103210"/>
    <x v="10"/>
    <s v="19-11-2025"/>
    <s v="CUST12774"/>
    <s v="Home Office"/>
    <s v="West Bengal"/>
    <x v="9"/>
    <x v="0"/>
    <s v="Headphones"/>
    <s v="3"/>
    <s v="68321.55"/>
    <n v="0.15"/>
    <s v="113047.6"/>
    <s v="61172.35"/>
    <x v="3"/>
    <x v="3"/>
    <s v="Marketplace"/>
    <n v="174219.95250000001"/>
  </r>
  <r>
    <s v="ORD103213"/>
    <x v="6"/>
    <s v="23-07-2025"/>
    <s v="CUST11313"/>
    <s v="Consumer"/>
    <s v="Maharashtra"/>
    <x v="20"/>
    <x v="3"/>
    <s v="Coffee Maker"/>
    <s v="1"/>
    <s v="16610.59"/>
    <n v="0.05"/>
    <s v="12826.13"/>
    <s v="2953.93"/>
    <x v="2"/>
    <x v="0"/>
    <s v="Marketplace"/>
    <n v="15780.0605"/>
  </r>
  <r>
    <s v="ORD103215"/>
    <x v="1"/>
    <s v="27-02-2025"/>
    <s v="CUST11867"/>
    <s v="Home Office"/>
    <s v="Delhi"/>
    <x v="7"/>
    <x v="3"/>
    <s v="Air Fryer"/>
    <s v="1"/>
    <s v="14833"/>
    <n v="0"/>
    <s v="8904.18"/>
    <s v="5928.82"/>
    <x v="5"/>
    <x v="3"/>
    <s v="Mobile App"/>
    <n v="14833"/>
  </r>
  <r>
    <s v="ORD103220"/>
    <x v="3"/>
    <s v="29-03-2025"/>
    <s v="CUST13238"/>
    <s v="Corporate"/>
    <s v="West Bengal"/>
    <x v="9"/>
    <x v="2"/>
    <s v="T-Shirt"/>
    <s v="3"/>
    <s v="685.96"/>
    <n v="0.15"/>
    <s v="1492.68"/>
    <s v="256.52"/>
    <x v="0"/>
    <x v="0"/>
    <s v="Website"/>
    <n v="1749.1980000000001"/>
  </r>
  <r>
    <s v="ORD103224"/>
    <x v="1"/>
    <s v="02-02-2025"/>
    <s v="CUST10374"/>
    <s v="Corporate"/>
    <s v="Telangana"/>
    <x v="16"/>
    <x v="4"/>
    <s v="Football"/>
    <s v="4"/>
    <s v="8920.01"/>
    <n v="0.05"/>
    <s v="24269"/>
    <s v="9627.0400000000009"/>
    <x v="0"/>
    <x v="0"/>
    <s v="Mobile App"/>
    <n v="33896.038"/>
  </r>
  <r>
    <s v="ORD103225"/>
    <x v="1"/>
    <s v="06-02-2025"/>
    <s v="CUST13013"/>
    <s v="Home Office"/>
    <s v="Karnataka"/>
    <x v="22"/>
    <x v="0"/>
    <s v="Smartwatch"/>
    <s v="1"/>
    <s v="69292.45"/>
    <n v="0.1"/>
    <s v="51814.69"/>
    <s v="10548.51"/>
    <x v="2"/>
    <x v="2"/>
    <s v="Website"/>
    <n v="62363.205000000002"/>
  </r>
  <r>
    <s v="ORD103227"/>
    <x v="7"/>
    <s v="12-05-2025"/>
    <s v="CUST13203"/>
    <s v="Corporate"/>
    <s v="Kerala"/>
    <x v="15"/>
    <x v="3"/>
    <s v="Coffee Maker"/>
    <s v="1"/>
    <s v="7004.06"/>
    <n v="0"/>
    <s v="4141.33"/>
    <s v="2862.73"/>
    <x v="0"/>
    <x v="0"/>
    <s v="Marketplace"/>
    <n v="7004.06"/>
  </r>
  <r>
    <s v="ORD103228"/>
    <x v="1"/>
    <s v="15-02-2025"/>
    <s v="CUST11097"/>
    <s v="Home Office"/>
    <s v="Maharashtra"/>
    <x v="21"/>
    <x v="1"/>
    <s v="Shampoo"/>
    <s v="2"/>
    <s v="3414.07"/>
    <n v="0.1"/>
    <s v="4798.01"/>
    <s v="1347.32"/>
    <x v="2"/>
    <x v="0"/>
    <s v="Website"/>
    <n v="6145.326"/>
  </r>
  <r>
    <s v="ORD103233"/>
    <x v="8"/>
    <s v="20-08-2025"/>
    <s v="CUST13303"/>
    <s v="Consumer"/>
    <s v="Karnataka"/>
    <x v="2"/>
    <x v="3"/>
    <s v="Coffee Maker"/>
    <s v="2"/>
    <s v="10965.13"/>
    <n v="0.1"/>
    <s v="17103.02"/>
    <s v="2634.21"/>
    <x v="5"/>
    <x v="0"/>
    <s v="Website"/>
    <n v="19737.234"/>
  </r>
  <r>
    <s v="ORD103236"/>
    <x v="4"/>
    <s v="14-04-2025"/>
    <s v="CUST12299"/>
    <s v="Home Office"/>
    <s v="Gujarat"/>
    <x v="10"/>
    <x v="2"/>
    <s v="Jeans"/>
    <s v="1"/>
    <s v="2945.75"/>
    <n v="0.1"/>
    <s v="2059.5700000000002"/>
    <s v="591.61"/>
    <x v="2"/>
    <x v="0"/>
    <s v="Mobile App"/>
    <n v="2651.1750000000002"/>
  </r>
  <r>
    <s v="ORD103238"/>
    <x v="10"/>
    <s v="05-11-2025"/>
    <s v="CUST10117"/>
    <s v="Home Office"/>
    <s v="Maharashtra"/>
    <x v="4"/>
    <x v="0"/>
    <s v="Smartphone"/>
    <s v="1"/>
    <s v="48689.5"/>
    <n v="0.05"/>
    <s v="39713.269999999997"/>
    <s v="6541.75"/>
    <x v="0"/>
    <x v="0"/>
    <s v="Marketplace"/>
    <n v="46255.025000000001"/>
  </r>
  <r>
    <s v="ORD103239"/>
    <x v="3"/>
    <s v="25-03-2025"/>
    <s v="CUST11332"/>
    <s v="Consumer"/>
    <s v="West Bengal"/>
    <x v="9"/>
    <x v="0"/>
    <s v="Smartphone"/>
    <s v="1"/>
    <s v="67266.289999999994"/>
    <n v="0.05"/>
    <s v="49701.23"/>
    <s v="14201.75"/>
    <x v="1"/>
    <x v="0"/>
    <s v="Mobile App"/>
    <n v="63902.975499999899"/>
  </r>
  <r>
    <s v="ORD103242"/>
    <x v="3"/>
    <s v="25-03-2025"/>
    <s v="CUST11691"/>
    <s v="Corporate"/>
    <s v="Karnataka"/>
    <x v="22"/>
    <x v="0"/>
    <s v="Smartwatch"/>
    <s v="1"/>
    <s v="29725.77"/>
    <n v="0.1"/>
    <s v="17823.3"/>
    <s v="8929.89"/>
    <x v="5"/>
    <x v="0"/>
    <s v="Marketplace"/>
    <n v="26753.192999999999"/>
  </r>
  <r>
    <s v="ORD103243"/>
    <x v="6"/>
    <s v="13-07-2025"/>
    <s v="CUST12517"/>
    <s v="Corporate"/>
    <s v="Gujarat"/>
    <x v="10"/>
    <x v="0"/>
    <s v="Smartphone"/>
    <s v="1"/>
    <s v="17983.72"/>
    <n v="0"/>
    <s v="14567.05"/>
    <s v="3416.67"/>
    <x v="3"/>
    <x v="0"/>
    <s v="Marketplace"/>
    <n v="17983.72"/>
  </r>
  <r>
    <s v="ORD103244"/>
    <x v="11"/>
    <s v="02-10-2025"/>
    <s v="CUST11380"/>
    <s v="Home Office"/>
    <s v="Maharashtra"/>
    <x v="4"/>
    <x v="3"/>
    <s v="Cookware Set"/>
    <s v="1"/>
    <s v="8559.82"/>
    <n v="0.05"/>
    <s v="6146.26"/>
    <s v="1985.57"/>
    <x v="3"/>
    <x v="0"/>
    <s v="Mobile App"/>
    <n v="8131.8289999999997"/>
  </r>
  <r>
    <s v="ORD103248"/>
    <x v="1"/>
    <s v="14-02-2025"/>
    <s v="CUST11738"/>
    <s v="Home Office"/>
    <s v="Tamil Nadu"/>
    <x v="8"/>
    <x v="3"/>
    <s v="Coffee Maker"/>
    <s v="1"/>
    <s v="14873.02"/>
    <n v="0.05"/>
    <s v="9356.8700000000008"/>
    <s v="4772.5"/>
    <x v="1"/>
    <x v="0"/>
    <s v="Marketplace"/>
    <n v="14129.369000000001"/>
  </r>
  <r>
    <s v="ORD103254"/>
    <x v="1"/>
    <s v="28-02-2025"/>
    <s v="CUST10503"/>
    <s v="Home Office"/>
    <s v="Kerala"/>
    <x v="15"/>
    <x v="0"/>
    <s v="Headphones"/>
    <s v="1"/>
    <s v="22019.41"/>
    <n v="0.1"/>
    <s v="14802.29"/>
    <s v="5015.18"/>
    <x v="5"/>
    <x v="2"/>
    <s v="Website"/>
    <n v="19817.469000000001"/>
  </r>
  <r>
    <s v="ORD103255"/>
    <x v="2"/>
    <s v="02-12-2025"/>
    <s v="CUST10891"/>
    <s v="Consumer"/>
    <s v="Maharashtra"/>
    <x v="21"/>
    <x v="0"/>
    <s v="Smartwatch"/>
    <s v="1"/>
    <s v="28565.74"/>
    <n v="0.15"/>
    <s v="22939.48"/>
    <s v="1341.4"/>
    <x v="0"/>
    <x v="2"/>
    <s v="Mobile App"/>
    <n v="24280.879000000001"/>
  </r>
  <r>
    <s v="ORD103256"/>
    <x v="3"/>
    <s v="21-03-2025"/>
    <s v="CUST13208"/>
    <s v="Corporate"/>
    <s v="West Bengal"/>
    <x v="9"/>
    <x v="4"/>
    <s v="Cricket Bat"/>
    <s v="1"/>
    <s v="4214.38"/>
    <n v="0.2"/>
    <s v="3073.89"/>
    <s v="297.61"/>
    <x v="0"/>
    <x v="0"/>
    <s v="Mobile App"/>
    <n v="3371.5039999999999"/>
  </r>
  <r>
    <s v="ORD103258"/>
    <x v="6"/>
    <s v="28-07-2025"/>
    <s v="CUST11714"/>
    <s v="Consumer"/>
    <s v="Delhi"/>
    <x v="7"/>
    <x v="0"/>
    <s v="Smartphone"/>
    <s v="1"/>
    <s v="60190.879999999997"/>
    <n v="0.1"/>
    <s v="43970.25"/>
    <s v="10201.540000000001"/>
    <x v="2"/>
    <x v="0"/>
    <s v="Mobile App"/>
    <n v="54171.792000000001"/>
  </r>
  <r>
    <s v="ORD103259"/>
    <x v="9"/>
    <s v="08-06-2025"/>
    <s v="CUST12795"/>
    <s v="Home Office"/>
    <s v="Tamil Nadu"/>
    <x v="8"/>
    <x v="1"/>
    <s v="Shampoo"/>
    <s v="1"/>
    <s v="5242.95"/>
    <n v="0.1"/>
    <s v="3437.28"/>
    <s v="1281.3800000000001"/>
    <x v="1"/>
    <x v="0"/>
    <s v="Website"/>
    <n v="4718.6549999999997"/>
  </r>
  <r>
    <s v="ORD103262"/>
    <x v="7"/>
    <s v="18-05-2025"/>
    <s v="CUST13228"/>
    <s v="Corporate"/>
    <s v="West Bengal"/>
    <x v="0"/>
    <x v="1"/>
    <s v="Hair Dryer"/>
    <s v="2"/>
    <s v="5990.19"/>
    <n v="0.15"/>
    <s v="9634.86"/>
    <s v="548.46"/>
    <x v="2"/>
    <x v="0"/>
    <s v="Mobile App"/>
    <n v="10183.3229999999"/>
  </r>
  <r>
    <s v="ORD103269"/>
    <x v="11"/>
    <s v="18-10-2025"/>
    <s v="CUST10401"/>
    <s v="Home Office"/>
    <s v="Gujarat"/>
    <x v="18"/>
    <x v="0"/>
    <s v="Tablet"/>
    <s v="1"/>
    <s v="49043.67"/>
    <n v="0.1"/>
    <s v="32126.2"/>
    <s v="12013.1"/>
    <x v="1"/>
    <x v="0"/>
    <s v="Website"/>
    <n v="44139.303"/>
  </r>
  <r>
    <s v="ORD103276"/>
    <x v="3"/>
    <s v="19-03-2025"/>
    <s v="CUST12887"/>
    <s v="Corporate"/>
    <s v="Delhi"/>
    <x v="7"/>
    <x v="3"/>
    <s v="Coffee Maker"/>
    <s v="3"/>
    <s v="16526.810000000001"/>
    <n v="0.15"/>
    <s v="37997.949999999997"/>
    <s v="4145.42"/>
    <x v="3"/>
    <x v="0"/>
    <s v="Mobile App"/>
    <n v="42143.3655"/>
  </r>
  <r>
    <s v="ORD103283"/>
    <x v="11"/>
    <s v="09-10-2025"/>
    <s v="CUST12095"/>
    <s v="Corporate"/>
    <s v="Telangana"/>
    <x v="14"/>
    <x v="3"/>
    <s v="Vacuum Cleaner"/>
    <s v="1"/>
    <s v="10825.14"/>
    <n v="0"/>
    <s v="8708.42"/>
    <s v="2116.7199999999998"/>
    <x v="0"/>
    <x v="0"/>
    <s v="Marketplace"/>
    <n v="10825.14"/>
  </r>
  <r>
    <s v="ORD103284"/>
    <x v="9"/>
    <s v="24-06-2025"/>
    <s v="CUST13375"/>
    <s v="Consumer"/>
    <s v="Maharashtra"/>
    <x v="4"/>
    <x v="0"/>
    <s v="Tablet"/>
    <s v="4"/>
    <s v="74243.08"/>
    <n v="0.05"/>
    <s v="239642.43"/>
    <s v="42481.27"/>
    <x v="5"/>
    <x v="0"/>
    <s v="Mobile App"/>
    <n v="282123.70399999898"/>
  </r>
  <r>
    <s v="ORD103290"/>
    <x v="4"/>
    <s v="15-04-2025"/>
    <s v="CUST13120"/>
    <s v="Consumer"/>
    <s v="West Bengal"/>
    <x v="9"/>
    <x v="0"/>
    <s v="Laptop"/>
    <s v="2"/>
    <s v="53549.09"/>
    <n v="0.05"/>
    <s v="74850.83"/>
    <s v="26892.44"/>
    <x v="2"/>
    <x v="0"/>
    <s v="Mobile App"/>
    <n v="101743.27099999999"/>
  </r>
  <r>
    <s v="ORD103291"/>
    <x v="1"/>
    <s v="26-02-2025"/>
    <s v="CUST13161"/>
    <s v="Home Office"/>
    <s v="Telangana"/>
    <x v="14"/>
    <x v="1"/>
    <s v="Hair Dryer"/>
    <s v="1"/>
    <s v="5403.56"/>
    <n v="0.1"/>
    <s v="3174.66"/>
    <s v="1688.54"/>
    <x v="5"/>
    <x v="0"/>
    <s v="Website"/>
    <n v="4863.2039999999997"/>
  </r>
  <r>
    <s v="ORD103294"/>
    <x v="4"/>
    <s v="19-04-2025"/>
    <s v="CUST10110"/>
    <s v="Corporate"/>
    <s v="Karnataka"/>
    <x v="22"/>
    <x v="0"/>
    <s v="Tablet"/>
    <s v="1"/>
    <s v="44281.4"/>
    <n v="0.15"/>
    <s v="35568.28"/>
    <s v="2070.91"/>
    <x v="1"/>
    <x v="0"/>
    <s v="Website"/>
    <n v="37639.19"/>
  </r>
  <r>
    <s v="ORD103302"/>
    <x v="8"/>
    <s v="15-08-2025"/>
    <s v="CUST11260"/>
    <s v="Consumer"/>
    <s v="Kerala"/>
    <x v="5"/>
    <x v="1"/>
    <s v="Shampoo"/>
    <s v="2"/>
    <s v="2607.61"/>
    <n v="0.05"/>
    <s v="2999.79"/>
    <s v="1954.67"/>
    <x v="5"/>
    <x v="0"/>
    <s v="Website"/>
    <n v="4954.4589999999998"/>
  </r>
  <r>
    <s v="ORD103304"/>
    <x v="5"/>
    <s v="22-09-2025"/>
    <s v="CUST10512"/>
    <s v="Consumer"/>
    <s v="Karnataka"/>
    <x v="22"/>
    <x v="3"/>
    <s v="Vacuum Cleaner"/>
    <s v="1"/>
    <s v="4037.83"/>
    <n v="0"/>
    <s v="2638.08"/>
    <s v="1399.75"/>
    <x v="1"/>
    <x v="0"/>
    <s v="Website"/>
    <n v="4037.83"/>
  </r>
  <r>
    <s v="ORD103308"/>
    <x v="10"/>
    <s v="25-11-2025"/>
    <s v="CUST12593"/>
    <s v="Corporate"/>
    <s v="Tamil Nadu"/>
    <x v="13"/>
    <x v="0"/>
    <s v="Laptop"/>
    <s v="2"/>
    <s v="26328.03"/>
    <n v="0.05"/>
    <s v="30192.639999999999"/>
    <s v="19830.62"/>
    <x v="5"/>
    <x v="3"/>
    <s v="Mobile App"/>
    <n v="50023.256999999998"/>
  </r>
  <r>
    <s v="ORD103311"/>
    <x v="5"/>
    <s v="29-09-2025"/>
    <s v="CUST11727"/>
    <s v="Corporate"/>
    <s v="Kerala"/>
    <x v="5"/>
    <x v="2"/>
    <s v="T-Shirt"/>
    <s v="2"/>
    <s v="6597.07"/>
    <n v="0.05"/>
    <s v="8186.31"/>
    <s v="4348.12"/>
    <x v="0"/>
    <x v="0"/>
    <s v="Mobile App"/>
    <n v="12534.432999999901"/>
  </r>
  <r>
    <s v="ORD103312"/>
    <x v="5"/>
    <s v="26-09-2025"/>
    <s v="CUST11235"/>
    <s v="Corporate"/>
    <s v="Telangana"/>
    <x v="16"/>
    <x v="2"/>
    <s v="T-Shirt"/>
    <s v="1"/>
    <s v="4295.7"/>
    <n v="0.1"/>
    <s v="3432.15"/>
    <s v="433.98"/>
    <x v="0"/>
    <x v="0"/>
    <s v="Website"/>
    <n v="3866.13"/>
  </r>
  <r>
    <s v="ORD103313"/>
    <x v="6"/>
    <s v="25-07-2025"/>
    <s v="CUST10420"/>
    <s v="Home Office"/>
    <s v="Tamil Nadu"/>
    <x v="19"/>
    <x v="0"/>
    <s v="Smartwatch"/>
    <s v="1"/>
    <s v="20897.189999999999"/>
    <n v="0"/>
    <s v="13508.49"/>
    <s v="7388.7"/>
    <x v="2"/>
    <x v="0"/>
    <s v="Marketplace"/>
    <n v="20897.189999999999"/>
  </r>
  <r>
    <s v="ORD103314"/>
    <x v="9"/>
    <s v="19-06-2025"/>
    <s v="CUST10205"/>
    <s v="Home Office"/>
    <s v="Delhi"/>
    <x v="12"/>
    <x v="3"/>
    <s v="Coffee Maker"/>
    <s v="3"/>
    <s v="3617.36"/>
    <n v="0"/>
    <s v="6809.86"/>
    <s v="4042.22"/>
    <x v="3"/>
    <x v="0"/>
    <s v="Mobile App"/>
    <n v="10852.08"/>
  </r>
  <r>
    <s v="ORD103316"/>
    <x v="3"/>
    <s v="16-03-2025"/>
    <s v="CUST12941"/>
    <s v="Home Office"/>
    <s v="Maharashtra"/>
    <x v="4"/>
    <x v="3"/>
    <s v="Vacuum Cleaner"/>
    <s v="1"/>
    <s v="15405.16"/>
    <n v="0.1"/>
    <s v="10375.98"/>
    <s v="3488.66"/>
    <x v="0"/>
    <x v="0"/>
    <s v="Website"/>
    <n v="13864.644"/>
  </r>
  <r>
    <s v="ORD103317"/>
    <x v="8"/>
    <s v="01-08-2025"/>
    <s v="CUST11480"/>
    <s v="Corporate"/>
    <s v="Tamil Nadu"/>
    <x v="8"/>
    <x v="1"/>
    <s v="Lipstick"/>
    <s v="2"/>
    <s v="5494.56"/>
    <n v="0.1"/>
    <s v="6858.96"/>
    <s v="3031.25"/>
    <x v="5"/>
    <x v="0"/>
    <s v="Marketplace"/>
    <n v="9890.2080000000005"/>
  </r>
  <r>
    <s v="ORD103319"/>
    <x v="3"/>
    <s v="06-03-2025"/>
    <s v="CUST13427"/>
    <s v="Corporate"/>
    <s v="Gujarat"/>
    <x v="18"/>
    <x v="0"/>
    <s v="Smartwatch"/>
    <s v="1"/>
    <s v="64027.93"/>
    <n v="0.05"/>
    <s v="47337.88"/>
    <s v="13488.65"/>
    <x v="5"/>
    <x v="0"/>
    <s v="Mobile App"/>
    <n v="60826.533499999998"/>
  </r>
  <r>
    <s v="ORD103321"/>
    <x v="8"/>
    <s v="07-08-2025"/>
    <s v="CUST10617"/>
    <s v="Corporate"/>
    <s v="Telangana"/>
    <x v="14"/>
    <x v="3"/>
    <s v="Vacuum Cleaner"/>
    <s v="1"/>
    <s v="5253.69"/>
    <n v="0.05"/>
    <s v="4149.7700000000004"/>
    <s v="841.24"/>
    <x v="3"/>
    <x v="0"/>
    <s v="Marketplace"/>
    <n v="4991.0054999999902"/>
  </r>
  <r>
    <s v="ORD103323"/>
    <x v="5"/>
    <s v="24-09-2025"/>
    <s v="CUST11344"/>
    <s v="Consumer"/>
    <s v="Karnataka"/>
    <x v="22"/>
    <x v="3"/>
    <s v="Cookware Set"/>
    <s v="2"/>
    <s v="6397.6"/>
    <n v="0.1"/>
    <s v="8480.83"/>
    <s v="3034.85"/>
    <x v="1"/>
    <x v="0"/>
    <s v="Marketplace"/>
    <n v="11515.68"/>
  </r>
  <r>
    <s v="ORD103326"/>
    <x v="1"/>
    <s v="10-02-2025"/>
    <s v="CUST13399"/>
    <s v="Consumer"/>
    <s v="West Bengal"/>
    <x v="0"/>
    <x v="0"/>
    <s v="Tablet"/>
    <s v="3"/>
    <s v="56424.19"/>
    <n v="0"/>
    <s v="118422.08"/>
    <s v="50850.49"/>
    <x v="2"/>
    <x v="0"/>
    <s v="Mobile App"/>
    <n v="169272.57"/>
  </r>
  <r>
    <s v="ORD103328"/>
    <x v="9"/>
    <s v="29-06-2025"/>
    <s v="CUST12653"/>
    <s v="Home Office"/>
    <s v="West Bengal"/>
    <x v="9"/>
    <x v="3"/>
    <s v="Vacuum Cleaner"/>
    <s v="2"/>
    <s v="6965.81"/>
    <n v="0"/>
    <s v="9016.14"/>
    <s v="4915.4799999999996"/>
    <x v="2"/>
    <x v="0"/>
    <s v="Website"/>
    <n v="13931.62"/>
  </r>
  <r>
    <s v="ORD103330"/>
    <x v="6"/>
    <s v="06-07-2025"/>
    <s v="CUST10893"/>
    <s v="Home Office"/>
    <s v="Maharashtra"/>
    <x v="4"/>
    <x v="2"/>
    <s v="Jacket"/>
    <s v="1"/>
    <s v="3739.75"/>
    <n v="0"/>
    <s v="2363.02"/>
    <s v="1376.73"/>
    <x v="3"/>
    <x v="3"/>
    <s v="Marketplace"/>
    <n v="3739.75"/>
  </r>
  <r>
    <s v="ORD103331"/>
    <x v="7"/>
    <s v="15-05-2025"/>
    <s v="CUST10069"/>
    <s v="Corporate"/>
    <s v="Delhi"/>
    <x v="7"/>
    <x v="0"/>
    <s v="Headphones"/>
    <s v="1"/>
    <s v="36388.589999999997"/>
    <n v="0.05"/>
    <s v="25094.32"/>
    <s v="9474.84"/>
    <x v="3"/>
    <x v="2"/>
    <s v="Website"/>
    <n v="34569.160499999998"/>
  </r>
  <r>
    <s v="ORD103332"/>
    <x v="7"/>
    <s v="20-05-2025"/>
    <s v="CUST10544"/>
    <s v="Consumer"/>
    <s v="Kerala"/>
    <x v="15"/>
    <x v="1"/>
    <s v="Face Cream"/>
    <s v="2"/>
    <s v="1642.63"/>
    <n v="0.15"/>
    <s v="2659.34"/>
    <s v="133.13"/>
    <x v="2"/>
    <x v="0"/>
    <s v="Website"/>
    <n v="2792.471"/>
  </r>
  <r>
    <s v="ORD103334"/>
    <x v="10"/>
    <s v="04-11-2025"/>
    <s v="CUST11814"/>
    <s v="Corporate"/>
    <s v="Delhi"/>
    <x v="7"/>
    <x v="1"/>
    <s v="Lipstick"/>
    <s v="1"/>
    <s v="1834.85"/>
    <n v="0.1"/>
    <s v="1214.44"/>
    <s v="436.92"/>
    <x v="5"/>
    <x v="0"/>
    <s v="Marketplace"/>
    <n v="1651.365"/>
  </r>
  <r>
    <s v="ORD103341"/>
    <x v="9"/>
    <s v="02-06-2025"/>
    <s v="CUST10120"/>
    <s v="Corporate"/>
    <s v="Tamil Nadu"/>
    <x v="13"/>
    <x v="2"/>
    <s v="T-Shirt"/>
    <s v="2"/>
    <s v="1187.47"/>
    <n v="0"/>
    <s v="1684.41"/>
    <s v="690.53"/>
    <x v="0"/>
    <x v="0"/>
    <s v="Marketplace"/>
    <n v="2374.94"/>
  </r>
  <r>
    <s v="ORD103345"/>
    <x v="9"/>
    <s v="26-06-2025"/>
    <s v="CUST12805"/>
    <s v="Home Office"/>
    <s v="West Bengal"/>
    <x v="0"/>
    <x v="0"/>
    <s v="Headphones"/>
    <s v="2"/>
    <s v="12060.42"/>
    <n v="0.15"/>
    <s v="19501.53"/>
    <s v="1001.18"/>
    <x v="5"/>
    <x v="0"/>
    <s v="Mobile App"/>
    <n v="20502.714"/>
  </r>
  <r>
    <s v="ORD103346"/>
    <x v="10"/>
    <s v="28-11-2025"/>
    <s v="CUST10141"/>
    <s v="Home Office"/>
    <s v="Tamil Nadu"/>
    <x v="11"/>
    <x v="2"/>
    <s v="T-Shirt"/>
    <s v="3"/>
    <s v="4693.58"/>
    <n v="0.05"/>
    <s v="8191.84"/>
    <s v="5184.8599999999997"/>
    <x v="2"/>
    <x v="0"/>
    <s v="Marketplace"/>
    <n v="13376.703"/>
  </r>
  <r>
    <s v="ORD103351"/>
    <x v="6"/>
    <s v="25-07-2025"/>
    <s v="CUST13410"/>
    <s v="Home Office"/>
    <s v="Kerala"/>
    <x v="5"/>
    <x v="1"/>
    <s v="Hair Dryer"/>
    <s v="1"/>
    <s v="1296.97"/>
    <n v="0.1"/>
    <s v="767.16"/>
    <s v="400.11"/>
    <x v="2"/>
    <x v="3"/>
    <s v="Marketplace"/>
    <n v="1167.2729999999999"/>
  </r>
  <r>
    <s v="ORD103352"/>
    <x v="11"/>
    <s v="25-10-2025"/>
    <s v="CUST10729"/>
    <s v="Home Office"/>
    <s v="Gujarat"/>
    <x v="10"/>
    <x v="0"/>
    <s v="Headphones"/>
    <s v="1"/>
    <s v="27848.82"/>
    <n v="0.1"/>
    <s v="17990.2"/>
    <s v="7073.74"/>
    <x v="3"/>
    <x v="0"/>
    <s v="Website"/>
    <n v="25063.937999999998"/>
  </r>
  <r>
    <s v="ORD103353"/>
    <x v="9"/>
    <s v="04-06-2025"/>
    <s v="CUST10047"/>
    <s v="Consumer"/>
    <s v="Gujarat"/>
    <x v="10"/>
    <x v="3"/>
    <s v="Coffee Maker"/>
    <s v="1"/>
    <s v="6671.91"/>
    <n v="0"/>
    <s v="4939.7299999999996"/>
    <s v="1732.18"/>
    <x v="1"/>
    <x v="2"/>
    <s v="Mobile App"/>
    <n v="6671.91"/>
  </r>
  <r>
    <s v="ORD103354"/>
    <x v="1"/>
    <s v="09-02-2025"/>
    <s v="CUST12383"/>
    <s v="Consumer"/>
    <s v="Tamil Nadu"/>
    <x v="11"/>
    <x v="3"/>
    <s v="Coffee Maker"/>
    <s v="3"/>
    <s v="11292.72"/>
    <n v="0"/>
    <s v="21349.759999999998"/>
    <s v="12528.4"/>
    <x v="0"/>
    <x v="0"/>
    <s v="Website"/>
    <n v="33878.159999999902"/>
  </r>
  <r>
    <s v="ORD103355"/>
    <x v="0"/>
    <s v="10-01-2025"/>
    <s v="CUST10715"/>
    <s v="Corporate"/>
    <s v="Delhi"/>
    <x v="12"/>
    <x v="2"/>
    <s v="T-Shirt"/>
    <s v="1"/>
    <s v="2227.2600000000002"/>
    <n v="0"/>
    <s v="1531.07"/>
    <s v="696.19"/>
    <x v="5"/>
    <x v="0"/>
    <s v="Mobile App"/>
    <n v="2227.2600000000002"/>
  </r>
  <r>
    <s v="ORD103356"/>
    <x v="6"/>
    <s v="08-07-2025"/>
    <s v="CUST10485"/>
    <s v="Corporate"/>
    <s v="West Bengal"/>
    <x v="9"/>
    <x v="0"/>
    <s v="Headphones"/>
    <s v="1"/>
    <s v="68751.63"/>
    <n v="0.1"/>
    <s v="44229.34"/>
    <s v="17647.13"/>
    <x v="3"/>
    <x v="0"/>
    <s v="Mobile App"/>
    <n v="61876.466999999997"/>
  </r>
  <r>
    <s v="ORD103358"/>
    <x v="11"/>
    <s v="08-10-2025"/>
    <s v="CUST11669"/>
    <s v="Consumer"/>
    <s v="Kerala"/>
    <x v="6"/>
    <x v="4"/>
    <s v="Cricket Bat"/>
    <s v="1"/>
    <s v="6234.77"/>
    <n v="0.15"/>
    <s v="4214.5600000000004"/>
    <s v="1084.99"/>
    <x v="1"/>
    <x v="0"/>
    <s v="Marketplace"/>
    <n v="5299.5545000000002"/>
  </r>
  <r>
    <s v="ORD103360"/>
    <x v="4"/>
    <s v="10-04-2025"/>
    <s v="CUST12017"/>
    <s v="Corporate"/>
    <s v="Telangana"/>
    <x v="16"/>
    <x v="4"/>
    <s v="Football"/>
    <s v="3"/>
    <s v="2771.08"/>
    <n v="0.05"/>
    <s v="4749.88"/>
    <s v="3147.7"/>
    <x v="1"/>
    <x v="0"/>
    <s v="Website"/>
    <n v="7897.5779999999904"/>
  </r>
  <r>
    <s v="ORD103361"/>
    <x v="1"/>
    <s v="26-02-2025"/>
    <s v="CUST11432"/>
    <s v="Home Office"/>
    <s v="Tamil Nadu"/>
    <x v="13"/>
    <x v="1"/>
    <s v="Shampoo"/>
    <s v="1"/>
    <s v="1177.72"/>
    <n v="0"/>
    <s v="888.44"/>
    <s v="289.27999999999997"/>
    <x v="0"/>
    <x v="0"/>
    <s v="Website"/>
    <n v="1177.72"/>
  </r>
  <r>
    <s v="ORD103362"/>
    <x v="0"/>
    <s v="02-01-2025"/>
    <s v="CUST11014"/>
    <s v="Home Office"/>
    <s v="Delhi"/>
    <x v="12"/>
    <x v="4"/>
    <s v="Fitness Band"/>
    <s v="1"/>
    <s v="7507.74"/>
    <n v="0.15"/>
    <s v="5000.84"/>
    <s v="1380.74"/>
    <x v="0"/>
    <x v="2"/>
    <s v="Website"/>
    <n v="6381.5789999999997"/>
  </r>
  <r>
    <s v="ORD103370"/>
    <x v="2"/>
    <s v="15-12-2025"/>
    <s v="CUST10391"/>
    <s v="Home Office"/>
    <s v="Gujarat"/>
    <x v="18"/>
    <x v="2"/>
    <s v="Jeans"/>
    <s v="1"/>
    <s v="2089.96"/>
    <n v="0.1"/>
    <s v="1657.33"/>
    <s v="223.63"/>
    <x v="3"/>
    <x v="0"/>
    <s v="Website"/>
    <n v="1880.9639999999999"/>
  </r>
  <r>
    <s v="ORD103371"/>
    <x v="2"/>
    <s v="13-12-2025"/>
    <s v="CUST10464"/>
    <s v="Home Office"/>
    <s v="Karnataka"/>
    <x v="2"/>
    <x v="1"/>
    <s v="Lipstick"/>
    <s v="1"/>
    <s v="4484.91"/>
    <n v="0.1"/>
    <s v="3540.59"/>
    <s v="495.83"/>
    <x v="5"/>
    <x v="0"/>
    <s v="Mobile App"/>
    <n v="4036.4189999999999"/>
  </r>
  <r>
    <s v="ORD103374"/>
    <x v="6"/>
    <s v="23-07-2025"/>
    <s v="CUST12657"/>
    <s v="Home Office"/>
    <s v="Maharashtra"/>
    <x v="20"/>
    <x v="3"/>
    <s v="Coffee Maker"/>
    <s v="1"/>
    <s v="2942.42"/>
    <n v="0.1"/>
    <s v="1926.81"/>
    <s v="721.37"/>
    <x v="0"/>
    <x v="0"/>
    <s v="Marketplace"/>
    <n v="2648.1779999999999"/>
  </r>
  <r>
    <s v="ORD103375"/>
    <x v="3"/>
    <s v="02-03-2025"/>
    <s v="CUST12749"/>
    <s v="Consumer"/>
    <s v="Karnataka"/>
    <x v="2"/>
    <x v="0"/>
    <s v="Tablet"/>
    <s v="3"/>
    <s v="41170.120000000003"/>
    <n v="0"/>
    <s v="101106.94"/>
    <s v="22403.42"/>
    <x v="5"/>
    <x v="3"/>
    <s v="Mobile App"/>
    <n v="123510.36"/>
  </r>
  <r>
    <s v="ORD103376"/>
    <x v="3"/>
    <s v="24-03-2025"/>
    <s v="CUST11354"/>
    <s v="Home Office"/>
    <s v="Kerala"/>
    <x v="6"/>
    <x v="4"/>
    <s v="Yoga Mat"/>
    <s v="1"/>
    <s v="5353.91"/>
    <n v="0.15"/>
    <s v="3232.32"/>
    <s v="1318.5"/>
    <x v="3"/>
    <x v="2"/>
    <s v="Marketplace"/>
    <n v="4550.8234999999904"/>
  </r>
  <r>
    <s v="ORD103381"/>
    <x v="8"/>
    <s v="13-08-2025"/>
    <s v="CUST12436"/>
    <s v="Consumer"/>
    <s v="Delhi"/>
    <x v="7"/>
    <x v="2"/>
    <s v="Lipstick"/>
    <s v="1"/>
    <s v="3534.78"/>
    <n v="0.15"/>
    <s v="2236.75"/>
    <s v="767.81"/>
    <x v="5"/>
    <x v="0"/>
    <s v="Website"/>
    <n v="3004.5630000000001"/>
  </r>
  <r>
    <s v="ORD103384"/>
    <x v="10"/>
    <s v="21-11-2025"/>
    <s v="CUST13231"/>
    <s v="Corporate"/>
    <s v="Maharashtra"/>
    <x v="21"/>
    <x v="2"/>
    <s v="Jeans"/>
    <s v="2"/>
    <s v="3473.54"/>
    <n v="0"/>
    <s v="4775.29"/>
    <s v="2171.79"/>
    <x v="0"/>
    <x v="0"/>
    <s v="Mobile App"/>
    <n v="6947.08"/>
  </r>
  <r>
    <s v="ORD103396"/>
    <x v="7"/>
    <s v="02-05-2025"/>
    <s v="CUST10244"/>
    <s v="Home Office"/>
    <s v="Maharashtra"/>
    <x v="21"/>
    <x v="2"/>
    <s v="Jeans"/>
    <s v="2"/>
    <s v="6875.63"/>
    <n v="0"/>
    <s v="10966.05"/>
    <s v="2785.21"/>
    <x v="5"/>
    <x v="0"/>
    <s v="Marketplace"/>
    <n v="13751.26"/>
  </r>
  <r>
    <s v="ORD103397"/>
    <x v="8"/>
    <s v="23-08-2025"/>
    <s v="CUST10876"/>
    <s v="Consumer"/>
    <s v="Delhi"/>
    <x v="7"/>
    <x v="2"/>
    <s v="Sneakers"/>
    <s v="3"/>
    <s v="1185.1300000000001"/>
    <n v="0"/>
    <s v="2316.3200000000002"/>
    <s v="1239.07"/>
    <x v="1"/>
    <x v="0"/>
    <s v="Marketplace"/>
    <n v="3555.39"/>
  </r>
  <r>
    <s v="ORD103402"/>
    <x v="4"/>
    <s v="30-04-2025"/>
    <s v="CUST11988"/>
    <s v="Consumer"/>
    <s v="Gujarat"/>
    <x v="3"/>
    <x v="3"/>
    <s v="Vacuum Cleaner"/>
    <s v="1"/>
    <s v="10849.34"/>
    <n v="0.2"/>
    <s v="8890.61"/>
    <s v="-211.14"/>
    <x v="1"/>
    <x v="0"/>
    <s v="Marketplace"/>
    <n v="8679.4719999999998"/>
  </r>
  <r>
    <s v="ORD103406"/>
    <x v="0"/>
    <s v="05-01-2025"/>
    <s v="CUST12385"/>
    <s v="Home Office"/>
    <s v="Telangana"/>
    <x v="16"/>
    <x v="2"/>
    <s v="Sneakers"/>
    <s v="1"/>
    <s v="3837.39"/>
    <n v="0"/>
    <s v="2112.7199999999998"/>
    <s v="1724.67"/>
    <x v="1"/>
    <x v="0"/>
    <s v="Marketplace"/>
    <n v="3837.39"/>
  </r>
  <r>
    <s v="ORD103413"/>
    <x v="3"/>
    <s v="11-03-2025"/>
    <s v="CUST11548"/>
    <s v="Corporate"/>
    <s v="Maharashtra"/>
    <x v="4"/>
    <x v="2"/>
    <s v="Jeans"/>
    <s v="1"/>
    <s v="541.86"/>
    <n v="0.1"/>
    <s v="348.43"/>
    <s v="139.24"/>
    <x v="2"/>
    <x v="2"/>
    <s v="Marketplace"/>
    <n v="487.67399999999998"/>
  </r>
  <r>
    <s v="ORD103414"/>
    <x v="0"/>
    <s v="10-01-2025"/>
    <s v="CUST12509"/>
    <s v="Consumer"/>
    <s v="Telangana"/>
    <x v="16"/>
    <x v="1"/>
    <s v="Shampoo"/>
    <s v="1"/>
    <s v="2873.93"/>
    <n v="0.1"/>
    <s v="2295.4899999999998"/>
    <s v="291.05"/>
    <x v="0"/>
    <x v="0"/>
    <s v="Mobile App"/>
    <n v="2586.5369999999998"/>
  </r>
  <r>
    <s v="ORD103416"/>
    <x v="7"/>
    <s v="18-05-2025"/>
    <s v="CUST11309"/>
    <s v="Home Office"/>
    <s v="Telangana"/>
    <x v="14"/>
    <x v="0"/>
    <s v="Headphones"/>
    <s v="1"/>
    <s v="11972.04"/>
    <n v="0.1"/>
    <s v="8156.37"/>
    <s v="2618.4699999999998"/>
    <x v="0"/>
    <x v="0"/>
    <s v="Website"/>
    <n v="10774.835999999999"/>
  </r>
  <r>
    <s v="ORD103417"/>
    <x v="7"/>
    <s v="06-05-2025"/>
    <s v="CUST10871"/>
    <s v="Consumer"/>
    <s v="Tamil Nadu"/>
    <x v="1"/>
    <x v="2"/>
    <s v="Jeans"/>
    <s v="1"/>
    <s v="1105.33"/>
    <n v="0.1"/>
    <s v="671.31"/>
    <s v="323.49"/>
    <x v="1"/>
    <x v="0"/>
    <s v="Marketplace"/>
    <n v="994.796999999999"/>
  </r>
  <r>
    <s v="ORD103418"/>
    <x v="0"/>
    <s v="02-01-2025"/>
    <s v="CUST12161"/>
    <s v="Consumer"/>
    <s v="Kerala"/>
    <x v="6"/>
    <x v="0"/>
    <s v="Smartwatch"/>
    <s v="3"/>
    <s v="31614.880000000001"/>
    <n v="0.05"/>
    <s v="70254.350000000006"/>
    <s v="19848.060000000001"/>
    <x v="5"/>
    <x v="0"/>
    <s v="Mobile App"/>
    <n v="90102.407999999996"/>
  </r>
  <r>
    <s v="ORD103421"/>
    <x v="8"/>
    <s v="08-08-2025"/>
    <s v="CUST12793"/>
    <s v="Consumer"/>
    <s v="Delhi"/>
    <x v="12"/>
    <x v="1"/>
    <s v="Hair Dryer"/>
    <s v="2"/>
    <s v="3822.01"/>
    <n v="0.15"/>
    <s v="5704.23"/>
    <s v="793.19"/>
    <x v="2"/>
    <x v="0"/>
    <s v="Mobile App"/>
    <n v="6497.4170000000004"/>
  </r>
  <r>
    <s v="ORD103422"/>
    <x v="3"/>
    <s v="06-03-2025"/>
    <s v="CUST10671"/>
    <s v="Home Office"/>
    <s v="Kerala"/>
    <x v="15"/>
    <x v="3"/>
    <s v="Air Fryer"/>
    <s v="1"/>
    <s v="3642.04"/>
    <n v="0.1"/>
    <s v="2734.46"/>
    <s v="543.38"/>
    <x v="5"/>
    <x v="0"/>
    <s v="Mobile App"/>
    <n v="3277.8359999999998"/>
  </r>
  <r>
    <s v="ORD103424"/>
    <x v="1"/>
    <s v="16-02-2025"/>
    <s v="CUST10905"/>
    <s v="Consumer"/>
    <s v="Gujarat"/>
    <x v="18"/>
    <x v="3"/>
    <s v="Cookware Set"/>
    <s v="1"/>
    <s v="16609.830000000002"/>
    <n v="0.05"/>
    <s v="10091.4"/>
    <s v="5687.94"/>
    <x v="0"/>
    <x v="0"/>
    <s v="Mobile App"/>
    <n v="15779.3385"/>
  </r>
  <r>
    <s v="ORD103427"/>
    <x v="1"/>
    <s v="07-02-2025"/>
    <s v="CUST10710"/>
    <s v="Corporate"/>
    <s v="Maharashtra"/>
    <x v="21"/>
    <x v="0"/>
    <s v="Headphones"/>
    <s v="1"/>
    <s v="38843.51"/>
    <n v="0"/>
    <s v="31262"/>
    <s v="7581.51"/>
    <x v="5"/>
    <x v="0"/>
    <s v="Mobile App"/>
    <n v="38843.51"/>
  </r>
  <r>
    <s v="ORD103430"/>
    <x v="7"/>
    <s v="09-05-2025"/>
    <s v="CUST11674"/>
    <s v="Consumer"/>
    <s v="Telangana"/>
    <x v="14"/>
    <x v="3"/>
    <s v="Cookware Set"/>
    <s v="1"/>
    <s v="12808.54"/>
    <n v="0.05"/>
    <s v="7188.89"/>
    <s v="4979.22"/>
    <x v="0"/>
    <x v="0"/>
    <s v="Mobile App"/>
    <n v="12168.112999999999"/>
  </r>
  <r>
    <s v="ORD103433"/>
    <x v="9"/>
    <s v="29-06-2025"/>
    <s v="CUST13166"/>
    <s v="Home Office"/>
    <s v="Telangana"/>
    <x v="14"/>
    <x v="3"/>
    <s v="Coffee Maker"/>
    <s v="1"/>
    <s v="16806.78"/>
    <n v="0.05"/>
    <s v="10262.27"/>
    <s v="5704.17"/>
    <x v="2"/>
    <x v="0"/>
    <s v="Website"/>
    <n v="15966.440999999901"/>
  </r>
  <r>
    <s v="ORD103434"/>
    <x v="4"/>
    <s v="07-04-2025"/>
    <s v="CUST10558"/>
    <s v="Consumer"/>
    <s v="Telangana"/>
    <x v="14"/>
    <x v="2"/>
    <s v="Jeans"/>
    <s v="1"/>
    <s v="2497.94"/>
    <n v="0.05"/>
    <s v="1610.36"/>
    <s v="762.68"/>
    <x v="0"/>
    <x v="0"/>
    <s v="Marketplace"/>
    <n v="2373.0430000000001"/>
  </r>
  <r>
    <s v="ORD103442"/>
    <x v="8"/>
    <s v="23-08-2025"/>
    <s v="CUST10189"/>
    <s v="Home Office"/>
    <s v="West Bengal"/>
    <x v="0"/>
    <x v="3"/>
    <s v="Vacuum Cleaner"/>
    <s v="1"/>
    <s v="11041.6"/>
    <n v="0.1"/>
    <s v="8963.85"/>
    <s v="973.59"/>
    <x v="0"/>
    <x v="0"/>
    <s v="Website"/>
    <n v="9937.44"/>
  </r>
  <r>
    <s v="ORD103445"/>
    <x v="2"/>
    <s v="10-12-2025"/>
    <s v="CUST10793"/>
    <s v="Home Office"/>
    <s v="Delhi"/>
    <x v="12"/>
    <x v="2"/>
    <s v="Handbag"/>
    <s v="4"/>
    <s v="4173.07"/>
    <n v="0.1"/>
    <s v="9984.0499999999993"/>
    <s v="5039"/>
    <x v="3"/>
    <x v="0"/>
    <s v="Marketplace"/>
    <n v="15023.052"/>
  </r>
  <r>
    <s v="ORD103446"/>
    <x v="4"/>
    <s v="19-04-2025"/>
    <s v="CUST12396"/>
    <s v="Home Office"/>
    <s v="West Bengal"/>
    <x v="0"/>
    <x v="0"/>
    <s v="Tablet"/>
    <s v="1"/>
    <s v="4938.62"/>
    <n v="0.15"/>
    <s v="3227.97"/>
    <s v="969.86"/>
    <x v="0"/>
    <x v="1"/>
    <s v="Mobile App"/>
    <n v="4197.8270000000002"/>
  </r>
  <r>
    <s v="ORD103447"/>
    <x v="11"/>
    <s v="16-10-2025"/>
    <s v="CUST10216"/>
    <s v="Consumer"/>
    <s v="Kerala"/>
    <x v="15"/>
    <x v="4"/>
    <s v="Cricket Bat"/>
    <s v="1"/>
    <s v="7166.51"/>
    <n v="0"/>
    <s v="5111.96"/>
    <s v="2054.5500000000002"/>
    <x v="0"/>
    <x v="0"/>
    <s v="Website"/>
    <n v="7166.51"/>
  </r>
  <r>
    <s v="ORD103451"/>
    <x v="4"/>
    <s v="23-04-2025"/>
    <s v="CUST10684"/>
    <s v="Consumer"/>
    <s v="Delhi"/>
    <x v="12"/>
    <x v="0"/>
    <s v="Headphones"/>
    <s v="2"/>
    <s v="34577.24"/>
    <n v="0"/>
    <s v="48916.29"/>
    <s v="20238.189999999999"/>
    <x v="0"/>
    <x v="0"/>
    <s v="Website"/>
    <n v="69154.48"/>
  </r>
  <r>
    <s v="ORD103452"/>
    <x v="11"/>
    <s v="28-10-2025"/>
    <s v="CUST11656"/>
    <s v="Home Office"/>
    <s v="Gujarat"/>
    <x v="3"/>
    <x v="3"/>
    <s v="Mixer Grinder"/>
    <s v="3"/>
    <s v="10065.11"/>
    <n v="0"/>
    <s v="17984.53"/>
    <s v="12210.8"/>
    <x v="0"/>
    <x v="0"/>
    <s v="Mobile App"/>
    <n v="30195.33"/>
  </r>
  <r>
    <s v="ORD103454"/>
    <x v="7"/>
    <s v="01-05-2025"/>
    <s v="CUST12641"/>
    <s v="Home Office"/>
    <s v="Delhi"/>
    <x v="12"/>
    <x v="2"/>
    <s v="Sneakers"/>
    <s v="1"/>
    <s v="6050.69"/>
    <n v="0.05"/>
    <s v="4822.42"/>
    <s v="925.74"/>
    <x v="1"/>
    <x v="0"/>
    <s v="Marketplace"/>
    <n v="5748.1554999999898"/>
  </r>
  <r>
    <s v="ORD103458"/>
    <x v="8"/>
    <s v="22-08-2025"/>
    <s v="CUST11471"/>
    <s v="Corporate"/>
    <s v="Gujarat"/>
    <x v="3"/>
    <x v="2"/>
    <s v="Handbag"/>
    <s v="1"/>
    <s v="2311.25"/>
    <n v="0"/>
    <s v="1531.25"/>
    <s v="780"/>
    <x v="3"/>
    <x v="0"/>
    <s v="Mobile App"/>
    <n v="2311.25"/>
  </r>
  <r>
    <s v="ORD103460"/>
    <x v="0"/>
    <s v="02-01-2025"/>
    <s v="CUST11116"/>
    <s v="Consumer"/>
    <s v="Delhi"/>
    <x v="7"/>
    <x v="3"/>
    <s v="Coffee Maker"/>
    <s v="1"/>
    <s v="10026.280000000001"/>
    <n v="0"/>
    <s v="7233.97"/>
    <s v="2792.31"/>
    <x v="5"/>
    <x v="0"/>
    <s v="Marketplace"/>
    <n v="10026.280000000001"/>
  </r>
  <r>
    <s v="ORD103462"/>
    <x v="0"/>
    <s v="16-01-2025"/>
    <s v="CUST13369"/>
    <s v="Home Office"/>
    <s v="Tamil Nadu"/>
    <x v="11"/>
    <x v="3"/>
    <s v="Air Fryer"/>
    <s v="1"/>
    <s v="5639.94"/>
    <n v="0"/>
    <s v="3567.37"/>
    <s v="2072.5700000000002"/>
    <x v="3"/>
    <x v="0"/>
    <s v="Mobile App"/>
    <n v="5639.94"/>
  </r>
  <r>
    <s v="ORD103466"/>
    <x v="5"/>
    <s v="22-09-2025"/>
    <s v="CUST10253"/>
    <s v="Home Office"/>
    <s v="Kerala"/>
    <x v="5"/>
    <x v="0"/>
    <s v="Tablet"/>
    <s v="1"/>
    <s v="44942.98"/>
    <n v="0"/>
    <s v="35774.78"/>
    <s v="9168.2000000000007"/>
    <x v="3"/>
    <x v="0"/>
    <s v="Website"/>
    <n v="44942.98"/>
  </r>
  <r>
    <s v="ORD103474"/>
    <x v="5"/>
    <s v="23-09-2025"/>
    <s v="CUST12969"/>
    <s v="Home Office"/>
    <s v="Kerala"/>
    <x v="15"/>
    <x v="1"/>
    <s v="Face Cream"/>
    <s v="1"/>
    <s v="3922.37"/>
    <n v="0.15"/>
    <s v="2678.3"/>
    <s v="655.71"/>
    <x v="1"/>
    <x v="3"/>
    <s v="Marketplace"/>
    <n v="3334.0144999999902"/>
  </r>
  <r>
    <s v="ORD103481"/>
    <x v="3"/>
    <s v="28-03-2025"/>
    <s v="CUST10762"/>
    <s v="Home Office"/>
    <s v="Tamil Nadu"/>
    <x v="19"/>
    <x v="3"/>
    <s v="Coffee Maker"/>
    <s v="1"/>
    <s v="11813.85"/>
    <n v="0.1"/>
    <s v="8547.2099999999991"/>
    <s v="2085.25"/>
    <x v="5"/>
    <x v="0"/>
    <s v="Marketplace"/>
    <n v="10632.465"/>
  </r>
  <r>
    <s v="ORD103483"/>
    <x v="0"/>
    <s v="10-01-2025"/>
    <s v="CUST13164"/>
    <s v="Corporate"/>
    <s v="Delhi"/>
    <x v="7"/>
    <x v="0"/>
    <s v="Smartwatch"/>
    <s v="4"/>
    <s v="65174.3"/>
    <n v="0.15"/>
    <s v="176977.18"/>
    <s v="44615.44"/>
    <x v="0"/>
    <x v="0"/>
    <s v="Mobile App"/>
    <n v="221592.62"/>
  </r>
  <r>
    <s v="ORD103485"/>
    <x v="5"/>
    <s v="01-09-2025"/>
    <s v="CUST10528"/>
    <s v="Home Office"/>
    <s v="Karnataka"/>
    <x v="2"/>
    <x v="1"/>
    <s v="Hair Dryer"/>
    <s v="2"/>
    <s v="3443.06"/>
    <n v="0"/>
    <s v="4664.5"/>
    <s v="2221.62"/>
    <x v="2"/>
    <x v="0"/>
    <s v="Mobile App"/>
    <n v="6886.12"/>
  </r>
  <r>
    <s v="ORD103486"/>
    <x v="5"/>
    <s v="30-09-2025"/>
    <s v="CUST12804"/>
    <s v="Corporate"/>
    <s v="Tamil Nadu"/>
    <x v="13"/>
    <x v="3"/>
    <s v="Mixer Grinder"/>
    <s v="1"/>
    <s v="17630.11"/>
    <n v="0.2"/>
    <s v="14068.88"/>
    <s v="35.21"/>
    <x v="3"/>
    <x v="0"/>
    <s v="Marketplace"/>
    <n v="14104.088"/>
  </r>
  <r>
    <s v="ORD103487"/>
    <x v="3"/>
    <s v="14-03-2025"/>
    <s v="CUST13033"/>
    <s v="Consumer"/>
    <s v="West Bengal"/>
    <x v="0"/>
    <x v="0"/>
    <s v="Smartwatch"/>
    <s v="2"/>
    <s v="25490.44"/>
    <n v="0.2"/>
    <s v="31813.97"/>
    <s v="8970.73"/>
    <x v="3"/>
    <x v="3"/>
    <s v="Website"/>
    <n v="40784.703999999998"/>
  </r>
  <r>
    <s v="ORD103488"/>
    <x v="7"/>
    <s v="22-05-2025"/>
    <s v="CUST11228"/>
    <s v="Consumer"/>
    <s v="Karnataka"/>
    <x v="17"/>
    <x v="0"/>
    <s v="Smartwatch"/>
    <s v="1"/>
    <s v="59390.64"/>
    <n v="0.1"/>
    <s v="35338.839999999997"/>
    <s v="18112.740000000002"/>
    <x v="0"/>
    <x v="0"/>
    <s v="Mobile App"/>
    <n v="53451.576000000001"/>
  </r>
  <r>
    <s v="ORD103489"/>
    <x v="1"/>
    <s v="04-02-2025"/>
    <s v="CUST13347"/>
    <s v="Corporate"/>
    <s v="Maharashtra"/>
    <x v="20"/>
    <x v="2"/>
    <s v="Handbag"/>
    <s v="1"/>
    <s v="847.04"/>
    <n v="0.15"/>
    <s v="471.65"/>
    <s v="248.33"/>
    <x v="3"/>
    <x v="0"/>
    <s v="Marketplace"/>
    <n v="719.98399999999901"/>
  </r>
  <r>
    <s v="ORD103492"/>
    <x v="7"/>
    <s v="25-05-2025"/>
    <s v="CUST10701"/>
    <s v="Home Office"/>
    <s v="Karnataka"/>
    <x v="2"/>
    <x v="0"/>
    <s v="Smartwatch"/>
    <s v="1"/>
    <s v="68983.679999999993"/>
    <n v="0.1"/>
    <s v="54877.13"/>
    <s v="7208.18"/>
    <x v="2"/>
    <x v="0"/>
    <s v="Mobile App"/>
    <n v="62085.311999999998"/>
  </r>
  <r>
    <s v="ORD103493"/>
    <x v="7"/>
    <s v="06-05-2025"/>
    <s v="CUST11045"/>
    <s v="Consumer"/>
    <s v="Delhi"/>
    <x v="7"/>
    <x v="0"/>
    <s v="Laptop"/>
    <s v="2"/>
    <s v="8425.1200000000008"/>
    <n v="0"/>
    <s v="9622.8799999999992"/>
    <s v="7227.36"/>
    <x v="2"/>
    <x v="0"/>
    <s v="Website"/>
    <n v="16850.240000000002"/>
  </r>
  <r>
    <s v="ORD103496"/>
    <x v="8"/>
    <s v="27-08-2025"/>
    <s v="CUST10686"/>
    <s v="Corporate"/>
    <s v="Karnataka"/>
    <x v="2"/>
    <x v="0"/>
    <s v="Laptop"/>
    <s v="1"/>
    <s v="37805.24"/>
    <n v="0.1"/>
    <s v="26857.95"/>
    <s v="7166.77"/>
    <x v="5"/>
    <x v="0"/>
    <s v="Mobile App"/>
    <n v="34024.716"/>
  </r>
  <r>
    <s v="ORD103498"/>
    <x v="6"/>
    <s v="23-07-2025"/>
    <s v="CUST11668"/>
    <s v="Consumer"/>
    <s v="West Bengal"/>
    <x v="9"/>
    <x v="2"/>
    <s v="Jacket"/>
    <s v="1"/>
    <s v="5946.17"/>
    <n v="0.15"/>
    <s v="3637.47"/>
    <s v="1416.77"/>
    <x v="2"/>
    <x v="2"/>
    <s v="Marketplace"/>
    <n v="5054.2444999999998"/>
  </r>
  <r>
    <s v="ORD103500"/>
    <x v="0"/>
    <s v="28-01-2025"/>
    <s v="CUST10983"/>
    <s v="Home Office"/>
    <s v="Delhi"/>
    <x v="12"/>
    <x v="1"/>
    <s v="Shampoo"/>
    <s v="2"/>
    <s v="2843.01"/>
    <n v="0.1"/>
    <s v="3391.92"/>
    <s v="1725.5"/>
    <x v="3"/>
    <x v="0"/>
    <s v="Marketplace"/>
    <n v="5117.4179999999997"/>
  </r>
  <r>
    <s v="ORD103501"/>
    <x v="0"/>
    <s v="10-01-2025"/>
    <s v="CUST12142"/>
    <s v="Consumer"/>
    <s v="West Bengal"/>
    <x v="0"/>
    <x v="3"/>
    <s v="Air Fryer"/>
    <s v="2"/>
    <s v="12101.54"/>
    <n v="0.1"/>
    <s v="14070.93"/>
    <s v="7711.84"/>
    <x v="0"/>
    <x v="2"/>
    <s v="Website"/>
    <n v="21782.772000000001"/>
  </r>
  <r>
    <s v="ORD103506"/>
    <x v="1"/>
    <s v="15-02-2025"/>
    <s v="CUST11374"/>
    <s v="Consumer"/>
    <s v="Delhi"/>
    <x v="7"/>
    <x v="2"/>
    <s v="Jeans"/>
    <s v="2"/>
    <s v="2023.89"/>
    <n v="0.1"/>
    <s v="2699.41"/>
    <s v="943.59"/>
    <x v="2"/>
    <x v="2"/>
    <s v="Website"/>
    <n v="3643.002"/>
  </r>
  <r>
    <s v="ORD103507"/>
    <x v="7"/>
    <s v="04-05-2025"/>
    <s v="CUST12453"/>
    <s v="Home Office"/>
    <s v="Maharashtra"/>
    <x v="20"/>
    <x v="3"/>
    <s v="Mixer Grinder"/>
    <s v="1"/>
    <s v="4097.7"/>
    <n v="0"/>
    <s v="2463.75"/>
    <s v="1633.95"/>
    <x v="1"/>
    <x v="0"/>
    <s v="Website"/>
    <n v="4097.7"/>
  </r>
  <r>
    <s v="ORD103509"/>
    <x v="8"/>
    <s v="31-08-2025"/>
    <s v="CUST10014"/>
    <s v="Home Office"/>
    <s v="Tamil Nadu"/>
    <x v="1"/>
    <x v="0"/>
    <s v="Tablet"/>
    <s v="2"/>
    <s v="72650.240000000005"/>
    <n v="0.05"/>
    <s v="112244.1"/>
    <s v="25791.360000000001"/>
    <x v="5"/>
    <x v="2"/>
    <s v="Mobile App"/>
    <n v="138035.45600000001"/>
  </r>
  <r>
    <s v="ORD103512"/>
    <x v="10"/>
    <s v="17-11-2025"/>
    <s v="CUST12713"/>
    <s v="Corporate"/>
    <s v="Delhi"/>
    <x v="12"/>
    <x v="3"/>
    <s v="Vacuum Cleaner"/>
    <s v="1"/>
    <s v="10642.83"/>
    <n v="0.05"/>
    <s v="6599"/>
    <s v="3511.69"/>
    <x v="0"/>
    <x v="0"/>
    <s v="Marketplace"/>
    <n v="10110.6885"/>
  </r>
  <r>
    <s v="ORD103514"/>
    <x v="4"/>
    <s v="05-04-2025"/>
    <s v="CUST11975"/>
    <s v="Consumer"/>
    <s v="Karnataka"/>
    <x v="22"/>
    <x v="2"/>
    <s v="Jacket"/>
    <s v="1"/>
    <s v="6255.1"/>
    <n v="0.05"/>
    <s v="4536.49"/>
    <s v="1405.85"/>
    <x v="2"/>
    <x v="0"/>
    <s v="Marketplace"/>
    <n v="5942.3450000000003"/>
  </r>
  <r>
    <s v="ORD103519"/>
    <x v="0"/>
    <s v="21-01-2025"/>
    <s v="CUST10081"/>
    <s v="Home Office"/>
    <s v="Telangana"/>
    <x v="16"/>
    <x v="1"/>
    <s v="Lipstick"/>
    <s v="3"/>
    <s v="3825.45"/>
    <n v="0.15"/>
    <s v="6490.82"/>
    <s v="3264.08"/>
    <x v="5"/>
    <x v="0"/>
    <s v="Website"/>
    <n v="9754.8974999999991"/>
  </r>
  <r>
    <s v="ORD103521"/>
    <x v="3"/>
    <s v="29-03-2025"/>
    <s v="CUST13418"/>
    <s v="Consumer"/>
    <s v="Gujarat"/>
    <x v="10"/>
    <x v="3"/>
    <s v="Coffee Maker"/>
    <s v="1"/>
    <s v="9692.0499999999993"/>
    <n v="0.15"/>
    <s v="6916.37"/>
    <s v="1321.87"/>
    <x v="5"/>
    <x v="3"/>
    <s v="Marketplace"/>
    <n v="8238.2424999999894"/>
  </r>
  <r>
    <s v="ORD103522"/>
    <x v="9"/>
    <s v="08-06-2025"/>
    <s v="CUST10029"/>
    <s v="Corporate"/>
    <s v="Karnataka"/>
    <x v="17"/>
    <x v="3"/>
    <s v="Vacuum Cleaner"/>
    <s v="2"/>
    <s v="1373.79"/>
    <n v="0.1"/>
    <s v="1968.97"/>
    <s v="503.85"/>
    <x v="2"/>
    <x v="0"/>
    <s v="Website"/>
    <n v="2472.8220000000001"/>
  </r>
  <r>
    <s v="ORD103525"/>
    <x v="11"/>
    <s v="07-10-2025"/>
    <s v="CUST11676"/>
    <s v="Corporate"/>
    <s v="Delhi"/>
    <x v="7"/>
    <x v="4"/>
    <s v="Cricket Bat"/>
    <s v="1"/>
    <s v="6077.83"/>
    <n v="0.05"/>
    <s v="4919.3599999999997"/>
    <s v="854.58"/>
    <x v="1"/>
    <x v="0"/>
    <s v="Mobile App"/>
    <n v="5773.9384999999902"/>
  </r>
  <r>
    <s v="ORD103526"/>
    <x v="2"/>
    <s v="30-12-2025"/>
    <s v="CUST12145"/>
    <s v="Corporate"/>
    <s v="Delhi"/>
    <x v="12"/>
    <x v="0"/>
    <s v="Smartphone"/>
    <s v="1"/>
    <s v="29711.64"/>
    <n v="0.1"/>
    <s v="16471.77"/>
    <s v="10268.709999999999"/>
    <x v="1"/>
    <x v="1"/>
    <s v="Marketplace"/>
    <n v="26740.475999999999"/>
  </r>
  <r>
    <s v="ORD103529"/>
    <x v="10"/>
    <s v="10-11-2025"/>
    <s v="CUST10646"/>
    <s v="Consumer"/>
    <s v="Gujarat"/>
    <x v="10"/>
    <x v="0"/>
    <s v="T-Shirt"/>
    <s v="1"/>
    <s v="2963.59"/>
    <n v="0.1"/>
    <s v="2274.3200000000002"/>
    <s v="392.91"/>
    <x v="0"/>
    <x v="0"/>
    <s v="Mobile App"/>
    <n v="2667.2310000000002"/>
  </r>
  <r>
    <s v="ORD103531"/>
    <x v="7"/>
    <s v="07-05-2025"/>
    <s v="CUST12914"/>
    <s v="Consumer"/>
    <s v="Tamil Nadu"/>
    <x v="8"/>
    <x v="4"/>
    <s v="Cricket Bat"/>
    <s v="1"/>
    <s v="9376.11"/>
    <n v="0.2"/>
    <s v="6142.38"/>
    <s v="1358.51"/>
    <x v="5"/>
    <x v="1"/>
    <s v="Website"/>
    <n v="7500.8879999999999"/>
  </r>
  <r>
    <s v="ORD103532"/>
    <x v="11"/>
    <s v="06-10-2025"/>
    <s v="CUST10437"/>
    <s v="Home Office"/>
    <s v="Kerala"/>
    <x v="5"/>
    <x v="3"/>
    <s v="Vacuum Cleaner"/>
    <s v="3"/>
    <s v="13635.43"/>
    <n v="0.05"/>
    <s v="27069.39"/>
    <s v="11791.59"/>
    <x v="2"/>
    <x v="0"/>
    <s v="Marketplace"/>
    <n v="38860.9755"/>
  </r>
  <r>
    <s v="ORD103536"/>
    <x v="10"/>
    <s v="05-11-2025"/>
    <s v="CUST12422"/>
    <s v="Home Office"/>
    <s v="Delhi"/>
    <x v="7"/>
    <x v="0"/>
    <s v="Smartphone"/>
    <s v="4"/>
    <s v="21052.38"/>
    <n v="0.1"/>
    <s v="58239.12"/>
    <s v="17549.45"/>
    <x v="0"/>
    <x v="2"/>
    <s v="Website"/>
    <n v="75788.567999999999"/>
  </r>
  <r>
    <s v="ORD103538"/>
    <x v="3"/>
    <s v="01-03-2025"/>
    <s v="CUST12408"/>
    <s v="Home Office"/>
    <s v="Kerala"/>
    <x v="6"/>
    <x v="4"/>
    <s v="Yoga Mat"/>
    <s v="2"/>
    <s v="7179.71"/>
    <n v="0.05"/>
    <s v="11670.32"/>
    <s v="1971.13"/>
    <x v="5"/>
    <x v="0"/>
    <s v="Marketplace"/>
    <n v="13641.4489999999"/>
  </r>
  <r>
    <s v="ORD103539"/>
    <x v="1"/>
    <s v="06-02-2025"/>
    <s v="CUST10226"/>
    <s v="Corporate"/>
    <s v="Karnataka"/>
    <x v="22"/>
    <x v="4"/>
    <s v="Yoga Mat"/>
    <s v="2"/>
    <s v="6127.34"/>
    <n v="0.15"/>
    <s v="8843.9500000000007"/>
    <s v="1572.53"/>
    <x v="0"/>
    <x v="2"/>
    <s v="Marketplace"/>
    <n v="10416.477999999999"/>
  </r>
  <r>
    <s v="ORD103541"/>
    <x v="9"/>
    <s v="09-06-2025"/>
    <s v="CUST11068"/>
    <s v="Corporate"/>
    <s v="Maharashtra"/>
    <x v="20"/>
    <x v="2"/>
    <s v="T-Shirt"/>
    <s v="2"/>
    <s v="804.71"/>
    <n v="0"/>
    <s v="1144.92"/>
    <s v="464.5"/>
    <x v="3"/>
    <x v="0"/>
    <s v="Website"/>
    <n v="1609.42"/>
  </r>
  <r>
    <s v="ORD103542"/>
    <x v="2"/>
    <s v="30-12-2025"/>
    <s v="CUST12003"/>
    <s v="Corporate"/>
    <s v="West Bengal"/>
    <x v="9"/>
    <x v="4"/>
    <s v="Fitness Band"/>
    <s v="1"/>
    <s v="8826.9599999999991"/>
    <n v="0.05"/>
    <s v="6738.07"/>
    <s v="1647.54"/>
    <x v="0"/>
    <x v="0"/>
    <s v="Website"/>
    <n v="8385.6119999999992"/>
  </r>
  <r>
    <s v="ORD103546"/>
    <x v="3"/>
    <s v="26-03-2025"/>
    <s v="CUST10097"/>
    <s v="Corporate"/>
    <s v="Kerala"/>
    <x v="5"/>
    <x v="2"/>
    <s v="Jacket"/>
    <s v="1"/>
    <s v="5193.8599999999997"/>
    <n v="0.15"/>
    <s v="4173.38"/>
    <s v="241.4"/>
    <x v="2"/>
    <x v="0"/>
    <s v="Mobile App"/>
    <n v="4414.7809999999999"/>
  </r>
  <r>
    <s v="ORD103547"/>
    <x v="0"/>
    <s v="15-01-2025"/>
    <s v="CUST13257"/>
    <s v="Consumer"/>
    <s v="Karnataka"/>
    <x v="22"/>
    <x v="0"/>
    <s v="Smartphone"/>
    <s v="1"/>
    <s v="44436.38"/>
    <n v="0.1"/>
    <s v="25622.61"/>
    <s v="14370.13"/>
    <x v="1"/>
    <x v="0"/>
    <s v="Website"/>
    <n v="39992.741999999998"/>
  </r>
  <r>
    <s v="ORD103550"/>
    <x v="9"/>
    <s v="24-06-2025"/>
    <s v="CUST10565"/>
    <s v="Corporate"/>
    <s v="Kerala"/>
    <x v="6"/>
    <x v="1"/>
    <s v="Lipstick"/>
    <s v="1"/>
    <s v="4082.85"/>
    <n v="0.1"/>
    <s v="3331.14"/>
    <s v="343.42"/>
    <x v="0"/>
    <x v="2"/>
    <s v="Mobile App"/>
    <n v="3674.5650000000001"/>
  </r>
  <r>
    <s v="ORD103554"/>
    <x v="3"/>
    <s v="11-03-2025"/>
    <s v="CUST10916"/>
    <s v="Corporate"/>
    <s v="Karnataka"/>
    <x v="2"/>
    <x v="2"/>
    <s v="T-Shirt"/>
    <s v="1"/>
    <s v="4256.51"/>
    <n v="0"/>
    <s v="3356.47"/>
    <s v="900.04"/>
    <x v="0"/>
    <x v="0"/>
    <s v="Marketplace"/>
    <n v="4256.51"/>
  </r>
  <r>
    <s v="ORD103558"/>
    <x v="3"/>
    <s v="20-03-2025"/>
    <s v="CUST12096"/>
    <s v="Corporate"/>
    <s v="Telangana"/>
    <x v="16"/>
    <x v="4"/>
    <s v="Fitness Band"/>
    <s v="1"/>
    <s v="9783.34"/>
    <n v="0.2"/>
    <s v="7422.7"/>
    <s v="403.97"/>
    <x v="1"/>
    <x v="0"/>
    <s v="Mobile App"/>
    <n v="7826.6719999999996"/>
  </r>
  <r>
    <s v="ORD103565"/>
    <x v="1"/>
    <s v="12-02-2025"/>
    <s v="CUST12219"/>
    <s v="Home Office"/>
    <s v="Telangana"/>
    <x v="14"/>
    <x v="3"/>
    <s v="Vacuum Cleaner"/>
    <s v="2"/>
    <s v="15384.73"/>
    <n v="0.15"/>
    <s v="22333.98"/>
    <s v="3820.06"/>
    <x v="5"/>
    <x v="0"/>
    <s v="Website"/>
    <n v="26154.040999999899"/>
  </r>
  <r>
    <s v="ORD103567"/>
    <x v="10"/>
    <s v="03-11-2025"/>
    <s v="CUST11767"/>
    <s v="Corporate"/>
    <s v="Maharashtra"/>
    <x v="21"/>
    <x v="0"/>
    <s v="Smartwatch"/>
    <s v="1"/>
    <s v="52473.33"/>
    <n v="0.1"/>
    <s v="33175.72"/>
    <s v="14050.28"/>
    <x v="5"/>
    <x v="1"/>
    <s v="Website"/>
    <n v="47225.997000000003"/>
  </r>
  <r>
    <s v="ORD103569"/>
    <x v="6"/>
    <s v="23-07-2025"/>
    <s v="CUST12576"/>
    <s v="Home Office"/>
    <s v="Kerala"/>
    <x v="5"/>
    <x v="4"/>
    <s v="Football"/>
    <s v="1"/>
    <s v="8442.41"/>
    <n v="0.15"/>
    <s v="5261.85"/>
    <s v="1914.2"/>
    <x v="2"/>
    <x v="0"/>
    <s v="Marketplace"/>
    <n v="7176.0484999999999"/>
  </r>
  <r>
    <s v="ORD103571"/>
    <x v="3"/>
    <s v="10-03-2025"/>
    <s v="CUST12459"/>
    <s v="Home Office"/>
    <s v="Gujarat"/>
    <x v="18"/>
    <x v="0"/>
    <s v="Laptop"/>
    <s v="3"/>
    <s v="6375.4"/>
    <n v="0.1"/>
    <s v="14243.47"/>
    <s v="2970.11"/>
    <x v="0"/>
    <x v="0"/>
    <s v="Mobile App"/>
    <n v="17213.5799999999"/>
  </r>
  <r>
    <s v="ORD103583"/>
    <x v="1"/>
    <s v="01-02-2025"/>
    <s v="CUST11896"/>
    <s v="Home Office"/>
    <s v="Karnataka"/>
    <x v="17"/>
    <x v="1"/>
    <s v="Lipstick"/>
    <s v="1"/>
    <s v="2264.88"/>
    <n v="0.15"/>
    <s v="1395.56"/>
    <s v="529.59"/>
    <x v="2"/>
    <x v="0"/>
    <s v="Mobile App"/>
    <n v="1925.1479999999999"/>
  </r>
  <r>
    <s v="ORD103584"/>
    <x v="9"/>
    <s v="12-06-2025"/>
    <s v="CUST12552"/>
    <s v="Home Office"/>
    <s v="Karnataka"/>
    <x v="22"/>
    <x v="3"/>
    <s v="Coffee Maker"/>
    <s v="2"/>
    <s v="4029.71"/>
    <n v="0.05"/>
    <s v="4588"/>
    <s v="3068.45"/>
    <x v="0"/>
    <x v="0"/>
    <s v="Marketplace"/>
    <n v="7656.4489999999996"/>
  </r>
  <r>
    <s v="ORD103589"/>
    <x v="1"/>
    <s v="04-02-2025"/>
    <s v="CUST11308"/>
    <s v="Corporate"/>
    <s v="Delhi"/>
    <x v="12"/>
    <x v="2"/>
    <s v="Handbag"/>
    <s v="1"/>
    <s v="6895.11"/>
    <n v="0.1"/>
    <s v="4983.13"/>
    <s v="1222.47"/>
    <x v="2"/>
    <x v="0"/>
    <s v="Marketplace"/>
    <n v="6205.5990000000002"/>
  </r>
  <r>
    <s v="ORD103592"/>
    <x v="1"/>
    <s v="21-02-2025"/>
    <s v="CUST11050"/>
    <s v="Home Office"/>
    <s v="Gujarat"/>
    <x v="10"/>
    <x v="2"/>
    <s v="Jacket"/>
    <s v="3"/>
    <s v="5431.64"/>
    <n v="0.05"/>
    <s v="12755.11"/>
    <s v="2725.06"/>
    <x v="3"/>
    <x v="0"/>
    <s v="Website"/>
    <n v="15480.174000000001"/>
  </r>
  <r>
    <s v="ORD103594"/>
    <x v="7"/>
    <s v="27-05-2025"/>
    <s v="CUST13310"/>
    <s v="Home Office"/>
    <s v="Tamil Nadu"/>
    <x v="13"/>
    <x v="0"/>
    <s v="Headphones"/>
    <s v="1"/>
    <s v="4854.72"/>
    <n v="0.05"/>
    <s v="3059.62"/>
    <s v="1552.36"/>
    <x v="5"/>
    <x v="0"/>
    <s v="Mobile App"/>
    <n v="4611.9840000000004"/>
  </r>
  <r>
    <s v="ORD103598"/>
    <x v="4"/>
    <s v="20-04-2025"/>
    <s v="CUST10734"/>
    <s v="Home Office"/>
    <s v="Gujarat"/>
    <x v="10"/>
    <x v="2"/>
    <s v="Sneakers"/>
    <s v="1"/>
    <s v="1743.23"/>
    <n v="0"/>
    <s v="1191.79"/>
    <s v="551.44000000000005"/>
    <x v="3"/>
    <x v="3"/>
    <s v="Mobile App"/>
    <n v="1743.23"/>
  </r>
  <r>
    <s v="ORD103602"/>
    <x v="3"/>
    <s v="02-03-2025"/>
    <s v="CUST13005"/>
    <s v="Home Office"/>
    <s v="Karnataka"/>
    <x v="2"/>
    <x v="0"/>
    <s v="Tablet"/>
    <s v="1"/>
    <s v="12550.97"/>
    <n v="0"/>
    <s v="9339.07"/>
    <s v="3211.9"/>
    <x v="1"/>
    <x v="0"/>
    <s v="Website"/>
    <n v="12550.97"/>
  </r>
  <r>
    <s v="ORD103603"/>
    <x v="0"/>
    <s v="01-01-2025"/>
    <s v="CUST10456"/>
    <s v="Consumer"/>
    <s v="Gujarat"/>
    <x v="10"/>
    <x v="3"/>
    <s v="Coffee Maker"/>
    <s v="1"/>
    <s v="12655.92"/>
    <n v="0.15"/>
    <s v="10189.61"/>
    <s v="567.91999999999996"/>
    <x v="5"/>
    <x v="0"/>
    <s v="Website"/>
    <n v="10757.531999999999"/>
  </r>
  <r>
    <s v="ORD103606"/>
    <x v="4"/>
    <s v="09-04-2025"/>
    <s v="CUST12418"/>
    <s v="Home Office"/>
    <s v="Karnataka"/>
    <x v="22"/>
    <x v="3"/>
    <s v="Coffee Maker"/>
    <s v="1"/>
    <s v="17757.89"/>
    <n v="0"/>
    <s v="12109.42"/>
    <s v="5648.47"/>
    <x v="3"/>
    <x v="0"/>
    <s v="Website"/>
    <n v="17757.89"/>
  </r>
  <r>
    <s v="ORD103609"/>
    <x v="8"/>
    <s v="04-08-2025"/>
    <s v="CUST13034"/>
    <s v="Home Office"/>
    <s v="Tamil Nadu"/>
    <x v="1"/>
    <x v="2"/>
    <s v="Jeans"/>
    <s v="2"/>
    <s v="771.84"/>
    <n v="0.05"/>
    <s v="1139.78"/>
    <s v="326.72000000000003"/>
    <x v="1"/>
    <x v="0"/>
    <s v="Mobile App"/>
    <n v="1466.4960000000001"/>
  </r>
  <r>
    <s v="ORD103610"/>
    <x v="4"/>
    <s v="25-04-2025"/>
    <s v="CUST12763"/>
    <s v="Home Office"/>
    <s v="Gujarat"/>
    <x v="10"/>
    <x v="0"/>
    <s v="Smartwatch"/>
    <s v="1"/>
    <s v="70424.759999999995"/>
    <n v="0.1"/>
    <s v="48275.11"/>
    <s v="15107.17"/>
    <x v="1"/>
    <x v="0"/>
    <s v="Website"/>
    <n v="63382.284"/>
  </r>
  <r>
    <s v="ORD103617"/>
    <x v="4"/>
    <s v="14-04-2025"/>
    <s v="CUST10473"/>
    <s v="Home Office"/>
    <s v="Maharashtra"/>
    <x v="4"/>
    <x v="2"/>
    <s v="Jacket"/>
    <s v="2"/>
    <s v="1761.59"/>
    <n v="0.15"/>
    <s v="2295.62"/>
    <s v="699.08"/>
    <x v="0"/>
    <x v="2"/>
    <s v="Mobile App"/>
    <n v="2994.703"/>
  </r>
  <r>
    <s v="ORD103618"/>
    <x v="8"/>
    <s v="19-08-2025"/>
    <s v="CUST11697"/>
    <s v="Consumer"/>
    <s v="Tamil Nadu"/>
    <x v="11"/>
    <x v="0"/>
    <s v="Smartphone"/>
    <s v="1"/>
    <s v="11235.93"/>
    <n v="0"/>
    <s v="6210.76"/>
    <s v="5025.17"/>
    <x v="3"/>
    <x v="0"/>
    <s v="Website"/>
    <n v="11235.93"/>
  </r>
  <r>
    <s v="ORD103621"/>
    <x v="7"/>
    <s v="15-05-2025"/>
    <s v="CUST11487"/>
    <s v="Consumer"/>
    <s v="Telangana"/>
    <x v="14"/>
    <x v="4"/>
    <s v="Yoga Mat"/>
    <s v="3"/>
    <s v="9749.1299999999992"/>
    <n v="0.15"/>
    <s v="23871.81"/>
    <s v="988.47"/>
    <x v="2"/>
    <x v="0"/>
    <s v="Marketplace"/>
    <n v="24860.281499999899"/>
  </r>
  <r>
    <s v="ORD103622"/>
    <x v="6"/>
    <s v="16-07-2025"/>
    <s v="CUST12290"/>
    <s v="Consumer"/>
    <s v="Karnataka"/>
    <x v="22"/>
    <x v="2"/>
    <s v="T-Shirt"/>
    <s v="3"/>
    <s v="2715.03"/>
    <n v="0.15"/>
    <s v="6398.97"/>
    <s v="524.36"/>
    <x v="3"/>
    <x v="2"/>
    <s v="Website"/>
    <n v="6923.3265000000001"/>
  </r>
  <r>
    <s v="ORD103623"/>
    <x v="7"/>
    <s v="25-05-2025"/>
    <s v="CUST13216"/>
    <s v="Consumer"/>
    <s v="Karnataka"/>
    <x v="17"/>
    <x v="4"/>
    <s v="Cricket Bat"/>
    <s v="1"/>
    <s v="11135.79"/>
    <n v="0.15"/>
    <s v="6149.03"/>
    <s v="3316.39"/>
    <x v="2"/>
    <x v="0"/>
    <s v="Mobile App"/>
    <n v="9465.4215000000004"/>
  </r>
  <r>
    <s v="ORD103624"/>
    <x v="3"/>
    <s v="23-03-2025"/>
    <s v="CUST11282"/>
    <s v="Corporate"/>
    <s v="Gujarat"/>
    <x v="3"/>
    <x v="3"/>
    <s v="Air Fryer"/>
    <s v="2"/>
    <s v="3799.72"/>
    <n v="0.1"/>
    <s v="4726"/>
    <s v="2113.5"/>
    <x v="5"/>
    <x v="0"/>
    <s v="Website"/>
    <n v="6839.4960000000001"/>
  </r>
  <r>
    <s v="ORD103626"/>
    <x v="4"/>
    <s v="06-04-2025"/>
    <s v="CUST10405"/>
    <s v="Home Office"/>
    <s v="Tamil Nadu"/>
    <x v="11"/>
    <x v="3"/>
    <s v="Air Fryer"/>
    <s v="2"/>
    <s v="9099.44"/>
    <n v="0.05"/>
    <s v="12166.7"/>
    <s v="5122.24"/>
    <x v="0"/>
    <x v="0"/>
    <s v="Mobile App"/>
    <n v="17288.936000000002"/>
  </r>
  <r>
    <s v="ORD103627"/>
    <x v="10"/>
    <s v="12-11-2025"/>
    <s v="CUST12334"/>
    <s v="Home Office"/>
    <s v="West Bengal"/>
    <x v="9"/>
    <x v="2"/>
    <s v="Sneakers"/>
    <s v="1"/>
    <s v="2889.81"/>
    <n v="0.1"/>
    <s v="2339.98"/>
    <s v="260.85000000000002"/>
    <x v="5"/>
    <x v="2"/>
    <s v="Marketplace"/>
    <n v="2600.8290000000002"/>
  </r>
  <r>
    <s v="ORD103629"/>
    <x v="3"/>
    <s v="23-03-2025"/>
    <s v="CUST12875"/>
    <s v="Consumer"/>
    <s v="Delhi"/>
    <x v="12"/>
    <x v="2"/>
    <s v="Jeans"/>
    <s v="1"/>
    <s v="442.15"/>
    <n v="0.05"/>
    <s v="246.55"/>
    <s v="173.49"/>
    <x v="3"/>
    <x v="0"/>
    <s v="Website"/>
    <n v="420.042499999999"/>
  </r>
  <r>
    <s v="ORD103636"/>
    <x v="0"/>
    <s v="30-01-2025"/>
    <s v="CUST13466"/>
    <s v="Home Office"/>
    <s v="Delhi"/>
    <x v="12"/>
    <x v="0"/>
    <s v="Tablet"/>
    <s v="1"/>
    <s v="57428.92"/>
    <n v="0.05"/>
    <s v="37863.449999999997"/>
    <s v="16694.02"/>
    <x v="3"/>
    <x v="0"/>
    <s v="Mobile App"/>
    <n v="54557.4739999999"/>
  </r>
  <r>
    <s v="ORD103641"/>
    <x v="8"/>
    <s v="05-08-2025"/>
    <s v="CUST12762"/>
    <s v="Corporate"/>
    <s v="Gujarat"/>
    <x v="3"/>
    <x v="2"/>
    <s v="Jeans"/>
    <s v="1"/>
    <s v="5057.76"/>
    <n v="0.1"/>
    <s v="2913.94"/>
    <s v="1638.04"/>
    <x v="3"/>
    <x v="0"/>
    <s v="Marketplace"/>
    <n v="4551.9840000000004"/>
  </r>
  <r>
    <s v="ORD103642"/>
    <x v="7"/>
    <s v="01-05-2025"/>
    <s v="CUST10651"/>
    <s v="Corporate"/>
    <s v="Gujarat"/>
    <x v="10"/>
    <x v="2"/>
    <s v="Jeans"/>
    <s v="2"/>
    <s v="687.26"/>
    <n v="0.15"/>
    <s v="1101.3900000000001"/>
    <s v="66.95"/>
    <x v="2"/>
    <x v="0"/>
    <s v="Mobile App"/>
    <n v="1168.3419999999901"/>
  </r>
  <r>
    <s v="ORD103646"/>
    <x v="6"/>
    <s v="20-07-2025"/>
    <s v="CUST12040"/>
    <s v="Consumer"/>
    <s v="Gujarat"/>
    <x v="10"/>
    <x v="4"/>
    <s v="Running Shoes"/>
    <s v="2"/>
    <s v="704.85"/>
    <n v="0.05"/>
    <s v="890.99"/>
    <s v="448.23"/>
    <x v="1"/>
    <x v="0"/>
    <s v="Website"/>
    <n v="1339.2149999999999"/>
  </r>
  <r>
    <s v="ORD103648"/>
    <x v="1"/>
    <s v="18-02-2025"/>
    <s v="CUST12697"/>
    <s v="Corporate"/>
    <s v="Tamil Nadu"/>
    <x v="19"/>
    <x v="3"/>
    <s v="Cookware Set"/>
    <s v="2"/>
    <s v="12022.9"/>
    <n v="0.2"/>
    <s v="15647.44"/>
    <s v="3589.2"/>
    <x v="3"/>
    <x v="2"/>
    <s v="Mobile App"/>
    <n v="19236.64"/>
  </r>
  <r>
    <s v="ORD103649"/>
    <x v="10"/>
    <s v="19-11-2025"/>
    <s v="CUST12354"/>
    <s v="Home Office"/>
    <s v="Tamil Nadu"/>
    <x v="1"/>
    <x v="0"/>
    <s v="Laptop"/>
    <s v="1"/>
    <s v="73803.199999999997"/>
    <n v="0.05"/>
    <s v="42353.13"/>
    <s v="27759.91"/>
    <x v="3"/>
    <x v="0"/>
    <s v="Mobile App"/>
    <n v="70113.039999999994"/>
  </r>
  <r>
    <s v="ORD103656"/>
    <x v="6"/>
    <s v="20-07-2025"/>
    <s v="CUST13085"/>
    <s v="Home Office"/>
    <s v="Tamil Nadu"/>
    <x v="19"/>
    <x v="0"/>
    <s v="Tablet"/>
    <s v="2"/>
    <s v="57495.97"/>
    <n v="0.2"/>
    <s v="70867.3"/>
    <s v="21126.25"/>
    <x v="5"/>
    <x v="0"/>
    <s v="Website"/>
    <n v="91993.551999999996"/>
  </r>
  <r>
    <s v="ORD103660"/>
    <x v="0"/>
    <s v="01-01-2025"/>
    <s v="CUST12901"/>
    <s v="Home Office"/>
    <s v="Maharashtra"/>
    <x v="4"/>
    <x v="3"/>
    <s v="Coffee Maker"/>
    <s v="3"/>
    <s v="4330.96"/>
    <n v="0.15"/>
    <s v="9894.26"/>
    <s v="1149.69"/>
    <x v="5"/>
    <x v="0"/>
    <s v="Website"/>
    <n v="11043.948"/>
  </r>
  <r>
    <s v="ORD103661"/>
    <x v="6"/>
    <s v="05-07-2025"/>
    <s v="CUST10592"/>
    <s v="Consumer"/>
    <s v="West Bengal"/>
    <x v="0"/>
    <x v="4"/>
    <s v="Fitness Band"/>
    <s v="2"/>
    <s v="2484.9299999999998"/>
    <n v="0.05"/>
    <s v="4057.8"/>
    <s v="663.57"/>
    <x v="2"/>
    <x v="0"/>
    <s v="Mobile App"/>
    <n v="4721.3669999999902"/>
  </r>
  <r>
    <s v="ORD103663"/>
    <x v="11"/>
    <s v="12-10-2025"/>
    <s v="CUST11168"/>
    <s v="Home Office"/>
    <s v="Kerala"/>
    <x v="6"/>
    <x v="2"/>
    <s v="Handbag"/>
    <s v="2"/>
    <s v="4313.04"/>
    <n v="0.05"/>
    <s v="4890.82"/>
    <s v="3303.96"/>
    <x v="0"/>
    <x v="2"/>
    <s v="Marketplace"/>
    <n v="8194.7759999999998"/>
  </r>
  <r>
    <s v="ORD103669"/>
    <x v="4"/>
    <s v="13-04-2025"/>
    <s v="CUST12243"/>
    <s v="Consumer"/>
    <s v="Delhi"/>
    <x v="7"/>
    <x v="3"/>
    <s v="Air Fryer"/>
    <s v="1"/>
    <s v="12084.42"/>
    <n v="0.05"/>
    <s v="9263.2800000000007"/>
    <s v="2216.92"/>
    <x v="1"/>
    <x v="0"/>
    <s v="Marketplace"/>
    <n v="11480.1989999999"/>
  </r>
  <r>
    <s v="ORD103674"/>
    <x v="9"/>
    <s v="06-06-2025"/>
    <s v="CUST10976"/>
    <s v="Consumer"/>
    <s v="Tamil Nadu"/>
    <x v="11"/>
    <x v="4"/>
    <s v="Football"/>
    <s v="1"/>
    <s v="8715.24"/>
    <n v="0.2"/>
    <s v="5331.73"/>
    <s v="1640.46"/>
    <x v="0"/>
    <x v="0"/>
    <s v="Mobile App"/>
    <n v="6972.192"/>
  </r>
  <r>
    <s v="ORD103675"/>
    <x v="4"/>
    <s v="06-04-2025"/>
    <s v="CUST11109"/>
    <s v="Corporate"/>
    <s v="Tamil Nadu"/>
    <x v="11"/>
    <x v="0"/>
    <s v="Smartwatch"/>
    <s v="2"/>
    <s v="10355.81"/>
    <n v="0"/>
    <s v="12203.39"/>
    <s v="8508.23"/>
    <x v="5"/>
    <x v="1"/>
    <s v="Marketplace"/>
    <n v="20711.62"/>
  </r>
  <r>
    <s v="ORD103676"/>
    <x v="9"/>
    <s v="04-06-2025"/>
    <s v="CUST11202"/>
    <s v="Corporate"/>
    <s v="Delhi"/>
    <x v="12"/>
    <x v="3"/>
    <s v="Vacuum Cleaner"/>
    <s v="1"/>
    <s v="3131.35"/>
    <n v="0.2"/>
    <s v="2438.67"/>
    <s v="66.41"/>
    <x v="2"/>
    <x v="0"/>
    <s v="Marketplace"/>
    <n v="2505.08"/>
  </r>
  <r>
    <s v="ORD103680"/>
    <x v="4"/>
    <s v="23-04-2025"/>
    <s v="CUST11590"/>
    <s v="Consumer"/>
    <s v="Tamil Nadu"/>
    <x v="11"/>
    <x v="4"/>
    <s v="Yoga Mat"/>
    <s v="2"/>
    <s v="7048.02"/>
    <n v="0.1"/>
    <s v="10683.72"/>
    <s v="2002.72"/>
    <x v="5"/>
    <x v="0"/>
    <s v="Mobile App"/>
    <n v="12686.436"/>
  </r>
  <r>
    <s v="ORD103683"/>
    <x v="7"/>
    <s v="25-05-2025"/>
    <s v="CUST12818"/>
    <s v="Home Office"/>
    <s v="Kerala"/>
    <x v="6"/>
    <x v="2"/>
    <s v="T-Shirt"/>
    <s v="1"/>
    <s v="6486.93"/>
    <n v="0.1"/>
    <s v="4782.55"/>
    <s v="1055.69"/>
    <x v="3"/>
    <x v="0"/>
    <s v="Website"/>
    <n v="5838.2370000000001"/>
  </r>
  <r>
    <s v="ORD103684"/>
    <x v="11"/>
    <s v="08-10-2025"/>
    <s v="CUST10540"/>
    <s v="Consumer"/>
    <s v="Gujarat"/>
    <x v="10"/>
    <x v="3"/>
    <s v="Cookware Set"/>
    <s v="1"/>
    <s v="5926.92"/>
    <n v="0.05"/>
    <s v="3378.2"/>
    <s v="2252.37"/>
    <x v="0"/>
    <x v="0"/>
    <s v="Website"/>
    <n v="5630.5739999999996"/>
  </r>
  <r>
    <s v="ORD103688"/>
    <x v="7"/>
    <s v="21-05-2025"/>
    <s v="CUST10760"/>
    <s v="Corporate"/>
    <s v="Delhi"/>
    <x v="7"/>
    <x v="2"/>
    <s v="Handbag"/>
    <s v="1"/>
    <s v="701.87"/>
    <n v="0"/>
    <s v="424.9"/>
    <s v="241.88"/>
    <x v="1"/>
    <x v="0"/>
    <s v="Marketplace"/>
    <n v="701.87"/>
  </r>
  <r>
    <s v="ORD103689"/>
    <x v="7"/>
    <s v="21-05-2025"/>
    <s v="CUST10351"/>
    <s v="Home Office"/>
    <s v="Tamil Nadu"/>
    <x v="13"/>
    <x v="2"/>
    <s v="Jacket"/>
    <s v="2"/>
    <s v="3180.16"/>
    <n v="0.15"/>
    <s v="3569.82"/>
    <s v="1836.45"/>
    <x v="3"/>
    <x v="2"/>
    <s v="Marketplace"/>
    <n v="5406.2719999999999"/>
  </r>
  <r>
    <s v="ORD103690"/>
    <x v="9"/>
    <s v="12-06-2025"/>
    <s v="CUST10250"/>
    <s v="Consumer"/>
    <s v="Telangana"/>
    <x v="14"/>
    <x v="3"/>
    <s v="Vacuum Cleaner"/>
    <s v="1"/>
    <s v="2005.4"/>
    <n v="0.15"/>
    <s v="1480.15"/>
    <s v="224.44"/>
    <x v="5"/>
    <x v="0"/>
    <s v="Website"/>
    <n v="1704.59"/>
  </r>
  <r>
    <s v="ORD103692"/>
    <x v="7"/>
    <s v="08-05-2025"/>
    <s v="CUST10799"/>
    <s v="Consumer"/>
    <s v="West Bengal"/>
    <x v="0"/>
    <x v="2"/>
    <s v="T-Shirt"/>
    <s v="1"/>
    <s v="3735.79"/>
    <n v="0.05"/>
    <s v="2780.56"/>
    <s v="768.44"/>
    <x v="2"/>
    <x v="0"/>
    <s v="Website"/>
    <n v="3549.0004999999901"/>
  </r>
  <r>
    <s v="ORD103693"/>
    <x v="0"/>
    <s v="15-01-2025"/>
    <s v="CUST10731"/>
    <s v="Corporate"/>
    <s v="Karnataka"/>
    <x v="2"/>
    <x v="3"/>
    <s v="Air Fryer"/>
    <s v="1"/>
    <s v="14584.52"/>
    <n v="0.05"/>
    <s v="10672.11"/>
    <s v="3183.18"/>
    <x v="1"/>
    <x v="0"/>
    <s v="Marketplace"/>
    <n v="13855.294"/>
  </r>
  <r>
    <s v="ORD103694"/>
    <x v="3"/>
    <s v="29-03-2025"/>
    <s v="CUST13342"/>
    <s v="Consumer"/>
    <s v="Maharashtra"/>
    <x v="20"/>
    <x v="3"/>
    <s v="Coffee Maker"/>
    <s v="1"/>
    <s v="6883.74"/>
    <n v="0.15"/>
    <s v="5122.22"/>
    <s v="728.96"/>
    <x v="3"/>
    <x v="0"/>
    <s v="Mobile App"/>
    <n v="5851.1790000000001"/>
  </r>
  <r>
    <s v="ORD103699"/>
    <x v="9"/>
    <s v="30-06-2025"/>
    <s v="CUST12731"/>
    <s v="Corporate"/>
    <s v="Maharashtra"/>
    <x v="20"/>
    <x v="0"/>
    <s v="Smartwatch"/>
    <s v="1"/>
    <s v="70332.67"/>
    <n v="0"/>
    <s v="48342.98"/>
    <s v="21989.69"/>
    <x v="2"/>
    <x v="0"/>
    <s v="Marketplace"/>
    <n v="70332.67"/>
  </r>
  <r>
    <s v="ORD103700"/>
    <x v="8"/>
    <s v="10-08-2025"/>
    <s v="CUST12149"/>
    <s v="Consumer"/>
    <s v="Telangana"/>
    <x v="16"/>
    <x v="2"/>
    <s v="Jeans"/>
    <s v="2"/>
    <s v="3782.39"/>
    <n v="0.1"/>
    <s v="5592.73"/>
    <s v="1215.57"/>
    <x v="0"/>
    <x v="0"/>
    <s v="Marketplace"/>
    <n v="6808.3019999999997"/>
  </r>
  <r>
    <s v="ORD103704"/>
    <x v="4"/>
    <s v="17-04-2025"/>
    <s v="CUST11300"/>
    <s v="Home Office"/>
    <s v="Telangana"/>
    <x v="16"/>
    <x v="0"/>
    <s v="Laptop"/>
    <s v="2"/>
    <s v="3908.39"/>
    <n v="0.15"/>
    <s v="6384.77"/>
    <s v="259.49"/>
    <x v="3"/>
    <x v="0"/>
    <s v="Marketplace"/>
    <n v="6644.2629999999999"/>
  </r>
  <r>
    <s v="ORD103707"/>
    <x v="6"/>
    <s v="01-07-2025"/>
    <s v="CUST13302"/>
    <s v="Corporate"/>
    <s v="Telangana"/>
    <x v="14"/>
    <x v="3"/>
    <s v="Vacuum Cleaner"/>
    <s v="1"/>
    <s v="6972.89"/>
    <n v="0"/>
    <s v="5156.6099999999997"/>
    <s v="1816.28"/>
    <x v="5"/>
    <x v="0"/>
    <s v="Marketplace"/>
    <n v="6972.89"/>
  </r>
  <r>
    <s v="ORD103712"/>
    <x v="3"/>
    <s v="12-03-2025"/>
    <s v="CUST11785"/>
    <s v="Home Office"/>
    <s v="Maharashtra"/>
    <x v="4"/>
    <x v="0"/>
    <s v="Headphones"/>
    <s v="2"/>
    <s v="22116.27"/>
    <n v="0"/>
    <s v="35389.85"/>
    <s v="8842.69"/>
    <x v="3"/>
    <x v="0"/>
    <s v="Website"/>
    <n v="44232.54"/>
  </r>
  <r>
    <s v="ORD103713"/>
    <x v="3"/>
    <s v="15-03-2025"/>
    <s v="CUST12343"/>
    <s v="Home Office"/>
    <s v="Kerala"/>
    <x v="6"/>
    <x v="3"/>
    <s v="Air Fryer"/>
    <s v="1"/>
    <s v="12752.18"/>
    <n v="0.2"/>
    <s v="10320.83"/>
    <s v="-119.09"/>
    <x v="5"/>
    <x v="0"/>
    <s v="Website"/>
    <n v="10201.744000000001"/>
  </r>
  <r>
    <s v="ORD103716"/>
    <x v="7"/>
    <s v="26-05-2025"/>
    <s v="CUST12840"/>
    <s v="Corporate"/>
    <s v="Kerala"/>
    <x v="6"/>
    <x v="4"/>
    <s v="Cricket Bat"/>
    <s v="1"/>
    <s v="2623.76"/>
    <n v="0.1"/>
    <s v="1863.01"/>
    <s v="498.37"/>
    <x v="5"/>
    <x v="0"/>
    <s v="Mobile App"/>
    <n v="2361.384"/>
  </r>
  <r>
    <s v="ORD103721"/>
    <x v="8"/>
    <s v="04-08-2025"/>
    <s v="CUST13100"/>
    <s v="Corporate"/>
    <s v="Gujarat"/>
    <x v="18"/>
    <x v="0"/>
    <s v="Headphones"/>
    <s v="2"/>
    <s v="64384.62"/>
    <n v="0.05"/>
    <s v="72209.7"/>
    <s v="50121.08"/>
    <x v="2"/>
    <x v="2"/>
    <s v="Website"/>
    <n v="122330.77800000001"/>
  </r>
  <r>
    <s v="ORD103722"/>
    <x v="1"/>
    <s v="21-02-2025"/>
    <s v="CUST10500"/>
    <s v="Corporate"/>
    <s v="Gujarat"/>
    <x v="10"/>
    <x v="3"/>
    <s v="Air Fryer"/>
    <s v="1"/>
    <s v="13184.21"/>
    <n v="0.15"/>
    <s v="9402.34"/>
    <s v="1804.24"/>
    <x v="5"/>
    <x v="0"/>
    <s v="Marketplace"/>
    <n v="11206.5785"/>
  </r>
  <r>
    <s v="ORD103723"/>
    <x v="1"/>
    <s v="08-02-2025"/>
    <s v="CUST12850"/>
    <s v="Home Office"/>
    <s v="Maharashtra"/>
    <x v="20"/>
    <x v="0"/>
    <s v="Headphones"/>
    <s v="2"/>
    <s v="42634.57"/>
    <n v="0"/>
    <s v="64876.91"/>
    <s v="20392.23"/>
    <x v="1"/>
    <x v="2"/>
    <s v="Mobile App"/>
    <n v="85269.14"/>
  </r>
  <r>
    <s v="ORD103727"/>
    <x v="2"/>
    <s v="09-12-2025"/>
    <s v="CUST13363"/>
    <s v="Home Office"/>
    <s v="Gujarat"/>
    <x v="10"/>
    <x v="3"/>
    <s v="Air Fryer"/>
    <s v="1"/>
    <s v="16675.509999999998"/>
    <n v="0.1"/>
    <s v="11051.07"/>
    <s v="3956.89"/>
    <x v="5"/>
    <x v="2"/>
    <s v="Website"/>
    <n v="15007.958999999901"/>
  </r>
  <r>
    <s v="ORD103731"/>
    <x v="8"/>
    <s v="31-08-2025"/>
    <s v="CUST11589"/>
    <s v="Corporate"/>
    <s v="Tamil Nadu"/>
    <x v="13"/>
    <x v="3"/>
    <s v="Coffee Maker"/>
    <s v="1"/>
    <s v="10145.549999999999"/>
    <n v="0.1"/>
    <s v="6877.19"/>
    <s v="2253.8000000000002"/>
    <x v="3"/>
    <x v="0"/>
    <s v="Marketplace"/>
    <n v="9130.9949999999899"/>
  </r>
  <r>
    <s v="ORD103732"/>
    <x v="1"/>
    <s v="21-02-2025"/>
    <s v="CUST11719"/>
    <s v="Home Office"/>
    <s v="Karnataka"/>
    <x v="2"/>
    <x v="2"/>
    <s v="Jeans"/>
    <s v="1"/>
    <s v="6569.26"/>
    <n v="0.1"/>
    <s v="4711.87"/>
    <s v="1200.46"/>
    <x v="2"/>
    <x v="0"/>
    <s v="Marketplace"/>
    <n v="5912.3339999999998"/>
  </r>
  <r>
    <s v="ORD103734"/>
    <x v="0"/>
    <s v="01-01-2025"/>
    <s v="CUST12397"/>
    <s v="Consumer"/>
    <s v="Delhi"/>
    <x v="12"/>
    <x v="1"/>
    <s v="Hair Dryer"/>
    <s v="1"/>
    <s v="1328.07"/>
    <n v="0"/>
    <s v="780.47"/>
    <s v="547.6"/>
    <x v="2"/>
    <x v="3"/>
    <s v="Mobile App"/>
    <n v="1328.07"/>
  </r>
  <r>
    <s v="ORD103741"/>
    <x v="5"/>
    <s v="13-09-2025"/>
    <s v="CUST12595"/>
    <s v="Home Office"/>
    <s v="West Bengal"/>
    <x v="9"/>
    <x v="4"/>
    <s v="Fitness Band"/>
    <s v="1"/>
    <s v="3694.05"/>
    <n v="0.1"/>
    <s v="2914.39"/>
    <s v="410.26"/>
    <x v="0"/>
    <x v="2"/>
    <s v="Mobile App"/>
    <n v="3324.645"/>
  </r>
  <r>
    <s v="ORD103743"/>
    <x v="8"/>
    <s v="29-08-2025"/>
    <s v="CUST12195"/>
    <s v="Consumer"/>
    <s v="Kerala"/>
    <x v="5"/>
    <x v="0"/>
    <s v="Laptop"/>
    <s v="3"/>
    <s v="69214.75"/>
    <n v="0.05"/>
    <s v="149998.88"/>
    <s v="47263.16"/>
    <x v="3"/>
    <x v="0"/>
    <s v="Mobile App"/>
    <n v="197262.03749999899"/>
  </r>
  <r>
    <s v="ORD103744"/>
    <x v="10"/>
    <s v="07-11-2025"/>
    <s v="CUST12549"/>
    <s v="Corporate"/>
    <s v="Delhi"/>
    <x v="12"/>
    <x v="3"/>
    <s v="Cookware Set"/>
    <s v="2"/>
    <s v="5484.37"/>
    <n v="0"/>
    <s v="7209.75"/>
    <s v="3758.99"/>
    <x v="0"/>
    <x v="0"/>
    <s v="Marketplace"/>
    <n v="10968.74"/>
  </r>
  <r>
    <s v="ORD103747"/>
    <x v="4"/>
    <s v="17-04-2025"/>
    <s v="CUST10127"/>
    <s v="Home Office"/>
    <s v="Gujarat"/>
    <x v="18"/>
    <x v="4"/>
    <s v="Yoga Mat"/>
    <s v="2"/>
    <s v="6870.42"/>
    <n v="0.1"/>
    <s v="7945.04"/>
    <s v="4421.72"/>
    <x v="5"/>
    <x v="0"/>
    <s v="Marketplace"/>
    <n v="12366.755999999999"/>
  </r>
  <r>
    <s v="ORD103751"/>
    <x v="9"/>
    <s v="01-06-2025"/>
    <s v="CUST11208"/>
    <s v="Home Office"/>
    <s v="Telangana"/>
    <x v="16"/>
    <x v="0"/>
    <s v="Tablet"/>
    <s v="2"/>
    <s v="61512.800000000003"/>
    <n v="0.1"/>
    <s v="82494.23"/>
    <s v="28228.81"/>
    <x v="0"/>
    <x v="0"/>
    <s v="Marketplace"/>
    <n v="110723.04"/>
  </r>
  <r>
    <s v="ORD103764"/>
    <x v="3"/>
    <s v="31-03-2025"/>
    <s v="CUST11126"/>
    <s v="Corporate"/>
    <s v="Telangana"/>
    <x v="14"/>
    <x v="1"/>
    <s v="Face Cream"/>
    <s v="1"/>
    <s v="5596.94"/>
    <n v="0.1"/>
    <s v="4470.1499999999996"/>
    <s v="567.1"/>
    <x v="0"/>
    <x v="0"/>
    <s v="Marketplace"/>
    <n v="5037.2460000000001"/>
  </r>
  <r>
    <s v="ORD103765"/>
    <x v="6"/>
    <s v="11-07-2025"/>
    <s v="CUST11358"/>
    <s v="Home Office"/>
    <s v="Delhi"/>
    <x v="12"/>
    <x v="1"/>
    <s v="Hair Dryer"/>
    <s v="1"/>
    <s v="542.46"/>
    <n v="0.05"/>
    <s v="351.76"/>
    <s v="163.58000000000001"/>
    <x v="2"/>
    <x v="2"/>
    <s v="Mobile App"/>
    <n v="515.33699999999999"/>
  </r>
  <r>
    <s v="ORD103771"/>
    <x v="4"/>
    <s v="05-04-2025"/>
    <s v="CUST12714"/>
    <s v="Corporate"/>
    <s v="Delhi"/>
    <x v="7"/>
    <x v="2"/>
    <s v="Handbag"/>
    <s v="2"/>
    <s v="4977.0200000000004"/>
    <n v="0"/>
    <s v="6974.95"/>
    <s v="2979.09"/>
    <x v="0"/>
    <x v="0"/>
    <s v="Website"/>
    <n v="9954.0400000000009"/>
  </r>
  <r>
    <s v="ORD103775"/>
    <x v="7"/>
    <s v="15-05-2025"/>
    <s v="CUST10087"/>
    <s v="Home Office"/>
    <s v="Kerala"/>
    <x v="6"/>
    <x v="1"/>
    <s v="Lipstick"/>
    <s v="1"/>
    <s v="2820.52"/>
    <n v="0.1"/>
    <s v="2015.35"/>
    <s v="523.12"/>
    <x v="5"/>
    <x v="0"/>
    <s v="Marketplace"/>
    <n v="2538.4679999999998"/>
  </r>
  <r>
    <s v="ORD103776"/>
    <x v="9"/>
    <s v="14-06-2025"/>
    <s v="CUST10431"/>
    <s v="Corporate"/>
    <s v="Telangana"/>
    <x v="16"/>
    <x v="4"/>
    <s v="Yoga Mat"/>
    <s v="2"/>
    <s v="4924.34"/>
    <n v="0"/>
    <s v="7451.91"/>
    <s v="2396.77"/>
    <x v="2"/>
    <x v="3"/>
    <s v="Website"/>
    <n v="9848.68"/>
  </r>
  <r>
    <s v="ORD103782"/>
    <x v="5"/>
    <s v="13-09-2025"/>
    <s v="CUST10607"/>
    <s v="Consumer"/>
    <s v="Kerala"/>
    <x v="6"/>
    <x v="3"/>
    <s v="Cookware Set"/>
    <s v="2"/>
    <s v="1436.82"/>
    <n v="0.15"/>
    <s v="2276.59"/>
    <s v="166"/>
    <x v="5"/>
    <x v="0"/>
    <s v="Mobile App"/>
    <n v="2442.5940000000001"/>
  </r>
  <r>
    <s v="ORD103787"/>
    <x v="10"/>
    <s v="07-11-2025"/>
    <s v="CUST12233"/>
    <s v="Home Office"/>
    <s v="West Bengal"/>
    <x v="0"/>
    <x v="1"/>
    <s v="Lipstick"/>
    <s v="3"/>
    <s v="4598.07"/>
    <n v="0.2"/>
    <s v="10758.28"/>
    <s v="277.08999999999997"/>
    <x v="5"/>
    <x v="0"/>
    <s v="Mobile App"/>
    <n v="11035.368"/>
  </r>
  <r>
    <s v="ORD103790"/>
    <x v="5"/>
    <s v="24-09-2025"/>
    <s v="CUST12206"/>
    <s v="Corporate"/>
    <s v="Maharashtra"/>
    <x v="20"/>
    <x v="3"/>
    <s v="Air Fryer"/>
    <s v="1"/>
    <s v="6720.54"/>
    <n v="0.1"/>
    <s v="5355.58"/>
    <s v="692.91"/>
    <x v="3"/>
    <x v="2"/>
    <s v="Mobile App"/>
    <n v="6048.4859999999999"/>
  </r>
  <r>
    <s v="ORD103792"/>
    <x v="1"/>
    <s v="26-02-2025"/>
    <s v="CUST11103"/>
    <s v="Home Office"/>
    <s v="Karnataka"/>
    <x v="17"/>
    <x v="2"/>
    <s v="Jacket"/>
    <s v="3"/>
    <s v="5137.05"/>
    <n v="0.15"/>
    <s v="10921.8"/>
    <s v="2177.6799999999998"/>
    <x v="5"/>
    <x v="0"/>
    <s v="Mobile App"/>
    <n v="13099.477500000001"/>
  </r>
  <r>
    <s v="ORD103793"/>
    <x v="6"/>
    <s v="21-07-2025"/>
    <s v="CUST11408"/>
    <s v="Home Office"/>
    <s v="Delhi"/>
    <x v="12"/>
    <x v="0"/>
    <s v="Smartphone"/>
    <s v="1"/>
    <s v="29854.560000000001"/>
    <n v="0.1"/>
    <s v="18339.57"/>
    <s v="8529.5300000000007"/>
    <x v="2"/>
    <x v="0"/>
    <s v="Mobile App"/>
    <n v="26869.103999999999"/>
  </r>
  <r>
    <s v="ORD103794"/>
    <x v="5"/>
    <s v="03-09-2025"/>
    <s v="CUST13469"/>
    <s v="Consumer"/>
    <s v="Karnataka"/>
    <x v="2"/>
    <x v="0"/>
    <s v="Smartwatch"/>
    <s v="1"/>
    <s v="51066.15"/>
    <n v="0.1"/>
    <s v="35658.730000000003"/>
    <s v="10300.81"/>
    <x v="2"/>
    <x v="0"/>
    <s v="Marketplace"/>
    <n v="45959.535000000003"/>
  </r>
  <r>
    <s v="ORD103796"/>
    <x v="4"/>
    <s v="16-04-2025"/>
    <s v="CUST13380"/>
    <s v="Corporate"/>
    <s v="Kerala"/>
    <x v="6"/>
    <x v="0"/>
    <s v="Smartphone"/>
    <s v="1"/>
    <s v="6961"/>
    <n v="0.05"/>
    <s v="5084.16"/>
    <s v="1528.79"/>
    <x v="2"/>
    <x v="0"/>
    <s v="Mobile App"/>
    <n v="6612.95"/>
  </r>
  <r>
    <s v="ORD103800"/>
    <x v="5"/>
    <s v="30-09-2025"/>
    <s v="CUST13184"/>
    <s v="Home Office"/>
    <s v="Kerala"/>
    <x v="6"/>
    <x v="1"/>
    <s v="Hair Dryer"/>
    <s v="2"/>
    <s v="3509.99"/>
    <n v="0"/>
    <s v="5106.34"/>
    <s v="1913.64"/>
    <x v="5"/>
    <x v="0"/>
    <s v="Marketplace"/>
    <n v="7019.98"/>
  </r>
  <r>
    <s v="ORD103801"/>
    <x v="5"/>
    <s v="02-09-2025"/>
    <s v="CUST12381"/>
    <s v="Home Office"/>
    <s v="Kerala"/>
    <x v="15"/>
    <x v="0"/>
    <s v="Smartwatch"/>
    <s v="1"/>
    <s v="36729.71"/>
    <n v="0.2"/>
    <s v="25693.01"/>
    <s v="3690.76"/>
    <x v="2"/>
    <x v="0"/>
    <s v="Website"/>
    <n v="29383.768"/>
  </r>
  <r>
    <s v="ORD103802"/>
    <x v="7"/>
    <s v="08-05-2025"/>
    <s v="CUST11174"/>
    <s v="Consumer"/>
    <s v="Gujarat"/>
    <x v="18"/>
    <x v="3"/>
    <s v="Cookware Set"/>
    <s v="4"/>
    <s v="13940.67"/>
    <n v="0.1"/>
    <s v="41105.01"/>
    <s v="9081.4"/>
    <x v="1"/>
    <x v="0"/>
    <s v="Website"/>
    <n v="50186.411999999997"/>
  </r>
  <r>
    <s v="ORD103810"/>
    <x v="5"/>
    <s v="02-09-2025"/>
    <s v="CUST10737"/>
    <s v="Home Office"/>
    <s v="West Bengal"/>
    <x v="0"/>
    <x v="4"/>
    <s v="Yoga Mat"/>
    <s v="2"/>
    <s v="7252.49"/>
    <n v="0.05"/>
    <s v="10007.24"/>
    <s v="3772.49"/>
    <x v="0"/>
    <x v="0"/>
    <s v="Marketplace"/>
    <n v="13779.731"/>
  </r>
  <r>
    <s v="ORD103813"/>
    <x v="10"/>
    <s v="23-11-2025"/>
    <s v="CUST10419"/>
    <s v="Home Office"/>
    <s v="Karnataka"/>
    <x v="2"/>
    <x v="2"/>
    <s v="Sneakers"/>
    <s v="3"/>
    <s v="3267.57"/>
    <n v="0.15"/>
    <s v="7893.93"/>
    <s v="438.37"/>
    <x v="0"/>
    <x v="2"/>
    <s v="Marketplace"/>
    <n v="8332.3035"/>
  </r>
  <r>
    <s v="ORD103816"/>
    <x v="10"/>
    <s v="27-11-2025"/>
    <s v="CUST10377"/>
    <s v="Home Office"/>
    <s v="Tamil Nadu"/>
    <x v="13"/>
    <x v="1"/>
    <s v="Lipstick"/>
    <s v="1"/>
    <s v="1666.19"/>
    <n v="0.1"/>
    <s v="1035.25"/>
    <s v="464.32"/>
    <x v="0"/>
    <x v="0"/>
    <s v="Marketplace"/>
    <n v="1499.5709999999999"/>
  </r>
  <r>
    <s v="ORD103818"/>
    <x v="0"/>
    <s v="09-01-2025"/>
    <s v="CUST13021"/>
    <s v="Consumer"/>
    <s v="Telangana"/>
    <x v="14"/>
    <x v="0"/>
    <s v="Smartphone"/>
    <s v="4"/>
    <s v="20109.32"/>
    <n v="0"/>
    <s v="44539.62"/>
    <s v="35897.660000000003"/>
    <x v="2"/>
    <x v="2"/>
    <s v="Marketplace"/>
    <n v="80437.279999999999"/>
  </r>
  <r>
    <s v="ORD103819"/>
    <x v="10"/>
    <s v="02-11-2025"/>
    <s v="CUST12987"/>
    <s v="Consumer"/>
    <s v="Delhi"/>
    <x v="7"/>
    <x v="1"/>
    <s v="Shampoo"/>
    <s v="3"/>
    <s v="4069.25"/>
    <n v="0.05"/>
    <s v="9539.7099999999991"/>
    <s v="2057.65"/>
    <x v="0"/>
    <x v="0"/>
    <s v="Mobile App"/>
    <n v="11597.362499999999"/>
  </r>
  <r>
    <s v="ORD103823"/>
    <x v="1"/>
    <s v="05-02-2025"/>
    <s v="CUST11708"/>
    <s v="Home Office"/>
    <s v="West Bengal"/>
    <x v="9"/>
    <x v="1"/>
    <s v="Hair Dryer"/>
    <s v="1"/>
    <s v="3862.08"/>
    <n v="0"/>
    <s v="3131.03"/>
    <s v="731.05"/>
    <x v="3"/>
    <x v="0"/>
    <s v="Mobile App"/>
    <n v="3862.08"/>
  </r>
  <r>
    <s v="ORD103827"/>
    <x v="1"/>
    <s v="21-02-2025"/>
    <s v="CUST10864"/>
    <s v="Consumer"/>
    <s v="Karnataka"/>
    <x v="17"/>
    <x v="0"/>
    <s v="Smartphone"/>
    <s v="2"/>
    <s v="30660.77"/>
    <n v="0"/>
    <s v="47055.22"/>
    <s v="14266.32"/>
    <x v="0"/>
    <x v="0"/>
    <s v="Website"/>
    <n v="61321.54"/>
  </r>
  <r>
    <s v="ORD103828"/>
    <x v="11"/>
    <s v="27-10-2025"/>
    <s v="CUST10221"/>
    <s v="Corporate"/>
    <s v="Tamil Nadu"/>
    <x v="13"/>
    <x v="3"/>
    <s v="Vacuum Cleaner"/>
    <s v="2"/>
    <s v="11795.25"/>
    <n v="0.15"/>
    <s v="18506.37"/>
    <s v="1545.55"/>
    <x v="3"/>
    <x v="0"/>
    <s v="Mobile App"/>
    <n v="20051.924999999999"/>
  </r>
  <r>
    <s v="ORD103831"/>
    <x v="2"/>
    <s v="30-12-2025"/>
    <s v="CUST11682"/>
    <s v="Consumer"/>
    <s v="West Bengal"/>
    <x v="9"/>
    <x v="2"/>
    <s v="Jeans"/>
    <s v="1"/>
    <s v="977.2"/>
    <n v="0.1"/>
    <s v="552.01"/>
    <s v="327.47000000000003"/>
    <x v="0"/>
    <x v="0"/>
    <s v="Website"/>
    <n v="879.48"/>
  </r>
  <r>
    <s v="ORD103834"/>
    <x v="4"/>
    <s v="24-04-2025"/>
    <s v="CUST13072"/>
    <s v="Home Office"/>
    <s v="West Bengal"/>
    <x v="0"/>
    <x v="3"/>
    <s v="Air Fryer"/>
    <s v="2"/>
    <s v="14259.05"/>
    <n v="0.1"/>
    <s v="15986.33"/>
    <s v="9679.9599999999991"/>
    <x v="2"/>
    <x v="0"/>
    <s v="Mobile App"/>
    <n v="25666.29"/>
  </r>
  <r>
    <s v="ORD103835"/>
    <x v="0"/>
    <s v="01-01-2025"/>
    <s v="CUST13317"/>
    <s v="Consumer"/>
    <s v="Karnataka"/>
    <x v="22"/>
    <x v="0"/>
    <s v="Tablet"/>
    <s v="1"/>
    <s v="71899.240000000005"/>
    <n v="0.15"/>
    <s v="50597.37"/>
    <s v="10516.98"/>
    <x v="3"/>
    <x v="0"/>
    <s v="Website"/>
    <n v="61114.353999999999"/>
  </r>
  <r>
    <s v="ORD103839"/>
    <x v="11"/>
    <s v="10-10-2025"/>
    <s v="CUST10062"/>
    <s v="Home Office"/>
    <s v="Tamil Nadu"/>
    <x v="19"/>
    <x v="2"/>
    <s v="Sneakers"/>
    <s v="1"/>
    <s v="5348.67"/>
    <n v="0.2"/>
    <s v="4006.02"/>
    <s v="272.92"/>
    <x v="1"/>
    <x v="0"/>
    <s v="Marketplace"/>
    <n v="4278.9359999999997"/>
  </r>
  <r>
    <s v="ORD103848"/>
    <x v="10"/>
    <s v="17-11-2025"/>
    <s v="CUST10466"/>
    <s v="Corporate"/>
    <s v="Gujarat"/>
    <x v="10"/>
    <x v="2"/>
    <s v="Sneakers"/>
    <s v="1"/>
    <s v="4320.2700000000004"/>
    <n v="0"/>
    <s v="2820.85"/>
    <s v="1499.42"/>
    <x v="5"/>
    <x v="0"/>
    <s v="Mobile App"/>
    <n v="4320.2700000000004"/>
  </r>
  <r>
    <s v="ORD103851"/>
    <x v="2"/>
    <s v="26-12-2025"/>
    <s v="CUST12811"/>
    <s v="Corporate"/>
    <s v="Maharashtra"/>
    <x v="20"/>
    <x v="0"/>
    <s v="Smartwatch"/>
    <s v="2"/>
    <s v="38961.93"/>
    <n v="0.05"/>
    <s v="58456.99"/>
    <s v="15570.68"/>
    <x v="2"/>
    <x v="0"/>
    <s v="Marketplace"/>
    <n v="74027.667000000001"/>
  </r>
  <r>
    <s v="ORD103852"/>
    <x v="7"/>
    <s v="18-05-2025"/>
    <s v="CUST12143"/>
    <s v="Consumer"/>
    <s v="West Bengal"/>
    <x v="0"/>
    <x v="0"/>
    <s v="Headphones"/>
    <s v="1"/>
    <s v="63592.73"/>
    <n v="0.05"/>
    <s v="37278.42"/>
    <s v="23134.67"/>
    <x v="3"/>
    <x v="0"/>
    <s v="Website"/>
    <n v="60413.093500000003"/>
  </r>
  <r>
    <s v="ORD103858"/>
    <x v="11"/>
    <s v="16-10-2025"/>
    <s v="CUST12445"/>
    <s v="Corporate"/>
    <s v="Delhi"/>
    <x v="7"/>
    <x v="0"/>
    <s v="Smartwatch"/>
    <s v="2"/>
    <s v="1591.01"/>
    <n v="0.1"/>
    <s v="2590.37"/>
    <s v="273.45"/>
    <x v="2"/>
    <x v="0"/>
    <s v="Website"/>
    <n v="2863.8180000000002"/>
  </r>
  <r>
    <s v="ORD103861"/>
    <x v="4"/>
    <s v="26-04-2025"/>
    <s v="CUST10966"/>
    <s v="Corporate"/>
    <s v="Delhi"/>
    <x v="12"/>
    <x v="3"/>
    <s v="Mixer Grinder"/>
    <s v="2"/>
    <s v="2950.64"/>
    <n v="0"/>
    <s v="3945.96"/>
    <s v="1955.32"/>
    <x v="0"/>
    <x v="2"/>
    <s v="Marketplace"/>
    <n v="5901.28"/>
  </r>
  <r>
    <s v="ORD103863"/>
    <x v="10"/>
    <s v="30-11-2025"/>
    <s v="CUST11557"/>
    <s v="Corporate"/>
    <s v="Delhi"/>
    <x v="12"/>
    <x v="2"/>
    <s v="Jacket"/>
    <s v="1"/>
    <s v="1084.0999999999999"/>
    <n v="0.1"/>
    <s v="653.30999999999995"/>
    <s v="322.38"/>
    <x v="5"/>
    <x v="0"/>
    <s v="Marketplace"/>
    <n v="975.68999999999903"/>
  </r>
  <r>
    <s v="ORD103864"/>
    <x v="2"/>
    <s v="15-12-2025"/>
    <s v="CUST12757"/>
    <s v="Home Office"/>
    <s v="West Bengal"/>
    <x v="0"/>
    <x v="3"/>
    <s v="Air Fryer"/>
    <s v="1"/>
    <s v="614.67999999999995"/>
    <n v="0.05"/>
    <s v="494.05"/>
    <s v="89.9"/>
    <x v="3"/>
    <x v="0"/>
    <s v="Mobile App"/>
    <n v="583.945999999999"/>
  </r>
  <r>
    <s v="ORD103865"/>
    <x v="9"/>
    <s v="08-06-2025"/>
    <s v="CUST11278"/>
    <s v="Consumer"/>
    <s v="Gujarat"/>
    <x v="18"/>
    <x v="2"/>
    <s v="Sneakers"/>
    <s v="3"/>
    <s v="1637.93"/>
    <n v="0"/>
    <s v="3800.36"/>
    <s v="1113.43"/>
    <x v="2"/>
    <x v="3"/>
    <s v="Website"/>
    <n v="4913.79"/>
  </r>
  <r>
    <s v="ORD103870"/>
    <x v="11"/>
    <s v="11-10-2025"/>
    <s v="CUST12370"/>
    <s v="Home Office"/>
    <s v="Karnataka"/>
    <x v="22"/>
    <x v="4"/>
    <s v="Football"/>
    <s v="3"/>
    <s v="5598.66"/>
    <n v="0.2"/>
    <s v="9315.44"/>
    <s v="4121.34"/>
    <x v="0"/>
    <x v="0"/>
    <s v="Website"/>
    <n v="13436.784"/>
  </r>
  <r>
    <s v="ORD103871"/>
    <x v="10"/>
    <s v="07-11-2025"/>
    <s v="CUST10315"/>
    <s v="Consumer"/>
    <s v="Telangana"/>
    <x v="14"/>
    <x v="0"/>
    <s v="Laptop"/>
    <s v="1"/>
    <s v="39608.230000000003"/>
    <n v="0"/>
    <s v="27061.86"/>
    <s v="12546.37"/>
    <x v="1"/>
    <x v="2"/>
    <s v="Website"/>
    <n v="39608.230000000003"/>
  </r>
  <r>
    <s v="ORD103872"/>
    <x v="9"/>
    <s v="09-06-2025"/>
    <s v="CUST11378"/>
    <s v="Consumer"/>
    <s v="Telangana"/>
    <x v="16"/>
    <x v="3"/>
    <s v="Air Fryer"/>
    <s v="1"/>
    <s v="1169.99"/>
    <n v="0.1"/>
    <s v="821.46"/>
    <s v="231.53"/>
    <x v="0"/>
    <x v="0"/>
    <s v="Mobile App"/>
    <n v="1052.991"/>
  </r>
  <r>
    <s v="ORD103874"/>
    <x v="4"/>
    <s v="25-04-2025"/>
    <s v="CUST10483"/>
    <s v="Consumer"/>
    <s v="Gujarat"/>
    <x v="18"/>
    <x v="4"/>
    <s v="Running Shoes"/>
    <s v="1"/>
    <s v="6326.68"/>
    <n v="0.15"/>
    <s v="3550.82"/>
    <s v="1826.86"/>
    <x v="1"/>
    <x v="0"/>
    <s v="Website"/>
    <n v="5377.6779999999999"/>
  </r>
  <r>
    <s v="ORD103875"/>
    <x v="9"/>
    <s v="22-06-2025"/>
    <s v="CUST10398"/>
    <s v="Corporate"/>
    <s v="Karnataka"/>
    <x v="2"/>
    <x v="0"/>
    <s v="Laptop"/>
    <s v="1"/>
    <s v="5595.5"/>
    <n v="0.1"/>
    <s v="3323.49"/>
    <s v="1712.46"/>
    <x v="2"/>
    <x v="0"/>
    <s v="Marketplace"/>
    <n v="5035.95"/>
  </r>
  <r>
    <s v="ORD103878"/>
    <x v="1"/>
    <s v="13-02-2025"/>
    <s v="CUST11566"/>
    <s v="Corporate"/>
    <s v="West Bengal"/>
    <x v="9"/>
    <x v="2"/>
    <s v="Sneakers"/>
    <s v="1"/>
    <s v="3659.53"/>
    <n v="0.1"/>
    <s v="2551.11"/>
    <s v="742.47"/>
    <x v="2"/>
    <x v="2"/>
    <s v="Mobile App"/>
    <n v="3293.5770000000002"/>
  </r>
  <r>
    <s v="ORD103879"/>
    <x v="7"/>
    <s v="01-05-2025"/>
    <s v="CUST10502"/>
    <s v="Consumer"/>
    <s v="Kerala"/>
    <x v="5"/>
    <x v="4"/>
    <s v="Cricket Bat"/>
    <s v="1"/>
    <s v="10335.11"/>
    <n v="0"/>
    <s v="8114.21"/>
    <s v="2220.9"/>
    <x v="2"/>
    <x v="0"/>
    <s v="Marketplace"/>
    <n v="10335.11"/>
  </r>
  <r>
    <s v="ORD103883"/>
    <x v="9"/>
    <s v="10-06-2025"/>
    <s v="CUST13282"/>
    <s v="Consumer"/>
    <s v="Gujarat"/>
    <x v="18"/>
    <x v="4"/>
    <s v="Fitness Band"/>
    <s v="3"/>
    <s v="8981.07"/>
    <n v="0.15"/>
    <s v="20411.27"/>
    <s v="2490.46"/>
    <x v="1"/>
    <x v="0"/>
    <s v="Marketplace"/>
    <n v="22901.728499999899"/>
  </r>
  <r>
    <s v="ORD103884"/>
    <x v="3"/>
    <s v="07-03-2025"/>
    <s v="CUST11340"/>
    <s v="Corporate"/>
    <s v="Telangana"/>
    <x v="16"/>
    <x v="0"/>
    <s v="Headphones"/>
    <s v="2"/>
    <s v="52573.54"/>
    <n v="0.15"/>
    <s v="78934.84"/>
    <s v="10440.18"/>
    <x v="3"/>
    <x v="0"/>
    <s v="Marketplace"/>
    <n v="89375.017999999996"/>
  </r>
  <r>
    <s v="ORD103887"/>
    <x v="9"/>
    <s v="24-06-2025"/>
    <s v="CUST12979"/>
    <s v="Consumer"/>
    <s v="Delhi"/>
    <x v="7"/>
    <x v="3"/>
    <s v="Cookware Set"/>
    <s v="2"/>
    <s v="11616.17"/>
    <n v="0.15"/>
    <s v="14196.3"/>
    <s v="5551.19"/>
    <x v="5"/>
    <x v="0"/>
    <s v="Marketplace"/>
    <n v="19747.489000000001"/>
  </r>
  <r>
    <s v="ORD103895"/>
    <x v="7"/>
    <s v="09-05-2025"/>
    <s v="CUST13080"/>
    <s v="Consumer"/>
    <s v="Karnataka"/>
    <x v="2"/>
    <x v="3"/>
    <s v="Cookware Set"/>
    <s v="2"/>
    <s v="1663.81"/>
    <n v="0.15"/>
    <s v="2233.56"/>
    <s v="594.91999999999996"/>
    <x v="0"/>
    <x v="0"/>
    <s v="Website"/>
    <n v="2828.4769999999999"/>
  </r>
  <r>
    <s v="ORD103899"/>
    <x v="3"/>
    <s v="06-03-2025"/>
    <s v="CUST13081"/>
    <s v="Corporate"/>
    <s v="Maharashtra"/>
    <x v="21"/>
    <x v="2"/>
    <s v="Jacket"/>
    <s v="1"/>
    <s v="1668.71"/>
    <n v="0.05"/>
    <s v="960.46"/>
    <s v="624.80999999999995"/>
    <x v="5"/>
    <x v="0"/>
    <s v="Mobile App"/>
    <n v="1585.2745"/>
  </r>
  <r>
    <s v="ORD103900"/>
    <x v="5"/>
    <s v="17-09-2025"/>
    <s v="CUST11497"/>
    <s v="Consumer"/>
    <s v="Gujarat"/>
    <x v="3"/>
    <x v="1"/>
    <s v="Shampoo"/>
    <s v="1"/>
    <s v="5357.75"/>
    <n v="0.15"/>
    <s v="4168.3999999999996"/>
    <s v="385.69"/>
    <x v="1"/>
    <x v="0"/>
    <s v="Website"/>
    <n v="4554.0874999999996"/>
  </r>
  <r>
    <s v="ORD103904"/>
    <x v="6"/>
    <s v="18-07-2025"/>
    <s v="CUST11876"/>
    <s v="Corporate"/>
    <s v="West Bengal"/>
    <x v="9"/>
    <x v="0"/>
    <s v="Smartwatch"/>
    <s v="4"/>
    <s v="60043.42"/>
    <n v="0.1"/>
    <s v="165352.35"/>
    <s v="50803.96"/>
    <x v="5"/>
    <x v="0"/>
    <s v="Mobile App"/>
    <n v="216156.31200000001"/>
  </r>
  <r>
    <s v="ORD103905"/>
    <x v="10"/>
    <s v="25-11-2025"/>
    <s v="CUST12434"/>
    <s v="Consumer"/>
    <s v="Karnataka"/>
    <x v="2"/>
    <x v="3"/>
    <s v="Coffee Maker"/>
    <s v="1"/>
    <s v="12994.72"/>
    <n v="0.1"/>
    <s v="9649.93"/>
    <s v="2045.32"/>
    <x v="5"/>
    <x v="0"/>
    <s v="Mobile App"/>
    <n v="11695.248"/>
  </r>
  <r>
    <s v="ORD103906"/>
    <x v="3"/>
    <s v="26-03-2025"/>
    <s v="CUST11295"/>
    <s v="Corporate"/>
    <s v="Delhi"/>
    <x v="12"/>
    <x v="3"/>
    <s v="Mixer Grinder"/>
    <s v="1"/>
    <s v="16762.25"/>
    <n v="0.1"/>
    <s v="11412.62"/>
    <s v="3673.4"/>
    <x v="3"/>
    <x v="0"/>
    <s v="Marketplace"/>
    <n v="15086.025"/>
  </r>
  <r>
    <s v="ORD103907"/>
    <x v="8"/>
    <s v="13-08-2025"/>
    <s v="CUST11849"/>
    <s v="Corporate"/>
    <s v="Maharashtra"/>
    <x v="21"/>
    <x v="4"/>
    <s v="Football"/>
    <s v="1"/>
    <s v="8257.2099999999991"/>
    <n v="0.05"/>
    <s v="6743.8"/>
    <s v="1100.55"/>
    <x v="5"/>
    <x v="2"/>
    <s v="Mobile App"/>
    <n v="7844.3494999999903"/>
  </r>
  <r>
    <s v="ORD103914"/>
    <x v="0"/>
    <s v="06-01-2025"/>
    <s v="CUST13143"/>
    <s v="Corporate"/>
    <s v="Maharashtra"/>
    <x v="20"/>
    <x v="3"/>
    <s v="Vacuum Cleaner"/>
    <s v="2"/>
    <s v="10256.34"/>
    <n v="0.15"/>
    <s v="16686.09"/>
    <s v="749.69"/>
    <x v="2"/>
    <x v="0"/>
    <s v="Marketplace"/>
    <n v="17435.777999999998"/>
  </r>
  <r>
    <s v="ORD103915"/>
    <x v="2"/>
    <s v="25-12-2025"/>
    <s v="CUST12100"/>
    <s v="Consumer"/>
    <s v="Telangana"/>
    <x v="14"/>
    <x v="3"/>
    <s v="Cookware Set"/>
    <s v="4"/>
    <s v="921.43"/>
    <n v="0"/>
    <s v="2533.86"/>
    <s v="1151.8599999999999"/>
    <x v="5"/>
    <x v="1"/>
    <s v="Marketplace"/>
    <n v="3685.72"/>
  </r>
  <r>
    <s v="ORD103919"/>
    <x v="11"/>
    <s v="22-10-2025"/>
    <s v="CUST13158"/>
    <s v="Home Office"/>
    <s v="Gujarat"/>
    <x v="18"/>
    <x v="3"/>
    <s v="Vacuum Cleaner"/>
    <s v="1"/>
    <s v="17416.04"/>
    <n v="0.05"/>
    <s v="12540.86"/>
    <s v="4004.38"/>
    <x v="2"/>
    <x v="0"/>
    <s v="Marketplace"/>
    <n v="16545.238000000001"/>
  </r>
  <r>
    <s v="ORD103921"/>
    <x v="11"/>
    <s v="15-10-2025"/>
    <s v="CUST11182"/>
    <s v="Consumer"/>
    <s v="Delhi"/>
    <x v="12"/>
    <x v="0"/>
    <s v="Smartwatch"/>
    <s v="2"/>
    <s v="12769"/>
    <n v="0.15"/>
    <s v="17866.78"/>
    <s v="3840.52"/>
    <x v="0"/>
    <x v="0"/>
    <s v="Mobile App"/>
    <n v="21707.3"/>
  </r>
  <r>
    <s v="ORD103922"/>
    <x v="4"/>
    <s v="27-04-2025"/>
    <s v="CUST11144"/>
    <s v="Corporate"/>
    <s v="West Bengal"/>
    <x v="9"/>
    <x v="2"/>
    <s v="T-Shirt"/>
    <s v="1"/>
    <s v="5544.65"/>
    <n v="0"/>
    <s v="4531.46"/>
    <s v="1013.19"/>
    <x v="3"/>
    <x v="3"/>
    <s v="Mobile App"/>
    <n v="5544.65"/>
  </r>
  <r>
    <s v="ORD103927"/>
    <x v="4"/>
    <s v="17-04-2025"/>
    <s v="CUST13304"/>
    <s v="Consumer"/>
    <s v="Tamil Nadu"/>
    <x v="11"/>
    <x v="2"/>
    <s v="Handbag"/>
    <s v="3"/>
    <s v="4093"/>
    <n v="0.15"/>
    <s v="7036.37"/>
    <s v="3400.78"/>
    <x v="3"/>
    <x v="0"/>
    <s v="Marketplace"/>
    <n v="10437.15"/>
  </r>
  <r>
    <s v="ORD103930"/>
    <x v="0"/>
    <s v="16-01-2025"/>
    <s v="CUST10323"/>
    <s v="Corporate"/>
    <s v="Tamil Nadu"/>
    <x v="8"/>
    <x v="0"/>
    <s v="Smartphone"/>
    <s v="1"/>
    <s v="48512.78"/>
    <n v="0.1"/>
    <s v="31423.65"/>
    <s v="12237.85"/>
    <x v="3"/>
    <x v="0"/>
    <s v="Website"/>
    <n v="43661.502"/>
  </r>
  <r>
    <s v="ORD103931"/>
    <x v="5"/>
    <s v="11-09-2025"/>
    <s v="CUST11008"/>
    <s v="Corporate"/>
    <s v="Gujarat"/>
    <x v="3"/>
    <x v="4"/>
    <s v="Fitness Band"/>
    <s v="1"/>
    <s v="11437.99"/>
    <n v="0.1"/>
    <s v="9361.18"/>
    <s v="933.01"/>
    <x v="1"/>
    <x v="0"/>
    <s v="Website"/>
    <n v="10294.191000000001"/>
  </r>
  <r>
    <s v="ORD103942"/>
    <x v="4"/>
    <s v="30-04-2025"/>
    <s v="CUST11516"/>
    <s v="Home Office"/>
    <s v="West Bengal"/>
    <x v="0"/>
    <x v="0"/>
    <s v="Headphones"/>
    <s v="1"/>
    <s v="28810.78"/>
    <n v="0.1"/>
    <s v="18987.330000000002"/>
    <s v="6942.37"/>
    <x v="0"/>
    <x v="0"/>
    <s v="Mobile App"/>
    <n v="25929.702000000001"/>
  </r>
  <r>
    <s v="ORD103949"/>
    <x v="8"/>
    <s v="28-08-2025"/>
    <s v="CUST10372"/>
    <s v="Consumer"/>
    <s v="Karnataka"/>
    <x v="2"/>
    <x v="4"/>
    <s v="Cricket Bat"/>
    <s v="1"/>
    <s v="5085.9399999999996"/>
    <n v="0.1"/>
    <s v="3715.4"/>
    <s v="861.95"/>
    <x v="0"/>
    <x v="0"/>
    <s v="Marketplace"/>
    <n v="4577.3459999999995"/>
  </r>
  <r>
    <s v="ORD103950"/>
    <x v="1"/>
    <s v="07-02-2025"/>
    <s v="CUST13086"/>
    <s v="Home Office"/>
    <s v="Telangana"/>
    <x v="14"/>
    <x v="2"/>
    <s v="Sneakers"/>
    <s v="1"/>
    <s v="1297.0899999999999"/>
    <n v="0.05"/>
    <s v="756.21"/>
    <s v="476.03"/>
    <x v="3"/>
    <x v="0"/>
    <s v="Mobile App"/>
    <n v="1232.23549999999"/>
  </r>
  <r>
    <s v="ORD103953"/>
    <x v="2"/>
    <s v="27-12-2025"/>
    <s v="CUST13117"/>
    <s v="Corporate"/>
    <s v="Telangana"/>
    <x v="14"/>
    <x v="1"/>
    <s v="Face Cream"/>
    <s v="1"/>
    <s v="4773.87"/>
    <n v="0.05"/>
    <s v="2865.23"/>
    <s v="1669.95"/>
    <x v="1"/>
    <x v="0"/>
    <s v="Mobile App"/>
    <n v="4535.1764999999996"/>
  </r>
  <r>
    <s v="ORD103954"/>
    <x v="1"/>
    <s v="20-02-2025"/>
    <s v="CUST10944"/>
    <s v="Corporate"/>
    <s v="Delhi"/>
    <x v="12"/>
    <x v="3"/>
    <s v="Air Fryer"/>
    <s v="1"/>
    <s v="11118.59"/>
    <n v="0.1"/>
    <s v="6666.96"/>
    <s v="3339.77"/>
    <x v="2"/>
    <x v="0"/>
    <s v="Mobile App"/>
    <n v="10006.731"/>
  </r>
  <r>
    <s v="ORD103958"/>
    <x v="0"/>
    <s v="08-01-2025"/>
    <s v="CUST11093"/>
    <s v="Home Office"/>
    <s v="Maharashtra"/>
    <x v="4"/>
    <x v="0"/>
    <s v="Headphones"/>
    <s v="2"/>
    <s v="13182.04"/>
    <n v="0.15"/>
    <s v="19318.66"/>
    <s v="3090.81"/>
    <x v="2"/>
    <x v="0"/>
    <s v="Mobile App"/>
    <n v="22409.468000000001"/>
  </r>
  <r>
    <s v="ORD103959"/>
    <x v="1"/>
    <s v="11-02-2025"/>
    <s v="CUST10408"/>
    <s v="Home Office"/>
    <s v="Kerala"/>
    <x v="6"/>
    <x v="0"/>
    <s v="Smartwatch"/>
    <s v="2"/>
    <s v="15645.5"/>
    <n v="0.1"/>
    <s v="24812.44"/>
    <s v="3349.46"/>
    <x v="1"/>
    <x v="0"/>
    <s v="Website"/>
    <n v="28161.9"/>
  </r>
  <r>
    <s v="ORD103960"/>
    <x v="7"/>
    <s v="01-05-2025"/>
    <s v="CUST11076"/>
    <s v="Corporate"/>
    <s v="West Bengal"/>
    <x v="9"/>
    <x v="3"/>
    <s v="Air Fryer"/>
    <s v="2"/>
    <s v="6884.91"/>
    <n v="0.15"/>
    <s v="9492.98"/>
    <s v="2211.37"/>
    <x v="5"/>
    <x v="0"/>
    <s v="Marketplace"/>
    <n v="11704.347"/>
  </r>
  <r>
    <s v="ORD103962"/>
    <x v="6"/>
    <s v="22-07-2025"/>
    <s v="CUST10444"/>
    <s v="Home Office"/>
    <s v="West Bengal"/>
    <x v="9"/>
    <x v="1"/>
    <s v="Lipstick"/>
    <s v="1"/>
    <s v="1328.37"/>
    <n v="0.15"/>
    <s v="800.91"/>
    <s v="328.2"/>
    <x v="1"/>
    <x v="0"/>
    <s v="Website"/>
    <n v="1129.1144999999999"/>
  </r>
  <r>
    <s v="ORD103963"/>
    <x v="3"/>
    <s v="11-03-2025"/>
    <s v="CUST10125"/>
    <s v="Consumer"/>
    <s v="Karnataka"/>
    <x v="17"/>
    <x v="1"/>
    <s v="Perfume"/>
    <s v="1"/>
    <s v="4257.63"/>
    <n v="0"/>
    <s v="2900.03"/>
    <s v="1357.6"/>
    <x v="5"/>
    <x v="0"/>
    <s v="Mobile App"/>
    <n v="4257.63"/>
  </r>
  <r>
    <s v="ORD103978"/>
    <x v="3"/>
    <s v="12-03-2025"/>
    <s v="CUST13108"/>
    <s v="Home Office"/>
    <s v="Karnataka"/>
    <x v="22"/>
    <x v="0"/>
    <s v="Tablet"/>
    <s v="1"/>
    <s v="45394.239999999998"/>
    <n v="0.1"/>
    <s v="29889.16"/>
    <s v="10965.66"/>
    <x v="5"/>
    <x v="0"/>
    <s v="Website"/>
    <n v="40854.815999999999"/>
  </r>
  <r>
    <s v="ORD103979"/>
    <x v="0"/>
    <s v="06-01-2025"/>
    <s v="CUST10376"/>
    <s v="Consumer"/>
    <s v="Telangana"/>
    <x v="16"/>
    <x v="3"/>
    <s v="Vacuum Cleaner"/>
    <s v="1"/>
    <s v="15604.95"/>
    <n v="0.05"/>
    <s v="10015.59"/>
    <s v="4809.1099999999997"/>
    <x v="0"/>
    <x v="2"/>
    <s v="Mobile App"/>
    <n v="14824.702499999999"/>
  </r>
  <r>
    <s v="ORD103988"/>
    <x v="8"/>
    <s v="18-08-2025"/>
    <s v="CUST10023"/>
    <s v="Corporate"/>
    <s v="West Bengal"/>
    <x v="9"/>
    <x v="0"/>
    <s v="Laptop"/>
    <s v="1"/>
    <s v="48015.15"/>
    <n v="0.05"/>
    <s v="28525.32"/>
    <s v="17089.07"/>
    <x v="5"/>
    <x v="0"/>
    <s v="Mobile App"/>
    <n v="45614.392500000002"/>
  </r>
  <r>
    <s v="ORD103991"/>
    <x v="11"/>
    <s v="25-10-2025"/>
    <s v="CUST11951"/>
    <s v="Consumer"/>
    <s v="Karnataka"/>
    <x v="17"/>
    <x v="0"/>
    <s v="Smartwatch"/>
    <s v="2"/>
    <s v="32946.370000000003"/>
    <n v="0.15"/>
    <s v="51327.85"/>
    <s v="4680.9799999999996"/>
    <x v="0"/>
    <x v="3"/>
    <s v="Mobile App"/>
    <n v="56008.828999999998"/>
  </r>
  <r>
    <s v="ORD103992"/>
    <x v="6"/>
    <s v="31-07-2025"/>
    <s v="CUST10169"/>
    <s v="Home Office"/>
    <s v="Gujarat"/>
    <x v="18"/>
    <x v="2"/>
    <s v="Sneakers"/>
    <s v="1"/>
    <s v="6469.77"/>
    <n v="0.1"/>
    <s v="4309.1499999999996"/>
    <s v="1513.64"/>
    <x v="2"/>
    <x v="0"/>
    <s v="Website"/>
    <n v="5822.7929999999997"/>
  </r>
  <r>
    <s v="ORD103993"/>
    <x v="10"/>
    <s v="27-11-2025"/>
    <s v="CUST12688"/>
    <s v="Home Office"/>
    <s v="West Bengal"/>
    <x v="0"/>
    <x v="2"/>
    <s v="Handbag"/>
    <s v="1"/>
    <s v="2820.49"/>
    <n v="0.15"/>
    <s v="1797.35"/>
    <s v="600.07000000000005"/>
    <x v="2"/>
    <x v="2"/>
    <s v="Website"/>
    <n v="2397.4164999999998"/>
  </r>
  <r>
    <s v="ORD103994"/>
    <x v="8"/>
    <s v="29-08-2025"/>
    <s v="CUST11110"/>
    <s v="Home Office"/>
    <s v="Delhi"/>
    <x v="12"/>
    <x v="1"/>
    <s v="Perfume"/>
    <s v="1"/>
    <s v="4883.05"/>
    <n v="0.05"/>
    <s v="3872.09"/>
    <s v="766.81"/>
    <x v="3"/>
    <x v="0"/>
    <s v="Marketplace"/>
    <n v="4638.8975"/>
  </r>
  <r>
    <s v="ORD103997"/>
    <x v="8"/>
    <s v="12-08-2025"/>
    <s v="CUST13163"/>
    <s v="Home Office"/>
    <s v="West Bengal"/>
    <x v="0"/>
    <x v="2"/>
    <s v="Sneakers"/>
    <s v="3"/>
    <s v="1726.37"/>
    <n v="0.1"/>
    <s v="3682.21"/>
    <s v="978.99"/>
    <x v="1"/>
    <x v="0"/>
    <s v="Website"/>
    <n v="4661.1989999999996"/>
  </r>
  <r>
    <s v="ORD103998"/>
    <x v="7"/>
    <s v="09-05-2025"/>
    <s v="CUST10150"/>
    <s v="Corporate"/>
    <s v="West Bengal"/>
    <x v="0"/>
    <x v="3"/>
    <s v="Mixer Grinder"/>
    <s v="2"/>
    <s v="8386.43"/>
    <n v="0.1"/>
    <s v="11252.25"/>
    <s v="3843.32"/>
    <x v="0"/>
    <x v="0"/>
    <s v="Mobile App"/>
    <n v="15095.574000000001"/>
  </r>
  <r>
    <s v="ORD104000"/>
    <x v="10"/>
    <s v="29-11-2025"/>
    <s v="CUST10751"/>
    <s v="Home Office"/>
    <s v="West Bengal"/>
    <x v="0"/>
    <x v="3"/>
    <s v="Vacuum Cleaner"/>
    <s v="1"/>
    <s v="13263.98"/>
    <n v="0.1"/>
    <s v="7590.59"/>
    <s v="4346.99"/>
    <x v="2"/>
    <x v="3"/>
    <s v="Website"/>
    <n v="11937.582"/>
  </r>
  <r>
    <s v="ORD104004"/>
    <x v="5"/>
    <s v="13-09-2025"/>
    <s v="CUST11396"/>
    <s v="Consumer"/>
    <s v="Gujarat"/>
    <x v="10"/>
    <x v="4"/>
    <s v="Yoga Mat"/>
    <s v="1"/>
    <s v="7451.24"/>
    <n v="0"/>
    <s v="5752.01"/>
    <s v="1699.23"/>
    <x v="5"/>
    <x v="0"/>
    <s v="Website"/>
    <n v="7451.24"/>
  </r>
  <r>
    <s v="ORD104007"/>
    <x v="3"/>
    <s v="12-03-2025"/>
    <s v="CUST13052"/>
    <s v="Corporate"/>
    <s v="Maharashtra"/>
    <x v="4"/>
    <x v="0"/>
    <s v="Smartphone"/>
    <s v="3"/>
    <s v="33533.29"/>
    <n v="0.05"/>
    <s v="70534.720000000001"/>
    <s v="25035.16"/>
    <x v="5"/>
    <x v="0"/>
    <s v="Mobile App"/>
    <n v="95569.876499999897"/>
  </r>
  <r>
    <s v="ORD104008"/>
    <x v="9"/>
    <s v="16-06-2025"/>
    <s v="CUST10284"/>
    <s v="Corporate"/>
    <s v="Karnataka"/>
    <x v="22"/>
    <x v="1"/>
    <s v="Perfume"/>
    <s v="1"/>
    <s v="826.52"/>
    <n v="0.1"/>
    <s v="649.78"/>
    <s v="94.09"/>
    <x v="0"/>
    <x v="2"/>
    <s v="Website"/>
    <n v="743.86800000000005"/>
  </r>
  <r>
    <s v="ORD104009"/>
    <x v="1"/>
    <s v="24-02-2025"/>
    <s v="CUST13293"/>
    <s v="Home Office"/>
    <s v="Tamil Nadu"/>
    <x v="11"/>
    <x v="2"/>
    <s v="Jacket"/>
    <s v="1"/>
    <s v="5161.67"/>
    <n v="0"/>
    <s v="3669.45"/>
    <s v="1492.22"/>
    <x v="0"/>
    <x v="0"/>
    <s v="Marketplace"/>
    <n v="5161.67"/>
  </r>
  <r>
    <s v="ORD104013"/>
    <x v="2"/>
    <s v="15-12-2025"/>
    <s v="CUST12577"/>
    <s v="Home Office"/>
    <s v="Karnataka"/>
    <x v="22"/>
    <x v="1"/>
    <s v="Face Cream"/>
    <s v="1"/>
    <s v="5672.25"/>
    <n v="0.1"/>
    <s v="3194.42"/>
    <s v="1910.61"/>
    <x v="2"/>
    <x v="0"/>
    <s v="Website"/>
    <n v="5105.0249999999996"/>
  </r>
  <r>
    <s v="ORD104014"/>
    <x v="4"/>
    <s v="27-04-2025"/>
    <s v="CUST13439"/>
    <s v="Home Office"/>
    <s v="Gujarat"/>
    <x v="3"/>
    <x v="1"/>
    <s v="Face Cream"/>
    <s v="2"/>
    <s v="3503.94"/>
    <n v="0.05"/>
    <s v="4256.04"/>
    <s v="2401.4499999999998"/>
    <x v="0"/>
    <x v="0"/>
    <s v="Marketplace"/>
    <n v="6657.4859999999999"/>
  </r>
  <r>
    <s v="ORD104015"/>
    <x v="1"/>
    <s v="21-02-2025"/>
    <s v="CUST11146"/>
    <s v="Corporate"/>
    <s v="Karnataka"/>
    <x v="22"/>
    <x v="2"/>
    <s v="Handbag"/>
    <s v="2"/>
    <s v="5030.24"/>
    <n v="0.05"/>
    <s v="6345.7"/>
    <s v="3211.76"/>
    <x v="3"/>
    <x v="1"/>
    <s v="Website"/>
    <n v="9557.4559999999892"/>
  </r>
  <r>
    <s v="ORD104016"/>
    <x v="9"/>
    <s v="01-06-2025"/>
    <s v="CUST10170"/>
    <s v="Home Office"/>
    <s v="Telangana"/>
    <x v="14"/>
    <x v="0"/>
    <s v="Smartwatch"/>
    <s v="1"/>
    <s v="41678.82"/>
    <n v="0.05"/>
    <s v="32915.71"/>
    <s v="6679.17"/>
    <x v="0"/>
    <x v="0"/>
    <s v="Marketplace"/>
    <n v="39594.879000000001"/>
  </r>
  <r>
    <s v="ORD104017"/>
    <x v="4"/>
    <s v="07-04-2025"/>
    <s v="CUST12106"/>
    <s v="Consumer"/>
    <s v="Telangana"/>
    <x v="16"/>
    <x v="3"/>
    <s v="Coffee Maker"/>
    <s v="4"/>
    <s v="14383.67"/>
    <n v="0.15"/>
    <s v="39320.99"/>
    <s v="9583.49"/>
    <x v="1"/>
    <x v="0"/>
    <s v="Marketplace"/>
    <n v="48904.477999999901"/>
  </r>
  <r>
    <s v="ORD104022"/>
    <x v="4"/>
    <s v="28-04-2025"/>
    <s v="CUST11443"/>
    <s v="Home Office"/>
    <s v="Karnataka"/>
    <x v="22"/>
    <x v="4"/>
    <s v="Fitness Band"/>
    <s v="2"/>
    <s v="6799.07"/>
    <n v="0.05"/>
    <s v="10550.11"/>
    <s v="2368.12"/>
    <x v="3"/>
    <x v="0"/>
    <s v="Website"/>
    <n v="12918.2329999999"/>
  </r>
  <r>
    <s v="ORD104023"/>
    <x v="9"/>
    <s v="17-06-2025"/>
    <s v="CUST10080"/>
    <s v="Consumer"/>
    <s v="Kerala"/>
    <x v="15"/>
    <x v="2"/>
    <s v="Jacket"/>
    <s v="1"/>
    <s v="6311.04"/>
    <n v="0.1"/>
    <s v="4978.47"/>
    <s v="701.47"/>
    <x v="1"/>
    <x v="0"/>
    <s v="Mobile App"/>
    <n v="5679.9359999999997"/>
  </r>
  <r>
    <s v="ORD104027"/>
    <x v="9"/>
    <s v="02-06-2025"/>
    <s v="CUST12148"/>
    <s v="Consumer"/>
    <s v="Gujarat"/>
    <x v="10"/>
    <x v="0"/>
    <s v="Laptop"/>
    <s v="1"/>
    <s v="68115.11"/>
    <n v="0.1"/>
    <s v="39800.97"/>
    <s v="21502.63"/>
    <x v="0"/>
    <x v="0"/>
    <s v="Mobile App"/>
    <n v="61303.599000000002"/>
  </r>
  <r>
    <s v="ORD104028"/>
    <x v="6"/>
    <s v="21-07-2025"/>
    <s v="CUST11859"/>
    <s v="Corporate"/>
    <s v="Delhi"/>
    <x v="7"/>
    <x v="3"/>
    <s v="Air Fryer"/>
    <s v="1"/>
    <s v="4229.2"/>
    <n v="0"/>
    <s v="3314.3"/>
    <s v="914.9"/>
    <x v="3"/>
    <x v="0"/>
    <s v="Website"/>
    <n v="4229.2"/>
  </r>
  <r>
    <s v="ORD104031"/>
    <x v="3"/>
    <s v="17-03-2025"/>
    <s v="CUST13070"/>
    <s v="Home Office"/>
    <s v="West Bengal"/>
    <x v="9"/>
    <x v="4"/>
    <s v="Cricket Bat"/>
    <s v="2"/>
    <s v="4296.42"/>
    <n v="0"/>
    <s v="7016.13"/>
    <s v="1576.71"/>
    <x v="5"/>
    <x v="0"/>
    <s v="Mobile App"/>
    <n v="8592.84"/>
  </r>
  <r>
    <s v="ORD104036"/>
    <x v="3"/>
    <s v="19-03-2025"/>
    <s v="CUST13103"/>
    <s v="Home Office"/>
    <s v="West Bengal"/>
    <x v="9"/>
    <x v="3"/>
    <s v="Vacuum Cleaner"/>
    <s v="1"/>
    <s v="17526.13"/>
    <n v="0.1"/>
    <s v="13925.33"/>
    <s v="1848.19"/>
    <x v="5"/>
    <x v="2"/>
    <s v="Marketplace"/>
    <n v="15773.517"/>
  </r>
  <r>
    <s v="ORD104037"/>
    <x v="5"/>
    <s v="11-09-2025"/>
    <s v="CUST12778"/>
    <s v="Home Office"/>
    <s v="Telangana"/>
    <x v="14"/>
    <x v="1"/>
    <s v="Lipstick"/>
    <s v="2"/>
    <s v="4478.13"/>
    <n v="0.2"/>
    <s v="5249.53"/>
    <s v="1915.48"/>
    <x v="3"/>
    <x v="2"/>
    <s v="Marketplace"/>
    <n v="7165.0079999999998"/>
  </r>
  <r>
    <s v="ORD104044"/>
    <x v="10"/>
    <s v="14-11-2025"/>
    <s v="CUST12785"/>
    <s v="Consumer"/>
    <s v="Tamil Nadu"/>
    <x v="19"/>
    <x v="2"/>
    <s v="Handbag"/>
    <s v="2"/>
    <s v="3842.97"/>
    <n v="0.1"/>
    <s v="5292.59"/>
    <s v="1624.76"/>
    <x v="1"/>
    <x v="0"/>
    <s v="Website"/>
    <n v="6917.3459999999995"/>
  </r>
  <r>
    <s v="ORD104047"/>
    <x v="0"/>
    <s v="31-01-2025"/>
    <s v="CUST13094"/>
    <s v="Home Office"/>
    <s v="Karnataka"/>
    <x v="17"/>
    <x v="2"/>
    <s v="Jeans"/>
    <s v="2"/>
    <s v="4703.5"/>
    <n v="0.05"/>
    <s v="7672.62"/>
    <s v="1264.03"/>
    <x v="5"/>
    <x v="2"/>
    <s v="Mobile App"/>
    <n v="8936.65"/>
  </r>
  <r>
    <s v="ORD104050"/>
    <x v="3"/>
    <s v="27-03-2025"/>
    <s v="CUST13106"/>
    <s v="Corporate"/>
    <s v="Gujarat"/>
    <x v="18"/>
    <x v="2"/>
    <s v="Handbag"/>
    <s v="2"/>
    <s v="4864.5600000000004"/>
    <n v="0.05"/>
    <s v="7128.54"/>
    <s v="2114.12"/>
    <x v="1"/>
    <x v="0"/>
    <s v="Marketplace"/>
    <n v="9242.6640000000007"/>
  </r>
  <r>
    <s v="ORD104056"/>
    <x v="3"/>
    <s v="30-03-2025"/>
    <s v="CUST11395"/>
    <s v="Home Office"/>
    <s v="Maharashtra"/>
    <x v="21"/>
    <x v="0"/>
    <s v="Headphones"/>
    <s v="4"/>
    <s v="8028.83"/>
    <n v="0.15"/>
    <s v="24056.15"/>
    <s v="3241.87"/>
    <x v="2"/>
    <x v="0"/>
    <s v="Mobile App"/>
    <n v="27298.022000000001"/>
  </r>
  <r>
    <s v="ORD104057"/>
    <x v="10"/>
    <s v="17-11-2025"/>
    <s v="CUST12191"/>
    <s v="Corporate"/>
    <s v="Gujarat"/>
    <x v="18"/>
    <x v="3"/>
    <s v="Mixer Grinder"/>
    <s v="1"/>
    <s v="3757.82"/>
    <n v="0.15"/>
    <s v="2950.69"/>
    <s v="243.46"/>
    <x v="1"/>
    <x v="0"/>
    <s v="Mobile App"/>
    <n v="3194.1469999999999"/>
  </r>
  <r>
    <s v="ORD104060"/>
    <x v="11"/>
    <s v="31-10-2025"/>
    <s v="CUST13235"/>
    <s v="Consumer"/>
    <s v="Karnataka"/>
    <x v="17"/>
    <x v="3"/>
    <s v="Cookware Set"/>
    <s v="1"/>
    <s v="16333.98"/>
    <n v="0.15"/>
    <s v="9870.7800000000007"/>
    <s v="4013.1"/>
    <x v="5"/>
    <x v="2"/>
    <s v="Marketplace"/>
    <n v="13883.883"/>
  </r>
  <r>
    <s v="ORD104063"/>
    <x v="3"/>
    <s v="07-03-2025"/>
    <s v="CUST12966"/>
    <s v="Consumer"/>
    <s v="Tamil Nadu"/>
    <x v="8"/>
    <x v="0"/>
    <s v="Tablet"/>
    <s v="1"/>
    <s v="46405.26"/>
    <n v="0.1"/>
    <s v="28521.47"/>
    <s v="13243.26"/>
    <x v="0"/>
    <x v="0"/>
    <s v="Mobile App"/>
    <n v="41764.733999999997"/>
  </r>
  <r>
    <s v="ORD104064"/>
    <x v="0"/>
    <s v="14-01-2025"/>
    <s v="CUST10498"/>
    <s v="Corporate"/>
    <s v="West Bengal"/>
    <x v="9"/>
    <x v="2"/>
    <s v="Jacket"/>
    <s v="2"/>
    <s v="2604.4299999999998"/>
    <n v="0.1"/>
    <s v="3194.99"/>
    <s v="1492.98"/>
    <x v="5"/>
    <x v="0"/>
    <s v="Website"/>
    <n v="4687.9740000000002"/>
  </r>
  <r>
    <s v="ORD104065"/>
    <x v="5"/>
    <s v="11-09-2025"/>
    <s v="CUST11322"/>
    <s v="Corporate"/>
    <s v="Telangana"/>
    <x v="16"/>
    <x v="3"/>
    <s v="Vacuum Cleaner"/>
    <s v="2"/>
    <s v="3795.41"/>
    <n v="0.1"/>
    <s v="5475.06"/>
    <s v="1356.68"/>
    <x v="3"/>
    <x v="0"/>
    <s v="Mobile App"/>
    <n v="6831.7380000000003"/>
  </r>
  <r>
    <s v="ORD104066"/>
    <x v="1"/>
    <s v="01-02-2025"/>
    <s v="CUST11069"/>
    <s v="Consumer"/>
    <s v="Kerala"/>
    <x v="5"/>
    <x v="2"/>
    <s v="Jacket"/>
    <s v="2"/>
    <s v="6122.5"/>
    <n v="0.2"/>
    <s v="8686.39"/>
    <s v="1109.6099999999999"/>
    <x v="2"/>
    <x v="2"/>
    <s v="Mobile App"/>
    <n v="9796"/>
  </r>
  <r>
    <s v="ORD104085"/>
    <x v="9"/>
    <s v="05-06-2025"/>
    <s v="CUST10554"/>
    <s v="Consumer"/>
    <s v="West Bengal"/>
    <x v="0"/>
    <x v="0"/>
    <s v="Laptop"/>
    <s v="1"/>
    <s v="41298.230000000003"/>
    <n v="0.1"/>
    <s v="32746.45"/>
    <s v="4421.96"/>
    <x v="2"/>
    <x v="0"/>
    <s v="Marketplace"/>
    <n v="37168.406999999999"/>
  </r>
  <r>
    <s v="ORD104089"/>
    <x v="7"/>
    <s v="17-05-2025"/>
    <s v="CUST11746"/>
    <s v="Corporate"/>
    <s v="Gujarat"/>
    <x v="3"/>
    <x v="0"/>
    <s v="Tablet"/>
    <s v="2"/>
    <s v="6027.54"/>
    <n v="0.15"/>
    <s v="6780.51"/>
    <s v="3466.31"/>
    <x v="0"/>
    <x v="0"/>
    <s v="Mobile App"/>
    <n v="10246.817999999999"/>
  </r>
  <r>
    <s v="ORD104090"/>
    <x v="4"/>
    <s v="08-04-2025"/>
    <s v="CUST11973"/>
    <s v="Corporate"/>
    <s v="West Bengal"/>
    <x v="9"/>
    <x v="2"/>
    <s v="Sneakers"/>
    <s v="3"/>
    <s v="5702.35"/>
    <n v="0.15"/>
    <s v="13873.57"/>
    <s v="667.42"/>
    <x v="3"/>
    <x v="0"/>
    <s v="Marketplace"/>
    <n v="14540.9925"/>
  </r>
  <r>
    <s v="ORD104093"/>
    <x v="10"/>
    <s v="18-11-2025"/>
    <s v="CUST12186"/>
    <s v="Consumer"/>
    <s v="Maharashtra"/>
    <x v="20"/>
    <x v="0"/>
    <s v="Smartwatch"/>
    <s v="1"/>
    <s v="15402.62"/>
    <n v="0.15"/>
    <s v="10150.33"/>
    <s v="2941.9"/>
    <x v="3"/>
    <x v="2"/>
    <s v="Marketplace"/>
    <n v="13092.227000000001"/>
  </r>
  <r>
    <s v="ORD104098"/>
    <x v="11"/>
    <s v="17-10-2025"/>
    <s v="CUST12889"/>
    <s v="Consumer"/>
    <s v="Kerala"/>
    <x v="6"/>
    <x v="0"/>
    <s v="Tablet"/>
    <s v="3"/>
    <s v="55066.87"/>
    <n v="0.1"/>
    <s v="118900.23"/>
    <s v="29780.32"/>
    <x v="0"/>
    <x v="0"/>
    <s v="Website"/>
    <n v="148680.549"/>
  </r>
  <r>
    <s v="ORD104110"/>
    <x v="7"/>
    <s v="28-05-2025"/>
    <s v="CUST13097"/>
    <s v="Corporate"/>
    <s v="Delhi"/>
    <x v="12"/>
    <x v="2"/>
    <s v="Jacket"/>
    <s v="1"/>
    <s v="2021.69"/>
    <n v="0.1"/>
    <s v="1255.69"/>
    <s v="563.83000000000004"/>
    <x v="3"/>
    <x v="0"/>
    <s v="Marketplace"/>
    <n v="1819.521"/>
  </r>
  <r>
    <s v="ORD104115"/>
    <x v="8"/>
    <s v="14-08-2025"/>
    <s v="CUST10612"/>
    <s v="Corporate"/>
    <s v="Telangana"/>
    <x v="14"/>
    <x v="0"/>
    <s v="Smartphone"/>
    <s v="1"/>
    <s v="35539.99"/>
    <n v="0.05"/>
    <s v="25412.42"/>
    <s v="8350.57"/>
    <x v="1"/>
    <x v="0"/>
    <s v="Mobile App"/>
    <n v="33762.9905"/>
  </r>
  <r>
    <s v="ORD104117"/>
    <x v="9"/>
    <s v="28-06-2025"/>
    <s v="CUST13266"/>
    <s v="Consumer"/>
    <s v="Maharashtra"/>
    <x v="20"/>
    <x v="2"/>
    <s v="T-Shirt"/>
    <s v="2"/>
    <s v="3265.27"/>
    <n v="0.15"/>
    <s v="5308.04"/>
    <s v="242.92"/>
    <x v="0"/>
    <x v="0"/>
    <s v="Marketplace"/>
    <n v="5550.9589999999998"/>
  </r>
  <r>
    <s v="ORD104130"/>
    <x v="5"/>
    <s v="18-09-2025"/>
    <s v="CUST13377"/>
    <s v="Corporate"/>
    <s v="Delhi"/>
    <x v="12"/>
    <x v="2"/>
    <s v="T-Shirt"/>
    <s v="1"/>
    <s v="1489.99"/>
    <n v="0.15"/>
    <s v="1003.62"/>
    <s v="262.87"/>
    <x v="1"/>
    <x v="3"/>
    <s v="Website"/>
    <n v="1266.4915000000001"/>
  </r>
  <r>
    <s v="ORD104131"/>
    <x v="8"/>
    <s v="04-08-2025"/>
    <s v="CUST12464"/>
    <s v="Consumer"/>
    <s v="Delhi"/>
    <x v="12"/>
    <x v="3"/>
    <s v="Cookware Set"/>
    <s v="1"/>
    <s v="6355.62"/>
    <n v="0.05"/>
    <s v="4597.5600000000004"/>
    <s v="1440.28"/>
    <x v="2"/>
    <x v="2"/>
    <s v="Website"/>
    <n v="6037.8389999999999"/>
  </r>
  <r>
    <s v="ORD104135"/>
    <x v="8"/>
    <s v="12-08-2025"/>
    <s v="CUST13124"/>
    <s v="Corporate"/>
    <s v="Gujarat"/>
    <x v="10"/>
    <x v="0"/>
    <s v="Smartphone"/>
    <s v="1"/>
    <s v="41089.5"/>
    <n v="0.05"/>
    <s v="25810.74"/>
    <s v="13224.28"/>
    <x v="2"/>
    <x v="1"/>
    <s v="Marketplace"/>
    <n v="39035.025000000001"/>
  </r>
  <r>
    <s v="ORD104138"/>
    <x v="9"/>
    <s v="07-06-2025"/>
    <s v="CUST12124"/>
    <s v="Home Office"/>
    <s v="Kerala"/>
    <x v="5"/>
    <x v="2"/>
    <s v="Jacket"/>
    <s v="2"/>
    <s v="2420.9699999999998"/>
    <n v="0.05"/>
    <s v="3918.5"/>
    <s v="681.34"/>
    <x v="5"/>
    <x v="0"/>
    <s v="Website"/>
    <n v="4599.8429999999998"/>
  </r>
  <r>
    <s v="ORD104139"/>
    <x v="7"/>
    <s v="16-05-2025"/>
    <s v="CUST10872"/>
    <s v="Consumer"/>
    <s v="Tamil Nadu"/>
    <x v="11"/>
    <x v="3"/>
    <s v="Cookware Set"/>
    <s v="1"/>
    <s v="8153.34"/>
    <n v="0"/>
    <s v="5820.99"/>
    <s v="2332.35"/>
    <x v="0"/>
    <x v="1"/>
    <s v="Mobile App"/>
    <n v="8153.34"/>
  </r>
  <r>
    <s v="ORD104141"/>
    <x v="4"/>
    <s v="29-04-2025"/>
    <s v="CUST11790"/>
    <s v="Consumer"/>
    <s v="Gujarat"/>
    <x v="10"/>
    <x v="4"/>
    <s v="Yoga Mat"/>
    <s v="2"/>
    <s v="6424.56"/>
    <n v="0.05"/>
    <s v="7801.53"/>
    <s v="4405.13"/>
    <x v="5"/>
    <x v="0"/>
    <s v="Mobile App"/>
    <n v="12206.664000000001"/>
  </r>
  <r>
    <s v="ORD104149"/>
    <x v="4"/>
    <s v="11-04-2025"/>
    <s v="CUST10559"/>
    <s v="Corporate"/>
    <s v="Kerala"/>
    <x v="6"/>
    <x v="3"/>
    <s v="Air Fryer"/>
    <s v="2"/>
    <s v="2758.88"/>
    <n v="0.05"/>
    <s v="3962.84"/>
    <s v="1279.03"/>
    <x v="0"/>
    <x v="0"/>
    <s v="Website"/>
    <n v="5241.8720000000003"/>
  </r>
  <r>
    <s v="ORD104150"/>
    <x v="10"/>
    <s v="02-11-2025"/>
    <s v="CUST10192"/>
    <s v="Corporate"/>
    <s v="Maharashtra"/>
    <x v="4"/>
    <x v="2"/>
    <s v="T-Shirt"/>
    <s v="1"/>
    <s v="2216.4"/>
    <n v="0"/>
    <s v="1759.35"/>
    <s v="457.05"/>
    <x v="5"/>
    <x v="0"/>
    <s v="Marketplace"/>
    <n v="2216.4"/>
  </r>
  <r>
    <s v="ORD104151"/>
    <x v="10"/>
    <s v="11-11-2025"/>
    <s v="CUST12893"/>
    <s v="Home Office"/>
    <s v="Telangana"/>
    <x v="14"/>
    <x v="0"/>
    <s v="Smartwatch"/>
    <s v="1"/>
    <s v="38249.69"/>
    <n v="0.1"/>
    <s v="27734.46"/>
    <s v="6690.26"/>
    <x v="5"/>
    <x v="0"/>
    <s v="Website"/>
    <n v="34424.720999999998"/>
  </r>
  <r>
    <s v="ORD104152"/>
    <x v="0"/>
    <s v="20-01-2025"/>
    <s v="CUST12623"/>
    <s v="Consumer"/>
    <s v="Kerala"/>
    <x v="15"/>
    <x v="2"/>
    <s v="Jeans"/>
    <s v="1"/>
    <s v="856.84"/>
    <n v="0"/>
    <s v="557.72"/>
    <s v="299.12"/>
    <x v="2"/>
    <x v="0"/>
    <s v="Website"/>
    <n v="856.84"/>
  </r>
  <r>
    <s v="ORD104156"/>
    <x v="6"/>
    <s v="17-07-2025"/>
    <s v="CUST13030"/>
    <s v="Corporate"/>
    <s v="Karnataka"/>
    <x v="2"/>
    <x v="3"/>
    <s v="Air Fryer"/>
    <s v="1"/>
    <s v="3215.67"/>
    <n v="0"/>
    <s v="2201.29"/>
    <s v="1014.38"/>
    <x v="0"/>
    <x v="0"/>
    <s v="Mobile App"/>
    <n v="3215.67"/>
  </r>
  <r>
    <s v="ORD104162"/>
    <x v="9"/>
    <s v="09-06-2025"/>
    <s v="CUST12783"/>
    <s v="Corporate"/>
    <s v="Maharashtra"/>
    <x v="4"/>
    <x v="0"/>
    <s v="Smartwatch"/>
    <s v="1"/>
    <s v="2377.6"/>
    <n v="0"/>
    <s v="1641.86"/>
    <s v="735.74"/>
    <x v="1"/>
    <x v="0"/>
    <s v="Mobile App"/>
    <n v="2377.6"/>
  </r>
  <r>
    <s v="ORD104163"/>
    <x v="6"/>
    <s v="18-07-2025"/>
    <s v="CUST10948"/>
    <s v="Home Office"/>
    <s v="Gujarat"/>
    <x v="18"/>
    <x v="2"/>
    <s v="Jeans"/>
    <s v="2"/>
    <s v="1681.4"/>
    <n v="0.1"/>
    <s v="1978.73"/>
    <s v="1047.79"/>
    <x v="1"/>
    <x v="0"/>
    <s v="Mobile App"/>
    <n v="3026.52"/>
  </r>
  <r>
    <s v="ORD104165"/>
    <x v="1"/>
    <s v="23-02-2025"/>
    <s v="CUST10068"/>
    <s v="Consumer"/>
    <s v="Kerala"/>
    <x v="6"/>
    <x v="2"/>
    <s v="Jeans"/>
    <s v="2"/>
    <s v="2227.4"/>
    <n v="0.05"/>
    <s v="3049.48"/>
    <s v="1182.58"/>
    <x v="3"/>
    <x v="0"/>
    <s v="Marketplace"/>
    <n v="4232.0600000000004"/>
  </r>
  <r>
    <s v="ORD104168"/>
    <x v="3"/>
    <s v="16-03-2025"/>
    <s v="CUST13125"/>
    <s v="Home Office"/>
    <s v="Karnataka"/>
    <x v="2"/>
    <x v="1"/>
    <s v="Hair Dryer"/>
    <s v="1"/>
    <s v="1225.78"/>
    <n v="0.05"/>
    <s v="1001.65"/>
    <s v="162.84"/>
    <x v="0"/>
    <x v="0"/>
    <s v="Marketplace"/>
    <n v="1164.491"/>
  </r>
  <r>
    <s v="ORD104172"/>
    <x v="3"/>
    <s v="27-03-2025"/>
    <s v="CUST11073"/>
    <s v="Corporate"/>
    <s v="West Bengal"/>
    <x v="0"/>
    <x v="0"/>
    <s v="Laptop"/>
    <s v="1"/>
    <s v="15509.91"/>
    <n v="0.1"/>
    <s v="8986.01"/>
    <s v="4972.91"/>
    <x v="3"/>
    <x v="0"/>
    <s v="Mobile App"/>
    <n v="13958.919"/>
  </r>
  <r>
    <s v="ORD104175"/>
    <x v="6"/>
    <s v="04-07-2025"/>
    <s v="CUST12457"/>
    <s v="Consumer"/>
    <s v="Telangana"/>
    <x v="14"/>
    <x v="3"/>
    <s v="Mixer Grinder"/>
    <s v="1"/>
    <s v="4073.12"/>
    <n v="0.05"/>
    <s v="2991.65"/>
    <s v="877.81"/>
    <x v="5"/>
    <x v="0"/>
    <s v="Marketplace"/>
    <n v="3869.4639999999999"/>
  </r>
  <r>
    <s v="ORD104179"/>
    <x v="0"/>
    <s v="01-01-2025"/>
    <s v="CUST10742"/>
    <s v="Consumer"/>
    <s v="Karnataka"/>
    <x v="17"/>
    <x v="0"/>
    <s v="Tablet"/>
    <s v="2"/>
    <s v="9666.73"/>
    <n v="0"/>
    <s v="13541.41"/>
    <s v="4825.38"/>
    <x v="5"/>
    <x v="1"/>
    <s v="Mobile App"/>
    <n v="19333.46"/>
  </r>
  <r>
    <s v="ORD104181"/>
    <x v="3"/>
    <s v="13-03-2025"/>
    <s v="CUST10241"/>
    <s v="Consumer"/>
    <s v="Karnataka"/>
    <x v="22"/>
    <x v="3"/>
    <s v="Cookware Set"/>
    <s v="1"/>
    <s v="1916.52"/>
    <n v="0.1"/>
    <s v="1548.06"/>
    <s v="176.81"/>
    <x v="1"/>
    <x v="0"/>
    <s v="Marketplace"/>
    <n v="1724.8679999999999"/>
  </r>
  <r>
    <s v="ORD104183"/>
    <x v="4"/>
    <s v="16-04-2025"/>
    <s v="CUST12151"/>
    <s v="Corporate"/>
    <s v="Karnataka"/>
    <x v="17"/>
    <x v="2"/>
    <s v="Jacket"/>
    <s v="2"/>
    <s v="6963.48"/>
    <n v="0.05"/>
    <s v="10561.98"/>
    <s v="2668.63"/>
    <x v="5"/>
    <x v="0"/>
    <s v="Marketplace"/>
    <n v="13230.611999999999"/>
  </r>
  <r>
    <s v="ORD104188"/>
    <x v="7"/>
    <s v="27-05-2025"/>
    <s v="CUST11598"/>
    <s v="Corporate"/>
    <s v="Delhi"/>
    <x v="7"/>
    <x v="3"/>
    <s v="Cookware Set"/>
    <s v="1"/>
    <s v="11783.56"/>
    <n v="0.1"/>
    <s v="9466.14"/>
    <s v="1139.06"/>
    <x v="5"/>
    <x v="0"/>
    <s v="Mobile App"/>
    <n v="10605.204"/>
  </r>
  <r>
    <s v="ORD104190"/>
    <x v="4"/>
    <s v="24-04-2025"/>
    <s v="CUST13219"/>
    <s v="Consumer"/>
    <s v="West Bengal"/>
    <x v="9"/>
    <x v="0"/>
    <s v="Smartphone"/>
    <s v="2"/>
    <s v="10380.42"/>
    <n v="0.1"/>
    <s v="15319.56"/>
    <s v="3365.2"/>
    <x v="2"/>
    <x v="0"/>
    <s v="Website"/>
    <n v="18684.756000000001"/>
  </r>
  <r>
    <s v="ORD104193"/>
    <x v="7"/>
    <s v="11-05-2025"/>
    <s v="CUST12716"/>
    <s v="Consumer"/>
    <s v="Gujarat"/>
    <x v="3"/>
    <x v="4"/>
    <s v="Running Shoes"/>
    <s v="3"/>
    <s v="1760.27"/>
    <n v="0.05"/>
    <s v="4055.57"/>
    <s v="961.2"/>
    <x v="5"/>
    <x v="0"/>
    <s v="Marketplace"/>
    <n v="5016.7694999999903"/>
  </r>
  <r>
    <s v="ORD104195"/>
    <x v="8"/>
    <s v="07-08-2025"/>
    <s v="CUST12747"/>
    <s v="Consumer"/>
    <s v="Maharashtra"/>
    <x v="20"/>
    <x v="2"/>
    <s v="Jeans"/>
    <s v="1"/>
    <s v="6989.82"/>
    <n v="0.1"/>
    <s v="5464.29"/>
    <s v="826.55"/>
    <x v="0"/>
    <x v="0"/>
    <s v="Website"/>
    <n v="6290.8379999999997"/>
  </r>
  <r>
    <s v="ORD104199"/>
    <x v="5"/>
    <s v="10-09-2025"/>
    <s v="CUST13022"/>
    <s v="Consumer"/>
    <s v="Gujarat"/>
    <x v="18"/>
    <x v="1"/>
    <s v="Shampoo"/>
    <s v="3"/>
    <s v="1152.96"/>
    <n v="0.15"/>
    <s v="1976.82"/>
    <s v="963.23"/>
    <x v="3"/>
    <x v="0"/>
    <s v="Marketplace"/>
    <n v="2940.0479999999998"/>
  </r>
  <r>
    <s v="ORD104200"/>
    <x v="0"/>
    <s v="25-01-2025"/>
    <s v="CUST10810"/>
    <s v="Home Office"/>
    <s v="Karnataka"/>
    <x v="22"/>
    <x v="2"/>
    <s v="Jacket"/>
    <s v="2"/>
    <s v="4966.28"/>
    <n v="0"/>
    <s v="6448.19"/>
    <s v="3484.37"/>
    <x v="3"/>
    <x v="0"/>
    <s v="Mobile App"/>
    <n v="9932.56"/>
  </r>
  <r>
    <s v="ORD104207"/>
    <x v="8"/>
    <s v="17-08-2025"/>
    <s v="CUST10823"/>
    <s v="Home Office"/>
    <s v="Tamil Nadu"/>
    <x v="19"/>
    <x v="1"/>
    <s v="Face Cream"/>
    <s v="3"/>
    <s v="717.66"/>
    <n v="0.05"/>
    <s v="1353.81"/>
    <s v="691.52"/>
    <x v="3"/>
    <x v="1"/>
    <s v="Mobile App"/>
    <n v="2045.3309999999999"/>
  </r>
  <r>
    <s v="ORD104209"/>
    <x v="9"/>
    <s v="19-06-2025"/>
    <s v="CUST13003"/>
    <s v="Consumer"/>
    <s v="Delhi"/>
    <x v="7"/>
    <x v="2"/>
    <s v="Sneakers"/>
    <s v="3"/>
    <s v="4785.4799999999996"/>
    <n v="0.2"/>
    <s v="11131.54"/>
    <s v="353.61"/>
    <x v="3"/>
    <x v="0"/>
    <s v="Marketplace"/>
    <n v="11485.152"/>
  </r>
  <r>
    <s v="ORD104210"/>
    <x v="2"/>
    <s v="04-12-2025"/>
    <s v="CUST10719"/>
    <s v="Home Office"/>
    <s v="Maharashtra"/>
    <x v="20"/>
    <x v="2"/>
    <s v="Jacket"/>
    <s v="1"/>
    <s v="3204.52"/>
    <n v="0.1"/>
    <s v="2045.61"/>
    <s v="838.46"/>
    <x v="3"/>
    <x v="0"/>
    <s v="Mobile App"/>
    <n v="2884.0680000000002"/>
  </r>
  <r>
    <s v="ORD104212"/>
    <x v="9"/>
    <s v="05-06-2025"/>
    <s v="CUST11838"/>
    <s v="Consumer"/>
    <s v="Karnataka"/>
    <x v="2"/>
    <x v="0"/>
    <s v="Smartwatch"/>
    <s v="1"/>
    <s v="47480.66"/>
    <n v="0.1"/>
    <s v="34401.730000000003"/>
    <s v="8330.86"/>
    <x v="1"/>
    <x v="0"/>
    <s v="Website"/>
    <n v="42732.593999999997"/>
  </r>
  <r>
    <s v="ORD104213"/>
    <x v="7"/>
    <s v="20-05-2025"/>
    <s v="CUST10093"/>
    <s v="Corporate"/>
    <s v="Kerala"/>
    <x v="5"/>
    <x v="0"/>
    <s v="Headphones"/>
    <s v="1"/>
    <s v="1931.97"/>
    <n v="0.15"/>
    <s v="1228.33"/>
    <s v="413.84"/>
    <x v="1"/>
    <x v="0"/>
    <s v="Mobile App"/>
    <n v="1642.1745000000001"/>
  </r>
  <r>
    <s v="ORD104225"/>
    <x v="7"/>
    <s v="04-05-2025"/>
    <s v="CUST13362"/>
    <s v="Consumer"/>
    <s v="Tamil Nadu"/>
    <x v="19"/>
    <x v="3"/>
    <s v="Coffee Maker"/>
    <s v="2"/>
    <s v="16594.09"/>
    <n v="0.1"/>
    <s v="21754.93"/>
    <s v="8114.43"/>
    <x v="0"/>
    <x v="0"/>
    <s v="Mobile App"/>
    <n v="29869.362000000001"/>
  </r>
  <r>
    <s v="ORD104228"/>
    <x v="7"/>
    <s v="14-05-2025"/>
    <s v="CUST10695"/>
    <s v="Corporate"/>
    <s v="West Bengal"/>
    <x v="0"/>
    <x v="3"/>
    <s v="Coffee Maker"/>
    <s v="1"/>
    <s v="11084.76"/>
    <n v="0.1"/>
    <s v="6515.4"/>
    <s v="3460.88"/>
    <x v="3"/>
    <x v="0"/>
    <s v="Marketplace"/>
    <n v="9976.2839999999997"/>
  </r>
  <r>
    <s v="ORD104230"/>
    <x v="0"/>
    <s v="13-01-2025"/>
    <s v="CUST11829"/>
    <s v="Home Office"/>
    <s v="Gujarat"/>
    <x v="10"/>
    <x v="2"/>
    <s v="Jacket"/>
    <s v="1"/>
    <s v="5561.51"/>
    <n v="0"/>
    <s v="4005.41"/>
    <s v="1556.1"/>
    <x v="0"/>
    <x v="0"/>
    <s v="Marketplace"/>
    <n v="5561.51"/>
  </r>
  <r>
    <s v="ORD104238"/>
    <x v="4"/>
    <s v="01-04-2025"/>
    <s v="CUST10319"/>
    <s v="Consumer"/>
    <s v="Delhi"/>
    <x v="7"/>
    <x v="0"/>
    <s v="Smartphone"/>
    <s v="3"/>
    <s v="51945.54"/>
    <n v="0"/>
    <s v="95013.57"/>
    <s v="60823.05"/>
    <x v="2"/>
    <x v="0"/>
    <s v="Website"/>
    <n v="155836.62"/>
  </r>
  <r>
    <s v="ORD104240"/>
    <x v="1"/>
    <s v="20-02-2025"/>
    <s v="CUST11499"/>
    <s v="Corporate"/>
    <s v="Gujarat"/>
    <x v="18"/>
    <x v="2"/>
    <s v="T-Shirt"/>
    <s v="2"/>
    <s v="3888.14"/>
    <n v="0"/>
    <s v="5752.93"/>
    <s v="2023.35"/>
    <x v="1"/>
    <x v="0"/>
    <s v="Mobile App"/>
    <n v="7776.28"/>
  </r>
  <r>
    <s v="ORD104242"/>
    <x v="4"/>
    <s v="24-04-2025"/>
    <s v="CUST10061"/>
    <s v="Corporate"/>
    <s v="Gujarat"/>
    <x v="10"/>
    <x v="0"/>
    <s v="Smartwatch"/>
    <s v="1"/>
    <s v="11884.42"/>
    <n v="0.05"/>
    <s v="8485.6"/>
    <s v="2804.6"/>
    <x v="5"/>
    <x v="0"/>
    <s v="Marketplace"/>
    <n v="11290.1989999999"/>
  </r>
  <r>
    <s v="ORD104246"/>
    <x v="7"/>
    <s v="19-05-2025"/>
    <s v="CUST11673"/>
    <s v="Home Office"/>
    <s v="Gujarat"/>
    <x v="10"/>
    <x v="2"/>
    <s v="T-Shirt"/>
    <s v="2"/>
    <s v="2362.77"/>
    <n v="0"/>
    <s v="3405.89"/>
    <s v="1319.65"/>
    <x v="5"/>
    <x v="0"/>
    <s v="Website"/>
    <n v="4725.54"/>
  </r>
  <r>
    <s v="ORD104253"/>
    <x v="2"/>
    <s v="20-12-2025"/>
    <s v="CUST11816"/>
    <s v="Corporate"/>
    <s v="Delhi"/>
    <x v="7"/>
    <x v="1"/>
    <s v="Perfume"/>
    <s v="1"/>
    <s v="1714.65"/>
    <n v="0"/>
    <s v="1222.1600000000001"/>
    <s v="492.49"/>
    <x v="2"/>
    <x v="3"/>
    <s v="Website"/>
    <n v="1714.65"/>
  </r>
  <r>
    <s v="ORD104256"/>
    <x v="4"/>
    <s v="19-04-2025"/>
    <s v="CUST13334"/>
    <s v="Home Office"/>
    <s v="Tamil Nadu"/>
    <x v="11"/>
    <x v="2"/>
    <s v="Handbag"/>
    <s v="1"/>
    <s v="2987.74"/>
    <n v="0"/>
    <s v="1647.76"/>
    <s v="1339.98"/>
    <x v="0"/>
    <x v="0"/>
    <s v="Website"/>
    <n v="2987.74"/>
  </r>
  <r>
    <s v="ORD104257"/>
    <x v="7"/>
    <s v="09-05-2025"/>
    <s v="CUST12676"/>
    <s v="Home Office"/>
    <s v="Gujarat"/>
    <x v="3"/>
    <x v="2"/>
    <s v="Handbag"/>
    <s v="1"/>
    <s v="6399.63"/>
    <n v="0.05"/>
    <s v="3681.86"/>
    <s v="2397.79"/>
    <x v="5"/>
    <x v="0"/>
    <s v="Marketplace"/>
    <n v="6079.6485000000002"/>
  </r>
  <r>
    <s v="ORD104258"/>
    <x v="9"/>
    <s v="16-06-2025"/>
    <s v="CUST12015"/>
    <s v="Consumer"/>
    <s v="Kerala"/>
    <x v="5"/>
    <x v="0"/>
    <s v="Smartwatch"/>
    <s v="2"/>
    <s v="10360.379999999999"/>
    <n v="0.15"/>
    <s v="11896.02"/>
    <s v="5716.63"/>
    <x v="0"/>
    <x v="0"/>
    <s v="Mobile App"/>
    <n v="17612.645999999899"/>
  </r>
  <r>
    <s v="ORD104261"/>
    <x v="3"/>
    <s v="31-03-2025"/>
    <s v="CUST11883"/>
    <s v="Home Office"/>
    <s v="Tamil Nadu"/>
    <x v="11"/>
    <x v="0"/>
    <s v="Headphones"/>
    <s v="1"/>
    <s v="73122.38"/>
    <n v="0.2"/>
    <s v="55841.63"/>
    <s v="2656.27"/>
    <x v="0"/>
    <x v="2"/>
    <s v="Website"/>
    <n v="58497.904000000002"/>
  </r>
  <r>
    <s v="ORD104264"/>
    <x v="2"/>
    <s v="21-12-2025"/>
    <s v="CUST10638"/>
    <s v="Consumer"/>
    <s v="Kerala"/>
    <x v="6"/>
    <x v="2"/>
    <s v="T-Shirt"/>
    <s v="1"/>
    <s v="808.31"/>
    <n v="0"/>
    <s v="641.55999999999995"/>
    <s v="166.75"/>
    <x v="0"/>
    <x v="0"/>
    <s v="Website"/>
    <n v="808.31"/>
  </r>
  <r>
    <s v="ORD104268"/>
    <x v="10"/>
    <s v="03-11-2025"/>
    <s v="CUST10201"/>
    <s v="Corporate"/>
    <s v="Delhi"/>
    <x v="7"/>
    <x v="2"/>
    <s v="T-Shirt"/>
    <s v="1"/>
    <s v="4083.06"/>
    <n v="0.15"/>
    <s v="3241.45"/>
    <s v="229.15"/>
    <x v="5"/>
    <x v="3"/>
    <s v="Website"/>
    <n v="3470.6009999999901"/>
  </r>
  <r>
    <s v="ORD104273"/>
    <x v="5"/>
    <s v="17-09-2025"/>
    <s v="CUST11986"/>
    <s v="Home Office"/>
    <s v="Delhi"/>
    <x v="7"/>
    <x v="0"/>
    <s v="Tablet"/>
    <s v="1"/>
    <s v="21682.5"/>
    <n v="0"/>
    <s v="17035.689999999999"/>
    <s v="4646.8100000000004"/>
    <x v="5"/>
    <x v="1"/>
    <s v="Mobile App"/>
    <n v="21682.5"/>
  </r>
  <r>
    <s v="ORD104277"/>
    <x v="9"/>
    <s v="25-06-2025"/>
    <s v="CUST10307"/>
    <s v="Consumer"/>
    <s v="Maharashtra"/>
    <x v="21"/>
    <x v="0"/>
    <s v="Laptop"/>
    <s v="1"/>
    <s v="18854.38"/>
    <n v="0"/>
    <s v="11387.15"/>
    <s v="7467.23"/>
    <x v="3"/>
    <x v="0"/>
    <s v="Website"/>
    <n v="18854.38"/>
  </r>
  <r>
    <s v="ORD104278"/>
    <x v="9"/>
    <s v="07-06-2025"/>
    <s v="CUST11236"/>
    <s v="Corporate"/>
    <s v="Delhi"/>
    <x v="7"/>
    <x v="2"/>
    <s v="Jeans"/>
    <s v="1"/>
    <s v="1256.1500000000001"/>
    <n v="0.2"/>
    <s v="935.35"/>
    <s v="69.569999999999993"/>
    <x v="1"/>
    <x v="0"/>
    <s v="Website"/>
    <n v="1004.92"/>
  </r>
  <r>
    <s v="ORD104279"/>
    <x v="3"/>
    <s v="16-03-2025"/>
    <s v="CUST11586"/>
    <s v="Consumer"/>
    <s v="West Bengal"/>
    <x v="9"/>
    <x v="2"/>
    <s v="T-Shirt"/>
    <s v="2"/>
    <s v="2292.9699999999998"/>
    <n v="0.15"/>
    <s v="3319.02"/>
    <s v="579.03"/>
    <x v="0"/>
    <x v="0"/>
    <s v="Website"/>
    <n v="3898.04899999999"/>
  </r>
  <r>
    <s v="ORD104281"/>
    <x v="8"/>
    <s v="11-08-2025"/>
    <s v="CUST13467"/>
    <s v="Home Office"/>
    <s v="West Bengal"/>
    <x v="0"/>
    <x v="4"/>
    <s v="Fitness Band"/>
    <s v="1"/>
    <s v="9509.34"/>
    <n v="0"/>
    <s v="7439.99"/>
    <s v="2069.35"/>
    <x v="1"/>
    <x v="0"/>
    <s v="Website"/>
    <n v="9509.34"/>
  </r>
  <r>
    <s v="ORD104287"/>
    <x v="10"/>
    <s v="03-11-2025"/>
    <s v="CUST10148"/>
    <s v="Consumer"/>
    <s v="Tamil Nadu"/>
    <x v="8"/>
    <x v="1"/>
    <s v="Perfume"/>
    <s v="3"/>
    <s v="4773.8100000000004"/>
    <n v="0.05"/>
    <s v="7929.03"/>
    <s v="5676.33"/>
    <x v="1"/>
    <x v="0"/>
    <s v="Mobile App"/>
    <n v="13605.3585"/>
  </r>
  <r>
    <s v="ORD104288"/>
    <x v="3"/>
    <s v="24-03-2025"/>
    <s v="CUST11955"/>
    <s v="Consumer"/>
    <s v="Telangana"/>
    <x v="16"/>
    <x v="0"/>
    <s v="Tablet"/>
    <s v="2"/>
    <s v="44300.74"/>
    <n v="0.1"/>
    <s v="55234.15"/>
    <s v="24507.18"/>
    <x v="5"/>
    <x v="0"/>
    <s v="Website"/>
    <n v="79741.331999999995"/>
  </r>
  <r>
    <s v="ORD104291"/>
    <x v="7"/>
    <s v="22-05-2025"/>
    <s v="CUST12225"/>
    <s v="Consumer"/>
    <s v="Telangana"/>
    <x v="16"/>
    <x v="4"/>
    <s v="Yoga Mat"/>
    <s v="3"/>
    <s v="11835.07"/>
    <n v="0.1"/>
    <s v="27611.17"/>
    <s v="4343.5200000000004"/>
    <x v="3"/>
    <x v="0"/>
    <s v="Website"/>
    <n v="31954.688999999998"/>
  </r>
  <r>
    <s v="ORD104295"/>
    <x v="7"/>
    <s v="11-05-2025"/>
    <s v="CUST11090"/>
    <s v="Consumer"/>
    <s v="Delhi"/>
    <x v="12"/>
    <x v="0"/>
    <s v="Laptop"/>
    <s v="3"/>
    <s v="53683.06"/>
    <n v="0"/>
    <s v="115641.98"/>
    <s v="45407.199999999997"/>
    <x v="0"/>
    <x v="1"/>
    <s v="Marketplace"/>
    <n v="161049.18"/>
  </r>
  <r>
    <s v="ORD104299"/>
    <x v="11"/>
    <s v="18-10-2025"/>
    <s v="CUST13295"/>
    <s v="Consumer"/>
    <s v="Maharashtra"/>
    <x v="21"/>
    <x v="3"/>
    <s v="Vacuum Cleaner"/>
    <s v="2"/>
    <s v="11723.17"/>
    <n v="0.1"/>
    <s v="18387.8"/>
    <s v="2713.91"/>
    <x v="1"/>
    <x v="1"/>
    <s v="Website"/>
    <n v="21101.705999999998"/>
  </r>
  <r>
    <s v="ORD104301"/>
    <x v="4"/>
    <s v="17-04-2025"/>
    <s v="CUST12177"/>
    <s v="Consumer"/>
    <s v="Kerala"/>
    <x v="6"/>
    <x v="2"/>
    <s v="T-Shirt"/>
    <s v="1"/>
    <s v="1133.73"/>
    <n v="0"/>
    <s v="744.37"/>
    <s v="389.36"/>
    <x v="1"/>
    <x v="0"/>
    <s v="Mobile App"/>
    <n v="1133.73"/>
  </r>
  <r>
    <s v="ORD104305"/>
    <x v="5"/>
    <s v="06-09-2025"/>
    <s v="CUST11435"/>
    <s v="Home Office"/>
    <s v="Telangana"/>
    <x v="14"/>
    <x v="0"/>
    <s v="Smartphone"/>
    <s v="1"/>
    <s v="57703.26"/>
    <n v="0.05"/>
    <s v="42908.69"/>
    <s v="11909.41"/>
    <x v="5"/>
    <x v="1"/>
    <s v="Website"/>
    <n v="54818.097000000002"/>
  </r>
  <r>
    <s v="ORD104307"/>
    <x v="7"/>
    <s v="18-05-2025"/>
    <s v="CUST12310"/>
    <s v="Home Office"/>
    <s v="Delhi"/>
    <x v="7"/>
    <x v="0"/>
    <s v="Smartwatch"/>
    <s v="2"/>
    <s v="54752.05"/>
    <n v="0.15"/>
    <s v="64638.93"/>
    <s v="28439.55"/>
    <x v="0"/>
    <x v="0"/>
    <s v="Website"/>
    <n v="93078.485000000001"/>
  </r>
  <r>
    <s v="ORD104311"/>
    <x v="4"/>
    <s v="04-04-2025"/>
    <s v="CUST11887"/>
    <s v="Corporate"/>
    <s v="Gujarat"/>
    <x v="3"/>
    <x v="0"/>
    <s v="Headphones"/>
    <s v="1"/>
    <s v="12538.7"/>
    <n v="0.1"/>
    <s v="7700.99"/>
    <s v="3583.84"/>
    <x v="2"/>
    <x v="0"/>
    <s v="Marketplace"/>
    <n v="11284.83"/>
  </r>
  <r>
    <s v="ORD104318"/>
    <x v="8"/>
    <s v="27-08-2025"/>
    <s v="CUST10362"/>
    <s v="Home Office"/>
    <s v="Kerala"/>
    <x v="6"/>
    <x v="0"/>
    <s v="Smartwatch"/>
    <s v="2"/>
    <s v="46407.45"/>
    <n v="0.05"/>
    <s v="75326.720000000001"/>
    <s v="12847.43"/>
    <x v="2"/>
    <x v="0"/>
    <s v="Marketplace"/>
    <n v="88174.154999999897"/>
  </r>
  <r>
    <s v="ORD104319"/>
    <x v="1"/>
    <s v="23-02-2025"/>
    <s v="CUST13353"/>
    <s v="Consumer"/>
    <s v="Telangana"/>
    <x v="16"/>
    <x v="0"/>
    <s v="Smartwatch"/>
    <s v="1"/>
    <s v="57380.55"/>
    <n v="0.15"/>
    <s v="37534.400000000001"/>
    <s v="11239.07"/>
    <x v="1"/>
    <x v="0"/>
    <s v="Mobile App"/>
    <n v="48773.467499999999"/>
  </r>
  <r>
    <s v="ORD104321"/>
    <x v="11"/>
    <s v="12-10-2025"/>
    <s v="CUST10478"/>
    <s v="Home Office"/>
    <s v="Maharashtra"/>
    <x v="20"/>
    <x v="2"/>
    <s v="Jeans"/>
    <s v="1"/>
    <s v="5769.13"/>
    <n v="0.1"/>
    <s v="3898.02"/>
    <s v="1294.2"/>
    <x v="3"/>
    <x v="0"/>
    <s v="Website"/>
    <n v="5192.2169999999996"/>
  </r>
  <r>
    <s v="ORD104326"/>
    <x v="0"/>
    <s v="07-01-2025"/>
    <s v="CUST10595"/>
    <s v="Consumer"/>
    <s v="Gujarat"/>
    <x v="10"/>
    <x v="0"/>
    <s v="Smartwatch"/>
    <s v="1"/>
    <s v="10603.06"/>
    <n v="0.1"/>
    <s v="8126.36"/>
    <s v="1416.39"/>
    <x v="0"/>
    <x v="0"/>
    <s v="Marketplace"/>
    <n v="9542.7539999999899"/>
  </r>
  <r>
    <s v="ORD104328"/>
    <x v="10"/>
    <s v="09-11-2025"/>
    <s v="CUST12997"/>
    <s v="Consumer"/>
    <s v="West Bengal"/>
    <x v="0"/>
    <x v="2"/>
    <s v="Handbag"/>
    <s v="1"/>
    <s v="372.42"/>
    <n v="0.1"/>
    <s v="295.54000000000002"/>
    <s v="39.64"/>
    <x v="5"/>
    <x v="0"/>
    <s v="Website"/>
    <n v="335.178"/>
  </r>
  <r>
    <s v="ORD104330"/>
    <x v="1"/>
    <s v="28-02-2025"/>
    <s v="CUST10172"/>
    <s v="Corporate"/>
    <s v="Tamil Nadu"/>
    <x v="11"/>
    <x v="0"/>
    <s v="Tablet"/>
    <s v="2"/>
    <s v="55357.05"/>
    <n v="0.1"/>
    <s v="65994.509999999995"/>
    <s v="33648.18"/>
    <x v="2"/>
    <x v="2"/>
    <s v="Marketplace"/>
    <n v="99642.69"/>
  </r>
  <r>
    <s v="ORD104335"/>
    <x v="3"/>
    <s v="17-03-2025"/>
    <s v="CUST12618"/>
    <s v="Consumer"/>
    <s v="Telangana"/>
    <x v="14"/>
    <x v="0"/>
    <s v="Laptop"/>
    <s v="1"/>
    <s v="8924.8799999999992"/>
    <n v="0.15"/>
    <s v="6777.15"/>
    <s v="809"/>
    <x v="1"/>
    <x v="0"/>
    <s v="Website"/>
    <n v="7586.1479999999901"/>
  </r>
  <r>
    <s v="ORD104337"/>
    <x v="6"/>
    <s v="31-07-2025"/>
    <s v="CUST12616"/>
    <s v="Corporate"/>
    <s v="Kerala"/>
    <x v="15"/>
    <x v="0"/>
    <s v="Smartwatch"/>
    <s v="3"/>
    <s v="42164.25"/>
    <n v="0.05"/>
    <s v="87010.31"/>
    <s v="33157.800000000003"/>
    <x v="1"/>
    <x v="0"/>
    <s v="Marketplace"/>
    <n v="120168.112499999"/>
  </r>
  <r>
    <s v="ORD104338"/>
    <x v="7"/>
    <s v="27-05-2025"/>
    <s v="CUST10116"/>
    <s v="Consumer"/>
    <s v="Maharashtra"/>
    <x v="21"/>
    <x v="2"/>
    <s v="Jeans"/>
    <s v="1"/>
    <s v="2004.37"/>
    <n v="0.1"/>
    <s v="1373.02"/>
    <s v="430.91"/>
    <x v="2"/>
    <x v="0"/>
    <s v="Mobile App"/>
    <n v="1803.933"/>
  </r>
  <r>
    <s v="ORD104340"/>
    <x v="8"/>
    <s v="14-08-2025"/>
    <s v="CUST12692"/>
    <s v="Consumer"/>
    <s v="Kerala"/>
    <x v="15"/>
    <x v="3"/>
    <s v="Cookware Set"/>
    <s v="3"/>
    <s v="6069.48"/>
    <n v="0"/>
    <s v="13168.94"/>
    <s v="5039.5"/>
    <x v="5"/>
    <x v="0"/>
    <s v="Website"/>
    <n v="18208.439999999999"/>
  </r>
  <r>
    <s v="ORD104341"/>
    <x v="0"/>
    <s v="18-01-2025"/>
    <s v="CUST11624"/>
    <s v="Consumer"/>
    <s v="Tamil Nadu"/>
    <x v="8"/>
    <x v="2"/>
    <s v="Jacket"/>
    <s v="1"/>
    <s v="2206.62"/>
    <n v="0.05"/>
    <s v="1725.19"/>
    <s v="371.1"/>
    <x v="2"/>
    <x v="0"/>
    <s v="Mobile App"/>
    <n v="2096.2889999999902"/>
  </r>
  <r>
    <s v="ORD104342"/>
    <x v="11"/>
    <s v="18-10-2025"/>
    <s v="CUST12561"/>
    <s v="Corporate"/>
    <s v="Telangana"/>
    <x v="14"/>
    <x v="3"/>
    <s v="Air Fryer"/>
    <s v="1"/>
    <s v="17624.509999999998"/>
    <n v="0.2"/>
    <s v="11865.36"/>
    <s v="2234.25"/>
    <x v="5"/>
    <x v="2"/>
    <s v="Marketplace"/>
    <n v="14099.608"/>
  </r>
  <r>
    <s v="ORD104344"/>
    <x v="10"/>
    <s v="08-11-2025"/>
    <s v="CUST11576"/>
    <s v="Consumer"/>
    <s v="Maharashtra"/>
    <x v="21"/>
    <x v="2"/>
    <s v="Jacket"/>
    <s v="1"/>
    <s v="6849.15"/>
    <n v="0"/>
    <s v="4046.45"/>
    <s v="2802.7"/>
    <x v="1"/>
    <x v="0"/>
    <s v="Mobile App"/>
    <n v="6849.15"/>
  </r>
  <r>
    <s v="ORD104345"/>
    <x v="5"/>
    <s v="23-09-2025"/>
    <s v="CUST11607"/>
    <s v="Corporate"/>
    <s v="Gujarat"/>
    <x v="18"/>
    <x v="4"/>
    <s v="Cricket Bat"/>
    <s v="1"/>
    <s v="2881.34"/>
    <n v="0.05"/>
    <s v="1744.1"/>
    <s v="993.17"/>
    <x v="2"/>
    <x v="0"/>
    <s v="Mobile App"/>
    <n v="2737.2730000000001"/>
  </r>
  <r>
    <s v="ORD104346"/>
    <x v="8"/>
    <s v="05-08-2025"/>
    <s v="CUST10698"/>
    <s v="Consumer"/>
    <s v="Telangana"/>
    <x v="14"/>
    <x v="4"/>
    <s v="Cricket Bat"/>
    <s v="1"/>
    <s v="2362.59"/>
    <n v="0.1"/>
    <s v="1835.84"/>
    <s v="290.49"/>
    <x v="2"/>
    <x v="0"/>
    <s v="Mobile App"/>
    <n v="2126.3310000000001"/>
  </r>
  <r>
    <s v="ORD104347"/>
    <x v="8"/>
    <s v="19-08-2025"/>
    <s v="CUST10781"/>
    <s v="Consumer"/>
    <s v="Maharashtra"/>
    <x v="21"/>
    <x v="0"/>
    <s v="Smartphone"/>
    <s v="1"/>
    <s v="61511.45"/>
    <n v="0.1"/>
    <s v="49856.38"/>
    <s v="5503.92"/>
    <x v="1"/>
    <x v="0"/>
    <s v="Mobile App"/>
    <n v="55360.305"/>
  </r>
  <r>
    <s v="ORD104348"/>
    <x v="10"/>
    <s v="20-11-2025"/>
    <s v="CUST11641"/>
    <s v="Home Office"/>
    <s v="Tamil Nadu"/>
    <x v="1"/>
    <x v="3"/>
    <s v="Cookware Set"/>
    <s v="3"/>
    <s v="16596.47"/>
    <n v="0"/>
    <s v="38766.379999999997"/>
    <s v="11023.03"/>
    <x v="2"/>
    <x v="0"/>
    <s v="Mobile App"/>
    <n v="49789.41"/>
  </r>
  <r>
    <s v="ORD104349"/>
    <x v="4"/>
    <s v="12-04-2025"/>
    <s v="CUST12892"/>
    <s v="Home Office"/>
    <s v="Telangana"/>
    <x v="16"/>
    <x v="3"/>
    <s v="Vacuum Cleaner"/>
    <s v="1"/>
    <s v="5150.6499999999996"/>
    <n v="0.15"/>
    <s v="3205.97"/>
    <s v="1172.08"/>
    <x v="0"/>
    <x v="0"/>
    <s v="Marketplace"/>
    <n v="4378.0524999999998"/>
  </r>
  <r>
    <s v="ORD104352"/>
    <x v="3"/>
    <s v="18-03-2025"/>
    <s v="CUST11348"/>
    <s v="Home Office"/>
    <s v="Kerala"/>
    <x v="5"/>
    <x v="2"/>
    <s v="Handbag"/>
    <s v="1"/>
    <s v="5271.2"/>
    <n v="0.05"/>
    <s v="3201.87"/>
    <s v="1805.77"/>
    <x v="0"/>
    <x v="0"/>
    <s v="Website"/>
    <n v="5007.6399999999903"/>
  </r>
  <r>
    <s v="ORD104353"/>
    <x v="7"/>
    <s v="23-05-2025"/>
    <s v="CUST10968"/>
    <s v="Corporate"/>
    <s v="Karnataka"/>
    <x v="2"/>
    <x v="0"/>
    <s v="Tablet"/>
    <s v="2"/>
    <s v="47695.12"/>
    <n v="0.05"/>
    <s v="52480.66"/>
    <s v="38140.07"/>
    <x v="1"/>
    <x v="0"/>
    <s v="Website"/>
    <n v="90620.728000000003"/>
  </r>
  <r>
    <s v="ORD104361"/>
    <x v="10"/>
    <s v="20-11-2025"/>
    <s v="CUST10430"/>
    <s v="Consumer"/>
    <s v="Kerala"/>
    <x v="5"/>
    <x v="4"/>
    <s v="Cricket Bat"/>
    <s v="1"/>
    <s v="5466.31"/>
    <n v="0.15"/>
    <s v="3294.24"/>
    <s v="1352.12"/>
    <x v="2"/>
    <x v="0"/>
    <s v="Website"/>
    <n v="4646.3635000000004"/>
  </r>
  <r>
    <s v="ORD104364"/>
    <x v="9"/>
    <s v="07-06-2025"/>
    <s v="CUST13480"/>
    <s v="Corporate"/>
    <s v="Maharashtra"/>
    <x v="4"/>
    <x v="0"/>
    <s v="Headphones"/>
    <s v="1"/>
    <s v="19285.27"/>
    <n v="0"/>
    <s v="10616.66"/>
    <s v="8668.61"/>
    <x v="1"/>
    <x v="0"/>
    <s v="Website"/>
    <n v="19285.27"/>
  </r>
  <r>
    <s v="ORD104367"/>
    <x v="0"/>
    <s v="07-01-2025"/>
    <s v="CUST13074"/>
    <s v="Corporate"/>
    <s v="Delhi"/>
    <x v="12"/>
    <x v="0"/>
    <s v="Laptop"/>
    <s v="1"/>
    <s v="65918.509999999995"/>
    <n v="0.2"/>
    <s v="42775.76"/>
    <s v="9959.0499999999993"/>
    <x v="3"/>
    <x v="0"/>
    <s v="Website"/>
    <n v="52734.807999999997"/>
  </r>
  <r>
    <s v="ORD104368"/>
    <x v="0"/>
    <s v="15-01-2025"/>
    <s v="CUST12917"/>
    <s v="Home Office"/>
    <s v="Maharashtra"/>
    <x v="21"/>
    <x v="1"/>
    <s v="Perfume"/>
    <s v="1"/>
    <s v="5696.07"/>
    <n v="0.15"/>
    <s v="4638.1000000000004"/>
    <s v="203.56"/>
    <x v="3"/>
    <x v="0"/>
    <s v="Marketplace"/>
    <n v="4841.6594999999998"/>
  </r>
  <r>
    <s v="ORD104369"/>
    <x v="7"/>
    <s v="04-05-2025"/>
    <s v="CUST11631"/>
    <s v="Corporate"/>
    <s v="Kerala"/>
    <x v="15"/>
    <x v="0"/>
    <s v="Smartphone"/>
    <s v="1"/>
    <s v="55482.43"/>
    <n v="0.2"/>
    <s v="35972.99"/>
    <s v="8412.9500000000007"/>
    <x v="4"/>
    <x v="0"/>
    <s v="Website"/>
    <n v="44385.944000000003"/>
  </r>
  <r>
    <s v="ORD104370"/>
    <x v="3"/>
    <s v="11-03-2025"/>
    <s v="CUST10866"/>
    <s v="Consumer"/>
    <s v="Telangana"/>
    <x v="16"/>
    <x v="0"/>
    <s v="Laptop"/>
    <s v="2"/>
    <s v="55933.67"/>
    <n v="0.05"/>
    <s v="89063.05"/>
    <s v="17210.919999999998"/>
    <x v="2"/>
    <x v="0"/>
    <s v="Website"/>
    <n v="106273.973"/>
  </r>
  <r>
    <s v="ORD104373"/>
    <x v="2"/>
    <s v="05-12-2025"/>
    <s v="CUST12154"/>
    <s v="Home Office"/>
    <s v="Maharashtra"/>
    <x v="4"/>
    <x v="2"/>
    <s v="Jeans"/>
    <s v="1"/>
    <s v="1968.74"/>
    <n v="0.15"/>
    <s v="1523.38"/>
    <s v="150.05000000000001"/>
    <x v="0"/>
    <x v="1"/>
    <s v="Marketplace"/>
    <n v="1673.4289999999901"/>
  </r>
  <r>
    <s v="ORD104377"/>
    <x v="8"/>
    <s v="11-08-2025"/>
    <s v="CUST13195"/>
    <s v="Consumer"/>
    <s v="Telangana"/>
    <x v="16"/>
    <x v="0"/>
    <s v="Tablet"/>
    <s v="1"/>
    <s v="2345.16"/>
    <n v="0.05"/>
    <s v="1893.31"/>
    <s v="334.59"/>
    <x v="3"/>
    <x v="0"/>
    <s v="Mobile App"/>
    <n v="2227.90199999999"/>
  </r>
  <r>
    <s v="ORD104379"/>
    <x v="4"/>
    <s v="01-04-2025"/>
    <s v="CUST10098"/>
    <s v="Consumer"/>
    <s v="West Bengal"/>
    <x v="9"/>
    <x v="3"/>
    <s v="Vacuum Cleaner"/>
    <s v="1"/>
    <s v="15812.52"/>
    <n v="0.1"/>
    <s v="9144.41"/>
    <s v="5086.8599999999997"/>
    <x v="1"/>
    <x v="0"/>
    <s v="Mobile App"/>
    <n v="14231.268"/>
  </r>
  <r>
    <s v="ORD104388"/>
    <x v="10"/>
    <s v="06-11-2025"/>
    <s v="CUST12999"/>
    <s v="Consumer"/>
    <s v="Kerala"/>
    <x v="15"/>
    <x v="0"/>
    <s v="Laptop"/>
    <s v="1"/>
    <s v="20373.37"/>
    <n v="0.05"/>
    <s v="15060.11"/>
    <s v="4294.59"/>
    <x v="5"/>
    <x v="0"/>
    <s v="Marketplace"/>
    <n v="19354.701499999999"/>
  </r>
  <r>
    <s v="ORD104389"/>
    <x v="1"/>
    <s v="08-02-2025"/>
    <s v="CUST12944"/>
    <s v="Consumer"/>
    <s v="Tamil Nadu"/>
    <x v="8"/>
    <x v="4"/>
    <s v="Fitness Band"/>
    <s v="1"/>
    <s v="1864.25"/>
    <n v="0.05"/>
    <s v="1457.7"/>
    <s v="313.33999999999997"/>
    <x v="0"/>
    <x v="3"/>
    <s v="Website"/>
    <n v="1771.0374999999999"/>
  </r>
  <r>
    <s v="ORD104395"/>
    <x v="0"/>
    <s v="28-01-2025"/>
    <s v="CUST11508"/>
    <s v="Corporate"/>
    <s v="Delhi"/>
    <x v="7"/>
    <x v="2"/>
    <s v="Handbag"/>
    <s v="2"/>
    <s v="6079.47"/>
    <n v="0.1"/>
    <s v="7344.39"/>
    <s v="3598.66"/>
    <x v="3"/>
    <x v="2"/>
    <s v="Mobile App"/>
    <n v="10943.046"/>
  </r>
  <r>
    <s v="ORD104397"/>
    <x v="4"/>
    <s v="25-04-2025"/>
    <s v="CUST10318"/>
    <s v="Home Office"/>
    <s v="Delhi"/>
    <x v="7"/>
    <x v="0"/>
    <s v="Laptop"/>
    <s v="1"/>
    <s v="58674.94"/>
    <n v="0.1"/>
    <s v="36244.33"/>
    <s v="16563.12"/>
    <x v="0"/>
    <x v="0"/>
    <s v="Website"/>
    <n v="52807.446000000004"/>
  </r>
  <r>
    <s v="ORD104402"/>
    <x v="6"/>
    <s v="03-07-2025"/>
    <s v="CUST11467"/>
    <s v="Consumer"/>
    <s v="Maharashtra"/>
    <x v="4"/>
    <x v="0"/>
    <s v="Smartwatch"/>
    <s v="2"/>
    <s v="65721.84"/>
    <n v="0.15"/>
    <s v="74056.990000000005"/>
    <s v="37670.14"/>
    <x v="0"/>
    <x v="0"/>
    <s v="Mobile App"/>
    <n v="111727.128"/>
  </r>
  <r>
    <s v="ORD104404"/>
    <x v="4"/>
    <s v="04-04-2025"/>
    <s v="CUST13232"/>
    <s v="Consumer"/>
    <s v="Telangana"/>
    <x v="16"/>
    <x v="4"/>
    <s v="Fitness Band"/>
    <s v="1"/>
    <s v="8652.91"/>
    <n v="0.1"/>
    <s v="4800.93"/>
    <s v="2986.69"/>
    <x v="2"/>
    <x v="0"/>
    <s v="Marketplace"/>
    <n v="7787.6189999999997"/>
  </r>
  <r>
    <s v="ORD104406"/>
    <x v="3"/>
    <s v="19-03-2025"/>
    <s v="CUST13040"/>
    <s v="Corporate"/>
    <s v="West Bengal"/>
    <x v="9"/>
    <x v="2"/>
    <s v="Sneakers"/>
    <s v="1"/>
    <s v="3370.55"/>
    <n v="0.15"/>
    <s v="2733.49"/>
    <s v="131.47999999999999"/>
    <x v="0"/>
    <x v="0"/>
    <s v="Mobile App"/>
    <n v="2864.9675000000002"/>
  </r>
  <r>
    <s v="ORD104409"/>
    <x v="8"/>
    <s v="29-08-2025"/>
    <s v="CUST11811"/>
    <s v="Consumer"/>
    <s v="Gujarat"/>
    <x v="10"/>
    <x v="0"/>
    <s v="Laptop"/>
    <s v="1"/>
    <s v="42365.82"/>
    <n v="0.1"/>
    <s v="26821.57"/>
    <s v="11307.67"/>
    <x v="4"/>
    <x v="0"/>
    <s v="Marketplace"/>
    <n v="38129.237999999998"/>
  </r>
  <r>
    <s v="ORD104414"/>
    <x v="0"/>
    <s v="24-01-2025"/>
    <s v="CUST12098"/>
    <s v="Consumer"/>
    <s v="Delhi"/>
    <x v="12"/>
    <x v="0"/>
    <s v="Smartphone"/>
    <s v="1"/>
    <s v="43600.69"/>
    <n v="0.15"/>
    <s v="27293.84"/>
    <s v="9766.75"/>
    <x v="3"/>
    <x v="1"/>
    <s v="Mobile App"/>
    <n v="37060.586499999998"/>
  </r>
  <r>
    <s v="ORD104417"/>
    <x v="10"/>
    <s v="02-11-2025"/>
    <s v="CUST10004"/>
    <s v="Corporate"/>
    <s v="Karnataka"/>
    <x v="22"/>
    <x v="4"/>
    <s v="Football"/>
    <s v="1"/>
    <s v="5380.22"/>
    <n v="0.2"/>
    <s v="3872.41"/>
    <s v="431.77"/>
    <x v="3"/>
    <x v="0"/>
    <s v="Website"/>
    <n v="4304.1760000000004"/>
  </r>
  <r>
    <s v="ORD104422"/>
    <x v="7"/>
    <s v="14-05-2025"/>
    <s v="CUST11954"/>
    <s v="Consumer"/>
    <s v="Tamil Nadu"/>
    <x v="11"/>
    <x v="4"/>
    <s v="Fitness Band"/>
    <s v="2"/>
    <s v="7806.68"/>
    <n v="0.1"/>
    <s v="9653.68"/>
    <s v="4398.34"/>
    <x v="5"/>
    <x v="2"/>
    <s v="Marketplace"/>
    <n v="14052.023999999999"/>
  </r>
  <r>
    <s v="ORD104424"/>
    <x v="6"/>
    <s v="08-07-2025"/>
    <s v="CUST11524"/>
    <s v="Corporate"/>
    <s v="Maharashtra"/>
    <x v="20"/>
    <x v="0"/>
    <s v="Laptop"/>
    <s v="1"/>
    <s v="14618.1"/>
    <n v="0"/>
    <s v="9212.7099999999991"/>
    <s v="5405.39"/>
    <x v="2"/>
    <x v="2"/>
    <s v="Mobile App"/>
    <n v="14618.1"/>
  </r>
  <r>
    <s v="ORD104425"/>
    <x v="10"/>
    <s v="01-11-2025"/>
    <s v="CUST10774"/>
    <s v="Home Office"/>
    <s v="Karnataka"/>
    <x v="2"/>
    <x v="4"/>
    <s v="Running Shoes"/>
    <s v="1"/>
    <s v="4419.76"/>
    <n v="0.15"/>
    <s v="2882.31"/>
    <s v="874.49"/>
    <x v="1"/>
    <x v="0"/>
    <s v="Mobile App"/>
    <n v="3756.7959999999998"/>
  </r>
  <r>
    <s v="ORD104429"/>
    <x v="1"/>
    <s v="04-02-2025"/>
    <s v="CUST13180"/>
    <s v="Corporate"/>
    <s v="Maharashtra"/>
    <x v="20"/>
    <x v="0"/>
    <s v="Tablet"/>
    <s v="1"/>
    <s v="47916.57"/>
    <n v="0.15"/>
    <s v="35833.300000000003"/>
    <s v="4895.78"/>
    <x v="2"/>
    <x v="3"/>
    <s v="Mobile App"/>
    <n v="40729.084499999997"/>
  </r>
  <r>
    <s v="ORD104430"/>
    <x v="11"/>
    <s v="03-10-2025"/>
    <s v="CUST10276"/>
    <s v="Consumer"/>
    <s v="Karnataka"/>
    <x v="17"/>
    <x v="0"/>
    <s v="Smartphone"/>
    <s v="1"/>
    <s v="5782.44"/>
    <n v="0.05"/>
    <s v="4692.09"/>
    <s v="801.23"/>
    <x v="2"/>
    <x v="0"/>
    <s v="Website"/>
    <n v="5493.3179999999902"/>
  </r>
  <r>
    <s v="ORD104431"/>
    <x v="11"/>
    <s v="04-10-2025"/>
    <s v="CUST10703"/>
    <s v="Home Office"/>
    <s v="Delhi"/>
    <x v="7"/>
    <x v="3"/>
    <s v="Air Fryer"/>
    <s v="4"/>
    <s v="15850.48"/>
    <n v="0.05"/>
    <s v="44100.1"/>
    <s v="16131.72"/>
    <x v="2"/>
    <x v="0"/>
    <s v="Marketplace"/>
    <n v="60231.823999999899"/>
  </r>
  <r>
    <s v="ORD104433"/>
    <x v="10"/>
    <s v="08-11-2025"/>
    <s v="CUST10985"/>
    <s v="Corporate"/>
    <s v="Karnataka"/>
    <x v="2"/>
    <x v="0"/>
    <s v="Smartwatch"/>
    <s v="1"/>
    <s v="40882.11"/>
    <n v="0.05"/>
    <s v="25578.39"/>
    <s v="13259.61"/>
    <x v="2"/>
    <x v="2"/>
    <s v="Website"/>
    <n v="38838.004499999901"/>
  </r>
  <r>
    <s v="ORD104434"/>
    <x v="5"/>
    <s v="02-09-2025"/>
    <s v="CUST12119"/>
    <s v="Home Office"/>
    <s v="West Bengal"/>
    <x v="0"/>
    <x v="0"/>
    <s v="Smartwatch"/>
    <s v="3"/>
    <s v="14448.17"/>
    <n v="0.2"/>
    <s v="34166.11"/>
    <s v="509.5"/>
    <x v="5"/>
    <x v="0"/>
    <s v="Website"/>
    <n v="34675.608"/>
  </r>
  <r>
    <s v="ORD104442"/>
    <x v="2"/>
    <s v="18-12-2025"/>
    <s v="CUST10128"/>
    <s v="Corporate"/>
    <s v="West Bengal"/>
    <x v="0"/>
    <x v="2"/>
    <s v="Sneakers"/>
    <s v="3"/>
    <s v="3529.43"/>
    <n v="0.05"/>
    <s v="6625.63"/>
    <s v="3433.25"/>
    <x v="5"/>
    <x v="0"/>
    <s v="Website"/>
    <n v="10058.8754999999"/>
  </r>
  <r>
    <s v="ORD104444"/>
    <x v="8"/>
    <s v="11-08-2025"/>
    <s v="CUST11267"/>
    <s v="Corporate"/>
    <s v="Delhi"/>
    <x v="7"/>
    <x v="0"/>
    <s v="Laptop"/>
    <s v="1"/>
    <s v="1329.64"/>
    <n v="0.1"/>
    <s v="1069.54"/>
    <s v="127.14"/>
    <x v="1"/>
    <x v="3"/>
    <s v="Website"/>
    <n v="1196.6759999999999"/>
  </r>
  <r>
    <s v="ORD104455"/>
    <x v="10"/>
    <s v="07-11-2025"/>
    <s v="CUST11851"/>
    <s v="Home Office"/>
    <s v="West Bengal"/>
    <x v="9"/>
    <x v="2"/>
    <s v="Handbag"/>
    <s v="1"/>
    <s v="4484.71"/>
    <n v="0.1"/>
    <s v="3330.28"/>
    <s v="705.96"/>
    <x v="4"/>
    <x v="3"/>
    <s v="Marketplace"/>
    <n v="4036.239"/>
  </r>
  <r>
    <s v="ORD104465"/>
    <x v="6"/>
    <s v="31-07-2025"/>
    <s v="CUST10553"/>
    <s v="Corporate"/>
    <s v="Karnataka"/>
    <x v="22"/>
    <x v="4"/>
    <s v="Fitness Band"/>
    <s v="1"/>
    <s v="1147.77"/>
    <n v="0.05"/>
    <s v="710.58"/>
    <s v="379.8"/>
    <x v="5"/>
    <x v="3"/>
    <s v="Website"/>
    <n v="1090.3815"/>
  </r>
  <r>
    <s v="ORD104466"/>
    <x v="7"/>
    <s v="13-05-2025"/>
    <s v="CUST11077"/>
    <s v="Home Office"/>
    <s v="Telangana"/>
    <x v="14"/>
    <x v="4"/>
    <s v="Fitness Band"/>
    <s v="3"/>
    <s v="8411.49"/>
    <n v="0.15"/>
    <s v="19195.02"/>
    <s v="2254.2800000000002"/>
    <x v="5"/>
    <x v="2"/>
    <s v="Marketplace"/>
    <n v="21449.299500000001"/>
  </r>
  <r>
    <s v="ORD104469"/>
    <x v="1"/>
    <s v="20-02-2025"/>
    <s v="CUST12687"/>
    <s v="Consumer"/>
    <s v="Maharashtra"/>
    <x v="21"/>
    <x v="3"/>
    <s v="Vacuum Cleaner"/>
    <s v="1"/>
    <s v="17185.900000000001"/>
    <n v="0.15"/>
    <s v="13348.67"/>
    <s v="1259.3499999999999"/>
    <x v="1"/>
    <x v="0"/>
    <s v="Mobile App"/>
    <n v="14608.014999999999"/>
  </r>
  <r>
    <s v="ORD104473"/>
    <x v="6"/>
    <s v="21-07-2025"/>
    <s v="CUST10971"/>
    <s v="Home Office"/>
    <s v="Delhi"/>
    <x v="7"/>
    <x v="2"/>
    <s v="Handbag"/>
    <s v="2"/>
    <s v="460.94"/>
    <n v="0.1"/>
    <s v="542.03"/>
    <s v="287.66000000000003"/>
    <x v="0"/>
    <x v="0"/>
    <s v="Marketplace"/>
    <n v="829.69200000000001"/>
  </r>
  <r>
    <s v="ORD104477"/>
    <x v="8"/>
    <s v="25-08-2025"/>
    <s v="CUST10672"/>
    <s v="Home Office"/>
    <s v="Gujarat"/>
    <x v="3"/>
    <x v="2"/>
    <s v="Handbag"/>
    <s v="2"/>
    <s v="4418.2700000000004"/>
    <n v="0.05"/>
    <s v="7118.78"/>
    <s v="1275.93"/>
    <x v="0"/>
    <x v="0"/>
    <s v="Website"/>
    <n v="8394.7129999999997"/>
  </r>
  <r>
    <s v="ORD104478"/>
    <x v="2"/>
    <s v="16-12-2025"/>
    <s v="CUST10962"/>
    <s v="Corporate"/>
    <s v="Delhi"/>
    <x v="12"/>
    <x v="3"/>
    <s v="Coffee Maker"/>
    <s v="2"/>
    <s v="10785.16"/>
    <n v="0.1"/>
    <s v="16184.97"/>
    <s v="3228.32"/>
    <x v="3"/>
    <x v="0"/>
    <s v="Marketplace"/>
    <n v="19413.288"/>
  </r>
  <r>
    <s v="ORD104486"/>
    <x v="5"/>
    <s v="17-09-2025"/>
    <s v="CUST11700"/>
    <s v="Consumer"/>
    <s v="Kerala"/>
    <x v="15"/>
    <x v="0"/>
    <s v="Headphones"/>
    <s v="1"/>
    <s v="60229.67"/>
    <n v="0.1"/>
    <s v="39997.07"/>
    <s v="14209.63"/>
    <x v="2"/>
    <x v="0"/>
    <s v="Mobile App"/>
    <n v="54206.703000000001"/>
  </r>
  <r>
    <s v="ORD104496"/>
    <x v="4"/>
    <s v="19-04-2025"/>
    <s v="CUST10808"/>
    <s v="Consumer"/>
    <s v="Telangana"/>
    <x v="16"/>
    <x v="1"/>
    <s v="Shampoo"/>
    <s v="4"/>
    <s v="4201.3999999999996"/>
    <n v="0.1"/>
    <s v="9837.31"/>
    <s v="5287.73"/>
    <x v="5"/>
    <x v="0"/>
    <s v="Marketplace"/>
    <n v="15125.039999999901"/>
  </r>
  <r>
    <s v="ORD104502"/>
    <x v="6"/>
    <s v="26-07-2025"/>
    <s v="CUST10389"/>
    <s v="Corporate"/>
    <s v="Kerala"/>
    <x v="6"/>
    <x v="3"/>
    <s v="Mixer Grinder"/>
    <s v="1"/>
    <s v="15450.48"/>
    <n v="0.05"/>
    <s v="12364.76"/>
    <s v="2313.1999999999998"/>
    <x v="3"/>
    <x v="0"/>
    <s v="Website"/>
    <n v="14677.9559999999"/>
  </r>
  <r>
    <s v="ORD104503"/>
    <x v="4"/>
    <s v="19-04-2025"/>
    <s v="CUST10888"/>
    <s v="Home Office"/>
    <s v="Kerala"/>
    <x v="6"/>
    <x v="3"/>
    <s v="Air Fryer"/>
    <s v="1"/>
    <s v="10356.790000000001"/>
    <n v="0"/>
    <s v="6865.35"/>
    <s v="3491.44"/>
    <x v="2"/>
    <x v="0"/>
    <s v="Website"/>
    <n v="10356.790000000001"/>
  </r>
  <r>
    <s v="ORD104504"/>
    <x v="5"/>
    <s v="05-09-2025"/>
    <s v="CUST12010"/>
    <s v="Corporate"/>
    <s v="Karnataka"/>
    <x v="2"/>
    <x v="2"/>
    <s v="Handbag"/>
    <s v="1"/>
    <s v="2346.5700000000002"/>
    <n v="0.1"/>
    <s v="1515.51"/>
    <s v="596.4"/>
    <x v="3"/>
    <x v="0"/>
    <s v="Marketplace"/>
    <n v="2111.913"/>
  </r>
  <r>
    <s v="ORD104507"/>
    <x v="9"/>
    <s v="17-06-2025"/>
    <s v="CUST10841"/>
    <s v="Consumer"/>
    <s v="Telangana"/>
    <x v="14"/>
    <x v="3"/>
    <s v="Cookware Set"/>
    <s v="1"/>
    <s v="17401.03"/>
    <n v="0.05"/>
    <s v="9926.81"/>
    <s v="6604.17"/>
    <x v="2"/>
    <x v="2"/>
    <s v="Marketplace"/>
    <n v="16530.978499999899"/>
  </r>
  <r>
    <s v="ORD104509"/>
    <x v="4"/>
    <s v="10-04-2025"/>
    <s v="CUST11137"/>
    <s v="Home Office"/>
    <s v="Tamil Nadu"/>
    <x v="8"/>
    <x v="0"/>
    <s v="Smartphone"/>
    <s v="1"/>
    <s v="18573.02"/>
    <n v="0.05"/>
    <s v="12881.46"/>
    <s v="4762.91"/>
    <x v="1"/>
    <x v="0"/>
    <s v="Marketplace"/>
    <n v="17644.368999999999"/>
  </r>
  <r>
    <s v="ORD104514"/>
    <x v="9"/>
    <s v="20-06-2025"/>
    <s v="CUST11231"/>
    <s v="Corporate"/>
    <s v="Telangana"/>
    <x v="14"/>
    <x v="2"/>
    <s v="Sneakers"/>
    <s v="1"/>
    <s v="4440.24"/>
    <n v="0.05"/>
    <s v="3304.56"/>
    <s v="913.67"/>
    <x v="3"/>
    <x v="0"/>
    <s v="Mobile App"/>
    <n v="4218.2279999999901"/>
  </r>
  <r>
    <s v="ORD104515"/>
    <x v="3"/>
    <s v="28-03-2025"/>
    <s v="CUST11998"/>
    <s v="Consumer"/>
    <s v="Kerala"/>
    <x v="5"/>
    <x v="1"/>
    <s v="Hair Dryer"/>
    <s v="1"/>
    <s v="3691.84"/>
    <n v="0.2"/>
    <s v="2659.78"/>
    <s v="293.69"/>
    <x v="1"/>
    <x v="0"/>
    <s v="Mobile App"/>
    <n v="2953.4720000000002"/>
  </r>
  <r>
    <s v="ORD104516"/>
    <x v="10"/>
    <s v="16-11-2025"/>
    <s v="CUST10239"/>
    <s v="Corporate"/>
    <s v="Kerala"/>
    <x v="15"/>
    <x v="1"/>
    <s v="Lipstick"/>
    <s v="1"/>
    <s v="5487.03"/>
    <n v="0"/>
    <s v="4119.78"/>
    <s v="1367.25"/>
    <x v="0"/>
    <x v="0"/>
    <s v="Marketplace"/>
    <n v="5487.03"/>
  </r>
  <r>
    <s v="ORD104523"/>
    <x v="4"/>
    <s v="03-04-2025"/>
    <s v="CUST12035"/>
    <s v="Consumer"/>
    <s v="Kerala"/>
    <x v="5"/>
    <x v="3"/>
    <s v="Cookware Set"/>
    <s v="4"/>
    <s v="8844.31"/>
    <n v="0"/>
    <s v="20016.95"/>
    <s v="15360.29"/>
    <x v="3"/>
    <x v="0"/>
    <s v="Mobile App"/>
    <n v="35377.24"/>
  </r>
  <r>
    <s v="ORD104531"/>
    <x v="2"/>
    <s v="28-12-2025"/>
    <s v="CUST11439"/>
    <s v="Corporate"/>
    <s v="Maharashtra"/>
    <x v="4"/>
    <x v="1"/>
    <s v="Perfume"/>
    <s v="2"/>
    <s v="5483.99"/>
    <n v="0.05"/>
    <s v="7648.21"/>
    <s v="2771.37"/>
    <x v="1"/>
    <x v="0"/>
    <s v="Marketplace"/>
    <n v="10419.5809999999"/>
  </r>
  <r>
    <s v="ORD104537"/>
    <x v="5"/>
    <s v="15-09-2025"/>
    <s v="CUST10353"/>
    <s v="Consumer"/>
    <s v="Delhi"/>
    <x v="7"/>
    <x v="0"/>
    <s v="Tablet"/>
    <s v="3"/>
    <s v="15487.17"/>
    <n v="0.1"/>
    <s v="31960.41"/>
    <s v="9854.9500000000007"/>
    <x v="2"/>
    <x v="0"/>
    <s v="Website"/>
    <n v="41815.358999999997"/>
  </r>
  <r>
    <s v="ORD104539"/>
    <x v="5"/>
    <s v="09-09-2025"/>
    <s v="CUST12245"/>
    <s v="Consumer"/>
    <s v="Gujarat"/>
    <x v="3"/>
    <x v="3"/>
    <s v="Air Fryer"/>
    <s v="1"/>
    <s v="6610.52"/>
    <n v="0.15"/>
    <s v="4241.2700000000004"/>
    <s v="1377.67"/>
    <x v="2"/>
    <x v="0"/>
    <s v="Marketplace"/>
    <n v="5618.942"/>
  </r>
  <r>
    <s v="ORD104542"/>
    <x v="8"/>
    <s v="28-08-2025"/>
    <s v="CUST11104"/>
    <s v="Consumer"/>
    <s v="Kerala"/>
    <x v="6"/>
    <x v="3"/>
    <s v="Mixer Grinder"/>
    <s v="2"/>
    <s v="10044.61"/>
    <n v="0.1"/>
    <s v="13141.59"/>
    <s v="4938.71"/>
    <x v="5"/>
    <x v="0"/>
    <s v="Mobile App"/>
    <n v="18080.297999999999"/>
  </r>
  <r>
    <s v="ORD104543"/>
    <x v="6"/>
    <s v="07-07-2025"/>
    <s v="CUST11611"/>
    <s v="Consumer"/>
    <s v="Kerala"/>
    <x v="15"/>
    <x v="4"/>
    <s v="Football"/>
    <s v="1"/>
    <s v="6954.4"/>
    <n v="0.05"/>
    <s v="4748.1400000000003"/>
    <s v="1858.54"/>
    <x v="3"/>
    <x v="0"/>
    <s v="Marketplace"/>
    <n v="6606.6799999999903"/>
  </r>
  <r>
    <s v="ORD104546"/>
    <x v="11"/>
    <s v="20-10-2025"/>
    <s v="CUST11338"/>
    <s v="Consumer"/>
    <s v="Telangana"/>
    <x v="16"/>
    <x v="1"/>
    <s v="Perfume"/>
    <s v="1"/>
    <s v="2220.2800000000002"/>
    <n v="0"/>
    <s v="1415.02"/>
    <s v="805.26"/>
    <x v="5"/>
    <x v="0"/>
    <s v="Website"/>
    <n v="2220.2800000000002"/>
  </r>
  <r>
    <s v="ORD104557"/>
    <x v="1"/>
    <s v="20-02-2025"/>
    <s v="CUST11744"/>
    <s v="Corporate"/>
    <s v="Maharashtra"/>
    <x v="21"/>
    <x v="3"/>
    <s v="Cookware Set"/>
    <s v="1"/>
    <s v="10814.55"/>
    <n v="0.1"/>
    <s v="8788.19"/>
    <s v="944.9"/>
    <x v="3"/>
    <x v="0"/>
    <s v="Website"/>
    <n v="9733.0949999999993"/>
  </r>
  <r>
    <s v="ORD104558"/>
    <x v="2"/>
    <s v="31-12-2025"/>
    <s v="CUST10954"/>
    <s v="Corporate"/>
    <s v="Tamil Nadu"/>
    <x v="13"/>
    <x v="4"/>
    <s v="Fitness Band"/>
    <s v="4"/>
    <s v="5165.6000000000004"/>
    <n v="0.05"/>
    <s v="12817.07"/>
    <s v="6812.21"/>
    <x v="1"/>
    <x v="3"/>
    <s v="Marketplace"/>
    <n v="19629.28"/>
  </r>
  <r>
    <s v="ORD104570"/>
    <x v="4"/>
    <s v="04-04-2025"/>
    <s v="CUST13385"/>
    <s v="Corporate"/>
    <s v="Gujarat"/>
    <x v="18"/>
    <x v="4"/>
    <s v="Yoga Mat"/>
    <s v="1"/>
    <s v="5266.19"/>
    <n v="0.15"/>
    <s v="2947.3"/>
    <s v="1528.96"/>
    <x v="1"/>
    <x v="0"/>
    <s v="Website"/>
    <n v="4476.2614999999996"/>
  </r>
  <r>
    <s v="ORD104573"/>
    <x v="10"/>
    <s v="18-11-2025"/>
    <s v="CUST11370"/>
    <s v="Home Office"/>
    <s v="Delhi"/>
    <x v="7"/>
    <x v="3"/>
    <s v="Cookware Set"/>
    <s v="1"/>
    <s v="2266.86"/>
    <n v="0.05"/>
    <s v="1460.1"/>
    <s v="693.42"/>
    <x v="0"/>
    <x v="0"/>
    <s v="Marketplace"/>
    <n v="2153.5169999999998"/>
  </r>
  <r>
    <s v="ORD104578"/>
    <x v="5"/>
    <s v="06-09-2025"/>
    <s v="CUST12861"/>
    <s v="Home Office"/>
    <s v="Delhi"/>
    <x v="7"/>
    <x v="4"/>
    <s v="Football"/>
    <s v="1"/>
    <s v="9543.33"/>
    <n v="0.1"/>
    <s v="5616.79"/>
    <s v="2972.21"/>
    <x v="0"/>
    <x v="0"/>
    <s v="Mobile App"/>
    <n v="8588.9969999999994"/>
  </r>
  <r>
    <s v="ORD104579"/>
    <x v="8"/>
    <s v="25-08-2025"/>
    <s v="CUST11321"/>
    <s v="Home Office"/>
    <s v="Kerala"/>
    <x v="5"/>
    <x v="1"/>
    <s v="Shampoo"/>
    <s v="3"/>
    <s v="2860.92"/>
    <n v="0.1"/>
    <s v="6358.36"/>
    <s v="1366.12"/>
    <x v="3"/>
    <x v="0"/>
    <s v="Marketplace"/>
    <n v="7724.4840000000004"/>
  </r>
  <r>
    <s v="ORD104581"/>
    <x v="4"/>
    <s v="11-04-2025"/>
    <s v="CUST11760"/>
    <s v="Home Office"/>
    <s v="Gujarat"/>
    <x v="3"/>
    <x v="0"/>
    <s v="Smartwatch"/>
    <s v="2"/>
    <s v="23979.65"/>
    <n v="0.05"/>
    <s v="38435.629999999997"/>
    <s v="7125.71"/>
    <x v="2"/>
    <x v="2"/>
    <s v="Marketplace"/>
    <n v="45561.334999999999"/>
  </r>
  <r>
    <s v="ORD104582"/>
    <x v="6"/>
    <s v="19-07-2025"/>
    <s v="CUST13145"/>
    <s v="Corporate"/>
    <s v="West Bengal"/>
    <x v="0"/>
    <x v="0"/>
    <s v="Smartwatch"/>
    <s v="1"/>
    <s v="5242.59"/>
    <n v="0.05"/>
    <s v="3014.54"/>
    <s v="1965.92"/>
    <x v="2"/>
    <x v="0"/>
    <s v="Mobile App"/>
    <n v="4980.4605000000001"/>
  </r>
  <r>
    <s v="ORD104589"/>
    <x v="11"/>
    <s v="12-10-2025"/>
    <s v="CUST13312"/>
    <s v="Home Office"/>
    <s v="West Bengal"/>
    <x v="9"/>
    <x v="4"/>
    <s v="Yoga Mat"/>
    <s v="4"/>
    <s v="2863.51"/>
    <n v="0.1"/>
    <s v="6582.64"/>
    <s v="3726"/>
    <x v="5"/>
    <x v="0"/>
    <s v="Marketplace"/>
    <n v="10308.636"/>
  </r>
  <r>
    <s v="ORD104591"/>
    <x v="8"/>
    <s v="29-08-2025"/>
    <s v="CUST11501"/>
    <s v="Home Office"/>
    <s v="Telangana"/>
    <x v="16"/>
    <x v="3"/>
    <s v="Coffee Maker"/>
    <s v="1"/>
    <s v="2913.13"/>
    <n v="0.2"/>
    <s v="1642.56"/>
    <s v="687.94"/>
    <x v="5"/>
    <x v="0"/>
    <s v="Mobile App"/>
    <n v="2330.5039999999999"/>
  </r>
  <r>
    <s v="ORD104593"/>
    <x v="10"/>
    <s v="16-11-2025"/>
    <s v="CUST11705"/>
    <s v="Home Office"/>
    <s v="West Bengal"/>
    <x v="0"/>
    <x v="3"/>
    <s v="Air Fryer"/>
    <s v="4"/>
    <s v="13537.12"/>
    <n v="0.05"/>
    <s v="30622.83"/>
    <s v="20818.23"/>
    <x v="1"/>
    <x v="0"/>
    <s v="Marketplace"/>
    <n v="51441.055999999997"/>
  </r>
  <r>
    <s v="ORD104594"/>
    <x v="10"/>
    <s v="15-11-2025"/>
    <s v="CUST13434"/>
    <s v="Home Office"/>
    <s v="Kerala"/>
    <x v="15"/>
    <x v="4"/>
    <s v="Yoga Mat"/>
    <s v="1"/>
    <s v="9254.09"/>
    <n v="0"/>
    <s v="5149.7299999999996"/>
    <s v="4104.3599999999997"/>
    <x v="3"/>
    <x v="0"/>
    <s v="Marketplace"/>
    <n v="9254.09"/>
  </r>
  <r>
    <s v="ORD104595"/>
    <x v="5"/>
    <s v="08-09-2025"/>
    <s v="CUST10188"/>
    <s v="Corporate"/>
    <s v="Maharashtra"/>
    <x v="21"/>
    <x v="4"/>
    <s v="Fitness Band"/>
    <s v="2"/>
    <s v="8846.49"/>
    <n v="0.15"/>
    <s v="11767.84"/>
    <s v="3271.19"/>
    <x v="5"/>
    <x v="2"/>
    <s v="Mobile App"/>
    <n v="15039.032999999999"/>
  </r>
  <r>
    <s v="ORD104600"/>
    <x v="8"/>
    <s v="27-08-2025"/>
    <s v="CUST11172"/>
    <s v="Home Office"/>
    <s v="Telangana"/>
    <x v="14"/>
    <x v="1"/>
    <s v="Face Cream"/>
    <s v="4"/>
    <s v="5709.09"/>
    <n v="0.2"/>
    <s v="14608.25"/>
    <m/>
    <x v="3"/>
    <x v="0"/>
    <s v="Website"/>
    <n v="18269.088"/>
  </r>
  <r>
    <s v="ORD104605"/>
    <x v="8"/>
    <s v="16-08-2025"/>
    <s v="CUST12947"/>
    <s v="Corporate"/>
    <s v="Karnataka"/>
    <x v="2"/>
    <x v="2"/>
    <s v="Sneakers"/>
    <s v="2"/>
    <s v="3433.39"/>
    <n v="0"/>
    <s v="4653.63"/>
    <s v="2213.15"/>
    <x v="0"/>
    <x v="0"/>
    <s v="Mobile App"/>
    <n v="6866.78"/>
  </r>
  <r>
    <s v="ORD104609"/>
    <x v="4"/>
    <s v="22-04-2025"/>
    <s v="CUST12309"/>
    <s v="Home Office"/>
    <s v="Tamil Nadu"/>
    <x v="13"/>
    <x v="0"/>
    <s v="Smartwatch"/>
    <s v="3"/>
    <s v="51909.4"/>
    <n v="0.05"/>
    <s v="104821.14"/>
    <s v="43120.65"/>
    <x v="5"/>
    <x v="0"/>
    <s v="Mobile App"/>
    <n v="147941.79"/>
  </r>
  <r>
    <s v="ORD104612"/>
    <x v="2"/>
    <s v="26-12-2025"/>
    <s v="CUST11409"/>
    <s v="Home Office"/>
    <s v="Tamil Nadu"/>
    <x v="19"/>
    <x v="2"/>
    <s v="Jeans"/>
    <s v="1"/>
    <s v="6220.02"/>
    <n v="0.15"/>
    <s v="4704.04"/>
    <s v="582.98"/>
    <x v="2"/>
    <x v="0"/>
    <s v="Mobile App"/>
    <n v="5287.0169999999998"/>
  </r>
  <r>
    <s v="ORD104614"/>
    <x v="10"/>
    <s v="02-11-2025"/>
    <s v="CUST11863"/>
    <s v="Consumer"/>
    <s v="Karnataka"/>
    <x v="2"/>
    <x v="0"/>
    <s v="Smartphone"/>
    <s v="2"/>
    <s v="56023.99"/>
    <n v="0.15"/>
    <s v="86679.53"/>
    <s v="8561.25"/>
    <x v="1"/>
    <x v="0"/>
    <s v="Mobile App"/>
    <n v="95240.782999999996"/>
  </r>
  <r>
    <s v="ORD104621"/>
    <x v="1"/>
    <s v="07-02-2025"/>
    <s v="CUST11139"/>
    <s v="Corporate"/>
    <s v="West Bengal"/>
    <x v="9"/>
    <x v="0"/>
    <s v="Laptop"/>
    <s v="1"/>
    <s v="49912.15"/>
    <n v="0.1"/>
    <s v="34466.42"/>
    <s v="10454.52"/>
    <x v="3"/>
    <x v="0"/>
    <s v="Mobile App"/>
    <n v="44920.934999999998"/>
  </r>
  <r>
    <s v="ORD104622"/>
    <x v="8"/>
    <s v="01-08-2025"/>
    <s v="CUST11489"/>
    <s v="Home Office"/>
    <s v="Gujarat"/>
    <x v="18"/>
    <x v="4"/>
    <s v="Football"/>
    <s v="1"/>
    <s v="10463.879999999999"/>
    <n v="0.05"/>
    <s v="6310.88"/>
    <s v="3629.81"/>
    <x v="0"/>
    <x v="0"/>
    <s v="Marketplace"/>
    <n v="9940.6859999999906"/>
  </r>
  <r>
    <s v="ORD104627"/>
    <x v="8"/>
    <s v="25-08-2025"/>
    <s v="CUST10899"/>
    <s v="Consumer"/>
    <s v="Karnataka"/>
    <x v="22"/>
    <x v="0"/>
    <s v="Tablet"/>
    <s v="1"/>
    <s v="73677"/>
    <n v="0.1"/>
    <s v="41372.43"/>
    <s v="24936.87"/>
    <x v="2"/>
    <x v="0"/>
    <s v="Website"/>
    <n v="66309.3"/>
  </r>
  <r>
    <s v="ORD104628"/>
    <x v="3"/>
    <s v="28-03-2025"/>
    <s v="CUST13091"/>
    <s v="Consumer"/>
    <s v="Maharashtra"/>
    <x v="20"/>
    <x v="2"/>
    <s v="Jacket"/>
    <s v="1"/>
    <s v="3225.51"/>
    <n v="0.1"/>
    <s v="2232.62"/>
    <s v="670.34"/>
    <x v="5"/>
    <x v="0"/>
    <s v="Marketplace"/>
    <n v="2902.9589999999998"/>
  </r>
  <r>
    <s v="ORD104635"/>
    <x v="5"/>
    <s v="01-09-2025"/>
    <s v="CUST11087"/>
    <s v="Consumer"/>
    <s v="Tamil Nadu"/>
    <x v="19"/>
    <x v="4"/>
    <s v="Football"/>
    <s v="1"/>
    <s v="6973.1"/>
    <n v="0.05"/>
    <s v="4707.3900000000003"/>
    <s v="1917.05"/>
    <x v="5"/>
    <x v="0"/>
    <s v="Website"/>
    <n v="6624.4449999999997"/>
  </r>
  <r>
    <s v="ORD104643"/>
    <x v="6"/>
    <s v="01-07-2025"/>
    <s v="CUST11031"/>
    <s v="Home Office"/>
    <s v="Delhi"/>
    <x v="12"/>
    <x v="4"/>
    <s v="Football"/>
    <s v="2"/>
    <s v="11230.36"/>
    <n v="0.1"/>
    <s v="17309.32"/>
    <s v="2905.33"/>
    <x v="3"/>
    <x v="0"/>
    <s v="Website"/>
    <n v="20214.648000000001"/>
  </r>
  <r>
    <s v="ORD104653"/>
    <x v="10"/>
    <s v="04-11-2025"/>
    <s v="CUST11999"/>
    <s v="Corporate"/>
    <s v="Kerala"/>
    <x v="6"/>
    <x v="2"/>
    <s v="Jeans"/>
    <s v="1"/>
    <s v="4210.96"/>
    <n v="0.05"/>
    <s v="2423.85"/>
    <s v="1576.56"/>
    <x v="1"/>
    <x v="0"/>
    <s v="Mobile App"/>
    <n v="4000.4119999999998"/>
  </r>
  <r>
    <s v="ORD104654"/>
    <x v="6"/>
    <s v="12-07-2025"/>
    <s v="CUST10758"/>
    <s v="Consumer"/>
    <s v="Delhi"/>
    <x v="12"/>
    <x v="3"/>
    <s v="Cookware Set"/>
    <s v="2"/>
    <s v="12290.12"/>
    <n v="0.05"/>
    <s v="18961.810000000001"/>
    <s v="4389.42"/>
    <x v="1"/>
    <x v="2"/>
    <s v="Mobile App"/>
    <n v="23351.227999999999"/>
  </r>
  <r>
    <s v="ORD104655"/>
    <x v="7"/>
    <s v="31-05-2025"/>
    <s v="CUST13011"/>
    <s v="Corporate"/>
    <s v="Karnataka"/>
    <x v="22"/>
    <x v="0"/>
    <s v="Laptop"/>
    <s v="1"/>
    <s v="23375.84"/>
    <n v="0.05"/>
    <s v="14323.49"/>
    <s v="7883.56"/>
    <x v="1"/>
    <x v="0"/>
    <s v="Mobile App"/>
    <n v="22207.047999999999"/>
  </r>
  <r>
    <s v="ORD104656"/>
    <x v="3"/>
    <s v="28-03-2025"/>
    <s v="CUST12350"/>
    <s v="Corporate"/>
    <s v="West Bengal"/>
    <x v="9"/>
    <x v="2"/>
    <s v="Handbag"/>
    <s v="1"/>
    <s v="3135.53"/>
    <n v="0.2"/>
    <s v="2541.7199999999998"/>
    <s v="-33.299999999999997"/>
    <x v="5"/>
    <x v="0"/>
    <s v="Marketplace"/>
    <n v="2508.424"/>
  </r>
  <r>
    <s v="ORD104657"/>
    <x v="3"/>
    <s v="12-03-2025"/>
    <s v="CUST13152"/>
    <s v="Consumer"/>
    <s v="Delhi"/>
    <x v="7"/>
    <x v="2"/>
    <s v="Sneakers"/>
    <s v="1"/>
    <s v="2771.99"/>
    <n v="0"/>
    <s v="1766.29"/>
    <s v="1005.7"/>
    <x v="5"/>
    <x v="0"/>
    <s v="Marketplace"/>
    <n v="2771.99"/>
  </r>
  <r>
    <s v="ORD104660"/>
    <x v="0"/>
    <s v="12-01-2025"/>
    <s v="CUST12470"/>
    <s v="Corporate"/>
    <s v="Telangana"/>
    <x v="14"/>
    <x v="2"/>
    <s v="Sneakers"/>
    <s v="1"/>
    <s v="2578.62"/>
    <n v="0"/>
    <s v="1942.78"/>
    <s v="635.84"/>
    <x v="0"/>
    <x v="0"/>
    <s v="Website"/>
    <n v="2578.62"/>
  </r>
  <r>
    <s v="ORD104661"/>
    <x v="7"/>
    <s v="10-05-2025"/>
    <s v="CUST10652"/>
    <s v="Corporate"/>
    <s v="Karnataka"/>
    <x v="17"/>
    <x v="3"/>
    <s v="Mixer Grinder"/>
    <s v="1"/>
    <s v="11597.23"/>
    <n v="0.15"/>
    <s v="8099.65"/>
    <s v="1758"/>
    <x v="2"/>
    <x v="0"/>
    <s v="Marketplace"/>
    <n v="9857.6454999999896"/>
  </r>
  <r>
    <s v="ORD104663"/>
    <x v="6"/>
    <s v="23-07-2025"/>
    <s v="CUST11449"/>
    <s v="Home Office"/>
    <s v="Delhi"/>
    <x v="12"/>
    <x v="3"/>
    <s v="Vacuum Cleaner"/>
    <s v="1"/>
    <s v="15554.31"/>
    <n v="0"/>
    <s v="11212.18"/>
    <s v="4342.13"/>
    <x v="0"/>
    <x v="0"/>
    <s v="Website"/>
    <n v="15554.31"/>
  </r>
  <r>
    <s v="ORD104664"/>
    <x v="3"/>
    <s v="19-03-2025"/>
    <s v="CUST11996"/>
    <s v="Corporate"/>
    <s v="West Bengal"/>
    <x v="9"/>
    <x v="4"/>
    <s v="Yoga Mat"/>
    <s v="2"/>
    <s v="5230.72"/>
    <n v="0.05"/>
    <s v="7226.03"/>
    <s v="2712.34"/>
    <x v="1"/>
    <x v="0"/>
    <s v="Mobile App"/>
    <n v="9938.3680000000004"/>
  </r>
  <r>
    <s v="ORD104667"/>
    <x v="9"/>
    <s v="28-06-2025"/>
    <s v="CUST10960"/>
    <s v="Corporate"/>
    <s v="Telangana"/>
    <x v="14"/>
    <x v="1"/>
    <s v="Hair Dryer"/>
    <s v="1"/>
    <s v="4999.87"/>
    <n v="0.1"/>
    <s v="2938.69"/>
    <s v="1561.19"/>
    <x v="1"/>
    <x v="1"/>
    <s v="Mobile App"/>
    <n v="4499.8829999999998"/>
  </r>
  <r>
    <s v="ORD104670"/>
    <x v="6"/>
    <s v="16-07-2025"/>
    <s v="CUST12965"/>
    <s v="Corporate"/>
    <s v="Karnataka"/>
    <x v="2"/>
    <x v="4"/>
    <s v="Fitness Band"/>
    <s v="2"/>
    <s v="11380.8"/>
    <n v="0"/>
    <s v="15710.46"/>
    <s v="7051.14"/>
    <x v="5"/>
    <x v="2"/>
    <s v="Website"/>
    <n v="22761.599999999999"/>
  </r>
  <r>
    <s v="ORD104675"/>
    <x v="2"/>
    <s v="04-12-2025"/>
    <s v="CUST13475"/>
    <s v="Corporate"/>
    <s v="Kerala"/>
    <x v="15"/>
    <x v="4"/>
    <s v="Fitness Band"/>
    <s v="1"/>
    <s v="6898.69"/>
    <n v="0.1"/>
    <s v="4675.5600000000004"/>
    <s v="1533.26"/>
    <x v="3"/>
    <x v="0"/>
    <s v="Mobile App"/>
    <n v="6208.8209999999999"/>
  </r>
  <r>
    <s v="ORD104677"/>
    <x v="6"/>
    <s v="22-07-2025"/>
    <s v="CUST11615"/>
    <s v="Home Office"/>
    <s v="West Bengal"/>
    <x v="9"/>
    <x v="2"/>
    <s v="T-Shirt"/>
    <s v="2"/>
    <s v="4700.1000000000004"/>
    <n v="0.1"/>
    <s v="5577.83"/>
    <s v="2882.35"/>
    <x v="0"/>
    <x v="0"/>
    <s v="Website"/>
    <n v="8460.18"/>
  </r>
  <r>
    <s v="ORD104680"/>
    <x v="8"/>
    <s v="24-08-2025"/>
    <s v="CUST10875"/>
    <s v="Consumer"/>
    <s v="Telangana"/>
    <x v="14"/>
    <x v="3"/>
    <s v="Mixer Grinder"/>
    <s v="1"/>
    <s v="8505.59"/>
    <n v="0.1"/>
    <s v="5012.95"/>
    <s v="2642.08"/>
    <x v="2"/>
    <x v="0"/>
    <s v="Website"/>
    <n v="7655.0309999999999"/>
  </r>
  <r>
    <s v="ORD104684"/>
    <x v="1"/>
    <s v="28-02-2025"/>
    <s v="CUST10366"/>
    <s v="Consumer"/>
    <s v="West Bengal"/>
    <x v="9"/>
    <x v="2"/>
    <s v="Jacket"/>
    <s v="1"/>
    <s v="3239.12"/>
    <n v="0.1"/>
    <s v="2062.41"/>
    <s v="852.8"/>
    <x v="1"/>
    <x v="2"/>
    <s v="Marketplace"/>
    <n v="2915.2080000000001"/>
  </r>
  <r>
    <s v="ORD104692"/>
    <x v="8"/>
    <s v="24-08-2025"/>
    <s v="CUST12768"/>
    <s v="Consumer"/>
    <s v="Maharashtra"/>
    <x v="21"/>
    <x v="4"/>
    <s v="Running Shoes"/>
    <s v="1"/>
    <s v="1706.52"/>
    <n v="0.1"/>
    <s v="978.93"/>
    <s v="556.94000000000005"/>
    <x v="1"/>
    <x v="0"/>
    <s v="Marketplace"/>
    <n v="1535.8679999999999"/>
  </r>
  <r>
    <s v="ORD104696"/>
    <x v="0"/>
    <s v="09-01-2025"/>
    <s v="CUST10008"/>
    <s v="Corporate"/>
    <s v="Telangana"/>
    <x v="16"/>
    <x v="2"/>
    <s v="T-Shirt"/>
    <s v="1"/>
    <s v="1239.92"/>
    <n v="0"/>
    <s v="960.64"/>
    <s v="279.27999999999997"/>
    <x v="3"/>
    <x v="0"/>
    <s v="Marketplace"/>
    <n v="1239.92"/>
  </r>
  <r>
    <s v="ORD104699"/>
    <x v="10"/>
    <s v="25-11-2025"/>
    <s v="CUST10699"/>
    <s v="Home Office"/>
    <s v="Kerala"/>
    <x v="5"/>
    <x v="2"/>
    <s v="Handbag"/>
    <s v="1"/>
    <s v="2200.37"/>
    <n v="0.1"/>
    <s v="1798.1"/>
    <s v="182.23"/>
    <x v="5"/>
    <x v="0"/>
    <s v="Marketplace"/>
    <n v="1980.3329999999901"/>
  </r>
  <r>
    <s v="ORD104705"/>
    <x v="10"/>
    <s v="06-11-2025"/>
    <s v="CUST11987"/>
    <s v="Home Office"/>
    <s v="Kerala"/>
    <x v="6"/>
    <x v="0"/>
    <s v="Headphones"/>
    <s v="1"/>
    <s v="27767.33"/>
    <n v="0.05"/>
    <s v="17836.96"/>
    <s v="8542"/>
    <x v="0"/>
    <x v="0"/>
    <s v="Website"/>
    <n v="26378.963500000002"/>
  </r>
  <r>
    <s v="ORD104707"/>
    <x v="9"/>
    <s v="02-06-2025"/>
    <s v="CUST10521"/>
    <s v="Corporate"/>
    <s v="Delhi"/>
    <x v="12"/>
    <x v="2"/>
    <s v="Jacket"/>
    <s v="1"/>
    <s v="1570.34"/>
    <n v="0.15"/>
    <s v="954.18"/>
    <s v="380.61"/>
    <x v="3"/>
    <x v="0"/>
    <s v="Website"/>
    <n v="1334.789"/>
  </r>
  <r>
    <s v="ORD104711"/>
    <x v="6"/>
    <s v="18-07-2025"/>
    <s v="CUST10873"/>
    <s v="Corporate"/>
    <s v="Kerala"/>
    <x v="15"/>
    <x v="3"/>
    <s v="Coffee Maker"/>
    <s v="2"/>
    <s v="9570.7099999999991"/>
    <n v="0"/>
    <s v="15297.36"/>
    <s v="3844.06"/>
    <x v="2"/>
    <x v="0"/>
    <s v="Mobile App"/>
    <n v="19141.419999999998"/>
  </r>
  <r>
    <s v="ORD104713"/>
    <x v="1"/>
    <s v="07-02-2025"/>
    <s v="CUST13395"/>
    <s v="Consumer"/>
    <s v="West Bengal"/>
    <x v="9"/>
    <x v="2"/>
    <s v="T-Shirt"/>
    <s v="1"/>
    <s v="6774.39"/>
    <n v="0.15"/>
    <s v="4415.4399999999996"/>
    <s v="1342.79"/>
    <x v="1"/>
    <x v="0"/>
    <s v="Marketplace"/>
    <n v="5758.2314999999999"/>
  </r>
  <r>
    <s v="ORD104722"/>
    <x v="11"/>
    <s v="27-10-2025"/>
    <s v="CUST13285"/>
    <s v="Corporate"/>
    <s v="West Bengal"/>
    <x v="0"/>
    <x v="2"/>
    <s v="Sneakers"/>
    <s v="2"/>
    <s v="3151.55"/>
    <n v="0.1"/>
    <s v="4880.54"/>
    <s v="792.25"/>
    <x v="2"/>
    <x v="0"/>
    <s v="Marketplace"/>
    <n v="5672.79"/>
  </r>
  <r>
    <s v="ORD104726"/>
    <x v="0"/>
    <s v="15-01-2025"/>
    <s v="CUST11924"/>
    <s v="Consumer"/>
    <s v="Karnataka"/>
    <x v="17"/>
    <x v="0"/>
    <s v="Smartwatch"/>
    <s v="1"/>
    <s v="9021.17"/>
    <n v="0"/>
    <s v="6769.29"/>
    <s v="2251.88"/>
    <x v="2"/>
    <x v="0"/>
    <s v="Mobile App"/>
    <n v="9021.17"/>
  </r>
  <r>
    <s v="ORD104731"/>
    <x v="5"/>
    <s v="02-09-2025"/>
    <s v="CUST10331"/>
    <s v="Consumer"/>
    <s v="Gujarat"/>
    <x v="18"/>
    <x v="0"/>
    <s v="Headphones"/>
    <s v="3"/>
    <s v="47574.57"/>
    <n v="0.05"/>
    <s v="83412.92"/>
    <s v="52174.6"/>
    <x v="5"/>
    <x v="0"/>
    <s v="Website"/>
    <n v="135587.5245"/>
  </r>
  <r>
    <s v="ORD104735"/>
    <x v="11"/>
    <s v="21-10-2025"/>
    <s v="CUST10842"/>
    <s v="Consumer"/>
    <s v="Karnataka"/>
    <x v="22"/>
    <x v="3"/>
    <s v="Cookware Set"/>
    <s v="2"/>
    <s v="503.64"/>
    <n v="0.1"/>
    <s v="772.73"/>
    <s v="133.82"/>
    <x v="2"/>
    <x v="0"/>
    <s v="Marketplace"/>
    <n v="906.55200000000002"/>
  </r>
  <r>
    <s v="ORD104740"/>
    <x v="4"/>
    <s v="29-04-2025"/>
    <s v="CUST12286"/>
    <s v="Consumer"/>
    <s v="Tamil Nadu"/>
    <x v="8"/>
    <x v="2"/>
    <s v="Jeans"/>
    <s v="1"/>
    <s v="4077.61"/>
    <n v="0.05"/>
    <s v="3075.42"/>
    <s v="798.31"/>
    <x v="0"/>
    <x v="2"/>
    <s v="Mobile App"/>
    <n v="3873.7294999999999"/>
  </r>
  <r>
    <s v="ORD104743"/>
    <x v="4"/>
    <s v="21-04-2025"/>
    <s v="CUST12993"/>
    <s v="Corporate"/>
    <s v="Karnataka"/>
    <x v="22"/>
    <x v="0"/>
    <s v="Laptop"/>
    <s v="2"/>
    <s v="28206.5"/>
    <n v="0"/>
    <s v="34317.06"/>
    <s v="22095.94"/>
    <x v="5"/>
    <x v="0"/>
    <s v="Mobile App"/>
    <n v="56413"/>
  </r>
  <r>
    <s v="ORD104747"/>
    <x v="7"/>
    <s v="07-05-2025"/>
    <s v="CUST10552"/>
    <s v="Home Office"/>
    <s v="Telangana"/>
    <x v="14"/>
    <x v="4"/>
    <s v="Football"/>
    <s v="1"/>
    <s v="2443.11"/>
    <n v="0.15"/>
    <s v="1601.92"/>
    <s v="474.72"/>
    <x v="3"/>
    <x v="0"/>
    <s v="Website"/>
    <n v="2076.6435000000001"/>
  </r>
  <r>
    <s v="ORD104757"/>
    <x v="10"/>
    <s v="04-11-2025"/>
    <s v="CUST10393"/>
    <s v="Corporate"/>
    <s v="Tamil Nadu"/>
    <x v="13"/>
    <x v="2"/>
    <s v="Sneakers"/>
    <s v="1"/>
    <s v="5210.8"/>
    <n v="0"/>
    <s v="3396.02"/>
    <s v="1814.78"/>
    <x v="1"/>
    <x v="0"/>
    <s v="Marketplace"/>
    <n v="5210.8"/>
  </r>
  <r>
    <s v="ORD104758"/>
    <x v="10"/>
    <s v="02-11-2025"/>
    <s v="CUST10344"/>
    <s v="Consumer"/>
    <s v="Maharashtra"/>
    <x v="21"/>
    <x v="2"/>
    <s v="T-Shirt"/>
    <s v="1"/>
    <s v="1976.35"/>
    <n v="0.1"/>
    <s v="1350.95"/>
    <s v="427.77"/>
    <x v="1"/>
    <x v="1"/>
    <s v="Mobile App"/>
    <n v="1778.7149999999999"/>
  </r>
  <r>
    <s v="ORD104761"/>
    <x v="10"/>
    <s v="18-11-2025"/>
    <s v="CUST10179"/>
    <s v="Home Office"/>
    <s v="Kerala"/>
    <x v="5"/>
    <x v="3"/>
    <s v="Vacuum Cleaner"/>
    <s v="2"/>
    <s v="17965.84"/>
    <n v="0.05"/>
    <s v="24478.38"/>
    <s v="9656.7199999999993"/>
    <x v="3"/>
    <x v="0"/>
    <s v="Website"/>
    <n v="34135.095999999998"/>
  </r>
  <r>
    <s v="ORD104765"/>
    <x v="3"/>
    <s v="17-03-2025"/>
    <s v="CUST10428"/>
    <s v="Corporate"/>
    <s v="Delhi"/>
    <x v="12"/>
    <x v="4"/>
    <s v="Cricket Bat"/>
    <s v="2"/>
    <s v="11437.84"/>
    <n v="0"/>
    <s v="16660.919999999998"/>
    <s v="6214.76"/>
    <x v="0"/>
    <x v="0"/>
    <s v="Mobile App"/>
    <n v="22875.68"/>
  </r>
  <r>
    <s v="ORD104770"/>
    <x v="8"/>
    <s v="30-08-2025"/>
    <s v="CUST12487"/>
    <s v="Consumer"/>
    <s v="Karnataka"/>
    <x v="17"/>
    <x v="0"/>
    <s v="Laptop"/>
    <s v="1"/>
    <s v="18179.54"/>
    <n v="0.2"/>
    <s v="10114.19"/>
    <s v="4429.4399999999996"/>
    <x v="2"/>
    <x v="0"/>
    <s v="Marketplace"/>
    <n v="14543.632"/>
  </r>
  <r>
    <s v="ORD104775"/>
    <x v="8"/>
    <s v="31-08-2025"/>
    <s v="CUST11927"/>
    <s v="Corporate"/>
    <s v="Delhi"/>
    <x v="12"/>
    <x v="0"/>
    <s v="Tablet"/>
    <s v="1"/>
    <s v="13761.63"/>
    <n v="0.15"/>
    <s v="10892.61"/>
    <s v="804.78"/>
    <x v="0"/>
    <x v="0"/>
    <s v="Mobile App"/>
    <n v="11697.3854999999"/>
  </r>
  <r>
    <s v="ORD104777"/>
    <x v="11"/>
    <s v="05-10-2025"/>
    <s v="CUST11839"/>
    <s v="Corporate"/>
    <s v="Delhi"/>
    <x v="7"/>
    <x v="3"/>
    <s v="Mixer Grinder"/>
    <s v="2"/>
    <s v="5855.71"/>
    <n v="0.05"/>
    <s v="6659.61"/>
    <s v="4466.24"/>
    <x v="5"/>
    <x v="0"/>
    <s v="Marketplace"/>
    <n v="11125.849"/>
  </r>
  <r>
    <s v="ORD104778"/>
    <x v="1"/>
    <s v="06-02-2025"/>
    <s v="CUST13426"/>
    <s v="Home Office"/>
    <s v="Tamil Nadu"/>
    <x v="8"/>
    <x v="2"/>
    <s v="Jacket"/>
    <s v="1"/>
    <s v="908.51"/>
    <n v="0.2"/>
    <s v="627.20000000000005"/>
    <s v="99.61"/>
    <x v="5"/>
    <x v="0"/>
    <s v="Mobile App"/>
    <n v="726.80799999999999"/>
  </r>
  <r>
    <s v="ORD104780"/>
    <x v="0"/>
    <s v="21-01-2025"/>
    <s v="CUST12622"/>
    <s v="Home Office"/>
    <s v="Maharashtra"/>
    <x v="21"/>
    <x v="3"/>
    <s v="Vacuum Cleaner"/>
    <s v="2"/>
    <s v="12339.97"/>
    <n v="0.05"/>
    <s v="18842.21"/>
    <s v="4603.7299999999996"/>
    <x v="5"/>
    <x v="0"/>
    <s v="Marketplace"/>
    <n v="23445.942999999999"/>
  </r>
  <r>
    <s v="ORD104781"/>
    <x v="10"/>
    <s v="03-11-2025"/>
    <s v="CUST12132"/>
    <s v="Corporate"/>
    <s v="West Bengal"/>
    <x v="0"/>
    <x v="0"/>
    <s v="Smartphone"/>
    <s v="3"/>
    <s v="30489.49"/>
    <n v="0"/>
    <s v="68582.28"/>
    <s v="22886.19"/>
    <x v="5"/>
    <x v="0"/>
    <s v="Marketplace"/>
    <n v="91468.47"/>
  </r>
  <r>
    <s v="ORD104783"/>
    <x v="11"/>
    <s v="07-10-2025"/>
    <s v="CUST12116"/>
    <s v="Consumer"/>
    <s v="Delhi"/>
    <x v="7"/>
    <x v="0"/>
    <s v="Tablet"/>
    <s v="2"/>
    <s v="65773.899999999994"/>
    <n v="0.05"/>
    <s v="96398.18"/>
    <s v="28572.23"/>
    <x v="0"/>
    <x v="0"/>
    <s v="Mobile App"/>
    <n v="124970.409999999"/>
  </r>
  <r>
    <s v="ORD104784"/>
    <x v="6"/>
    <s v="29-07-2025"/>
    <s v="CUST11170"/>
    <s v="Home Office"/>
    <s v="Telangana"/>
    <x v="16"/>
    <x v="0"/>
    <s v="Smartwatch"/>
    <s v="1"/>
    <s v="70616.009999999995"/>
    <n v="0.05"/>
    <s v="55510.31"/>
    <s v="11574.9"/>
    <x v="2"/>
    <x v="0"/>
    <s v="Marketplace"/>
    <n v="67085.209499999997"/>
  </r>
  <r>
    <s v="ORD104791"/>
    <x v="4"/>
    <s v="29-04-2025"/>
    <s v="CUST13177"/>
    <s v="Corporate"/>
    <s v="Maharashtra"/>
    <x v="4"/>
    <x v="4"/>
    <s v="Football"/>
    <s v="1"/>
    <s v="2051.89"/>
    <n v="0.1"/>
    <s v="1588.47"/>
    <s v="258.23"/>
    <x v="2"/>
    <x v="0"/>
    <s v="Marketplace"/>
    <n v="1846.701"/>
  </r>
  <r>
    <s v="ORD104792"/>
    <x v="9"/>
    <s v="14-06-2025"/>
    <s v="CUST12761"/>
    <s v="Home Office"/>
    <s v="Karnataka"/>
    <x v="22"/>
    <x v="1"/>
    <s v="Perfume"/>
    <s v="1"/>
    <s v="1112.02"/>
    <n v="0.15"/>
    <s v="723.91"/>
    <s v="221.31"/>
    <x v="1"/>
    <x v="0"/>
    <s v="Mobile App"/>
    <n v="945.21699999999998"/>
  </r>
  <r>
    <s v="ORD104798"/>
    <x v="2"/>
    <s v="11-12-2025"/>
    <s v="CUST12002"/>
    <s v="Consumer"/>
    <s v="West Bengal"/>
    <x v="9"/>
    <x v="1"/>
    <s v="Perfume"/>
    <s v="1"/>
    <s v="4627.26"/>
    <n v="0.05"/>
    <s v="2809.87"/>
    <s v="1586.03"/>
    <x v="1"/>
    <x v="3"/>
    <s v="Mobile App"/>
    <n v="4395.8969999999999"/>
  </r>
  <r>
    <s v="ORD104799"/>
    <x v="6"/>
    <s v="24-07-2025"/>
    <s v="CUST13443"/>
    <s v="Home Office"/>
    <s v="Telangana"/>
    <x v="16"/>
    <x v="3"/>
    <s v="Air Fryer"/>
    <s v="1"/>
    <s v="13107.94"/>
    <n v="0.1"/>
    <s v="9573.0499999999993"/>
    <s v="2224.1"/>
    <x v="2"/>
    <x v="2"/>
    <s v="Website"/>
    <n v="11797.146000000001"/>
  </r>
  <r>
    <s v="ORD104801"/>
    <x v="9"/>
    <s v="14-06-2025"/>
    <s v="CUST10048"/>
    <s v="Consumer"/>
    <s v="Gujarat"/>
    <x v="3"/>
    <x v="0"/>
    <s v="Tablet"/>
    <s v="2"/>
    <s v="36106.43"/>
    <n v="0.1"/>
    <s v="42954.55"/>
    <s v="22037.02"/>
    <x v="3"/>
    <x v="0"/>
    <s v="Website"/>
    <n v="64991.574000000001"/>
  </r>
  <r>
    <s v="ORD104812"/>
    <x v="4"/>
    <s v="19-04-2025"/>
    <s v="CUST10641"/>
    <s v="Home Office"/>
    <s v="Kerala"/>
    <x v="5"/>
    <x v="0"/>
    <s v="Smartphone"/>
    <s v="3"/>
    <s v="2094.75"/>
    <n v="0.1"/>
    <s v="4906.57"/>
    <s v="749.25"/>
    <x v="5"/>
    <x v="0"/>
    <s v="Website"/>
    <n v="5655.8249999999998"/>
  </r>
  <r>
    <s v="ORD104814"/>
    <x v="2"/>
    <s v="19-12-2025"/>
    <s v="CUST10790"/>
    <s v="Corporate"/>
    <s v="Tamil Nadu"/>
    <x v="1"/>
    <x v="1"/>
    <s v="Face Cream"/>
    <s v="1"/>
    <s v="5902.11"/>
    <n v="0.1"/>
    <s v="3621.46"/>
    <s v="1690.44"/>
    <x v="5"/>
    <x v="2"/>
    <s v="Website"/>
    <n v="5311.8989999999903"/>
  </r>
  <r>
    <s v="ORD104817"/>
    <x v="7"/>
    <s v="17-05-2025"/>
    <s v="CUST12587"/>
    <s v="Consumer"/>
    <s v="Tamil Nadu"/>
    <x v="1"/>
    <x v="2"/>
    <s v="Sneakers"/>
    <s v="1"/>
    <s v="2763.76"/>
    <n v="0.15"/>
    <s v="1623.53"/>
    <s v="725.67"/>
    <x v="3"/>
    <x v="2"/>
    <s v="Mobile App"/>
    <n v="2349.1959999999999"/>
  </r>
  <r>
    <s v="ORD104824"/>
    <x v="0"/>
    <s v="05-01-2025"/>
    <s v="CUST11041"/>
    <s v="Home Office"/>
    <s v="Telangana"/>
    <x v="16"/>
    <x v="1"/>
    <s v="Shampoo"/>
    <s v="1"/>
    <s v="5896.39"/>
    <n v="0.05"/>
    <s v="4808.8900000000003"/>
    <s v="792.68"/>
    <x v="1"/>
    <x v="0"/>
    <s v="Website"/>
    <n v="5601.5704999999998"/>
  </r>
  <r>
    <s v="ORD104830"/>
    <x v="7"/>
    <s v="05-05-2025"/>
    <s v="CUST13388"/>
    <s v="Home Office"/>
    <s v="Delhi"/>
    <x v="12"/>
    <x v="1"/>
    <s v="Perfume"/>
    <s v="4"/>
    <s v="4755.8999999999996"/>
    <n v="0.05"/>
    <s v="13547.42"/>
    <s v="4525"/>
    <x v="2"/>
    <x v="0"/>
    <s v="Marketplace"/>
    <n v="18072.419999999998"/>
  </r>
  <r>
    <s v="ORD104836"/>
    <x v="0"/>
    <s v="03-01-2025"/>
    <s v="CUST13068"/>
    <s v="Home Office"/>
    <s v="Telangana"/>
    <x v="14"/>
    <x v="2"/>
    <s v="Sneakers"/>
    <s v="1"/>
    <s v="4144.33"/>
    <n v="0.15"/>
    <s v="2366.4699999999998"/>
    <s v="1156.21"/>
    <x v="0"/>
    <x v="0"/>
    <s v="Mobile App"/>
    <n v="3522.6804999999999"/>
  </r>
  <r>
    <s v="ORD104837"/>
    <x v="10"/>
    <s v="08-11-2025"/>
    <s v="CUST12104"/>
    <s v="Corporate"/>
    <s v="Delhi"/>
    <x v="7"/>
    <x v="2"/>
    <s v="Jeans"/>
    <s v="1"/>
    <s v="4740.6000000000004"/>
    <n v="0.2"/>
    <s v="3686.15"/>
    <s v="106.33"/>
    <x v="1"/>
    <x v="0"/>
    <s v="Website"/>
    <n v="3792.48"/>
  </r>
  <r>
    <s v="ORD104845"/>
    <x v="3"/>
    <s v="15-03-2025"/>
    <s v="CUST10140"/>
    <s v="Consumer"/>
    <s v="Kerala"/>
    <x v="15"/>
    <x v="3"/>
    <s v="Vacuum Cleaner"/>
    <s v="1"/>
    <s v="13831.6"/>
    <n v="0.05"/>
    <s v="10711.84"/>
    <s v="2428.1799999999998"/>
    <x v="1"/>
    <x v="0"/>
    <s v="Marketplace"/>
    <n v="13140.02"/>
  </r>
  <r>
    <s v="ORD104848"/>
    <x v="5"/>
    <s v="27-09-2025"/>
    <s v="CUST12465"/>
    <s v="Home Office"/>
    <s v="Telangana"/>
    <x v="16"/>
    <x v="0"/>
    <s v="Smartphone"/>
    <s v="2"/>
    <s v="17200.77"/>
    <n v="0.1"/>
    <s v="26783.13"/>
    <s v="4178.26"/>
    <x v="0"/>
    <x v="2"/>
    <s v="Marketplace"/>
    <n v="30961.385999999999"/>
  </r>
  <r>
    <s v="ORD104851"/>
    <x v="1"/>
    <s v="04-02-2025"/>
    <s v="CUST12728"/>
    <s v="Corporate"/>
    <s v="Delhi"/>
    <x v="12"/>
    <x v="0"/>
    <s v="Smartphone"/>
    <s v="2"/>
    <s v="56299.53"/>
    <n v="0.05"/>
    <s v="82837.31"/>
    <s v="24131.8"/>
    <x v="5"/>
    <x v="0"/>
    <s v="Website"/>
    <n v="106969.106999999"/>
  </r>
  <r>
    <s v="ORD104855"/>
    <x v="7"/>
    <s v="15-05-2025"/>
    <s v="CUST13423"/>
    <s v="Consumer"/>
    <s v="Telangana"/>
    <x v="16"/>
    <x v="3"/>
    <s v="Cookware Set"/>
    <s v="1"/>
    <s v="14707.08"/>
    <n v="0.15"/>
    <s v="8441.33"/>
    <s v="4059.69"/>
    <x v="1"/>
    <x v="0"/>
    <s v="Mobile App"/>
    <n v="12501.018"/>
  </r>
  <r>
    <s v="ORD104858"/>
    <x v="4"/>
    <s v="16-04-2025"/>
    <s v="CUST11364"/>
    <s v="Corporate"/>
    <s v="Maharashtra"/>
    <x v="21"/>
    <x v="0"/>
    <s v="Smartwatch"/>
    <s v="1"/>
    <s v="35786.58"/>
    <n v="0"/>
    <s v="27330.22"/>
    <s v="8456.36"/>
    <x v="3"/>
    <x v="0"/>
    <s v="Marketplace"/>
    <n v="35786.58"/>
  </r>
  <r>
    <s v="ORD104865"/>
    <x v="4"/>
    <s v="28-04-2025"/>
    <s v="CUST12723"/>
    <s v="Corporate"/>
    <s v="Karnataka"/>
    <x v="17"/>
    <x v="0"/>
    <s v="Tablet"/>
    <s v="2"/>
    <s v="36146.550000000003"/>
    <n v="0.1"/>
    <s v="39927.5"/>
    <s v="25136.29"/>
    <x v="3"/>
    <x v="0"/>
    <s v="Marketplace"/>
    <n v="65063.79"/>
  </r>
  <r>
    <s v="ORD104867"/>
    <x v="1"/>
    <s v="01-02-2025"/>
    <s v="CUST12780"/>
    <s v="Home Office"/>
    <s v="Tamil Nadu"/>
    <x v="11"/>
    <x v="0"/>
    <s v="Smartphone"/>
    <s v="1"/>
    <s v="37051"/>
    <n v="0.05"/>
    <s v="29107.69"/>
    <s v="6090.76"/>
    <x v="3"/>
    <x v="0"/>
    <s v="Mobile App"/>
    <n v="35198.449999999997"/>
  </r>
  <r>
    <s v="ORD104873"/>
    <x v="4"/>
    <s v="22-04-2025"/>
    <s v="CUST10707"/>
    <s v="Consumer"/>
    <s v="Telangana"/>
    <x v="14"/>
    <x v="0"/>
    <s v="Tablet"/>
    <s v="2"/>
    <s v="53334.61"/>
    <n v="0.15"/>
    <s v="66387.3"/>
    <s v="24281.54"/>
    <x v="0"/>
    <x v="0"/>
    <s v="Marketplace"/>
    <n v="90668.837"/>
  </r>
  <r>
    <s v="ORD104874"/>
    <x v="11"/>
    <s v="24-10-2025"/>
    <s v="CUST12802"/>
    <s v="Corporate"/>
    <s v="Maharashtra"/>
    <x v="4"/>
    <x v="0"/>
    <s v="Headphones"/>
    <s v="3"/>
    <s v="33111.08"/>
    <n v="0"/>
    <s v="67616.160000000003"/>
    <s v="31717.08"/>
    <x v="0"/>
    <x v="1"/>
    <s v="Mobile App"/>
    <n v="99333.24"/>
  </r>
  <r>
    <s v="ORD104878"/>
    <x v="4"/>
    <s v="24-04-2025"/>
    <s v="CUST13322"/>
    <s v="Home Office"/>
    <s v="Delhi"/>
    <x v="7"/>
    <x v="0"/>
    <s v="Smartphone"/>
    <s v="2"/>
    <s v="65793.55"/>
    <n v="0"/>
    <s v="75160.789999999994"/>
    <s v="56426.31"/>
    <x v="0"/>
    <x v="0"/>
    <s v="Marketplace"/>
    <n v="131587.1"/>
  </r>
  <r>
    <s v="ORD104882"/>
    <x v="6"/>
    <s v="11-07-2025"/>
    <s v="CUST10894"/>
    <s v="Home Office"/>
    <s v="Karnataka"/>
    <x v="17"/>
    <x v="4"/>
    <s v="Cricket Bat"/>
    <s v="2"/>
    <s v="1178.3499999999999"/>
    <n v="0"/>
    <s v="1612.18"/>
    <s v="744.52"/>
    <x v="2"/>
    <x v="0"/>
    <s v="Marketplace"/>
    <n v="2356.6999999999998"/>
  </r>
  <r>
    <s v="ORD104885"/>
    <x v="5"/>
    <s v="29-09-2025"/>
    <s v="CUST11626"/>
    <s v="Consumer"/>
    <s v="Telangana"/>
    <x v="14"/>
    <x v="2"/>
    <s v="Jeans"/>
    <s v="2"/>
    <s v="5929.03"/>
    <n v="0.05"/>
    <s v="9460.7999999999993"/>
    <s v="1804.36"/>
    <x v="0"/>
    <x v="3"/>
    <s v="Website"/>
    <n v="11265.156999999999"/>
  </r>
  <r>
    <s v="ORD104886"/>
    <x v="10"/>
    <s v="09-11-2025"/>
    <s v="CUST13379"/>
    <s v="Corporate"/>
    <s v="Gujarat"/>
    <x v="18"/>
    <x v="2"/>
    <s v="Jacket"/>
    <s v="1"/>
    <s v="4679.79"/>
    <n v="0.05"/>
    <s v="3451.62"/>
    <s v="994.18"/>
    <x v="2"/>
    <x v="0"/>
    <s v="Marketplace"/>
    <n v="4445.8004999999903"/>
  </r>
  <r>
    <s v="ORD104887"/>
    <x v="10"/>
    <s v="01-11-2025"/>
    <s v="CUST12425"/>
    <s v="Corporate"/>
    <s v="Kerala"/>
    <x v="15"/>
    <x v="4"/>
    <s v="Fitness Band"/>
    <s v="3"/>
    <s v="4898.8"/>
    <n v="0.1"/>
    <s v="8589.61"/>
    <s v="4637.1499999999996"/>
    <x v="1"/>
    <x v="0"/>
    <s v="Mobile App"/>
    <n v="13226.76"/>
  </r>
  <r>
    <s v="ORD104891"/>
    <x v="9"/>
    <s v="30-06-2025"/>
    <s v="CUST12854"/>
    <s v="Home Office"/>
    <s v="Kerala"/>
    <x v="15"/>
    <x v="4"/>
    <s v="Football"/>
    <s v="3"/>
    <s v="6338.69"/>
    <n v="0"/>
    <s v="15500.73"/>
    <s v="3515.34"/>
    <x v="3"/>
    <x v="3"/>
    <s v="Website"/>
    <n v="19016.07"/>
  </r>
  <r>
    <s v="ORD104893"/>
    <x v="3"/>
    <s v="01-03-2025"/>
    <s v="CUST13404"/>
    <s v="Consumer"/>
    <s v="Karnataka"/>
    <x v="17"/>
    <x v="4"/>
    <s v="Yoga Mat"/>
    <s v="2"/>
    <s v="6543.93"/>
    <n v="0.1"/>
    <s v="8095.34"/>
    <s v="3683.73"/>
    <x v="0"/>
    <x v="0"/>
    <s v="Marketplace"/>
    <n v="11779.074000000001"/>
  </r>
  <r>
    <s v="ORD104897"/>
    <x v="9"/>
    <s v="19-06-2025"/>
    <s v="CUST10252"/>
    <s v="Consumer"/>
    <s v="Karnataka"/>
    <x v="22"/>
    <x v="0"/>
    <s v="Headphones"/>
    <s v="1"/>
    <s v="22362.46"/>
    <n v="0.2"/>
    <s v="16309.15"/>
    <s v="1580.82"/>
    <x v="2"/>
    <x v="0"/>
    <s v="Mobile App"/>
    <n v="17889.968000000001"/>
  </r>
  <r>
    <s v="ORD104905"/>
    <x v="1"/>
    <s v="15-02-2025"/>
    <s v="CUST13055"/>
    <s v="Consumer"/>
    <s v="Telangana"/>
    <x v="16"/>
    <x v="3"/>
    <s v="Coffee Maker"/>
    <s v="1"/>
    <s v="16659.72"/>
    <n v="0.1"/>
    <s v="12709.1"/>
    <s v="2284.65"/>
    <x v="1"/>
    <x v="0"/>
    <s v="Marketplace"/>
    <n v="14993.748"/>
  </r>
  <r>
    <s v="ORD104906"/>
    <x v="10"/>
    <s v="25-11-2025"/>
    <s v="CUST11071"/>
    <s v="Corporate"/>
    <s v="Tamil Nadu"/>
    <x v="1"/>
    <x v="2"/>
    <s v="Jeans"/>
    <s v="1"/>
    <s v="3796.86"/>
    <n v="0"/>
    <s v="2470.02"/>
    <s v="1326.84"/>
    <x v="1"/>
    <x v="2"/>
    <s v="Marketplace"/>
    <n v="3796.86"/>
  </r>
  <r>
    <s v="ORD104914"/>
    <x v="4"/>
    <s v="19-04-2025"/>
    <s v="CUST12954"/>
    <s v="Home Office"/>
    <s v="Kerala"/>
    <x v="5"/>
    <x v="0"/>
    <s v="Smartwatch"/>
    <s v="1"/>
    <s v="8549.83"/>
    <n v="0"/>
    <s v="4764.51"/>
    <s v="3785.32"/>
    <x v="1"/>
    <x v="0"/>
    <s v="Mobile App"/>
    <n v="8549.83"/>
  </r>
  <r>
    <s v="ORD104922"/>
    <x v="8"/>
    <s v="23-08-2025"/>
    <s v="CUST11450"/>
    <s v="Consumer"/>
    <s v="Gujarat"/>
    <x v="3"/>
    <x v="2"/>
    <s v="Sneakers"/>
    <s v="2"/>
    <s v="3244.86"/>
    <n v="0.15"/>
    <s v="4961.8"/>
    <s v="554.46"/>
    <x v="1"/>
    <x v="0"/>
    <s v="Mobile App"/>
    <n v="5516.2619999999997"/>
  </r>
  <r>
    <s v="ORD104923"/>
    <x v="5"/>
    <s v="13-09-2025"/>
    <s v="CUST11381"/>
    <s v="Home Office"/>
    <s v="Karnataka"/>
    <x v="17"/>
    <x v="0"/>
    <s v="Laptop"/>
    <s v="2"/>
    <s v="40973.72"/>
    <n v="0.15"/>
    <s v="53327.57"/>
    <s v="16327.75"/>
    <x v="0"/>
    <x v="2"/>
    <s v="Website"/>
    <n v="69655.323999999993"/>
  </r>
  <r>
    <s v="ORD104927"/>
    <x v="10"/>
    <s v="16-11-2025"/>
    <s v="CUST10576"/>
    <s v="Corporate"/>
    <s v="West Bengal"/>
    <x v="0"/>
    <x v="3"/>
    <s v="Cookware Set"/>
    <s v="3"/>
    <s v="10580.78"/>
    <n v="0.15"/>
    <s v="18609.060000000001"/>
    <s v="8371.93"/>
    <x v="0"/>
    <x v="0"/>
    <s v="Marketplace"/>
    <n v="26980.989000000001"/>
  </r>
  <r>
    <s v="ORD104933"/>
    <x v="2"/>
    <s v="08-12-2025"/>
    <s v="CUST11291"/>
    <s v="Corporate"/>
    <s v="Tamil Nadu"/>
    <x v="19"/>
    <x v="0"/>
    <s v="Smartphone"/>
    <s v="1"/>
    <s v="14175.58"/>
    <n v="0.05"/>
    <s v="11526.28"/>
    <s v="1940.52"/>
    <x v="5"/>
    <x v="0"/>
    <s v="Mobile App"/>
    <n v="13466.800999999999"/>
  </r>
  <r>
    <s v="ORD104934"/>
    <x v="5"/>
    <s v="30-09-2025"/>
    <s v="CUST11584"/>
    <s v="Consumer"/>
    <s v="Maharashtra"/>
    <x v="20"/>
    <x v="1"/>
    <s v="Hair Dryer"/>
    <s v="1"/>
    <s v="893.57"/>
    <n v="0.15"/>
    <s v="646.21"/>
    <s v="113.32"/>
    <x v="1"/>
    <x v="0"/>
    <s v="Website"/>
    <n v="759.53449999999998"/>
  </r>
  <r>
    <s v="ORD104936"/>
    <x v="5"/>
    <s v="05-09-2025"/>
    <s v="CUST12234"/>
    <s v="Home Office"/>
    <s v="Telangana"/>
    <x v="14"/>
    <x v="0"/>
    <s v="Laptop"/>
    <s v="1"/>
    <s v="60357.34"/>
    <n v="0.15"/>
    <s v="41442.5"/>
    <s v="9861.24"/>
    <x v="5"/>
    <x v="0"/>
    <s v="Mobile App"/>
    <n v="51303.7389999999"/>
  </r>
  <r>
    <s v="ORD104939"/>
    <x v="6"/>
    <s v="23-07-2025"/>
    <s v="CUST13250"/>
    <s v="Corporate"/>
    <s v="Kerala"/>
    <x v="5"/>
    <x v="1"/>
    <s v="Hair Dryer"/>
    <s v="1"/>
    <s v="2672.84"/>
    <n v="0.15"/>
    <s v="2017.47"/>
    <s v="254.44"/>
    <x v="5"/>
    <x v="0"/>
    <s v="Website"/>
    <n v="2271.9140000000002"/>
  </r>
  <r>
    <s v="ORD104941"/>
    <x v="10"/>
    <s v="20-11-2025"/>
    <s v="CUST11223"/>
    <s v="Consumer"/>
    <s v="Kerala"/>
    <x v="5"/>
    <x v="0"/>
    <s v="Laptop"/>
    <s v="1"/>
    <s v="35548.47"/>
    <n v="0.05"/>
    <s v="20634.490000000002"/>
    <s v="13136.56"/>
    <x v="5"/>
    <x v="0"/>
    <s v="Website"/>
    <n v="33771.046499999997"/>
  </r>
  <r>
    <s v="ORD104942"/>
    <x v="10"/>
    <s v="08-11-2025"/>
    <s v="CUST12058"/>
    <s v="Home Office"/>
    <s v="Delhi"/>
    <x v="7"/>
    <x v="0"/>
    <s v="Smartphone"/>
    <s v="1"/>
    <s v="62203.77"/>
    <n v="0.1"/>
    <s v="41469.160000000003"/>
    <s v="14514.23"/>
    <x v="0"/>
    <x v="0"/>
    <s v="Mobile App"/>
    <n v="55983.392999999996"/>
  </r>
  <r>
    <s v="ORD104949"/>
    <x v="10"/>
    <s v="20-11-2025"/>
    <s v="CUST11023"/>
    <s v="Corporate"/>
    <s v="Kerala"/>
    <x v="15"/>
    <x v="2"/>
    <s v="Jacket"/>
    <s v="2"/>
    <s v="6484.43"/>
    <n v="0.1"/>
    <s v="8081.24"/>
    <s v="3590.73"/>
    <x v="2"/>
    <x v="0"/>
    <s v="Website"/>
    <n v="11671.974"/>
  </r>
  <r>
    <s v="ORD104954"/>
    <x v="9"/>
    <s v="23-06-2025"/>
    <s v="CUST11900"/>
    <s v="Consumer"/>
    <s v="Kerala"/>
    <x v="6"/>
    <x v="3"/>
    <s v="Vacuum Cleaner"/>
    <s v="1"/>
    <s v="10511.23"/>
    <n v="0"/>
    <s v="8422.2800000000007"/>
    <s v="2088.9499999999998"/>
    <x v="5"/>
    <x v="1"/>
    <s v="Website"/>
    <n v="10511.23"/>
  </r>
  <r>
    <s v="ORD104958"/>
    <x v="1"/>
    <s v="01-02-2025"/>
    <s v="CUST11493"/>
    <s v="Corporate"/>
    <s v="West Bengal"/>
    <x v="9"/>
    <x v="4"/>
    <s v="Cricket Bat"/>
    <s v="1"/>
    <s v="1607.81"/>
    <n v="0"/>
    <s v="1259.98"/>
    <s v="347.83"/>
    <x v="5"/>
    <x v="2"/>
    <s v="Marketplace"/>
    <n v="1607.81"/>
  </r>
  <r>
    <s v="ORD104959"/>
    <x v="8"/>
    <s v="04-08-2025"/>
    <s v="CUST12798"/>
    <s v="Corporate"/>
    <s v="Tamil Nadu"/>
    <x v="19"/>
    <x v="0"/>
    <s v="Tablet"/>
    <s v="1"/>
    <s v="3813.92"/>
    <n v="0.15"/>
    <s v="3044.59"/>
    <s v="197.24"/>
    <x v="2"/>
    <x v="0"/>
    <s v="Mobile App"/>
    <n v="3241.8319999999999"/>
  </r>
  <r>
    <s v="ORD104960"/>
    <x v="8"/>
    <s v="23-08-2025"/>
    <s v="CUST10523"/>
    <s v="Home Office"/>
    <s v="Delhi"/>
    <x v="7"/>
    <x v="4"/>
    <s v="Fitness Band"/>
    <s v="2"/>
    <s v="10864.75"/>
    <n v="0"/>
    <s v="16664.34"/>
    <s v="5065.16"/>
    <x v="3"/>
    <x v="2"/>
    <s v="Website"/>
    <n v="21729.5"/>
  </r>
  <r>
    <s v="ORD104963"/>
    <x v="7"/>
    <s v="21-05-2025"/>
    <s v="CUST10059"/>
    <s v="Home Office"/>
    <s v="Maharashtra"/>
    <x v="20"/>
    <x v="2"/>
    <s v="Sneakers"/>
    <s v="4"/>
    <s v="3986.04"/>
    <n v="0.05"/>
    <s v="11336.52"/>
    <s v="3810.43"/>
    <x v="0"/>
    <x v="0"/>
    <s v="Mobile App"/>
    <n v="15146.951999999999"/>
  </r>
  <r>
    <s v="ORD104964"/>
    <x v="9"/>
    <s v="14-06-2025"/>
    <s v="CUST12329"/>
    <s v="Home Office"/>
    <s v="Maharashtra"/>
    <x v="4"/>
    <x v="2"/>
    <s v="Jacket"/>
    <s v="1"/>
    <s v="5977.33"/>
    <n v="0.15"/>
    <s v="4121.4799999999996"/>
    <s v="959.25"/>
    <x v="0"/>
    <x v="0"/>
    <s v="Marketplace"/>
    <n v="5080.7304999999997"/>
  </r>
  <r>
    <s v="ORD104968"/>
    <x v="9"/>
    <s v="25-06-2025"/>
    <s v="CUST13392"/>
    <s v="Consumer"/>
    <s v="Karnataka"/>
    <x v="2"/>
    <x v="0"/>
    <s v="Headphones"/>
    <s v="1"/>
    <s v="41200.089999999997"/>
    <n v="0"/>
    <s v="25058.959999999999"/>
    <s v="16141.13"/>
    <x v="2"/>
    <x v="0"/>
    <s v="Marketplace"/>
    <n v="41200.089999999997"/>
  </r>
  <r>
    <s v="ORD104969"/>
    <x v="3"/>
    <s v="28-03-2025"/>
    <s v="CUST13328"/>
    <s v="Corporate"/>
    <s v="Tamil Nadu"/>
    <x v="11"/>
    <x v="3"/>
    <s v="Mixer Grinder"/>
    <s v="4"/>
    <s v="5818.26"/>
    <n v="0.1"/>
    <s v="17950.59"/>
    <s v="2995.15"/>
    <x v="0"/>
    <x v="0"/>
    <s v="Marketplace"/>
    <n v="20945.736000000001"/>
  </r>
  <r>
    <s v="ORD104983"/>
    <x v="10"/>
    <s v="29-11-2025"/>
    <s v="CUST12628"/>
    <s v="Corporate"/>
    <s v="West Bengal"/>
    <x v="0"/>
    <x v="2"/>
    <s v="Jeans"/>
    <s v="1"/>
    <s v="3176.71"/>
    <n v="0"/>
    <s v="2195.88"/>
    <s v="980.83"/>
    <x v="0"/>
    <x v="0"/>
    <s v="Website"/>
    <n v="3176.71"/>
  </r>
  <r>
    <s v="ORD104992"/>
    <x v="2"/>
    <s v="02-12-2025"/>
    <s v="CUST12767"/>
    <s v="Home Office"/>
    <s v="Kerala"/>
    <x v="15"/>
    <x v="0"/>
    <s v="Headphones"/>
    <s v="1"/>
    <s v="58600.84"/>
    <n v="0"/>
    <s v="37809.699999999997"/>
    <s v="20791.14"/>
    <x v="3"/>
    <x v="0"/>
    <s v="Marketplace"/>
    <n v="58600.84"/>
  </r>
  <r>
    <s v="ORD104995"/>
    <x v="4"/>
    <s v="13-04-2025"/>
    <s v="CUST12519"/>
    <s v="Home Office"/>
    <s v="Delhi"/>
    <x v="12"/>
    <x v="4"/>
    <s v="Fitness Band"/>
    <s v="1"/>
    <s v="10851.41"/>
    <n v="0.1"/>
    <s v="7865.12"/>
    <s v="1901.15"/>
    <x v="2"/>
    <x v="0"/>
    <s v="Website"/>
    <n v="9766.2690000000002"/>
  </r>
  <r>
    <s v="ORD105000"/>
    <x v="3"/>
    <s v="29-03-2025"/>
    <s v="CUST11211"/>
    <s v="Consumer"/>
    <s v="Tamil Nadu"/>
    <x v="19"/>
    <x v="3"/>
    <s v="Mixer Grinder"/>
    <s v="3"/>
    <s v="3337.12"/>
    <n v="0.15"/>
    <s v="5922.8"/>
    <s v="2586.86"/>
    <x v="3"/>
    <x v="0"/>
    <s v="Marketplace"/>
    <n v="8509.6560000000009"/>
  </r>
  <r>
    <s v="ORD105003"/>
    <x v="5"/>
    <s v="23-09-2025"/>
    <s v="CUST11413"/>
    <s v="Corporate"/>
    <s v="Tamil Nadu"/>
    <x v="8"/>
    <x v="2"/>
    <s v="T-Shirt"/>
    <s v="1"/>
    <s v="642.46"/>
    <n v="0.1"/>
    <s v="490.44"/>
    <s v="87.77"/>
    <x v="1"/>
    <x v="0"/>
    <s v="Website"/>
    <n v="578.21400000000006"/>
  </r>
  <r>
    <s v="ORD105004"/>
    <x v="6"/>
    <s v="15-07-2025"/>
    <s v="CUST12112"/>
    <s v="Home Office"/>
    <s v="West Bengal"/>
    <x v="0"/>
    <x v="0"/>
    <s v="Tablet"/>
    <s v="1"/>
    <s v="41988.37"/>
    <n v="0.1"/>
    <s v="30654.3"/>
    <s v="7135.23"/>
    <x v="2"/>
    <x v="2"/>
    <s v="Website"/>
    <n v="37789.533000000003"/>
  </r>
  <r>
    <s v="ORD105007"/>
    <x v="7"/>
    <s v="24-05-2025"/>
    <s v="CUST10693"/>
    <s v="Consumer"/>
    <s v="Maharashtra"/>
    <x v="20"/>
    <x v="4"/>
    <s v="Fitness Band"/>
    <s v="4"/>
    <s v="8165.5"/>
    <n v="0.1"/>
    <s v="21566.240000000002"/>
    <s v="7829.56"/>
    <x v="2"/>
    <x v="3"/>
    <s v="Mobile App"/>
    <n v="29395.8"/>
  </r>
  <r>
    <s v="ORD105008"/>
    <x v="11"/>
    <s v="18-10-2025"/>
    <s v="CUST12566"/>
    <s v="Consumer"/>
    <s v="Telangana"/>
    <x v="14"/>
    <x v="0"/>
    <s v="Tablet"/>
    <s v="3"/>
    <s v="61517.05"/>
    <n v="0.1"/>
    <s v="124216.25"/>
    <s v="41879.79"/>
    <x v="3"/>
    <x v="3"/>
    <s v="Website"/>
    <n v="166096.035"/>
  </r>
  <r>
    <s v="ORD105010"/>
    <x v="8"/>
    <s v="13-08-2025"/>
    <s v="CUST11436"/>
    <s v="Consumer"/>
    <s v="Karnataka"/>
    <x v="17"/>
    <x v="2"/>
    <s v="Handbag"/>
    <s v="2"/>
    <s v="1462.13"/>
    <n v="0.05"/>
    <s v="1622.8"/>
    <s v="1155.25"/>
    <x v="5"/>
    <x v="0"/>
    <s v="Website"/>
    <n v="2778.047"/>
  </r>
  <r>
    <s v="ORD105015"/>
    <x v="6"/>
    <s v="07-07-2025"/>
    <s v="CUST12638"/>
    <s v="Corporate"/>
    <s v="Karnataka"/>
    <x v="17"/>
    <x v="0"/>
    <s v="Tablet"/>
    <s v="1"/>
    <s v="7197.2"/>
    <n v="0.1"/>
    <s v="5703.75"/>
    <s v="773.73"/>
    <x v="2"/>
    <x v="0"/>
    <s v="Mobile App"/>
    <n v="6477.48"/>
  </r>
  <r>
    <s v="ORD105016"/>
    <x v="3"/>
    <s v="24-03-2025"/>
    <s v="CUST12693"/>
    <s v="Corporate"/>
    <s v="Gujarat"/>
    <x v="10"/>
    <x v="0"/>
    <s v="Tablet"/>
    <s v="2"/>
    <s v="3166.73"/>
    <n v="0.1"/>
    <s v="4698.53"/>
    <s v="1001.58"/>
    <x v="2"/>
    <x v="0"/>
    <s v="Website"/>
    <n v="5700.1139999999996"/>
  </r>
  <r>
    <s v="ORD105017"/>
    <x v="0"/>
    <s v="03-01-2025"/>
    <s v="CUST10003"/>
    <s v="Home Office"/>
    <s v="Tamil Nadu"/>
    <x v="8"/>
    <x v="3"/>
    <s v="Cookware Set"/>
    <s v="2"/>
    <s v="8024.61"/>
    <n v="0.15"/>
    <s v="10399.120000000001"/>
    <s v="3242.72"/>
    <x v="0"/>
    <x v="0"/>
    <s v="Marketplace"/>
    <n v="13641.837"/>
  </r>
  <r>
    <s v="ORD105020"/>
    <x v="11"/>
    <s v="08-10-2025"/>
    <s v="CUST11451"/>
    <s v="Corporate"/>
    <s v="West Bengal"/>
    <x v="0"/>
    <x v="1"/>
    <s v="Perfume"/>
    <s v="1"/>
    <s v="2320.66"/>
    <n v="0"/>
    <s v="1310.1199999999999"/>
    <s v="1010.54"/>
    <x v="2"/>
    <x v="3"/>
    <s v="Website"/>
    <n v="2320.66"/>
  </r>
  <r>
    <s v="ORD105028"/>
    <x v="2"/>
    <s v="27-12-2025"/>
    <s v="CUST11965"/>
    <s v="Home Office"/>
    <s v="Maharashtra"/>
    <x v="20"/>
    <x v="3"/>
    <s v="Coffee Maker"/>
    <s v="1"/>
    <s v="8984.24"/>
    <n v="0"/>
    <s v="6955.94"/>
    <s v="2028.3"/>
    <x v="3"/>
    <x v="0"/>
    <s v="Marketplace"/>
    <n v="8984.24"/>
  </r>
  <r>
    <s v="ORD105029"/>
    <x v="2"/>
    <s v="06-12-2025"/>
    <s v="CUST12022"/>
    <s v="Home Office"/>
    <s v="Maharashtra"/>
    <x v="21"/>
    <x v="0"/>
    <s v="Laptop"/>
    <s v="1"/>
    <s v="33587.800000000003"/>
    <n v="0"/>
    <s v="23226.66"/>
    <s v="10361.14"/>
    <x v="3"/>
    <x v="0"/>
    <s v="Website"/>
    <n v="33587.800000000003"/>
  </r>
  <r>
    <s v="ORD105032"/>
    <x v="2"/>
    <s v="12-12-2025"/>
    <s v="CUST10457"/>
    <s v="Corporate"/>
    <s v="Kerala"/>
    <x v="5"/>
    <x v="4"/>
    <s v="Running Shoes"/>
    <s v="3"/>
    <s v="5781.55"/>
    <n v="0.1"/>
    <s v="14163.05"/>
    <s v="1447.14"/>
    <x v="5"/>
    <x v="0"/>
    <s v="Website"/>
    <n v="15610.184999999999"/>
  </r>
  <r>
    <s v="ORD105041"/>
    <x v="10"/>
    <s v="24-11-2025"/>
    <s v="CUST12925"/>
    <s v="Home Office"/>
    <s v="Delhi"/>
    <x v="12"/>
    <x v="0"/>
    <s v="Smartphone"/>
    <s v="3"/>
    <s v="41421.89"/>
    <n v="0.2"/>
    <s v="87475.72"/>
    <s v="11936.82"/>
    <x v="5"/>
    <x v="2"/>
    <s v="Mobile App"/>
    <n v="99412.535999999993"/>
  </r>
  <r>
    <s v="ORD105042"/>
    <x v="6"/>
    <s v="18-07-2025"/>
    <s v="CUST13309"/>
    <s v="Consumer"/>
    <s v="Karnataka"/>
    <x v="17"/>
    <x v="0"/>
    <s v="Smartphone"/>
    <s v="1"/>
    <s v="58497.25"/>
    <n v="0.05"/>
    <s v="46133.83"/>
    <s v="9438.56"/>
    <x v="0"/>
    <x v="1"/>
    <s v="Marketplace"/>
    <n v="55572.387499999997"/>
  </r>
  <r>
    <s v="ORD105050"/>
    <x v="8"/>
    <s v="23-08-2025"/>
    <s v="CUST13084"/>
    <s v="Consumer"/>
    <s v="Karnataka"/>
    <x v="2"/>
    <x v="1"/>
    <s v="Lipstick"/>
    <s v="1"/>
    <s v="1230.8800000000001"/>
    <n v="0.15"/>
    <s v="870.59"/>
    <s v="175.66"/>
    <x v="3"/>
    <x v="0"/>
    <s v="Website"/>
    <n v="1046.248"/>
  </r>
  <r>
    <s v="ORD105057"/>
    <x v="0"/>
    <s v="31-01-2025"/>
    <s v="CUST12199"/>
    <s v="Home Office"/>
    <s v="Tamil Nadu"/>
    <x v="19"/>
    <x v="2"/>
    <s v="T-Shirt"/>
    <s v="1"/>
    <s v="1820.14"/>
    <n v="0.15"/>
    <s v="1378.33"/>
    <s v="168.79"/>
    <x v="1"/>
    <x v="0"/>
    <s v="Marketplace"/>
    <n v="1547.1189999999999"/>
  </r>
  <r>
    <s v="ORD105058"/>
    <x v="10"/>
    <s v="18-11-2025"/>
    <s v="CUST12847"/>
    <s v="Consumer"/>
    <s v="West Bengal"/>
    <x v="0"/>
    <x v="0"/>
    <s v="Laptop"/>
    <s v="1"/>
    <s v="18019.28"/>
    <n v="0"/>
    <s v="12138.5"/>
    <s v="5880.78"/>
    <x v="2"/>
    <x v="0"/>
    <s v="Website"/>
    <n v="18019.28"/>
  </r>
  <r>
    <s v="ORD105060"/>
    <x v="6"/>
    <s v="18-07-2025"/>
    <s v="CUST10316"/>
    <s v="Consumer"/>
    <s v="West Bengal"/>
    <x v="9"/>
    <x v="0"/>
    <s v="Tablet"/>
    <s v="2"/>
    <s v="38953.35"/>
    <n v="0.15"/>
    <s v="54909.46"/>
    <s v="11311.23"/>
    <x v="0"/>
    <x v="0"/>
    <s v="Website"/>
    <n v="66220.694999999905"/>
  </r>
  <r>
    <s v="ORD105062"/>
    <x v="3"/>
    <s v="04-03-2025"/>
    <s v="CUST11391"/>
    <s v="Corporate"/>
    <s v="Kerala"/>
    <x v="5"/>
    <x v="0"/>
    <s v="Laptop"/>
    <s v="1"/>
    <s v="5503.68"/>
    <n v="0"/>
    <s v="4496.7700000000004"/>
    <s v="1006.91"/>
    <x v="0"/>
    <x v="0"/>
    <s v="Marketplace"/>
    <n v="5503.68"/>
  </r>
  <r>
    <s v="ORD105069"/>
    <x v="11"/>
    <s v="26-10-2025"/>
    <s v="CUST12273"/>
    <s v="Consumer"/>
    <s v="Tamil Nadu"/>
    <x v="13"/>
    <x v="0"/>
    <s v="Laptop"/>
    <s v="3"/>
    <s v="50895.77"/>
    <n v="0.1"/>
    <s v="86958.75"/>
    <s v="50459.83"/>
    <x v="3"/>
    <x v="2"/>
    <s v="Website"/>
    <n v="137418.579"/>
  </r>
  <r>
    <s v="ORD105073"/>
    <x v="10"/>
    <s v="05-11-2025"/>
    <s v="CUST12466"/>
    <s v="Consumer"/>
    <s v="Delhi"/>
    <x v="7"/>
    <x v="2"/>
    <s v="Sneakers"/>
    <s v="1"/>
    <s v="638.59"/>
    <n v="0.15"/>
    <s v="511.25"/>
    <s v="31.55"/>
    <x v="0"/>
    <x v="3"/>
    <s v="Mobile App"/>
    <n v="542.80150000000003"/>
  </r>
  <r>
    <s v="ORD105074"/>
    <x v="4"/>
    <s v="09-04-2025"/>
    <s v="CUST10297"/>
    <s v="Consumer"/>
    <s v="Delhi"/>
    <x v="12"/>
    <x v="0"/>
    <s v="Laptop"/>
    <s v="1"/>
    <s v="74525.789999999994"/>
    <n v="0"/>
    <s v="43550.49"/>
    <s v="30975.3"/>
    <x v="3"/>
    <x v="0"/>
    <s v="Marketplace"/>
    <n v="74525.789999999994"/>
  </r>
  <r>
    <s v="ORD105080"/>
    <x v="11"/>
    <s v="31-10-2025"/>
    <s v="CUST10484"/>
    <s v="Consumer"/>
    <s v="Karnataka"/>
    <x v="22"/>
    <x v="1"/>
    <s v="Face Cream"/>
    <s v="1"/>
    <s v="5583.12"/>
    <n v="0"/>
    <s v="3548.55"/>
    <s v="2034.57"/>
    <x v="5"/>
    <x v="0"/>
    <s v="Marketplace"/>
    <n v="5583.12"/>
  </r>
  <r>
    <s v="ORD105082"/>
    <x v="5"/>
    <s v="15-09-2025"/>
    <s v="CUST10825"/>
    <s v="Corporate"/>
    <s v="Telangana"/>
    <x v="14"/>
    <x v="4"/>
    <s v="Fitness Band"/>
    <s v="1"/>
    <s v="9031.98"/>
    <n v="0.05"/>
    <s v="5358.51"/>
    <s v="3221.87"/>
    <x v="5"/>
    <x v="0"/>
    <s v="Website"/>
    <n v="8580.3809999999994"/>
  </r>
  <r>
    <s v="ORD105087"/>
    <x v="0"/>
    <s v="08-01-2025"/>
    <s v="CUST10012"/>
    <s v="Consumer"/>
    <s v="Karnataka"/>
    <x v="17"/>
    <x v="0"/>
    <s v="Tablet"/>
    <s v="1"/>
    <s v="69057.37"/>
    <n v="0.05"/>
    <s v="49369.760000000002"/>
    <s v="16234.74"/>
    <x v="2"/>
    <x v="0"/>
    <s v="Marketplace"/>
    <n v="65604.501499999998"/>
  </r>
  <r>
    <s v="ORD105091"/>
    <x v="9"/>
    <s v="09-06-2025"/>
    <s v="CUST11063"/>
    <s v="Home Office"/>
    <s v="Maharashtra"/>
    <x v="21"/>
    <x v="1"/>
    <s v="Lipstick"/>
    <s v="3"/>
    <s v="444.48"/>
    <n v="0.15"/>
    <s v="954.24"/>
    <s v="179.18"/>
    <x v="5"/>
    <x v="0"/>
    <s v="Marketplace"/>
    <n v="1133.424"/>
  </r>
  <r>
    <s v="ORD105094"/>
    <x v="0"/>
    <s v="17-01-2025"/>
    <s v="CUST11383"/>
    <s v="Home Office"/>
    <s v="Delhi"/>
    <x v="7"/>
    <x v="4"/>
    <s v="Yoga Mat"/>
    <s v="1"/>
    <s v="11871.63"/>
    <n v="0.1"/>
    <s v="8198.36"/>
    <s v="2486.11"/>
    <x v="2"/>
    <x v="0"/>
    <s v="Website"/>
    <n v="10684.466999999901"/>
  </r>
  <r>
    <s v="ORD105098"/>
    <x v="0"/>
    <s v="22-01-2025"/>
    <s v="CUST10053"/>
    <s v="Consumer"/>
    <s v="Delhi"/>
    <x v="7"/>
    <x v="0"/>
    <s v="Smartwatch"/>
    <s v="2"/>
    <s v="50439.25"/>
    <n v="0.1"/>
    <s v="64005.08"/>
    <s v="26785.57"/>
    <x v="5"/>
    <x v="3"/>
    <s v="Marketplace"/>
    <n v="90790.65"/>
  </r>
  <r>
    <s v="ORD105109"/>
    <x v="3"/>
    <s v="11-03-2025"/>
    <s v="CUST11096"/>
    <s v="Corporate"/>
    <s v="Kerala"/>
    <x v="6"/>
    <x v="0"/>
    <s v="Tablet"/>
    <s v="1"/>
    <s v="59113.62"/>
    <n v="0.1"/>
    <s v="39231.93"/>
    <s v="13970.33"/>
    <x v="3"/>
    <x v="0"/>
    <s v="Mobile App"/>
    <n v="53202.258000000002"/>
  </r>
  <r>
    <s v="ORD105112"/>
    <x v="0"/>
    <s v="21-01-2025"/>
    <s v="CUST10634"/>
    <s v="Home Office"/>
    <s v="Telangana"/>
    <x v="14"/>
    <x v="4"/>
    <s v="Cricket Bat"/>
    <s v="2"/>
    <s v="9536.0499999999993"/>
    <n v="0.1"/>
    <s v="10819.75"/>
    <s v="6345.14"/>
    <x v="1"/>
    <x v="0"/>
    <s v="Website"/>
    <n v="17164.89"/>
  </r>
  <r>
    <s v="ORD105118"/>
    <x v="3"/>
    <s v="26-03-2025"/>
    <s v="CUST11242"/>
    <s v="Corporate"/>
    <s v="Telangana"/>
    <x v="14"/>
    <x v="2"/>
    <s v="T-Shirt"/>
    <s v="1"/>
    <s v="5555.45"/>
    <n v="0.05"/>
    <s v="3850.87"/>
    <s v="1426.81"/>
    <x v="1"/>
    <x v="1"/>
    <s v="Marketplace"/>
    <n v="5277.6774999999998"/>
  </r>
  <r>
    <s v="ORD105120"/>
    <x v="2"/>
    <s v="12-12-2025"/>
    <s v="CUST10095"/>
    <s v="Corporate"/>
    <s v="West Bengal"/>
    <x v="9"/>
    <x v="4"/>
    <s v="Fitness Band"/>
    <s v="1"/>
    <s v="2825.25"/>
    <n v="0.1"/>
    <s v="2041.9"/>
    <s v="500.82"/>
    <x v="0"/>
    <x v="1"/>
    <s v="Mobile App"/>
    <n v="2542.7249999999999"/>
  </r>
  <r>
    <s v="ORD105121"/>
    <x v="1"/>
    <s v="15-02-2025"/>
    <s v="CUST10086"/>
    <s v="Consumer"/>
    <s v="Delhi"/>
    <x v="12"/>
    <x v="3"/>
    <s v="Cookware Set"/>
    <s v="1"/>
    <s v="17314.810000000001"/>
    <n v="0"/>
    <s v="9596.43"/>
    <s v="7718.38"/>
    <x v="2"/>
    <x v="0"/>
    <s v="Website"/>
    <n v="17314.810000000001"/>
  </r>
  <r>
    <s v="ORD105125"/>
    <x v="8"/>
    <s v="08-08-2025"/>
    <s v="CUST11064"/>
    <s v="Corporate"/>
    <s v="Maharashtra"/>
    <x v="4"/>
    <x v="0"/>
    <s v="Headphones"/>
    <s v="1"/>
    <s v="2569.2199999999998"/>
    <n v="0.05"/>
    <s v="1650.48"/>
    <s v="790.28"/>
    <x v="0"/>
    <x v="0"/>
    <s v="Marketplace"/>
    <n v="2440.75899999999"/>
  </r>
  <r>
    <s v="ORD105129"/>
    <x v="11"/>
    <s v="06-10-2025"/>
    <s v="CUST12669"/>
    <s v="Corporate"/>
    <s v="Gujarat"/>
    <x v="10"/>
    <x v="3"/>
    <s v="Mixer Grinder"/>
    <s v="3"/>
    <s v="13253.08"/>
    <n v="0.1"/>
    <s v="25642.080000000002"/>
    <s v="10141.24"/>
    <x v="1"/>
    <x v="3"/>
    <s v="Website"/>
    <n v="35783.315999999999"/>
  </r>
  <r>
    <s v="ORD105130"/>
    <x v="3"/>
    <s v="12-03-2025"/>
    <s v="CUST11029"/>
    <s v="Corporate"/>
    <s v="Karnataka"/>
    <x v="22"/>
    <x v="0"/>
    <s v="Smartphone"/>
    <s v="3"/>
    <s v="74255.58"/>
    <n v="0.2"/>
    <s v="142566.66"/>
    <s v="35646.730000000003"/>
    <x v="0"/>
    <x v="0"/>
    <s v="Website"/>
    <n v="178213.39199999999"/>
  </r>
  <r>
    <s v="ORD105134"/>
    <x v="5"/>
    <s v="05-09-2025"/>
    <s v="CUST10946"/>
    <s v="Corporate"/>
    <s v="Maharashtra"/>
    <x v="20"/>
    <x v="0"/>
    <s v="Laptop"/>
    <s v="2"/>
    <s v="30716.560000000001"/>
    <n v="0.05"/>
    <s v="42993.2"/>
    <s v="15368.26"/>
    <x v="1"/>
    <x v="0"/>
    <s v="Mobile App"/>
    <n v="58361.464"/>
  </r>
  <r>
    <s v="ORD105138"/>
    <x v="0"/>
    <s v="26-01-2025"/>
    <s v="CUST12073"/>
    <s v="Consumer"/>
    <s v="Gujarat"/>
    <x v="10"/>
    <x v="0"/>
    <s v="Laptop"/>
    <s v="3"/>
    <s v="55409.120000000003"/>
    <n v="0"/>
    <s v="130313.56"/>
    <s v="35913.800000000003"/>
    <x v="0"/>
    <x v="0"/>
    <s v="Marketplace"/>
    <n v="166227.35999999999"/>
  </r>
  <r>
    <s v="ORD105147"/>
    <x v="3"/>
    <s v="01-03-2025"/>
    <s v="CUST12851"/>
    <s v="Home Office"/>
    <s v="Gujarat"/>
    <x v="18"/>
    <x v="1"/>
    <s v="Lipstick"/>
    <s v="1"/>
    <s v="4138.18"/>
    <n v="0.1"/>
    <s v="2728.82"/>
    <s v="995.54"/>
    <x v="3"/>
    <x v="0"/>
    <s v="Marketplace"/>
    <n v="3724.3620000000001"/>
  </r>
  <r>
    <s v="ORD105158"/>
    <x v="7"/>
    <s v="02-05-2025"/>
    <s v="CUST12108"/>
    <s v="Corporate"/>
    <s v="Tamil Nadu"/>
    <x v="13"/>
    <x v="3"/>
    <s v="Cookware Set"/>
    <s v="1"/>
    <s v="4649.6099999999997"/>
    <n v="0.15"/>
    <s v="3028.27"/>
    <s v="923.9"/>
    <x v="1"/>
    <x v="0"/>
    <s v="Marketplace"/>
    <n v="3952.1684999999902"/>
  </r>
  <r>
    <s v="ORD105160"/>
    <x v="6"/>
    <s v="09-07-2025"/>
    <s v="CUST12351"/>
    <s v="Home Office"/>
    <s v="Karnataka"/>
    <x v="2"/>
    <x v="1"/>
    <s v="Hair Dryer"/>
    <s v="1"/>
    <s v="1999.39"/>
    <n v="0.1"/>
    <s v="1462.64"/>
    <s v="336.81"/>
    <x v="5"/>
    <x v="3"/>
    <s v="Mobile App"/>
    <n v="1799.451"/>
  </r>
  <r>
    <s v="ORD105165"/>
    <x v="3"/>
    <s v="26-03-2025"/>
    <s v="CUST12835"/>
    <s v="Home Office"/>
    <s v="Delhi"/>
    <x v="7"/>
    <x v="1"/>
    <s v="Perfume"/>
    <s v="1"/>
    <s v="2769.97"/>
    <n v="0.05"/>
    <s v="1932.15"/>
    <s v="699.32"/>
    <x v="5"/>
    <x v="0"/>
    <s v="Marketplace"/>
    <n v="2631.4714999999901"/>
  </r>
  <r>
    <s v="ORD105166"/>
    <x v="9"/>
    <s v="25-06-2025"/>
    <s v="CUST12173"/>
    <s v="Home Office"/>
    <s v="Gujarat"/>
    <x v="3"/>
    <x v="2"/>
    <s v="Jacket"/>
    <s v="1"/>
    <s v="5682.45"/>
    <n v="0.1"/>
    <s v="4510.97"/>
    <s v="603.23"/>
    <x v="5"/>
    <x v="3"/>
    <s v="Mobile App"/>
    <n v="5114.2049999999999"/>
  </r>
  <r>
    <s v="ORD105168"/>
    <x v="1"/>
    <s v="26-02-2025"/>
    <s v="CUST11359"/>
    <s v="Consumer"/>
    <s v="Kerala"/>
    <x v="15"/>
    <x v="0"/>
    <s v="Face Cream"/>
    <s v="3"/>
    <s v="825.47"/>
    <n v="0"/>
    <s v="2022.65"/>
    <s v="453.76"/>
    <x v="2"/>
    <x v="0"/>
    <s v="Marketplace"/>
    <n v="2476.41"/>
  </r>
  <r>
    <s v="ORD105170"/>
    <x v="2"/>
    <s v="04-12-2025"/>
    <s v="CUST10264"/>
    <s v="Corporate"/>
    <s v="Maharashtra"/>
    <x v="20"/>
    <x v="4"/>
    <s v="Cricket Bat"/>
    <s v="4"/>
    <s v="3440.71"/>
    <n v="0"/>
    <s v="8318.5"/>
    <s v="5444.34"/>
    <x v="3"/>
    <x v="1"/>
    <s v="Marketplace"/>
    <n v="13762.84"/>
  </r>
  <r>
    <s v="ORD105176"/>
    <x v="9"/>
    <s v="22-06-2025"/>
    <s v="CUST12985"/>
    <s v="Home Office"/>
    <s v="Kerala"/>
    <x v="6"/>
    <x v="1"/>
    <s v="Face Cream"/>
    <s v="2"/>
    <s v="5985.22"/>
    <n v="0.15"/>
    <s v="9252.4599999999991"/>
    <s v="922.41"/>
    <x v="3"/>
    <x v="0"/>
    <s v="Mobile App"/>
    <n v="10174.874"/>
  </r>
  <r>
    <s v="ORD105182"/>
    <x v="7"/>
    <s v="20-05-2025"/>
    <s v="CUST12382"/>
    <s v="Corporate"/>
    <s v="West Bengal"/>
    <x v="9"/>
    <x v="1"/>
    <s v="Perfume"/>
    <s v="2"/>
    <s v="2476.61"/>
    <n v="0"/>
    <s v="3680.01"/>
    <s v="1273.21"/>
    <x v="3"/>
    <x v="0"/>
    <s v="Marketplace"/>
    <n v="4953.22"/>
  </r>
  <r>
    <s v="ORD105183"/>
    <x v="0"/>
    <s v="03-01-2025"/>
    <s v="CUST12792"/>
    <s v="Corporate"/>
    <s v="Delhi"/>
    <x v="7"/>
    <x v="0"/>
    <s v="Laptop"/>
    <s v="3"/>
    <s v="62764.65"/>
    <n v="0.1"/>
    <s v="120722.78"/>
    <s v="48741.78"/>
    <x v="0"/>
    <x v="2"/>
    <s v="Marketplace"/>
    <n v="169464.55499999999"/>
  </r>
  <r>
    <s v="ORD105188"/>
    <x v="3"/>
    <s v="13-03-2025"/>
    <s v="CUST11765"/>
    <s v="Home Office"/>
    <s v="Kerala"/>
    <x v="6"/>
    <x v="0"/>
    <s v="Headphones"/>
    <s v="1"/>
    <s v="56944.25"/>
    <n v="0.1"/>
    <s v="35898.36"/>
    <s v="15351.46"/>
    <x v="0"/>
    <x v="0"/>
    <s v="Mobile App"/>
    <n v="51249.824999999997"/>
  </r>
  <r>
    <s v="ORD105189"/>
    <x v="10"/>
    <s v="24-11-2025"/>
    <s v="CUST10616"/>
    <s v="Corporate"/>
    <s v="Delhi"/>
    <x v="12"/>
    <x v="3"/>
    <s v="Cookware Set"/>
    <s v="2"/>
    <s v="6291.44"/>
    <n v="0.1"/>
    <s v="8069.23"/>
    <s v="3255.36"/>
    <x v="0"/>
    <x v="0"/>
    <s v="Mobile App"/>
    <n v="11324.591999999901"/>
  </r>
  <r>
    <s v="ORD105190"/>
    <x v="7"/>
    <s v="25-05-2025"/>
    <s v="CUST13495"/>
    <s v="Consumer"/>
    <s v="Gujarat"/>
    <x v="18"/>
    <x v="3"/>
    <s v="Coffee Maker"/>
    <s v="1"/>
    <s v="16279.04"/>
    <n v="0"/>
    <s v="9065.52"/>
    <s v="7213.52"/>
    <x v="5"/>
    <x v="0"/>
    <s v="Website"/>
    <n v="16279.04"/>
  </r>
  <r>
    <s v="ORD105204"/>
    <x v="10"/>
    <s v="14-11-2025"/>
    <s v="CUST10166"/>
    <s v="Corporate"/>
    <s v="Telangana"/>
    <x v="16"/>
    <x v="2"/>
    <s v="T-Shirt"/>
    <s v="1"/>
    <s v="5448.55"/>
    <n v="0.15"/>
    <s v="3845.04"/>
    <s v="786.23"/>
    <x v="1"/>
    <x v="0"/>
    <s v="Website"/>
    <n v="4631.2674999999999"/>
  </r>
  <r>
    <s v="ORD105205"/>
    <x v="7"/>
    <s v="14-05-2025"/>
    <s v="CUST12820"/>
    <s v="Corporate"/>
    <s v="Tamil Nadu"/>
    <x v="11"/>
    <x v="0"/>
    <s v="Smartphone"/>
    <s v="1"/>
    <s v="42895.48"/>
    <n v="0.15"/>
    <s v="27255.49"/>
    <s v="9205.67"/>
    <x v="1"/>
    <x v="0"/>
    <s v="Mobile App"/>
    <n v="36461.158000000003"/>
  </r>
  <r>
    <s v="ORD105210"/>
    <x v="1"/>
    <s v="08-02-2025"/>
    <s v="CUST12048"/>
    <s v="Home Office"/>
    <s v="Telangana"/>
    <x v="14"/>
    <x v="0"/>
    <s v="Smartwatch"/>
    <s v="4"/>
    <s v="19780.55"/>
    <n v="0.05"/>
    <s v="47527.83"/>
    <s v="27638.26"/>
    <x v="5"/>
    <x v="0"/>
    <s v="Mobile App"/>
    <n v="75166.09"/>
  </r>
  <r>
    <s v="ORD105214"/>
    <x v="2"/>
    <s v="10-12-2025"/>
    <s v="CUST11463"/>
    <s v="Consumer"/>
    <s v="Karnataka"/>
    <x v="2"/>
    <x v="1"/>
    <s v="Hair Dryer"/>
    <s v="1"/>
    <s v="3823.68"/>
    <n v="0"/>
    <s v="2992.21"/>
    <s v="831.47"/>
    <x v="5"/>
    <x v="1"/>
    <s v="Website"/>
    <n v="3823.68"/>
  </r>
  <r>
    <s v="ORD105223"/>
    <x v="0"/>
    <s v="08-01-2025"/>
    <s v="CUST12128"/>
    <s v="Corporate"/>
    <s v="Telangana"/>
    <x v="16"/>
    <x v="0"/>
    <s v="Tablet"/>
    <s v="1"/>
    <s v="2922.9"/>
    <n v="0.05"/>
    <s v="1656.68"/>
    <s v="1120.08"/>
    <x v="2"/>
    <x v="0"/>
    <s v="Mobile App"/>
    <n v="2776.7550000000001"/>
  </r>
  <r>
    <s v="ORD105226"/>
    <x v="2"/>
    <s v="17-12-2025"/>
    <s v="CUST11419"/>
    <s v="Consumer"/>
    <s v="West Bengal"/>
    <x v="9"/>
    <x v="1"/>
    <s v="Lipstick"/>
    <s v="1"/>
    <s v="2256.58"/>
    <n v="0.15"/>
    <s v="1297.2"/>
    <s v="620.89"/>
    <x v="5"/>
    <x v="0"/>
    <s v="Website"/>
    <n v="1918.0929999999901"/>
  </r>
  <r>
    <s v="ORD105229"/>
    <x v="7"/>
    <s v="26-05-2025"/>
    <s v="CUST10623"/>
    <s v="Corporate"/>
    <s v="Karnataka"/>
    <x v="2"/>
    <x v="2"/>
    <s v="Jeans"/>
    <s v="1"/>
    <s v="1421.79"/>
    <n v="0.05"/>
    <s v="984.33"/>
    <s v="366.37"/>
    <x v="5"/>
    <x v="0"/>
    <s v="Marketplace"/>
    <n v="1350.7004999999999"/>
  </r>
  <r>
    <s v="ORD105233"/>
    <x v="4"/>
    <s v="18-04-2025"/>
    <s v="CUST13090"/>
    <s v="Home Office"/>
    <s v="Karnataka"/>
    <x v="17"/>
    <x v="2"/>
    <s v="T-Shirt"/>
    <s v="1"/>
    <s v="1223.47"/>
    <n v="0.15"/>
    <s v="988.73"/>
    <s v="51.22"/>
    <x v="2"/>
    <x v="0"/>
    <s v="Mobile App"/>
    <n v="1039.9494999999999"/>
  </r>
  <r>
    <s v="ORD105236"/>
    <x v="9"/>
    <s v="02-06-2025"/>
    <s v="CUST10837"/>
    <s v="Home Office"/>
    <s v="Kerala"/>
    <x v="6"/>
    <x v="0"/>
    <s v="Smartphone"/>
    <s v="1"/>
    <s v="70206.570000000007"/>
    <n v="0.15"/>
    <s v="51042.64"/>
    <s v="8632.94"/>
    <x v="2"/>
    <x v="0"/>
    <s v="Marketplace"/>
    <n v="59675.584499999997"/>
  </r>
  <r>
    <s v="ORD105248"/>
    <x v="8"/>
    <s v="06-08-2025"/>
    <s v="CUST11570"/>
    <s v="Corporate"/>
    <s v="Gujarat"/>
    <x v="10"/>
    <x v="0"/>
    <s v="Smartphone"/>
    <s v="1"/>
    <s v="30640.81"/>
    <n v="0.15"/>
    <s v="20700.46"/>
    <s v="5344.23"/>
    <x v="3"/>
    <x v="0"/>
    <s v="Marketplace"/>
    <n v="26044.6885"/>
  </r>
  <r>
    <s v="ORD105250"/>
    <x v="11"/>
    <s v="23-10-2025"/>
    <s v="CUST11787"/>
    <s v="Home Office"/>
    <s v="Karnataka"/>
    <x v="22"/>
    <x v="4"/>
    <s v="Cricket Bat"/>
    <s v="1"/>
    <s v="3101.36"/>
    <n v="0"/>
    <s v="2459.09"/>
    <s v="642.27"/>
    <x v="2"/>
    <x v="0"/>
    <s v="Marketplace"/>
    <n v="3101.36"/>
  </r>
  <r>
    <s v="ORD105255"/>
    <x v="4"/>
    <s v="15-04-2025"/>
    <s v="CUST10619"/>
    <s v="Corporate"/>
    <s v="Tamil Nadu"/>
    <x v="13"/>
    <x v="0"/>
    <s v="Smartwatch"/>
    <s v="2"/>
    <s v="26376.42"/>
    <n v="0.05"/>
    <s v="30623.13"/>
    <s v="19492.07"/>
    <x v="3"/>
    <x v="0"/>
    <s v="Website"/>
    <n v="50115.197999999997"/>
  </r>
  <r>
    <s v="ORD105256"/>
    <x v="1"/>
    <s v="24-02-2025"/>
    <s v="CUST13241"/>
    <s v="Corporate"/>
    <s v="Karnataka"/>
    <x v="2"/>
    <x v="1"/>
    <s v="Hair Dryer"/>
    <s v="2"/>
    <s v="1454.65"/>
    <n v="0.05"/>
    <s v="2225.15"/>
    <s v="538.69000000000005"/>
    <x v="2"/>
    <x v="0"/>
    <s v="Mobile App"/>
    <n v="2763.835"/>
  </r>
  <r>
    <s v="ORD105259"/>
    <x v="1"/>
    <s v="17-02-2025"/>
    <s v="CUST10788"/>
    <s v="Corporate"/>
    <s v="Telangana"/>
    <x v="14"/>
    <x v="2"/>
    <s v="Handbag"/>
    <s v="3"/>
    <s v="6277.1"/>
    <n v="0.1"/>
    <s v="10847.68"/>
    <s v="6100.49"/>
    <x v="5"/>
    <x v="0"/>
    <s v="Website"/>
    <n v="16948.169999999998"/>
  </r>
  <r>
    <s v="ORD105261"/>
    <x v="9"/>
    <s v="25-06-2025"/>
    <s v="CUST10821"/>
    <s v="Home Office"/>
    <s v="Delhi"/>
    <x v="7"/>
    <x v="0"/>
    <s v="Smartwatch"/>
    <s v="1"/>
    <s v="17456.689999999999"/>
    <n v="0.05"/>
    <s v="12072.83"/>
    <s v="4511.03"/>
    <x v="3"/>
    <x v="0"/>
    <s v="Marketplace"/>
    <n v="16583.8554999999"/>
  </r>
  <r>
    <s v="ORD105265"/>
    <x v="9"/>
    <s v="07-06-2025"/>
    <s v="CUST11349"/>
    <s v="Home Office"/>
    <s v="Tamil Nadu"/>
    <x v="8"/>
    <x v="0"/>
    <s v="Laptop"/>
    <s v="1"/>
    <s v="12996.92"/>
    <n v="0"/>
    <s v="9008.92"/>
    <s v="3988"/>
    <x v="0"/>
    <x v="2"/>
    <s v="Mobile App"/>
    <n v="12996.92"/>
  </r>
  <r>
    <s v="ORD105267"/>
    <x v="9"/>
    <s v="18-06-2025"/>
    <s v="CUST12203"/>
    <s v="Home Office"/>
    <s v="Karnataka"/>
    <x v="2"/>
    <x v="1"/>
    <s v="Shampoo"/>
    <s v="1"/>
    <s v="1031.47"/>
    <n v="0"/>
    <s v="702.6"/>
    <s v="328.87"/>
    <x v="5"/>
    <x v="0"/>
    <s v="Website"/>
    <n v="1031.47"/>
  </r>
  <r>
    <s v="ORD105270"/>
    <x v="3"/>
    <s v="01-03-2025"/>
    <s v="CUST13316"/>
    <s v="Home Office"/>
    <s v="Kerala"/>
    <x v="15"/>
    <x v="2"/>
    <s v="Jacket"/>
    <s v="1"/>
    <s v="1416.85"/>
    <n v="0.1"/>
    <s v="1075.6099999999999"/>
    <s v="199.55"/>
    <x v="0"/>
    <x v="0"/>
    <s v="Marketplace"/>
    <n v="1275.165"/>
  </r>
  <r>
    <s v="ORD105272"/>
    <x v="1"/>
    <s v="26-02-2025"/>
    <s v="CUST13498"/>
    <s v="Corporate"/>
    <s v="Gujarat"/>
    <x v="3"/>
    <x v="2"/>
    <s v="T-Shirt"/>
    <s v="4"/>
    <s v="4164.09"/>
    <n v="0.05"/>
    <s v="10390.98"/>
    <s v="5432.56"/>
    <x v="3"/>
    <x v="0"/>
    <s v="Marketplace"/>
    <n v="15823.541999999999"/>
  </r>
  <r>
    <s v="ORD105278"/>
    <x v="0"/>
    <s v="10-01-2025"/>
    <s v="CUST10204"/>
    <s v="Corporate"/>
    <s v="Kerala"/>
    <x v="15"/>
    <x v="2"/>
    <s v="Handbag"/>
    <s v="4"/>
    <s v="4888.4399999999996"/>
    <n v="0"/>
    <s v="14930.74"/>
    <s v="2667.64"/>
    <x v="5"/>
    <x v="3"/>
    <s v="Mobile App"/>
    <n v="19553.759999999998"/>
  </r>
  <r>
    <s v="ORD105281"/>
    <x v="10"/>
    <s v="25-11-2025"/>
    <s v="CUST11469"/>
    <s v="Home Office"/>
    <s v="Gujarat"/>
    <x v="18"/>
    <x v="4"/>
    <s v="Running Shoes"/>
    <s v="3"/>
    <s v="11026.63"/>
    <n v="0.15"/>
    <s v="24248.27"/>
    <s v="3869.64"/>
    <x v="0"/>
    <x v="0"/>
    <s v="Website"/>
    <n v="28117.906499999899"/>
  </r>
  <r>
    <s v="ORD105282"/>
    <x v="4"/>
    <s v="10-04-2025"/>
    <s v="CUST12895"/>
    <s v="Corporate"/>
    <s v="Delhi"/>
    <x v="12"/>
    <x v="2"/>
    <s v="Handbag"/>
    <s v="2"/>
    <s v="2245.11"/>
    <n v="0"/>
    <s v="3651.87"/>
    <s v="838.35"/>
    <x v="3"/>
    <x v="0"/>
    <s v="Mobile App"/>
    <n v="4490.22"/>
  </r>
  <r>
    <s v="ORD105284"/>
    <x v="6"/>
    <s v="21-07-2025"/>
    <s v="CUST12030"/>
    <s v="Consumer"/>
    <s v="Gujarat"/>
    <x v="18"/>
    <x v="4"/>
    <s v="Running Shoes"/>
    <s v="2"/>
    <s v="11175.76"/>
    <n v="0.2"/>
    <s v="12361.23"/>
    <s v="5519.99"/>
    <x v="2"/>
    <x v="3"/>
    <s v="Mobile App"/>
    <n v="17881.216"/>
  </r>
  <r>
    <s v="ORD105302"/>
    <x v="0"/>
    <s v="04-01-2025"/>
    <s v="CUST11610"/>
    <s v="Corporate"/>
    <s v="Tamil Nadu"/>
    <x v="19"/>
    <x v="2"/>
    <s v="Handbag"/>
    <s v="1"/>
    <s v="6573.83"/>
    <n v="0.05"/>
    <s v="4536.62"/>
    <s v="1708.52"/>
    <x v="3"/>
    <x v="2"/>
    <s v="Marketplace"/>
    <n v="6245.1385"/>
  </r>
  <r>
    <s v="ORD105313"/>
    <x v="9"/>
    <s v="14-06-2025"/>
    <s v="CUST11629"/>
    <s v="Consumer"/>
    <s v="Karnataka"/>
    <x v="22"/>
    <x v="1"/>
    <s v="Lipstick"/>
    <s v="2"/>
    <s v="5361.72"/>
    <n v="0.05"/>
    <s v="8010.62"/>
    <s v="2176.65"/>
    <x v="3"/>
    <x v="0"/>
    <s v="Mobile App"/>
    <n v="10187.268"/>
  </r>
  <r>
    <s v="ORD105314"/>
    <x v="6"/>
    <s v="01-07-2025"/>
    <s v="CUST11837"/>
    <s v="Corporate"/>
    <s v="West Bengal"/>
    <x v="0"/>
    <x v="1"/>
    <s v="Hair Dryer"/>
    <s v="3"/>
    <s v="3251.84"/>
    <n v="0"/>
    <s v="7232.67"/>
    <s v="2522.85"/>
    <x v="0"/>
    <x v="0"/>
    <s v="Website"/>
    <n v="9755.52"/>
  </r>
  <r>
    <s v="ORD105317"/>
    <x v="10"/>
    <s v="26-11-2025"/>
    <s v="CUST11189"/>
    <s v="Corporate"/>
    <s v="Gujarat"/>
    <x v="10"/>
    <x v="2"/>
    <s v="Handbag"/>
    <s v="3"/>
    <s v="1573.54"/>
    <n v="0.05"/>
    <s v="2952.74"/>
    <s v="1531.85"/>
    <x v="1"/>
    <x v="0"/>
    <s v="Website"/>
    <n v="4484.5889999999999"/>
  </r>
  <r>
    <s v="ORD105319"/>
    <x v="6"/>
    <s v="05-07-2025"/>
    <s v="CUST11690"/>
    <s v="Corporate"/>
    <s v="Delhi"/>
    <x v="7"/>
    <x v="2"/>
    <s v="Sneakers"/>
    <s v="1"/>
    <s v="577.20000000000005"/>
    <n v="0.15"/>
    <s v="341.38"/>
    <s v="149.24"/>
    <x v="3"/>
    <x v="0"/>
    <s v="Mobile App"/>
    <n v="490.62"/>
  </r>
  <r>
    <s v="ORD105322"/>
    <x v="0"/>
    <s v="07-01-2025"/>
    <s v="CUST10845"/>
    <s v="Home Office"/>
    <s v="Tamil Nadu"/>
    <x v="8"/>
    <x v="2"/>
    <s v="Sneakers"/>
    <s v="2"/>
    <s v="1483.75"/>
    <n v="0.05"/>
    <s v="2345.5100000000002"/>
    <s v="473.61"/>
    <x v="5"/>
    <x v="2"/>
    <s v="Marketplace"/>
    <n v="2819.125"/>
  </r>
  <r>
    <s v="ORD105326"/>
    <x v="8"/>
    <s v="01-08-2025"/>
    <s v="CUST13064"/>
    <s v="Home Office"/>
    <s v="Tamil Nadu"/>
    <x v="1"/>
    <x v="0"/>
    <s v="Smartphone"/>
    <s v="1"/>
    <s v="8855.58"/>
    <n v="0.15"/>
    <s v="5681.05"/>
    <s v="1846.19"/>
    <x v="5"/>
    <x v="3"/>
    <s v="Mobile App"/>
    <n v="7527.2429999999904"/>
  </r>
  <r>
    <s v="ORD105327"/>
    <x v="4"/>
    <s v="19-04-2025"/>
    <s v="CUST10291"/>
    <s v="Corporate"/>
    <s v="Delhi"/>
    <x v="7"/>
    <x v="3"/>
    <s v="Cookware Set"/>
    <s v="1"/>
    <s v="15222.36"/>
    <n v="0.1"/>
    <s v="12230.79"/>
    <s v="1469.33"/>
    <x v="2"/>
    <x v="0"/>
    <s v="Marketplace"/>
    <n v="13700.124"/>
  </r>
  <r>
    <s v="ORD105334"/>
    <x v="10"/>
    <s v="19-11-2025"/>
    <s v="CUST10660"/>
    <s v="Corporate"/>
    <s v="West Bengal"/>
    <x v="9"/>
    <x v="0"/>
    <s v="Laptop"/>
    <s v="2"/>
    <s v="6532.01"/>
    <n v="0"/>
    <s v="9563.6299999999992"/>
    <s v="3500.39"/>
    <x v="0"/>
    <x v="0"/>
    <s v="Website"/>
    <n v="13064.02"/>
  </r>
  <r>
    <s v="ORD105335"/>
    <x v="3"/>
    <s v="11-03-2025"/>
    <s v="CUST12190"/>
    <s v="Home Office"/>
    <s v="Delhi"/>
    <x v="12"/>
    <x v="0"/>
    <s v="Headphones"/>
    <s v="1"/>
    <s v="15125.7"/>
    <n v="0.05"/>
    <s v="10740.56"/>
    <s v="3628.86"/>
    <x v="3"/>
    <x v="0"/>
    <s v="Marketplace"/>
    <n v="14369.415000000001"/>
  </r>
  <r>
    <s v="ORD105338"/>
    <x v="6"/>
    <s v="17-07-2025"/>
    <s v="CUST11683"/>
    <s v="Consumer"/>
    <s v="Karnataka"/>
    <x v="22"/>
    <x v="4"/>
    <s v="Fitness Band"/>
    <s v="2"/>
    <s v="7665.75"/>
    <n v="0.15"/>
    <s v="8903.5"/>
    <s v="4128.28"/>
    <x v="1"/>
    <x v="0"/>
    <s v="Mobile App"/>
    <n v="13031.775"/>
  </r>
  <r>
    <s v="ORD105339"/>
    <x v="6"/>
    <s v="24-07-2025"/>
    <s v="CUST11593"/>
    <s v="Consumer"/>
    <s v="Karnataka"/>
    <x v="2"/>
    <x v="4"/>
    <s v="Running Shoes"/>
    <s v="1"/>
    <s v="8755.6299999999992"/>
    <n v="0.05"/>
    <s v="6394.13"/>
    <s v="1923.72"/>
    <x v="1"/>
    <x v="2"/>
    <s v="Marketplace"/>
    <n v="8317.8484999999891"/>
  </r>
  <r>
    <s v="ORD105341"/>
    <x v="0"/>
    <s v="26-01-2025"/>
    <s v="CUST10186"/>
    <s v="Home Office"/>
    <s v="Maharashtra"/>
    <x v="4"/>
    <x v="2"/>
    <s v="Jacket"/>
    <s v="1"/>
    <s v="3885.02"/>
    <n v="0"/>
    <s v="2314.21"/>
    <s v="1570.81"/>
    <x v="0"/>
    <x v="0"/>
    <s v="Marketplace"/>
    <n v="3885.02"/>
  </r>
  <r>
    <s v="ORD105343"/>
    <x v="1"/>
    <s v="01-02-2025"/>
    <s v="CUST12845"/>
    <s v="Corporate"/>
    <s v="Karnataka"/>
    <x v="2"/>
    <x v="0"/>
    <s v="Headphones"/>
    <s v="1"/>
    <s v="7564.35"/>
    <n v="0"/>
    <s v="5204.08"/>
    <s v="2360.27"/>
    <x v="2"/>
    <x v="0"/>
    <s v="Website"/>
    <n v="7564.35"/>
  </r>
  <r>
    <s v="ORD105347"/>
    <x v="7"/>
    <s v="09-05-2025"/>
    <s v="CUST12102"/>
    <s v="Home Office"/>
    <s v="Delhi"/>
    <x v="7"/>
    <x v="0"/>
    <s v="Tablet"/>
    <s v="4"/>
    <s v="19183.439999999999"/>
    <n v="0.1"/>
    <s v="51699.06"/>
    <s v="17361.32"/>
    <x v="1"/>
    <x v="0"/>
    <s v="Website"/>
    <n v="69060.383999999904"/>
  </r>
  <r>
    <s v="ORD105351"/>
    <x v="9"/>
    <s v="12-06-2025"/>
    <s v="CUST12532"/>
    <s v="Corporate"/>
    <s v="Telangana"/>
    <x v="16"/>
    <x v="3"/>
    <s v="Mixer Grinder"/>
    <s v="1"/>
    <s v="14835.49"/>
    <n v="0.1"/>
    <s v="12079.77"/>
    <s v="1272.17"/>
    <x v="2"/>
    <x v="0"/>
    <s v="Marketplace"/>
    <n v="13351.941000000001"/>
  </r>
  <r>
    <s v="ORD105354"/>
    <x v="1"/>
    <s v="08-02-2025"/>
    <s v="CUST12725"/>
    <s v="Consumer"/>
    <s v="West Bengal"/>
    <x v="0"/>
    <x v="4"/>
    <s v="Cricket Bat"/>
    <s v="1"/>
    <s v="8953.93"/>
    <n v="0.1"/>
    <s v="5333.02"/>
    <s v="2725.52"/>
    <x v="3"/>
    <x v="0"/>
    <s v="Website"/>
    <n v="8058.5370000000003"/>
  </r>
  <r>
    <s v="ORD105355"/>
    <x v="3"/>
    <s v="16-03-2025"/>
    <s v="CUST10956"/>
    <s v="Corporate"/>
    <s v="Gujarat"/>
    <x v="10"/>
    <x v="2"/>
    <s v="Jacket"/>
    <s v="2"/>
    <s v="4480.5200000000004"/>
    <n v="0.15"/>
    <s v="4972.95"/>
    <s v="2643.93"/>
    <x v="2"/>
    <x v="0"/>
    <s v="Website"/>
    <n v="7616.884"/>
  </r>
  <r>
    <s v="ORD105360"/>
    <x v="11"/>
    <s v="14-10-2025"/>
    <s v="CUST13429"/>
    <s v="Home Office"/>
    <s v="Telangana"/>
    <x v="16"/>
    <x v="2"/>
    <s v="T-Shirt"/>
    <s v="1"/>
    <s v="4951.66"/>
    <n v="0"/>
    <s v="2972.91"/>
    <s v="1978.75"/>
    <x v="1"/>
    <x v="0"/>
    <s v="Mobile App"/>
    <n v="4951.66"/>
  </r>
  <r>
    <s v="ORD105367"/>
    <x v="8"/>
    <s v="15-08-2025"/>
    <s v="CUST10454"/>
    <s v="Consumer"/>
    <s v="Telangana"/>
    <x v="14"/>
    <x v="4"/>
    <s v="Yoga Mat"/>
    <s v="3"/>
    <s v="5914.18"/>
    <n v="0.1"/>
    <s v="10334.950000000001"/>
    <s v="5633.34"/>
    <x v="5"/>
    <x v="0"/>
    <s v="Mobile App"/>
    <n v="15968.286"/>
  </r>
  <r>
    <s v="ORD105369"/>
    <x v="1"/>
    <s v="02-02-2025"/>
    <s v="CUST11459"/>
    <s v="Corporate"/>
    <s v="Karnataka"/>
    <x v="22"/>
    <x v="2"/>
    <s v="T-Shirt"/>
    <s v="1"/>
    <s v="6288.15"/>
    <n v="0.1"/>
    <s v="4066.39"/>
    <s v="1592.95"/>
    <x v="5"/>
    <x v="3"/>
    <s v="Marketplace"/>
    <n v="5659.335"/>
  </r>
  <r>
    <s v="ORD105374"/>
    <x v="7"/>
    <s v="11-05-2025"/>
    <s v="CUST10860"/>
    <s v="Consumer"/>
    <s v="Maharashtra"/>
    <x v="20"/>
    <x v="3"/>
    <s v="Cookware Set"/>
    <s v="2"/>
    <s v="17668.599999999999"/>
    <n v="0.15"/>
    <s v="28078.240000000002"/>
    <s v="1958.38"/>
    <x v="5"/>
    <x v="0"/>
    <s v="Mobile App"/>
    <n v="30036.619999999901"/>
  </r>
  <r>
    <s v="ORD105377"/>
    <x v="1"/>
    <s v="25-02-2025"/>
    <s v="CUST11417"/>
    <s v="Corporate"/>
    <s v="Maharashtra"/>
    <x v="4"/>
    <x v="4"/>
    <s v="Fitness Band"/>
    <s v="1"/>
    <s v="7216.08"/>
    <n v="0.15"/>
    <s v="4162.29"/>
    <s v="1971.38"/>
    <x v="0"/>
    <x v="0"/>
    <s v="Marketplace"/>
    <n v="6133.6679999999997"/>
  </r>
  <r>
    <s v="ORD105384"/>
    <x v="7"/>
    <s v="23-05-2025"/>
    <s v="CUST13365"/>
    <s v="Home Office"/>
    <s v="Gujarat"/>
    <x v="3"/>
    <x v="2"/>
    <s v="Handbag"/>
    <s v="1"/>
    <s v="4921.79"/>
    <n v="0.05"/>
    <s v="3419.77"/>
    <s v="1255.93"/>
    <x v="0"/>
    <x v="3"/>
    <s v="Mobile App"/>
    <n v="4675.7004999999999"/>
  </r>
  <r>
    <s v="ORD105387"/>
    <x v="1"/>
    <s v="04-02-2025"/>
    <s v="CUST10884"/>
    <s v="Home Office"/>
    <s v="Karnataka"/>
    <x v="22"/>
    <x v="1"/>
    <s v="Face Cream"/>
    <s v="1"/>
    <s v="1293.4100000000001"/>
    <n v="0.05"/>
    <s v="931.65"/>
    <s v="297.08999999999997"/>
    <x v="2"/>
    <x v="0"/>
    <s v="Website"/>
    <n v="1228.7394999999999"/>
  </r>
  <r>
    <s v="ORD105395"/>
    <x v="2"/>
    <s v="16-12-2025"/>
    <s v="CUST12782"/>
    <s v="Corporate"/>
    <s v="Delhi"/>
    <x v="7"/>
    <x v="2"/>
    <s v="Sneakers"/>
    <s v="1"/>
    <s v="6919.54"/>
    <n v="0"/>
    <s v="4838.91"/>
    <s v="2080.63"/>
    <x v="0"/>
    <x v="0"/>
    <s v="Mobile App"/>
    <n v="6919.54"/>
  </r>
  <r>
    <s v="ORD105396"/>
    <x v="7"/>
    <s v="27-05-2025"/>
    <s v="CUST10984"/>
    <s v="Corporate"/>
    <s v="Delhi"/>
    <x v="12"/>
    <x v="0"/>
    <s v="Face Cream"/>
    <s v="1"/>
    <s v="2061.8200000000002"/>
    <n v="0.1"/>
    <s v="1234.58"/>
    <s v="621.05999999999995"/>
    <x v="3"/>
    <x v="0"/>
    <s v="Mobile App"/>
    <n v="1855.6379999999999"/>
  </r>
  <r>
    <s v="ORD105397"/>
    <x v="8"/>
    <s v="25-08-2025"/>
    <s v="CUST11477"/>
    <s v="Corporate"/>
    <s v="Kerala"/>
    <x v="5"/>
    <x v="3"/>
    <s v="Vacuum Cleaner"/>
    <s v="2"/>
    <s v="15361.96"/>
    <n v="0.05"/>
    <s v="17151.04"/>
    <s v="12036.68"/>
    <x v="0"/>
    <x v="0"/>
    <s v="Mobile App"/>
    <n v="29187.723999999998"/>
  </r>
  <r>
    <s v="ORD105402"/>
    <x v="1"/>
    <s v="12-02-2025"/>
    <s v="CUST12027"/>
    <s v="Corporate"/>
    <s v="Tamil Nadu"/>
    <x v="1"/>
    <x v="2"/>
    <s v="Handbag"/>
    <s v="1"/>
    <s v="4993.05"/>
    <n v="0"/>
    <s v="3716.77"/>
    <s v="1276.28"/>
    <x v="0"/>
    <x v="0"/>
    <s v="Marketplace"/>
    <n v="4993.05"/>
  </r>
  <r>
    <s v="ORD105404"/>
    <x v="11"/>
    <s v="05-10-2025"/>
    <s v="CUST12596"/>
    <s v="Home Office"/>
    <s v="West Bengal"/>
    <x v="0"/>
    <x v="3"/>
    <s v="Mixer Grinder"/>
    <s v="1"/>
    <s v="7249.75"/>
    <n v="0.15"/>
    <s v="5694.76"/>
    <s v="467.53"/>
    <x v="1"/>
    <x v="0"/>
    <s v="Mobile App"/>
    <n v="6162.2874999999904"/>
  </r>
  <r>
    <s v="ORD105413"/>
    <x v="2"/>
    <s v="27-12-2025"/>
    <s v="CUST10609"/>
    <s v="Corporate"/>
    <s v="Telangana"/>
    <x v="16"/>
    <x v="0"/>
    <s v="Smartwatch"/>
    <s v="4"/>
    <s v="68565.710000000006"/>
    <n v="0"/>
    <s v="209090.03"/>
    <s v="65172.81"/>
    <x v="1"/>
    <x v="0"/>
    <s v="Website"/>
    <n v="274262.84000000003"/>
  </r>
  <r>
    <s v="ORD105414"/>
    <x v="10"/>
    <s v="25-11-2025"/>
    <s v="CUST11688"/>
    <s v="Home Office"/>
    <s v="Delhi"/>
    <x v="7"/>
    <x v="2"/>
    <s v="Sneakers"/>
    <s v="2"/>
    <s v="6161.58"/>
    <n v="0"/>
    <s v="6834.25"/>
    <s v="5488.91"/>
    <x v="2"/>
    <x v="3"/>
    <s v="Marketplace"/>
    <n v="12323.16"/>
  </r>
  <r>
    <s v="ORD105422"/>
    <x v="4"/>
    <s v="11-04-2025"/>
    <s v="CUST10005"/>
    <s v="Consumer"/>
    <s v="Kerala"/>
    <x v="15"/>
    <x v="2"/>
    <s v="Jeans"/>
    <s v="4"/>
    <s v="4960.16"/>
    <n v="0.05"/>
    <s v="15374.86"/>
    <s v="3473.75"/>
    <x v="5"/>
    <x v="0"/>
    <s v="Website"/>
    <n v="18848.608"/>
  </r>
  <r>
    <s v="ORD105425"/>
    <x v="4"/>
    <s v="19-04-2025"/>
    <s v="CUST10775"/>
    <s v="Home Office"/>
    <s v="Gujarat"/>
    <x v="18"/>
    <x v="0"/>
    <s v="Smartwatch"/>
    <s v="2"/>
    <s v="69974.509999999995"/>
    <n v="0"/>
    <s v="82835.199999999997"/>
    <s v="57113.82"/>
    <x v="2"/>
    <x v="0"/>
    <s v="Marketplace"/>
    <n v="139949.01999999999"/>
  </r>
  <r>
    <s v="ORD105427"/>
    <x v="6"/>
    <s v="12-07-2025"/>
    <s v="CUST11430"/>
    <s v="Corporate"/>
    <s v="Maharashtra"/>
    <x v="21"/>
    <x v="4"/>
    <s v="Cricket Bat"/>
    <s v="3"/>
    <s v="10121.42"/>
    <n v="0.05"/>
    <s v="20704.21"/>
    <s v="8141.84"/>
    <x v="3"/>
    <x v="0"/>
    <s v="Marketplace"/>
    <n v="28846.046999999999"/>
  </r>
  <r>
    <s v="ORD105428"/>
    <x v="2"/>
    <s v="13-12-2025"/>
    <s v="CUST12832"/>
    <s v="Consumer"/>
    <s v="Telangana"/>
    <x v="14"/>
    <x v="2"/>
    <s v="Jacket"/>
    <s v="2"/>
    <s v="4316.1000000000004"/>
    <n v="0"/>
    <s v="5291.72"/>
    <s v="3340.48"/>
    <x v="0"/>
    <x v="0"/>
    <s v="Website"/>
    <n v="8632.2000000000007"/>
  </r>
  <r>
    <s v="ORD105432"/>
    <x v="11"/>
    <s v="17-10-2025"/>
    <s v="CUST11562"/>
    <s v="Corporate"/>
    <s v="West Bengal"/>
    <x v="0"/>
    <x v="3"/>
    <s v="Air Fryer"/>
    <s v="1"/>
    <s v="2322.4699999999998"/>
    <n v="0.05"/>
    <s v="1289.42"/>
    <s v="916.93"/>
    <x v="5"/>
    <x v="0"/>
    <s v="Website"/>
    <n v="2206.3464999999901"/>
  </r>
  <r>
    <s v="ORD105434"/>
    <x v="10"/>
    <s v="28-11-2025"/>
    <s v="CUST12516"/>
    <s v="Home Office"/>
    <s v="Kerala"/>
    <x v="5"/>
    <x v="0"/>
    <s v="Headphones"/>
    <s v="1"/>
    <s v="16557.5"/>
    <n v="0.1"/>
    <s v="12112.97"/>
    <s v="2788.78"/>
    <x v="5"/>
    <x v="0"/>
    <s v="Website"/>
    <n v="14901.75"/>
  </r>
  <r>
    <s v="ORD105442"/>
    <x v="2"/>
    <s v="23-12-2025"/>
    <s v="CUST12184"/>
    <s v="Consumer"/>
    <s v="Maharashtra"/>
    <x v="21"/>
    <x v="4"/>
    <s v="Cricket Bat"/>
    <s v="1"/>
    <s v="10139.43"/>
    <n v="0.05"/>
    <s v="6764.67"/>
    <s v="2867.79"/>
    <x v="2"/>
    <x v="2"/>
    <s v="Mobile App"/>
    <n v="9632.4585000000006"/>
  </r>
  <r>
    <s v="ORD105445"/>
    <x v="2"/>
    <s v="20-12-2025"/>
    <s v="CUST11597"/>
    <s v="Corporate"/>
    <s v="Delhi"/>
    <x v="7"/>
    <x v="3"/>
    <s v="Cookware Set"/>
    <s v="1"/>
    <s v="6498.16"/>
    <n v="0.2"/>
    <s v="3869.07"/>
    <s v="1329.46"/>
    <x v="0"/>
    <x v="3"/>
    <s v="Website"/>
    <n v="5198.5280000000002"/>
  </r>
  <r>
    <s v="ORD105453"/>
    <x v="3"/>
    <s v="04-03-2025"/>
    <s v="CUST10193"/>
    <s v="Consumer"/>
    <s v="Tamil Nadu"/>
    <x v="13"/>
    <x v="4"/>
    <s v="Yoga Mat"/>
    <s v="1"/>
    <s v="5818.04"/>
    <n v="0.15"/>
    <s v="3561.74"/>
    <s v="1383.59"/>
    <x v="1"/>
    <x v="0"/>
    <s v="Website"/>
    <n v="4945.3339999999998"/>
  </r>
  <r>
    <s v="ORD105459"/>
    <x v="2"/>
    <s v="15-12-2025"/>
    <s v="CUST13318"/>
    <s v="Consumer"/>
    <s v="Kerala"/>
    <x v="5"/>
    <x v="1"/>
    <s v="Lipstick"/>
    <s v="3"/>
    <s v="3152.52"/>
    <n v="0.1"/>
    <s v="6099.64"/>
    <s v="2412.16"/>
    <x v="1"/>
    <x v="0"/>
    <s v="Website"/>
    <n v="8511.8040000000001"/>
  </r>
  <r>
    <s v="ORD105463"/>
    <x v="10"/>
    <s v="05-11-2025"/>
    <s v="CUST10859"/>
    <s v="Home Office"/>
    <s v="Gujarat"/>
    <x v="3"/>
    <x v="4"/>
    <s v="Running Shoes"/>
    <s v="1"/>
    <s v="11575.53"/>
    <n v="0"/>
    <s v="9169.25"/>
    <s v="2406.2800000000002"/>
    <x v="1"/>
    <x v="0"/>
    <s v="Website"/>
    <n v="11575.53"/>
  </r>
  <r>
    <s v="ORD105470"/>
    <x v="4"/>
    <s v="14-04-2025"/>
    <s v="CUST12162"/>
    <s v="Home Office"/>
    <s v="Kerala"/>
    <x v="5"/>
    <x v="3"/>
    <s v="Coffee Maker"/>
    <s v="4"/>
    <s v="522.35"/>
    <n v="0.1"/>
    <s v="1697.7"/>
    <s v="182.76"/>
    <x v="5"/>
    <x v="0"/>
    <s v="Website"/>
    <n v="1880.46"/>
  </r>
  <r>
    <s v="ORD105472"/>
    <x v="6"/>
    <s v="31-07-2025"/>
    <s v="CUST10585"/>
    <s v="Consumer"/>
    <s v="Maharashtra"/>
    <x v="21"/>
    <x v="2"/>
    <s v="T-Shirt"/>
    <s v="2"/>
    <s v="2925.66"/>
    <n v="0"/>
    <s v="3387.86"/>
    <s v="2463.46"/>
    <x v="5"/>
    <x v="2"/>
    <s v="Mobile App"/>
    <n v="5851.32"/>
  </r>
  <r>
    <s v="ORD105482"/>
    <x v="2"/>
    <s v="25-12-2025"/>
    <s v="CUST11633"/>
    <s v="Home Office"/>
    <s v="Delhi"/>
    <x v="12"/>
    <x v="1"/>
    <s v="Face Cream"/>
    <s v="1"/>
    <s v="5573.21"/>
    <n v="0"/>
    <s v="4079.16"/>
    <s v="1494.05"/>
    <x v="3"/>
    <x v="0"/>
    <s v="Website"/>
    <n v="5573.21"/>
  </r>
  <r>
    <s v="ORD105486"/>
    <x v="9"/>
    <s v="03-06-2025"/>
    <s v="CUST10136"/>
    <s v="Corporate"/>
    <s v="West Bengal"/>
    <x v="9"/>
    <x v="2"/>
    <s v="Jacket"/>
    <s v="1"/>
    <s v="1580.2"/>
    <n v="0.05"/>
    <s v="1134.3900000000001"/>
    <s v="366.8"/>
    <x v="0"/>
    <x v="0"/>
    <s v="Mobile App"/>
    <n v="1501.19"/>
  </r>
  <r>
    <s v="ORD105492"/>
    <x v="10"/>
    <s v="22-11-2025"/>
    <s v="CUST13428"/>
    <s v="Consumer"/>
    <s v="Tamil Nadu"/>
    <x v="19"/>
    <x v="4"/>
    <s v="Running Shoes"/>
    <s v="1"/>
    <s v="5278.86"/>
    <n v="0.1"/>
    <s v="3048.78"/>
    <s v="1702.19"/>
    <x v="1"/>
    <x v="0"/>
    <s v="Marketplace"/>
    <n v="4750.9740000000002"/>
  </r>
  <r>
    <s v="ORD105496"/>
    <x v="9"/>
    <s v="03-06-2025"/>
    <s v="CUST10779"/>
    <s v="Home Office"/>
    <s v="Maharashtra"/>
    <x v="21"/>
    <x v="2"/>
    <s v="Jacket"/>
    <s v="1"/>
    <s v="1962.77"/>
    <n v="0.1"/>
    <s v="1523.92"/>
    <s v="242.57"/>
    <x v="0"/>
    <x v="0"/>
    <s v="Website"/>
    <n v="1766.4929999999999"/>
  </r>
  <r>
    <s v="ORD105497"/>
    <x v="9"/>
    <s v="26-06-2025"/>
    <s v="CUST13155"/>
    <s v="Consumer"/>
    <s v="West Bengal"/>
    <x v="9"/>
    <x v="2"/>
    <s v="Handbag"/>
    <s v="1"/>
    <s v="1601.5"/>
    <n v="0.1"/>
    <s v="1140.73"/>
    <s v="300.62"/>
    <x v="0"/>
    <x v="2"/>
    <s v="Website"/>
    <n v="1441.35"/>
  </r>
  <r>
    <s v="ORD105499"/>
    <x v="1"/>
    <s v="09-02-2025"/>
    <s v="CUST11771"/>
    <s v="Consumer"/>
    <s v="Tamil Nadu"/>
    <x v="13"/>
    <x v="2"/>
    <s v="Jacket"/>
    <s v="2"/>
    <s v="698"/>
    <n v="0.1"/>
    <s v="906.32"/>
    <s v="350.08"/>
    <x v="1"/>
    <x v="0"/>
    <s v="Mobile App"/>
    <n v="1256.4000000000001"/>
  </r>
  <r>
    <s v="ORD105500"/>
    <x v="7"/>
    <s v="14-05-2025"/>
    <s v="CUST11772"/>
    <s v="Consumer"/>
    <s v="Maharashtra"/>
    <x v="4"/>
    <x v="1"/>
    <s v="Perfume"/>
    <s v="1"/>
    <s v="5277.08"/>
    <n v="0.15"/>
    <s v="4062.49"/>
    <s v="423.03"/>
    <x v="3"/>
    <x v="3"/>
    <s v="Website"/>
    <n v="4485.518"/>
  </r>
  <r>
    <s v="ORD105505"/>
    <x v="0"/>
    <s v="13-01-2025"/>
    <s v="CUST11580"/>
    <s v="Home Office"/>
    <s v="Tamil Nadu"/>
    <x v="11"/>
    <x v="2"/>
    <s v="Sneakers"/>
    <s v="1"/>
    <s v="1095.21"/>
    <n v="0"/>
    <s v="644.07000000000005"/>
    <s v="451.14"/>
    <x v="1"/>
    <x v="0"/>
    <s v="Marketplace"/>
    <n v="1095.21"/>
  </r>
  <r>
    <s v="ORD105514"/>
    <x v="5"/>
    <s v="14-09-2025"/>
    <s v="CUST10753"/>
    <s v="Corporate"/>
    <s v="West Bengal"/>
    <x v="9"/>
    <x v="2"/>
    <s v="T-Shirt"/>
    <s v="1"/>
    <s v="4353.2299999999996"/>
    <n v="0"/>
    <s v="3197.89"/>
    <s v="1155.3399999999999"/>
    <x v="5"/>
    <x v="0"/>
    <s v="Mobile App"/>
    <n v="4353.2299999999996"/>
  </r>
  <r>
    <s v="ORD105522"/>
    <x v="9"/>
    <s v="30-06-2025"/>
    <s v="CUST12511"/>
    <s v="Consumer"/>
    <s v="Delhi"/>
    <x v="7"/>
    <x v="1"/>
    <s v="Lipstick"/>
    <s v="1"/>
    <s v="461.55"/>
    <n v="0"/>
    <s v="307.16000000000003"/>
    <s v="154.38999999999999"/>
    <x v="1"/>
    <x v="0"/>
    <s v="Mobile App"/>
    <n v="461.55"/>
  </r>
  <r>
    <s v="ORD105525"/>
    <x v="11"/>
    <s v="22-10-2025"/>
    <s v="CUST11877"/>
    <s v="Corporate"/>
    <s v="Gujarat"/>
    <x v="18"/>
    <x v="1"/>
    <s v="Perfume"/>
    <s v="2"/>
    <s v="2550.5"/>
    <n v="0.2"/>
    <s v="2862.76"/>
    <s v="1218.04"/>
    <x v="0"/>
    <x v="0"/>
    <s v="Marketplace"/>
    <n v="4080.8"/>
  </r>
  <r>
    <s v="ORD105528"/>
    <x v="11"/>
    <s v="13-10-2025"/>
    <s v="CUST10390"/>
    <s v="Corporate"/>
    <s v="Tamil Nadu"/>
    <x v="1"/>
    <x v="0"/>
    <s v="Smartwatch"/>
    <s v="1"/>
    <s v="37388.379999999997"/>
    <n v="0.1"/>
    <s v="28370.95"/>
    <s v="5278.59"/>
    <x v="2"/>
    <x v="0"/>
    <s v="Mobile App"/>
    <n v="33649.542000000001"/>
  </r>
  <r>
    <s v="ORD105539"/>
    <x v="8"/>
    <s v="31-08-2025"/>
    <s v="CUST11191"/>
    <s v="Home Office"/>
    <s v="West Bengal"/>
    <x v="0"/>
    <x v="2"/>
    <s v="Handbag"/>
    <s v="1"/>
    <s v="2279.6999999999998"/>
    <n v="0.15"/>
    <s v="1542.59"/>
    <s v="395.15"/>
    <x v="2"/>
    <x v="0"/>
    <s v="Marketplace"/>
    <n v="1937.7449999999999"/>
  </r>
  <r>
    <s v="ORD105549"/>
    <x v="6"/>
    <s v="15-07-2025"/>
    <s v="CUST13123"/>
    <s v="Consumer"/>
    <s v="West Bengal"/>
    <x v="9"/>
    <x v="3"/>
    <s v="Laptop"/>
    <s v="3"/>
    <s v="64486.5"/>
    <n v="0.1"/>
    <s v="152706.57"/>
    <s v="21406.98"/>
    <x v="3"/>
    <x v="0"/>
    <s v="Mobile App"/>
    <n v="174113.55"/>
  </r>
  <r>
    <s v="ORD105551"/>
    <x v="11"/>
    <s v="19-10-2025"/>
    <s v="CUST10146"/>
    <s v="Home Office"/>
    <s v="Telangana"/>
    <x v="16"/>
    <x v="3"/>
    <s v="Cookware Set"/>
    <s v="1"/>
    <s v="10973.1"/>
    <n v="0.1"/>
    <s v="8530.4599999999991"/>
    <s v="1345.33"/>
    <x v="3"/>
    <x v="1"/>
    <s v="Marketplace"/>
    <n v="9875.7900000000009"/>
  </r>
  <r>
    <s v="ORD105557"/>
    <x v="4"/>
    <s v="26-04-2025"/>
    <s v="CUST10118"/>
    <s v="Home Office"/>
    <s v="Delhi"/>
    <x v="7"/>
    <x v="0"/>
    <s v="Smartwatch"/>
    <s v="1"/>
    <s v="27389"/>
    <n v="0.15"/>
    <s v="17095.03"/>
    <s v="6185.62"/>
    <x v="1"/>
    <x v="2"/>
    <s v="Marketplace"/>
    <n v="23280.6499999999"/>
  </r>
  <r>
    <s v="ORD105558"/>
    <x v="4"/>
    <s v="02-04-2025"/>
    <s v="CUST10766"/>
    <s v="Consumer"/>
    <s v="Karnataka"/>
    <x v="22"/>
    <x v="4"/>
    <s v="Fitness Band"/>
    <s v="1"/>
    <s v="6235.67"/>
    <n v="0"/>
    <s v="4659.6099999999997"/>
    <s v="1576.06"/>
    <x v="0"/>
    <x v="0"/>
    <s v="Mobile App"/>
    <n v="6235.67"/>
  </r>
  <r>
    <s v="ORD105561"/>
    <x v="8"/>
    <s v="03-08-2025"/>
    <s v="CUST11256"/>
    <s v="Consumer"/>
    <s v="Karnataka"/>
    <x v="22"/>
    <x v="0"/>
    <s v="Smartwatch"/>
    <s v="1"/>
    <s v="4707.28"/>
    <n v="0.15"/>
    <s v="3525.97"/>
    <s v="475.22"/>
    <x v="3"/>
    <x v="0"/>
    <s v="Marketplace"/>
    <n v="4001.1879999999901"/>
  </r>
  <r>
    <s v="ORD105569"/>
    <x v="7"/>
    <s v="22-05-2025"/>
    <s v="CUST10306"/>
    <s v="Home Office"/>
    <s v="Karnataka"/>
    <x v="17"/>
    <x v="1"/>
    <s v="Perfume"/>
    <s v="1"/>
    <s v="880.17"/>
    <n v="0.1"/>
    <s v="500.83"/>
    <s v="291.32"/>
    <x v="5"/>
    <x v="0"/>
    <s v="Mobile App"/>
    <n v="792.15300000000002"/>
  </r>
  <r>
    <s v="ORD105580"/>
    <x v="10"/>
    <s v="01-11-2025"/>
    <s v="CUST12265"/>
    <s v="Home Office"/>
    <s v="Delhi"/>
    <x v="7"/>
    <x v="1"/>
    <s v="Face Cream"/>
    <s v="2"/>
    <s v="3989.28"/>
    <n v="0.15"/>
    <s v="6270.72"/>
    <s v="511.06"/>
    <x v="5"/>
    <x v="0"/>
    <s v="Website"/>
    <n v="6781.7759999999998"/>
  </r>
  <r>
    <s v="ORD105593"/>
    <x v="7"/>
    <s v="29-05-2025"/>
    <s v="CUST13156"/>
    <s v="Home Office"/>
    <s v="Maharashtra"/>
    <x v="4"/>
    <x v="2"/>
    <s v="Jeans"/>
    <s v="2"/>
    <s v="1832.42"/>
    <n v="0.1"/>
    <s v="2080.19"/>
    <s v="1218.17"/>
    <x v="5"/>
    <x v="2"/>
    <s v="Mobile App"/>
    <n v="3298.3560000000002"/>
  </r>
  <r>
    <s v="ORD105597"/>
    <x v="2"/>
    <s v="16-12-2025"/>
    <s v="CUST11544"/>
    <s v="Corporate"/>
    <s v="Delhi"/>
    <x v="7"/>
    <x v="0"/>
    <s v="Tablet"/>
    <s v="1"/>
    <s v="44394.55"/>
    <n v="0"/>
    <s v="35384.449999999997"/>
    <s v="9010.1"/>
    <x v="1"/>
    <x v="2"/>
    <s v="Marketplace"/>
    <n v="44394.55"/>
  </r>
  <r>
    <s v="ORD105600"/>
    <x v="6"/>
    <s v="28-07-2025"/>
    <s v="CUST11638"/>
    <s v="Consumer"/>
    <s v="Tamil Nadu"/>
    <x v="8"/>
    <x v="0"/>
    <s v="Laptop"/>
    <s v="2"/>
    <s v="33938.11"/>
    <n v="0.1"/>
    <s v="47784.08"/>
    <s v="13304.52"/>
    <x v="1"/>
    <x v="0"/>
    <s v="Website"/>
    <n v="61088.597999999998"/>
  </r>
  <r>
    <s v="ORD105601"/>
    <x v="3"/>
    <s v="04-03-2025"/>
    <s v="CUST12719"/>
    <s v="Corporate"/>
    <s v="Gujarat"/>
    <x v="3"/>
    <x v="0"/>
    <s v="Smartphone"/>
    <s v="1"/>
    <s v="72014.16"/>
    <n v="0.05"/>
    <s v="57905.19"/>
    <s v="10508.26"/>
    <x v="5"/>
    <x v="0"/>
    <s v="Mobile App"/>
    <n v="68413.452000000005"/>
  </r>
  <r>
    <s v="ORD105603"/>
    <x v="4"/>
    <s v="21-04-2025"/>
    <s v="CUST13227"/>
    <s v="Home Office"/>
    <s v="Karnataka"/>
    <x v="17"/>
    <x v="2"/>
    <s v="Jacket"/>
    <s v="1"/>
    <s v="4367.8100000000004"/>
    <n v="0.1"/>
    <s v="3564.25"/>
    <s v="366.78"/>
    <x v="5"/>
    <x v="0"/>
    <s v="Website"/>
    <n v="3931.029"/>
  </r>
  <r>
    <s v="ORD105606"/>
    <x v="6"/>
    <s v="26-07-2025"/>
    <s v="CUST12152"/>
    <s v="Home Office"/>
    <s v="Kerala"/>
    <x v="6"/>
    <x v="1"/>
    <s v="Hair Dryer"/>
    <s v="2"/>
    <s v="4673.2"/>
    <n v="0.2"/>
    <s v="5146.8999999999996"/>
    <s v="2330.2199999999998"/>
    <x v="0"/>
    <x v="0"/>
    <s v="Website"/>
    <n v="7477.12"/>
  </r>
  <r>
    <s v="ORD105615"/>
    <x v="5"/>
    <s v="13-09-2025"/>
    <s v="CUST13139"/>
    <s v="Consumer"/>
    <s v="West Bengal"/>
    <x v="0"/>
    <x v="3"/>
    <s v="Mixer Grinder"/>
    <s v="2"/>
    <s v="15760.53"/>
    <n v="0"/>
    <s v="24155.78"/>
    <s v="7365.28"/>
    <x v="1"/>
    <x v="3"/>
    <s v="Marketplace"/>
    <n v="31521.06"/>
  </r>
  <r>
    <s v="ORD105633"/>
    <x v="11"/>
    <s v="11-10-2025"/>
    <s v="CUST10665"/>
    <s v="Consumer"/>
    <s v="Delhi"/>
    <x v="12"/>
    <x v="0"/>
    <s v="Laptop"/>
    <s v="1"/>
    <s v="4955.05"/>
    <n v="0.1"/>
    <s v="3439.16"/>
    <s v="1020.38"/>
    <x v="3"/>
    <x v="0"/>
    <s v="Website"/>
    <n v="4459.5450000000001"/>
  </r>
  <r>
    <s v="ORD105635"/>
    <x v="4"/>
    <s v="23-04-2025"/>
    <s v="CUST10597"/>
    <s v="Corporate"/>
    <s v="Maharashtra"/>
    <x v="21"/>
    <x v="3"/>
    <s v="Air Fryer"/>
    <s v="1"/>
    <s v="2957.32"/>
    <n v="0"/>
    <s v="1891.97"/>
    <s v="1065.3499999999999"/>
    <x v="0"/>
    <x v="3"/>
    <s v="Marketplace"/>
    <n v="2957.32"/>
  </r>
  <r>
    <s v="ORD105638"/>
    <x v="10"/>
    <s v="22-11-2025"/>
    <s v="CUST10369"/>
    <s v="Corporate"/>
    <s v="Tamil Nadu"/>
    <x v="13"/>
    <x v="4"/>
    <s v="Cricket Bat"/>
    <s v="1"/>
    <s v="6162.75"/>
    <n v="0.2"/>
    <s v="4405.83"/>
    <s v="524.37"/>
    <x v="1"/>
    <x v="3"/>
    <s v="Mobile App"/>
    <n v="4930.2"/>
  </r>
  <r>
    <s v="ORD105647"/>
    <x v="10"/>
    <s v="20-11-2025"/>
    <s v="CUST11627"/>
    <s v="Consumer"/>
    <s v="Telangana"/>
    <x v="16"/>
    <x v="3"/>
    <s v="Air Fryer"/>
    <s v="2"/>
    <s v="16575.830000000002"/>
    <n v="0.15"/>
    <s v="25037.61"/>
    <s v="3141.3"/>
    <x v="0"/>
    <x v="0"/>
    <s v="Mobile App"/>
    <n v="28178.911"/>
  </r>
  <r>
    <s v="ORD105657"/>
    <x v="8"/>
    <s v="10-08-2025"/>
    <s v="CUST12117"/>
    <s v="Corporate"/>
    <s v="Telangana"/>
    <x v="14"/>
    <x v="1"/>
    <s v="Hair Dryer"/>
    <s v="1"/>
    <s v="3057.3"/>
    <n v="0"/>
    <s v="2390.4699999999998"/>
    <s v="666.83"/>
    <x v="0"/>
    <x v="2"/>
    <s v="Marketplace"/>
    <n v="3057.3"/>
  </r>
  <r>
    <s v="ORD105658"/>
    <x v="8"/>
    <s v="25-08-2025"/>
    <s v="CUST12839"/>
    <s v="Home Office"/>
    <s v="Tamil Nadu"/>
    <x v="19"/>
    <x v="2"/>
    <s v="Handbag"/>
    <s v="1"/>
    <s v="4285.08"/>
    <n v="0.05"/>
    <s v="3059.44"/>
    <s v="1011.39"/>
    <x v="0"/>
    <x v="2"/>
    <s v="Mobile App"/>
    <n v="4070.82599999999"/>
  </r>
  <r>
    <s v="ORD105659"/>
    <x v="1"/>
    <s v="26-02-2025"/>
    <s v="CUST10792"/>
    <s v="Corporate"/>
    <s v="Gujarat"/>
    <x v="3"/>
    <x v="0"/>
    <s v="Smartphone"/>
    <s v="2"/>
    <s v="40525.040000000001"/>
    <n v="0.05"/>
    <s v="62175.99"/>
    <s v="14821.59"/>
    <x v="2"/>
    <x v="1"/>
    <s v="Marketplace"/>
    <n v="76997.576000000001"/>
  </r>
  <r>
    <s v="ORD105681"/>
    <x v="1"/>
    <s v="15-02-2025"/>
    <s v="CUST11670"/>
    <s v="Home Office"/>
    <s v="Tamil Nadu"/>
    <x v="1"/>
    <x v="0"/>
    <s v="Smartphone"/>
    <s v="4"/>
    <s v="33864.53"/>
    <n v="0.05"/>
    <s v="93949.16"/>
    <s v="34736.050000000003"/>
    <x v="0"/>
    <x v="0"/>
    <s v="Marketplace"/>
    <n v="128685.213999999"/>
  </r>
  <r>
    <s v="ORD105691"/>
    <x v="0"/>
    <s v="09-01-2025"/>
    <s v="CUST12558"/>
    <s v="Consumer"/>
    <s v="Maharashtra"/>
    <x v="20"/>
    <x v="4"/>
    <s v="Cricket Bat"/>
    <s v="2"/>
    <s v="5184.6400000000003"/>
    <n v="0.15"/>
    <s v="8358.2199999999993"/>
    <s v="455.67"/>
    <x v="1"/>
    <x v="0"/>
    <s v="Website"/>
    <n v="8813.8880000000008"/>
  </r>
  <r>
    <s v="ORD105692"/>
    <x v="3"/>
    <s v="04-03-2025"/>
    <s v="CUST10972"/>
    <s v="Corporate"/>
    <s v="Maharashtra"/>
    <x v="21"/>
    <x v="4"/>
    <s v="Yoga Mat"/>
    <s v="1"/>
    <s v="8601.02"/>
    <n v="0.1"/>
    <s v="6158.67"/>
    <s v="1582.25"/>
    <x v="0"/>
    <x v="0"/>
    <s v="Website"/>
    <n v="7740.9179999999997"/>
  </r>
  <r>
    <s v="ORD105694"/>
    <x v="10"/>
    <s v="06-11-2025"/>
    <s v="CUST12341"/>
    <s v="Home Office"/>
    <s v="Telangana"/>
    <x v="14"/>
    <x v="4"/>
    <s v="Running Shoes"/>
    <s v="1"/>
    <s v="6558.36"/>
    <n v="0.05"/>
    <s v="5076.67"/>
    <s v="1153.77"/>
    <x v="3"/>
    <x v="0"/>
    <s v="Mobile App"/>
    <n v="6230.44199999999"/>
  </r>
  <r>
    <s v="ORD105699"/>
    <x v="9"/>
    <s v="24-06-2025"/>
    <s v="CUST10079"/>
    <s v="Consumer"/>
    <s v="Tamil Nadu"/>
    <x v="13"/>
    <x v="0"/>
    <s v="Headphones"/>
    <s v="1"/>
    <s v="23497.89"/>
    <n v="0.1"/>
    <s v="16840.77"/>
    <s v="4307.33"/>
    <x v="1"/>
    <x v="0"/>
    <s v="Website"/>
    <n v="21148.100999999999"/>
  </r>
  <r>
    <s v="ORD105702"/>
    <x v="1"/>
    <s v="14-02-2025"/>
    <s v="CUST10460"/>
    <s v="Corporate"/>
    <s v="Gujarat"/>
    <x v="18"/>
    <x v="0"/>
    <s v="Tablet"/>
    <s v="1"/>
    <s v="36110.65"/>
    <n v="0.15"/>
    <s v="25729.38"/>
    <s v="4964.67"/>
    <x v="5"/>
    <x v="0"/>
    <s v="Mobile App"/>
    <n v="30694.052500000002"/>
  </r>
  <r>
    <s v="ORD105703"/>
    <x v="0"/>
    <s v="28-01-2025"/>
    <s v="CUST13175"/>
    <s v="Home Office"/>
    <s v="West Bengal"/>
    <x v="9"/>
    <x v="3"/>
    <s v="Vacuum Cleaner"/>
    <s v="1"/>
    <s v="846.17"/>
    <n v="0.15"/>
    <s v="655.4"/>
    <s v="63.84"/>
    <x v="0"/>
    <x v="0"/>
    <s v="Website"/>
    <n v="719.24449999999899"/>
  </r>
  <r>
    <s v="ORD105715"/>
    <x v="5"/>
    <s v="28-09-2025"/>
    <s v="CUST10343"/>
    <s v="Consumer"/>
    <s v="Maharashtra"/>
    <x v="21"/>
    <x v="4"/>
    <s v="Running Shoes"/>
    <s v="2"/>
    <s v="11341.55"/>
    <n v="0.1"/>
    <s v="16155.39"/>
    <s v="4259.3999999999996"/>
    <x v="1"/>
    <x v="2"/>
    <s v="Marketplace"/>
    <n v="20414.79"/>
  </r>
  <r>
    <s v="ORD105725"/>
    <x v="2"/>
    <s v="19-12-2025"/>
    <s v="CUST11830"/>
    <s v="Home Office"/>
    <s v="West Bengal"/>
    <x v="0"/>
    <x v="2"/>
    <s v="Sneakers"/>
    <s v="1"/>
    <s v="6262.01"/>
    <n v="0"/>
    <s v="4550.43"/>
    <s v="1711.58"/>
    <x v="3"/>
    <x v="0"/>
    <s v="Mobile App"/>
    <n v="6262.01"/>
  </r>
  <r>
    <s v="ORD105730"/>
    <x v="5"/>
    <s v="26-09-2025"/>
    <s v="CUST11271"/>
    <s v="Home Office"/>
    <s v="Maharashtra"/>
    <x v="21"/>
    <x v="2"/>
    <s v="Jacket"/>
    <s v="2"/>
    <s v="775.93"/>
    <n v="0.05"/>
    <s v="1095.43"/>
    <s v="378.84"/>
    <x v="0"/>
    <x v="1"/>
    <s v="Marketplace"/>
    <n v="1474.26699999999"/>
  </r>
  <r>
    <s v="ORD105731"/>
    <x v="10"/>
    <s v="24-11-2025"/>
    <s v="CUST10857"/>
    <s v="Corporate"/>
    <s v="Gujarat"/>
    <x v="3"/>
    <x v="2"/>
    <s v="Handbag"/>
    <s v="3"/>
    <s v="2394.63"/>
    <n v="0.1"/>
    <s v="5514.12"/>
    <s v="951.38"/>
    <x v="1"/>
    <x v="2"/>
    <s v="Website"/>
    <n v="6465.5010000000002"/>
  </r>
  <r>
    <s v="ORD105735"/>
    <x v="10"/>
    <s v="10-11-2025"/>
    <s v="CUST11209"/>
    <s v="Corporate"/>
    <s v="Maharashtra"/>
    <x v="4"/>
    <x v="1"/>
    <s v="Face Cream"/>
    <s v="1"/>
    <s v="1314.87"/>
    <n v="0"/>
    <s v="1025.3599999999999"/>
    <s v="289.51"/>
    <x v="5"/>
    <x v="0"/>
    <s v="Website"/>
    <n v="1314.87"/>
  </r>
  <r>
    <s v="ORD105738"/>
    <x v="9"/>
    <s v="14-06-2025"/>
    <s v="CUST12928"/>
    <s v="Home Office"/>
    <s v="Tamil Nadu"/>
    <x v="8"/>
    <x v="0"/>
    <s v="Tablet"/>
    <s v="1"/>
    <s v="22578.36"/>
    <n v="0.1"/>
    <s v="16987.48"/>
    <s v="3333.04"/>
    <x v="5"/>
    <x v="1"/>
    <s v="Marketplace"/>
    <n v="20320.524000000001"/>
  </r>
  <r>
    <s v="ORD105741"/>
    <x v="11"/>
    <s v="09-10-2025"/>
    <s v="CUST12672"/>
    <s v="Home Office"/>
    <s v="Kerala"/>
    <x v="6"/>
    <x v="0"/>
    <s v="Tablet"/>
    <s v="4"/>
    <s v="62329.24"/>
    <n v="0.1"/>
    <s v="168313.95"/>
    <s v="56071.31"/>
    <x v="1"/>
    <x v="0"/>
    <s v="Website"/>
    <n v="224385.264"/>
  </r>
  <r>
    <s v="ORD105750"/>
    <x v="1"/>
    <s v="23-02-2025"/>
    <s v="CUST10679"/>
    <s v="Corporate"/>
    <s v="West Bengal"/>
    <x v="0"/>
    <x v="4"/>
    <s v="Football"/>
    <s v="1"/>
    <s v="11572.8"/>
    <n v="0.1"/>
    <s v="8582.39"/>
    <s v="1833.13"/>
    <x v="0"/>
    <x v="0"/>
    <s v="Mobile App"/>
    <n v="10415.52"/>
  </r>
  <r>
    <s v="ORD105756"/>
    <x v="1"/>
    <s v="10-02-2025"/>
    <s v="CUST13349"/>
    <s v="Consumer"/>
    <s v="Tamil Nadu"/>
    <x v="1"/>
    <x v="0"/>
    <s v="Smartwatch"/>
    <s v="1"/>
    <s v="64040.09"/>
    <n v="0.15"/>
    <s v="43446.29"/>
    <s v="10987.79"/>
    <x v="0"/>
    <x v="0"/>
    <s v="Marketplace"/>
    <n v="54434.076499999901"/>
  </r>
  <r>
    <s v="ORD105760"/>
    <x v="10"/>
    <s v="01-11-2025"/>
    <s v="CUST10953"/>
    <s v="Home Office"/>
    <s v="Tamil Nadu"/>
    <x v="11"/>
    <x v="0"/>
    <s v="Smartphone"/>
    <s v="1"/>
    <s v="61876.97"/>
    <n v="0.05"/>
    <s v="43970.98"/>
    <s v="14812.14"/>
    <x v="1"/>
    <x v="2"/>
    <s v="Marketplace"/>
    <n v="58783.121500000001"/>
  </r>
  <r>
    <s v="ORD105762"/>
    <x v="1"/>
    <s v="26-02-2025"/>
    <s v="CUST10361"/>
    <s v="Corporate"/>
    <s v="Kerala"/>
    <x v="6"/>
    <x v="3"/>
    <s v="Cookware Set"/>
    <s v="1"/>
    <s v="11503.18"/>
    <n v="0.05"/>
    <s v="8311.06"/>
    <s v="2616.96"/>
    <x v="1"/>
    <x v="0"/>
    <s v="Mobile App"/>
    <n v="10928.021000000001"/>
  </r>
  <r>
    <s v="ORD105771"/>
    <x v="9"/>
    <s v="08-06-2025"/>
    <s v="CUST10422"/>
    <s v="Home Office"/>
    <s v="Maharashtra"/>
    <x v="4"/>
    <x v="2"/>
    <s v="T-Shirt"/>
    <s v="1"/>
    <s v="2402.08"/>
    <n v="0.1"/>
    <s v="1742.45"/>
    <s v="419.42"/>
    <x v="3"/>
    <x v="0"/>
    <s v="Mobile App"/>
    <n v="2161.8719999999998"/>
  </r>
  <r>
    <s v="ORD105776"/>
    <x v="3"/>
    <s v="16-03-2025"/>
    <s v="CUST10748"/>
    <s v="Corporate"/>
    <s v="West Bengal"/>
    <x v="9"/>
    <x v="2"/>
    <s v="Jeans"/>
    <s v="1"/>
    <s v="6679.7"/>
    <n v="0"/>
    <s v="3941.99"/>
    <s v="2737.71"/>
    <x v="5"/>
    <x v="0"/>
    <s v="Marketplace"/>
    <n v="6679.7"/>
  </r>
  <r>
    <s v="ORD105781"/>
    <x v="10"/>
    <s v="12-11-2025"/>
    <s v="CUST12727"/>
    <s v="Consumer"/>
    <s v="Gujarat"/>
    <x v="18"/>
    <x v="0"/>
    <s v="Smartphone"/>
    <s v="3"/>
    <s v="37065.24"/>
    <n v="0.1"/>
    <s v="68896.67"/>
    <s v="31179.48"/>
    <x v="2"/>
    <x v="0"/>
    <s v="Website"/>
    <n v="100076.148"/>
  </r>
  <r>
    <s v="ORD105787"/>
    <x v="7"/>
    <s v="04-05-2025"/>
    <s v="CUST13031"/>
    <s v="Home Office"/>
    <s v="Delhi"/>
    <x v="7"/>
    <x v="3"/>
    <s v="Cookware Set"/>
    <s v="1"/>
    <s v="11606.67"/>
    <n v="0.1"/>
    <s v="7173.95"/>
    <s v="3272.05"/>
    <x v="1"/>
    <x v="0"/>
    <s v="Website"/>
    <n v="10446.003000000001"/>
  </r>
  <r>
    <s v="ORD105791"/>
    <x v="4"/>
    <s v="06-04-2025"/>
    <s v="CUST10811"/>
    <s v="Consumer"/>
    <s v="Tamil Nadu"/>
    <x v="8"/>
    <x v="2"/>
    <s v="Jeans"/>
    <s v="1"/>
    <s v="2890.73"/>
    <n v="0"/>
    <s v="1863.41"/>
    <s v="1027.32"/>
    <x v="1"/>
    <x v="0"/>
    <s v="Mobile App"/>
    <n v="2890.73"/>
  </r>
  <r>
    <s v="ORD105802"/>
    <x v="10"/>
    <s v="26-11-2025"/>
    <s v="CUST12006"/>
    <s v="Corporate"/>
    <s v="Karnataka"/>
    <x v="22"/>
    <x v="1"/>
    <s v="Shampoo"/>
    <s v="1"/>
    <s v="5435.71"/>
    <n v="0.15"/>
    <s v="3716.59"/>
    <s v="903.76"/>
    <x v="3"/>
    <x v="0"/>
    <s v="Marketplace"/>
    <n v="4620.3535000000002"/>
  </r>
  <r>
    <s v="ORD105814"/>
    <x v="10"/>
    <s v="20-11-2025"/>
    <s v="CUST10783"/>
    <s v="Home Office"/>
    <s v="Gujarat"/>
    <x v="10"/>
    <x v="0"/>
    <s v="Headphones"/>
    <s v="1"/>
    <s v="25418.74"/>
    <n v="0.1"/>
    <s v="16741"/>
    <s v="6135.87"/>
    <x v="1"/>
    <x v="0"/>
    <s v="Website"/>
    <n v="22876.866000000002"/>
  </r>
  <r>
    <s v="ORD105827"/>
    <x v="3"/>
    <s v="21-03-2025"/>
    <s v="CUST12951"/>
    <s v="Home Office"/>
    <s v="Karnataka"/>
    <x v="2"/>
    <x v="0"/>
    <s v="Headphones"/>
    <s v="1"/>
    <s v="22805.85"/>
    <n v="0.1"/>
    <s v="16108.24"/>
    <s v="4417.0200000000004"/>
    <x v="5"/>
    <x v="0"/>
    <s v="Mobile App"/>
    <n v="20525.264999999999"/>
  </r>
  <r>
    <s v="ORD105828"/>
    <x v="11"/>
    <s v="12-10-2025"/>
    <s v="CUST11596"/>
    <s v="Consumer"/>
    <s v="Karnataka"/>
    <x v="22"/>
    <x v="0"/>
    <s v="Smartwatch"/>
    <s v="2"/>
    <s v="72789.63"/>
    <n v="0.15"/>
    <s v="102297.1"/>
    <s v="21445.27"/>
    <x v="2"/>
    <x v="2"/>
    <s v="Website"/>
    <n v="123742.371"/>
  </r>
  <r>
    <s v="ORD105832"/>
    <x v="3"/>
    <s v="01-03-2025"/>
    <s v="CUST11664"/>
    <s v="Consumer"/>
    <s v="Gujarat"/>
    <x v="10"/>
    <x v="3"/>
    <s v="Coffee Maker"/>
    <s v="1"/>
    <s v="2889.33"/>
    <n v="0.1"/>
    <s v="1646.87"/>
    <s v="953.53"/>
    <x v="3"/>
    <x v="0"/>
    <s v="Mobile App"/>
    <n v="2600.3969999999999"/>
  </r>
  <r>
    <s v="ORD105836"/>
    <x v="0"/>
    <s v="23-01-2025"/>
    <s v="CUST13407"/>
    <s v="Consumer"/>
    <s v="Gujarat"/>
    <x v="18"/>
    <x v="1"/>
    <s v="Lipstick"/>
    <s v="4"/>
    <s v="485.63"/>
    <n v="0.15"/>
    <s v="1307.9100000000001"/>
    <s v="343.23"/>
    <x v="3"/>
    <x v="0"/>
    <s v="Marketplace"/>
    <n v="1651.1420000000001"/>
  </r>
  <r>
    <s v="ORD105840"/>
    <x v="2"/>
    <s v="11-12-2025"/>
    <s v="CUST13473"/>
    <s v="Home Office"/>
    <s v="Maharashtra"/>
    <x v="20"/>
    <x v="2"/>
    <s v="Sneakers"/>
    <s v="1"/>
    <s v="2333.48"/>
    <n v="0"/>
    <s v="1551.69"/>
    <s v="781.79"/>
    <x v="3"/>
    <x v="0"/>
    <s v="Website"/>
    <n v="2333.48"/>
  </r>
  <r>
    <s v="ORD105842"/>
    <x v="5"/>
    <s v="13-09-2025"/>
    <s v="CUST10827"/>
    <s v="Corporate"/>
    <s v="West Bengal"/>
    <x v="9"/>
    <x v="3"/>
    <s v="Air Fryer"/>
    <s v="2"/>
    <s v="4860.1499999999996"/>
    <n v="0"/>
    <s v="7954.11"/>
    <s v="1766.19"/>
    <x v="2"/>
    <x v="0"/>
    <s v="Marketplace"/>
    <n v="9720.2999999999993"/>
  </r>
  <r>
    <s v="ORD105848"/>
    <x v="4"/>
    <s v="14-04-2025"/>
    <s v="CUST10112"/>
    <s v="Consumer"/>
    <s v="Tamil Nadu"/>
    <x v="11"/>
    <x v="2"/>
    <s v="Jeans"/>
    <s v="1"/>
    <s v="1836.51"/>
    <n v="0.1"/>
    <s v="1225.3699999999999"/>
    <s v="427.49"/>
    <x v="2"/>
    <x v="0"/>
    <s v="Website"/>
    <n v="1652.8589999999999"/>
  </r>
  <r>
    <s v="ORD105849"/>
    <x v="11"/>
    <s v="22-10-2025"/>
    <s v="CUST10129"/>
    <s v="Home Office"/>
    <s v="Gujarat"/>
    <x v="3"/>
    <x v="2"/>
    <s v="T-Shirt"/>
    <s v="2"/>
    <s v="3583.75"/>
    <n v="0.2"/>
    <s v="4706.83"/>
    <s v="1027.17"/>
    <x v="5"/>
    <x v="0"/>
    <s v="Mobile App"/>
    <n v="5734"/>
  </r>
  <r>
    <s v="ORD105853"/>
    <x v="8"/>
    <s v="12-08-2025"/>
    <s v="CUST10909"/>
    <s v="Home Office"/>
    <s v="West Bengal"/>
    <x v="0"/>
    <x v="2"/>
    <s v="Sneakers"/>
    <s v="1"/>
    <s v="4797.87"/>
    <n v="0.1"/>
    <s v="3889.17"/>
    <s v="428.91"/>
    <x v="5"/>
    <x v="2"/>
    <s v="Mobile App"/>
    <n v="4318.0829999999996"/>
  </r>
  <r>
    <s v="ORD105854"/>
    <x v="4"/>
    <s v="09-04-2025"/>
    <s v="CUST10107"/>
    <s v="Corporate"/>
    <s v="Maharashtra"/>
    <x v="20"/>
    <x v="4"/>
    <s v="Football"/>
    <s v="2"/>
    <s v="4822.17"/>
    <n v="0.15"/>
    <s v="5459.98"/>
    <s v="2737.71"/>
    <x v="0"/>
    <x v="0"/>
    <s v="Marketplace"/>
    <n v="8197.6890000000003"/>
  </r>
  <r>
    <s v="ORD105855"/>
    <x v="9"/>
    <s v="03-06-2025"/>
    <s v="CUST12231"/>
    <s v="Corporate"/>
    <s v="Maharashtra"/>
    <x v="20"/>
    <x v="0"/>
    <s v="Laptop"/>
    <s v="2"/>
    <s v="30831.64"/>
    <n v="0.05"/>
    <s v="37025.43"/>
    <s v="21554.69"/>
    <x v="5"/>
    <x v="2"/>
    <s v="Mobile App"/>
    <n v="58580.1159999999"/>
  </r>
  <r>
    <s v="ORD105863"/>
    <x v="3"/>
    <s v="23-03-2025"/>
    <s v="CUST11375"/>
    <s v="Consumer"/>
    <s v="Tamil Nadu"/>
    <x v="1"/>
    <x v="0"/>
    <s v="Tablet"/>
    <s v="3"/>
    <s v="23365.200000000001"/>
    <n v="0.2"/>
    <s v="51593.24"/>
    <s v="4483.24"/>
    <x v="0"/>
    <x v="0"/>
    <s v="Website"/>
    <n v="56076.480000000003"/>
  </r>
  <r>
    <s v="ORD105870"/>
    <x v="5"/>
    <s v="08-09-2025"/>
    <s v="CUST13361"/>
    <s v="Corporate"/>
    <s v="Delhi"/>
    <x v="7"/>
    <x v="0"/>
    <s v="Laptop"/>
    <s v="1"/>
    <s v="17610.52"/>
    <n v="0.1"/>
    <s v="10302.68"/>
    <s v="5546.79"/>
    <x v="2"/>
    <x v="0"/>
    <s v="Marketplace"/>
    <n v="15849.468000000001"/>
  </r>
  <r>
    <s v="ORD105873"/>
    <x v="10"/>
    <s v="27-11-2025"/>
    <s v="CUST12583"/>
    <s v="Corporate"/>
    <s v="Telangana"/>
    <x v="14"/>
    <x v="0"/>
    <s v="Headphones"/>
    <s v="1"/>
    <s v="70139.45"/>
    <n v="0.1"/>
    <s v="41856.449999999997"/>
    <s v="21269.05"/>
    <x v="0"/>
    <x v="0"/>
    <s v="Website"/>
    <n v="63125.504999999997"/>
  </r>
  <r>
    <s v="ORD105893"/>
    <x v="4"/>
    <s v="13-04-2025"/>
    <s v="CUST12607"/>
    <s v="Consumer"/>
    <s v="West Bengal"/>
    <x v="9"/>
    <x v="2"/>
    <s v="Jeans"/>
    <s v="1"/>
    <s v="1130.1300000000001"/>
    <n v="0"/>
    <s v="870.29"/>
    <s v="259.83999999999997"/>
    <x v="3"/>
    <x v="0"/>
    <s v="Mobile App"/>
    <n v="1130.1300000000001"/>
  </r>
  <r>
    <s v="ORD105894"/>
    <x v="7"/>
    <s v="29-05-2025"/>
    <s v="CUST11454"/>
    <s v="Consumer"/>
    <s v="Karnataka"/>
    <x v="2"/>
    <x v="3"/>
    <s v="Vacuum Cleaner"/>
    <s v="1"/>
    <s v="14871.04"/>
    <n v="0.15"/>
    <s v="10477.719999999999"/>
    <s v="2162.66"/>
    <x v="1"/>
    <x v="0"/>
    <s v="Marketplace"/>
    <n v="12640.384"/>
  </r>
  <r>
    <s v="ORD105900"/>
    <x v="0"/>
    <s v="01-01-2025"/>
    <s v="CUST10277"/>
    <s v="Consumer"/>
    <s v="Telangana"/>
    <x v="16"/>
    <x v="2"/>
    <s v="Jacket"/>
    <s v="1"/>
    <s v="3247.74"/>
    <n v="0.15"/>
    <s v="2077.66"/>
    <s v="682.92"/>
    <x v="5"/>
    <x v="0"/>
    <s v="Website"/>
    <n v="2760.5789999999902"/>
  </r>
  <r>
    <s v="ORD105904"/>
    <x v="8"/>
    <s v="12-08-2025"/>
    <s v="CUST12432"/>
    <s v="Consumer"/>
    <s v="Telangana"/>
    <x v="14"/>
    <x v="2"/>
    <s v="Jeans"/>
    <s v="1"/>
    <s v="3863.31"/>
    <n v="0.05"/>
    <s v="2734.37"/>
    <s v="935.77"/>
    <x v="3"/>
    <x v="0"/>
    <s v="Website"/>
    <n v="3670.1444999999999"/>
  </r>
  <r>
    <s v="ORD105908"/>
    <x v="5"/>
    <s v="16-09-2025"/>
    <s v="CUST10238"/>
    <s v="Home Office"/>
    <s v="West Bengal"/>
    <x v="9"/>
    <x v="0"/>
    <s v="Tablet"/>
    <s v="1"/>
    <s v="33385.449999999997"/>
    <n v="0.1"/>
    <s v="25134.04"/>
    <s v="4912.8599999999997"/>
    <x v="1"/>
    <x v="0"/>
    <s v="Marketplace"/>
    <n v="30046.904999999999"/>
  </r>
  <r>
    <s v="ORD105909"/>
    <x v="8"/>
    <s v="06-08-2025"/>
    <s v="CUST13398"/>
    <s v="Home Office"/>
    <s v="Telangana"/>
    <x v="16"/>
    <x v="3"/>
    <s v="Coffee Maker"/>
    <s v="2"/>
    <s v="17954.86"/>
    <n v="0.05"/>
    <s v="28455.09"/>
    <s v="5659.14"/>
    <x v="2"/>
    <x v="0"/>
    <s v="Marketplace"/>
    <n v="34114.233999999997"/>
  </r>
  <r>
    <s v="ORD105917"/>
    <x v="0"/>
    <s v="24-01-2025"/>
    <s v="CUST12198"/>
    <s v="Consumer"/>
    <s v="Gujarat"/>
    <x v="10"/>
    <x v="2"/>
    <s v="Jacket"/>
    <s v="3"/>
    <s v="6282.49"/>
    <n v="0.05"/>
    <s v="13578.09"/>
    <s v="4327.01"/>
    <x v="1"/>
    <x v="0"/>
    <s v="Mobile App"/>
    <n v="17905.0965"/>
  </r>
  <r>
    <s v="ORD105931"/>
    <x v="0"/>
    <s v="16-01-2025"/>
    <s v="CUST11406"/>
    <s v="Home Office"/>
    <s v="Delhi"/>
    <x v="12"/>
    <x v="3"/>
    <s v="Coffee Maker"/>
    <s v="1"/>
    <s v="15161.49"/>
    <n v="0.05"/>
    <s v="11729.59"/>
    <s v="2673.83"/>
    <x v="2"/>
    <x v="0"/>
    <s v="Mobile App"/>
    <n v="14403.415499999999"/>
  </r>
  <r>
    <s v="ORD105936"/>
    <x v="0"/>
    <s v="14-01-2025"/>
    <s v="CUST10604"/>
    <s v="Consumer"/>
    <s v="Maharashtra"/>
    <x v="20"/>
    <x v="3"/>
    <s v="Vacuum Cleaner"/>
    <s v="2"/>
    <s v="2150.92"/>
    <n v="0.2"/>
    <s v="2869.5"/>
    <s v="571.97"/>
    <x v="5"/>
    <x v="1"/>
    <s v="Marketplace"/>
    <n v="3441.4720000000002"/>
  </r>
  <r>
    <s v="ORD105939"/>
    <x v="8"/>
    <s v="04-08-2025"/>
    <s v="CUST10997"/>
    <s v="Consumer"/>
    <s v="West Bengal"/>
    <x v="0"/>
    <x v="3"/>
    <s v="Air Fryer"/>
    <s v="1"/>
    <s v="10557.78"/>
    <n v="0.1"/>
    <s v="7675.94"/>
    <s v="1826.06"/>
    <x v="3"/>
    <x v="2"/>
    <s v="Marketplace"/>
    <n v="9502.0020000000004"/>
  </r>
  <r>
    <s v="ORD105946"/>
    <x v="2"/>
    <s v="12-12-2025"/>
    <s v="CUST11433"/>
    <s v="Corporate"/>
    <s v="Delhi"/>
    <x v="12"/>
    <x v="2"/>
    <s v="Handbag"/>
    <s v="2"/>
    <s v="5311.89"/>
    <n v="0.1"/>
    <s v="6338.85"/>
    <s v="3222.55"/>
    <x v="5"/>
    <x v="0"/>
    <s v="Mobile App"/>
    <n v="9561.402"/>
  </r>
  <r>
    <s v="ORD105959"/>
    <x v="8"/>
    <s v="26-08-2025"/>
    <s v="CUST10674"/>
    <s v="Consumer"/>
    <s v="Kerala"/>
    <x v="6"/>
    <x v="1"/>
    <s v="Perfume"/>
    <s v="1"/>
    <s v="3365.84"/>
    <n v="0"/>
    <s v="2177.37"/>
    <s v="1188.47"/>
    <x v="1"/>
    <x v="2"/>
    <s v="Mobile App"/>
    <n v="3365.84"/>
  </r>
  <r>
    <s v="ORD105960"/>
    <x v="8"/>
    <s v="22-08-2025"/>
    <s v="CUST10932"/>
    <s v="Consumer"/>
    <s v="West Bengal"/>
    <x v="0"/>
    <x v="3"/>
    <s v="Vacuum Cleaner"/>
    <s v="2"/>
    <s v="13428.73"/>
    <n v="0.05"/>
    <s v="19819.560000000001"/>
    <s v="5695.03"/>
    <x v="0"/>
    <x v="1"/>
    <s v="Mobile App"/>
    <n v="25514.587"/>
  </r>
  <r>
    <s v="ORD105963"/>
    <x v="3"/>
    <s v="22-03-2025"/>
    <s v="CUST10418"/>
    <s v="Home Office"/>
    <s v="West Bengal"/>
    <x v="9"/>
    <x v="2"/>
    <s v="T-Shirt"/>
    <s v="1"/>
    <s v="4215.17"/>
    <n v="0.15"/>
    <s v="2556.23"/>
    <s v="1026.6600000000001"/>
    <x v="5"/>
    <x v="0"/>
    <s v="Website"/>
    <n v="3582.8944999999999"/>
  </r>
  <r>
    <s v="ORD105964"/>
    <x v="6"/>
    <s v="23-07-2025"/>
    <s v="CUST12501"/>
    <s v="Consumer"/>
    <s v="Maharashtra"/>
    <x v="21"/>
    <x v="0"/>
    <s v="Smartphone"/>
    <s v="1"/>
    <s v="37754.18"/>
    <n v="0.05"/>
    <s v="21060.87"/>
    <s v="14805.6"/>
    <x v="0"/>
    <x v="1"/>
    <s v="Website"/>
    <n v="35866.470999999998"/>
  </r>
  <r>
    <s v="ORD105966"/>
    <x v="8"/>
    <s v="19-08-2025"/>
    <s v="CUST13243"/>
    <s v="Consumer"/>
    <s v="Gujarat"/>
    <x v="3"/>
    <x v="4"/>
    <s v="Football"/>
    <s v="3"/>
    <s v="5182.97"/>
    <n v="0.1"/>
    <s v="8767.9500000000007"/>
    <s v="5226.07"/>
    <x v="1"/>
    <x v="0"/>
    <s v="Marketplace"/>
    <n v="13994.019"/>
  </r>
  <r>
    <s v="ORD105970"/>
    <x v="0"/>
    <s v="22-01-2025"/>
    <s v="CUST12890"/>
    <s v="Consumer"/>
    <s v="West Bengal"/>
    <x v="0"/>
    <x v="2"/>
    <s v="Handbag"/>
    <s v="2"/>
    <s v="1638.79"/>
    <n v="0.05"/>
    <s v="2411.5300000000002"/>
    <s v="702.17"/>
    <x v="1"/>
    <x v="0"/>
    <s v="Website"/>
    <n v="3113.70099999999"/>
  </r>
  <r>
    <s v="ORD105972"/>
    <x v="2"/>
    <s v="26-12-2025"/>
    <s v="CUST11623"/>
    <s v="Consumer"/>
    <s v="Karnataka"/>
    <x v="2"/>
    <x v="0"/>
    <s v="Laptop"/>
    <s v="3"/>
    <s v="13291.43"/>
    <n v="0.05"/>
    <s v="30590.19"/>
    <s v="7290.39"/>
    <x v="2"/>
    <x v="0"/>
    <s v="Website"/>
    <n v="37880.575499999999"/>
  </r>
  <r>
    <s v="ORD105975"/>
    <x v="6"/>
    <s v="01-07-2025"/>
    <s v="CUST10219"/>
    <s v="Consumer"/>
    <s v="Tamil Nadu"/>
    <x v="13"/>
    <x v="2"/>
    <s v="Sneakers"/>
    <s v="1"/>
    <s v="4721.6400000000003"/>
    <n v="0.1"/>
    <s v="3539.58"/>
    <s v="709.9"/>
    <x v="0"/>
    <x v="0"/>
    <s v="Website"/>
    <n v="4249.4759999999997"/>
  </r>
  <r>
    <s v="ORD105978"/>
    <x v="9"/>
    <s v="19-06-2025"/>
    <s v="CUST11894"/>
    <s v="Consumer"/>
    <s v="Tamil Nadu"/>
    <x v="13"/>
    <x v="3"/>
    <s v="Coffee Maker"/>
    <s v="2"/>
    <s v="16932.41"/>
    <n v="0.1"/>
    <s v="20039.419999999998"/>
    <s v="10438.92"/>
    <x v="2"/>
    <x v="0"/>
    <s v="Mobile App"/>
    <n v="30478.338"/>
  </r>
  <r>
    <s v="ORD105984"/>
    <x v="10"/>
    <s v="03-11-2025"/>
    <s v="CUST10056"/>
    <s v="Consumer"/>
    <s v="Kerala"/>
    <x v="5"/>
    <x v="2"/>
    <s v="Handbag"/>
    <s v="1"/>
    <s v="1493.56"/>
    <n v="0"/>
    <s v="1156.32"/>
    <s v="337.24"/>
    <x v="1"/>
    <x v="0"/>
    <s v="Website"/>
    <n v="1493.56"/>
  </r>
  <r>
    <s v="ORD105987"/>
    <x v="11"/>
    <s v="14-10-2025"/>
    <s v="CUST12709"/>
    <s v="Corporate"/>
    <s v="West Bengal"/>
    <x v="0"/>
    <x v="0"/>
    <s v="Smartwatch"/>
    <s v="1"/>
    <s v="19858.900000000001"/>
    <n v="0.2"/>
    <s v="12114.12"/>
    <s v="3773"/>
    <x v="1"/>
    <x v="0"/>
    <s v="Mobile App"/>
    <n v="15887.12"/>
  </r>
  <r>
    <s v="ORD106004"/>
    <x v="11"/>
    <s v="01-10-2025"/>
    <s v="CUST11946"/>
    <s v="Corporate"/>
    <s v="Telangana"/>
    <x v="16"/>
    <x v="0"/>
    <s v="Headphones"/>
    <s v="1"/>
    <s v="34964.51"/>
    <n v="0"/>
    <s v="25995.21"/>
    <s v="8969.2999999999993"/>
    <x v="1"/>
    <x v="0"/>
    <s v="Website"/>
    <n v="34964.51"/>
  </r>
  <r>
    <s v="ORD106019"/>
    <x v="0"/>
    <s v="16-01-2025"/>
    <s v="CUST11698"/>
    <s v="Home Office"/>
    <s v="Maharashtra"/>
    <x v="4"/>
    <x v="3"/>
    <s v="Coffee Maker"/>
    <s v="1"/>
    <s v="2812.29"/>
    <n v="0.15"/>
    <s v="1753.27"/>
    <s v="637.17999999999995"/>
    <x v="5"/>
    <x v="2"/>
    <s v="Marketplace"/>
    <n v="2390.4465"/>
  </r>
  <r>
    <s v="ORD106020"/>
    <x v="0"/>
    <s v="12-01-2025"/>
    <s v="CUST11907"/>
    <s v="Consumer"/>
    <s v="Karnataka"/>
    <x v="22"/>
    <x v="1"/>
    <s v="Perfume"/>
    <s v="3"/>
    <s v="3075"/>
    <n v="0.2"/>
    <s v="6650.15"/>
    <s v="729.85"/>
    <x v="1"/>
    <x v="0"/>
    <s v="Marketplace"/>
    <n v="7380"/>
  </r>
  <r>
    <s v="ORD106028"/>
    <x v="7"/>
    <s v="13-05-2025"/>
    <s v="CUST10583"/>
    <s v="Corporate"/>
    <s v="Delhi"/>
    <x v="7"/>
    <x v="1"/>
    <s v="Perfume"/>
    <s v="1"/>
    <s v="4354.8100000000004"/>
    <n v="0.15"/>
    <s v="2492.5500000000002"/>
    <s v="1209.04"/>
    <x v="2"/>
    <x v="2"/>
    <s v="Website"/>
    <n v="3701.5884999999998"/>
  </r>
  <r>
    <s v="ORD106045"/>
    <x v="10"/>
    <s v="30-11-2025"/>
    <s v="CUST12368"/>
    <s v="Home Office"/>
    <s v="Kerala"/>
    <x v="5"/>
    <x v="2"/>
    <s v="T-Shirt"/>
    <s v="2"/>
    <s v="5104.22"/>
    <n v="0.1"/>
    <s v="5946.42"/>
    <s v="3241.18"/>
    <x v="2"/>
    <x v="0"/>
    <s v="Mobile App"/>
    <n v="9187.5959999999995"/>
  </r>
  <r>
    <s v="ORD106065"/>
    <x v="7"/>
    <s v="25-05-2025"/>
    <s v="CUST11124"/>
    <s v="Consumer"/>
    <s v="Telangana"/>
    <x v="16"/>
    <x v="3"/>
    <s v="Vacuum Cleaner"/>
    <s v="1"/>
    <s v="15230.83"/>
    <n v="0"/>
    <s v="11964.93"/>
    <s v="3265.9"/>
    <x v="2"/>
    <x v="0"/>
    <s v="Marketplace"/>
    <n v="15230.83"/>
  </r>
  <r>
    <s v="ORD106069"/>
    <x v="0"/>
    <s v="15-01-2025"/>
    <s v="CUST12858"/>
    <s v="Home Office"/>
    <s v="Gujarat"/>
    <x v="10"/>
    <x v="3"/>
    <s v="Mixer Grinder"/>
    <s v="3"/>
    <s v="585.25"/>
    <n v="0"/>
    <s v="1143.06"/>
    <s v="612.69000000000005"/>
    <x v="0"/>
    <x v="0"/>
    <s v="Website"/>
    <n v="1755.75"/>
  </r>
  <r>
    <s v="ORD106071"/>
    <x v="3"/>
    <s v="19-03-2025"/>
    <s v="CUST13389"/>
    <s v="Home Office"/>
    <s v="Delhi"/>
    <x v="12"/>
    <x v="4"/>
    <s v="Running Shoes"/>
    <s v="1"/>
    <s v="3530.66"/>
    <n v="0.05"/>
    <s v="2069.96"/>
    <s v="1284.17"/>
    <x v="3"/>
    <x v="0"/>
    <s v="Website"/>
    <n v="3354.1269999999899"/>
  </r>
  <r>
    <s v="ORD106072"/>
    <x v="11"/>
    <s v="10-10-2025"/>
    <s v="CUST13162"/>
    <s v="Home Office"/>
    <s v="West Bengal"/>
    <x v="0"/>
    <x v="1"/>
    <s v="Face Cream"/>
    <s v="1"/>
    <s v="4166.54"/>
    <n v="0.1"/>
    <s v="2785.93"/>
    <s v="963.96"/>
    <x v="1"/>
    <x v="0"/>
    <s v="Website"/>
    <n v="3749.886"/>
  </r>
  <r>
    <s v="ORD106084"/>
    <x v="7"/>
    <s v="31-05-2025"/>
    <s v="CUST10432"/>
    <s v="Consumer"/>
    <s v="West Bengal"/>
    <x v="9"/>
    <x v="3"/>
    <s v="Cookware Set"/>
    <s v="2"/>
    <s v="8111.34"/>
    <n v="0.15"/>
    <s v="10755.02"/>
    <s v="3034.26"/>
    <x v="1"/>
    <x v="0"/>
    <s v="Website"/>
    <n v="13789.278"/>
  </r>
  <r>
    <s v="ORD106091"/>
    <x v="3"/>
    <s v="26-03-2025"/>
    <s v="CUST10543"/>
    <s v="Corporate"/>
    <s v="Tamil Nadu"/>
    <x v="19"/>
    <x v="0"/>
    <s v="Smartwatch"/>
    <s v="1"/>
    <s v="49629.79"/>
    <n v="0"/>
    <s v="38676.769999999997"/>
    <s v="10953.02"/>
    <x v="0"/>
    <x v="0"/>
    <s v="Mobile App"/>
    <n v="49629.79"/>
  </r>
  <r>
    <s v="ORD106096"/>
    <x v="0"/>
    <s v="02-01-2025"/>
    <s v="CUST11148"/>
    <s v="Consumer"/>
    <s v="Kerala"/>
    <x v="6"/>
    <x v="4"/>
    <s v="Fitness Band"/>
    <s v="1"/>
    <s v="973.5"/>
    <n v="0"/>
    <s v="587.80999999999995"/>
    <s v="385.69"/>
    <x v="3"/>
    <x v="1"/>
    <s v="Website"/>
    <n v="973.5"/>
  </r>
  <r>
    <s v="ORD106111"/>
    <x v="3"/>
    <s v="05-03-2025"/>
    <s v="CUST11693"/>
    <s v="Home Office"/>
    <s v="Karnataka"/>
    <x v="2"/>
    <x v="3"/>
    <s v="Mixer Grinder"/>
    <s v="1"/>
    <s v="15772.25"/>
    <n v="0.1"/>
    <s v="8876.9699999999993"/>
    <s v="5318.05"/>
    <x v="0"/>
    <x v="0"/>
    <s v="Marketplace"/>
    <n v="14195.025"/>
  </r>
  <r>
    <s v="ORD106113"/>
    <x v="5"/>
    <s v="07-09-2025"/>
    <s v="CUST12943"/>
    <s v="Corporate"/>
    <s v="Tamil Nadu"/>
    <x v="13"/>
    <x v="2"/>
    <s v="Jeans"/>
    <s v="3"/>
    <s v="4657.12"/>
    <n v="0.05"/>
    <s v="9898.5"/>
    <s v="3374.29"/>
    <x v="1"/>
    <x v="0"/>
    <s v="Marketplace"/>
    <n v="13272.791999999999"/>
  </r>
  <r>
    <s v="ORD106115"/>
    <x v="10"/>
    <s v="11-11-2025"/>
    <s v="CUST11252"/>
    <s v="Corporate"/>
    <s v="Maharashtra"/>
    <x v="4"/>
    <x v="0"/>
    <s v="Headphones"/>
    <s v="4"/>
    <s v="64473.73"/>
    <n v="0"/>
    <s v="174170.12"/>
    <s v="83724.800000000003"/>
    <x v="5"/>
    <x v="3"/>
    <s v="Marketplace"/>
    <n v="257894.92"/>
  </r>
  <r>
    <s v="ORD106118"/>
    <x v="7"/>
    <s v="21-05-2025"/>
    <s v="CUST10412"/>
    <s v="Home Office"/>
    <s v="Delhi"/>
    <x v="12"/>
    <x v="1"/>
    <s v="Lipstick"/>
    <s v="4"/>
    <s v="2887.93"/>
    <n v="0.1"/>
    <s v="7612.62"/>
    <s v="2783.93"/>
    <x v="1"/>
    <x v="0"/>
    <s v="Marketplace"/>
    <n v="10396.547999999901"/>
  </r>
  <r>
    <s v="ORD106124"/>
    <x v="10"/>
    <s v="15-11-2025"/>
    <s v="CUST10280"/>
    <s v="Corporate"/>
    <s v="Gujarat"/>
    <x v="18"/>
    <x v="0"/>
    <s v="Laptop"/>
    <s v="1"/>
    <s v="54420.160000000003"/>
    <n v="0.15"/>
    <s v="37298.01"/>
    <s v="8959.1299999999992"/>
    <x v="1"/>
    <x v="0"/>
    <s v="Mobile App"/>
    <n v="46257.135999999999"/>
  </r>
  <r>
    <s v="ORD106127"/>
    <x v="8"/>
    <s v="31-08-2025"/>
    <s v="CUST10853"/>
    <s v="Consumer"/>
    <s v="Delhi"/>
    <x v="7"/>
    <x v="4"/>
    <s v="Running Shoes"/>
    <s v="1"/>
    <s v="3686.02"/>
    <n v="0.05"/>
    <s v="2967.69"/>
    <s v="534.03"/>
    <x v="1"/>
    <x v="0"/>
    <s v="Marketplace"/>
    <n v="3501.71899999999"/>
  </r>
  <r>
    <s v="ORD106129"/>
    <x v="5"/>
    <s v="14-09-2025"/>
    <s v="CUST13134"/>
    <s v="Consumer"/>
    <s v="Karnataka"/>
    <x v="17"/>
    <x v="2"/>
    <s v="T-Shirt"/>
    <s v="3"/>
    <s v="1598.29"/>
    <n v="0.1"/>
    <s v="3740.44"/>
    <s v="574.94000000000005"/>
    <x v="3"/>
    <x v="0"/>
    <s v="Website"/>
    <n v="4315.3829999999998"/>
  </r>
  <r>
    <s v="ORD106137"/>
    <x v="10"/>
    <s v="25-11-2025"/>
    <s v="CUST12056"/>
    <s v="Corporate"/>
    <s v="Maharashtra"/>
    <x v="4"/>
    <x v="3"/>
    <s v="Cookware Set"/>
    <s v="1"/>
    <s v="17013.32"/>
    <n v="0.05"/>
    <s v="13365.87"/>
    <s v="2796.78"/>
    <x v="0"/>
    <x v="0"/>
    <s v="Marketplace"/>
    <n v="16162.6539999999"/>
  </r>
  <r>
    <s v="ORD106141"/>
    <x v="4"/>
    <s v="03-04-2025"/>
    <s v="CUST11079"/>
    <s v="Corporate"/>
    <s v="Maharashtra"/>
    <x v="21"/>
    <x v="0"/>
    <s v="Smartwatch"/>
    <s v="2"/>
    <s v="50271.55"/>
    <n v="0.15"/>
    <s v="61168.99"/>
    <s v="24292.65"/>
    <x v="1"/>
    <x v="0"/>
    <s v="Mobile App"/>
    <n v="85461.634999999995"/>
  </r>
  <r>
    <s v="ORD106154"/>
    <x v="2"/>
    <s v="29-12-2025"/>
    <s v="CUST11856"/>
    <s v="Home Office"/>
    <s v="Maharashtra"/>
    <x v="20"/>
    <x v="0"/>
    <s v="Laptop"/>
    <s v="1"/>
    <s v="22218.400000000001"/>
    <n v="0.15"/>
    <s v="18163.64"/>
    <s v="722"/>
    <x v="2"/>
    <x v="0"/>
    <s v="Marketplace"/>
    <n v="18885.64"/>
  </r>
  <r>
    <s v="ORD106158"/>
    <x v="2"/>
    <s v="29-12-2025"/>
    <s v="CUST13245"/>
    <s v="Home Office"/>
    <s v="Tamil Nadu"/>
    <x v="19"/>
    <x v="1"/>
    <s v="Perfume"/>
    <s v="1"/>
    <s v="4558.21"/>
    <n v="0.1"/>
    <s v="3013.2"/>
    <s v="1089.19"/>
    <x v="3"/>
    <x v="2"/>
    <s v="Website"/>
    <n v="4102.3890000000001"/>
  </r>
  <r>
    <s v="ORD106160"/>
    <x v="6"/>
    <s v="30-07-2025"/>
    <s v="CUST12866"/>
    <s v="Home Office"/>
    <s v="Gujarat"/>
    <x v="3"/>
    <x v="3"/>
    <s v="Air Fryer"/>
    <s v="1"/>
    <s v="11772.06"/>
    <n v="0.05"/>
    <s v="7655.04"/>
    <s v="3528.42"/>
    <x v="0"/>
    <x v="0"/>
    <s v="Marketplace"/>
    <n v="11183.4569999999"/>
  </r>
  <r>
    <s v="ORD106161"/>
    <x v="4"/>
    <s v="06-04-2025"/>
    <s v="CUST12972"/>
    <s v="Home Office"/>
    <s v="West Bengal"/>
    <x v="9"/>
    <x v="4"/>
    <s v="Cricket Bat"/>
    <s v="4"/>
    <s v="9325.2000000000007"/>
    <n v="0"/>
    <s v="29232.54"/>
    <s v="8068.26"/>
    <x v="0"/>
    <x v="3"/>
    <s v="Mobile App"/>
    <n v="37300.800000000003"/>
  </r>
  <r>
    <s v="ORD106163"/>
    <x v="10"/>
    <s v="08-11-2025"/>
    <s v="CUST12327"/>
    <s v="Corporate"/>
    <s v="Maharashtra"/>
    <x v="4"/>
    <x v="0"/>
    <s v="Smartwatch"/>
    <s v="2"/>
    <s v="35220.769999999997"/>
    <n v="0.05"/>
    <s v="42809.5"/>
    <s v="24109.96"/>
    <x v="1"/>
    <x v="3"/>
    <s v="Website"/>
    <n v="66919.462999999902"/>
  </r>
  <r>
    <s v="ORD106164"/>
    <x v="2"/>
    <s v="24-12-2025"/>
    <s v="CUST12909"/>
    <s v="Corporate"/>
    <s v="Tamil Nadu"/>
    <x v="8"/>
    <x v="3"/>
    <s v="Mixer Grinder"/>
    <s v="3"/>
    <s v="13832.89"/>
    <n v="0.15"/>
    <s v="29516.86"/>
    <s v="5757.01"/>
    <x v="2"/>
    <x v="0"/>
    <s v="Mobile App"/>
    <n v="35273.869500000001"/>
  </r>
  <r>
    <s v="ORD106171"/>
    <x v="5"/>
    <s v="25-09-2025"/>
    <s v="CUST13154"/>
    <s v="Consumer"/>
    <s v="Delhi"/>
    <x v="7"/>
    <x v="1"/>
    <s v="Perfume"/>
    <s v="1"/>
    <s v="3516.53"/>
    <n v="0.1"/>
    <s v="2549.08"/>
    <s v="615.79999999999995"/>
    <x v="2"/>
    <x v="0"/>
    <s v="Website"/>
    <n v="3164.877"/>
  </r>
  <r>
    <s v="ORD106190"/>
    <x v="2"/>
    <s v="04-12-2025"/>
    <s v="CUST12529"/>
    <s v="Corporate"/>
    <s v="Karnataka"/>
    <x v="17"/>
    <x v="0"/>
    <s v="Tablet"/>
    <s v="1"/>
    <s v="14826.51"/>
    <n v="0"/>
    <s v="10413.450000000001"/>
    <s v="4413.0600000000004"/>
    <x v="2"/>
    <x v="0"/>
    <s v="Mobile App"/>
    <n v="14826.51"/>
  </r>
  <r>
    <s v="ORD106194"/>
    <x v="9"/>
    <s v="20-06-2025"/>
    <s v="CUST10996"/>
    <s v="Home Office"/>
    <s v="Maharashtra"/>
    <x v="21"/>
    <x v="4"/>
    <s v="Football"/>
    <s v="1"/>
    <s v="1717.88"/>
    <n v="0.1"/>
    <s v="1060.1300000000001"/>
    <s v="485.96"/>
    <x v="5"/>
    <x v="0"/>
    <s v="Website"/>
    <n v="1546.0920000000001"/>
  </r>
  <r>
    <s v="ORD106201"/>
    <x v="9"/>
    <s v="02-06-2025"/>
    <s v="CUST10974"/>
    <s v="Consumer"/>
    <s v="Gujarat"/>
    <x v="3"/>
    <x v="2"/>
    <s v="Jeans"/>
    <s v="1"/>
    <s v="2438.0100000000002"/>
    <n v="0.15"/>
    <s v="1861.8"/>
    <s v="210.51"/>
    <x v="1"/>
    <x v="0"/>
    <s v="Mobile App"/>
    <n v="2072.3085000000001"/>
  </r>
  <r>
    <s v="ORD106205"/>
    <x v="3"/>
    <s v="09-03-2025"/>
    <s v="CUST11763"/>
    <s v="Corporate"/>
    <s v="Kerala"/>
    <x v="6"/>
    <x v="3"/>
    <s v="Cookware Set"/>
    <s v="1"/>
    <s v="7005.17"/>
    <n v="0.1"/>
    <s v="3895.29"/>
    <s v="2409.36"/>
    <x v="0"/>
    <x v="2"/>
    <s v="Mobile App"/>
    <n v="6304.6530000000002"/>
  </r>
  <r>
    <s v="ORD106207"/>
    <x v="9"/>
    <s v="12-06-2025"/>
    <s v="CUST10838"/>
    <s v="Consumer"/>
    <s v="Gujarat"/>
    <x v="10"/>
    <x v="3"/>
    <s v="Air Fryer"/>
    <s v="1"/>
    <s v="16103.05"/>
    <n v="0.05"/>
    <s v="9268.4500000000007"/>
    <s v="6029.45"/>
    <x v="2"/>
    <x v="0"/>
    <s v="Mobile App"/>
    <n v="15297.897499999999"/>
  </r>
  <r>
    <s v="ORD106211"/>
    <x v="3"/>
    <s v="15-03-2025"/>
    <s v="CUST11253"/>
    <s v="Home Office"/>
    <s v="Tamil Nadu"/>
    <x v="13"/>
    <x v="1"/>
    <s v="Hair Dryer"/>
    <s v="2"/>
    <s v="3761.91"/>
    <n v="0.2"/>
    <s v="5701.42"/>
    <s v="317.64"/>
    <x v="3"/>
    <x v="0"/>
    <s v="Website"/>
    <n v="6019.0559999999996"/>
  </r>
  <r>
    <s v="ORD106215"/>
    <x v="3"/>
    <s v="13-03-2025"/>
    <s v="CUST10206"/>
    <s v="Consumer"/>
    <s v="Gujarat"/>
    <x v="10"/>
    <x v="0"/>
    <s v="Tablet"/>
    <s v="4"/>
    <s v="19821.55"/>
    <n v="0.05"/>
    <s v="55970.12"/>
    <s v="19351.77"/>
    <x v="5"/>
    <x v="0"/>
    <s v="Website"/>
    <n v="75321.89"/>
  </r>
  <r>
    <s v="ORD106224"/>
    <x v="7"/>
    <s v="30-05-2025"/>
    <s v="CUST10209"/>
    <s v="Consumer"/>
    <s v="Telangana"/>
    <x v="14"/>
    <x v="3"/>
    <s v="Coffee Maker"/>
    <s v="3"/>
    <s v="17360.009999999998"/>
    <n v="0.2"/>
    <s v="40289.26"/>
    <s v="1374.76"/>
    <x v="3"/>
    <x v="0"/>
    <s v="Marketplace"/>
    <n v="41664.023999999998"/>
  </r>
  <r>
    <s v="ORD106238"/>
    <x v="10"/>
    <s v="30-11-2025"/>
    <s v="CUST10653"/>
    <s v="Corporate"/>
    <s v="Karnataka"/>
    <x v="2"/>
    <x v="0"/>
    <s v="Headphones"/>
    <s v="3"/>
    <s v="37399.47"/>
    <n v="0.2"/>
    <s v="64765.59"/>
    <s v="24993.14"/>
    <x v="0"/>
    <x v="0"/>
    <s v="Mobile App"/>
    <n v="89758.728000000003"/>
  </r>
  <r>
    <s v="ORD106239"/>
    <x v="5"/>
    <s v="04-09-2025"/>
    <s v="CUST11292"/>
    <s v="Home Office"/>
    <s v="Gujarat"/>
    <x v="18"/>
    <x v="0"/>
    <s v="Smartwatch"/>
    <s v="2"/>
    <s v="67958.8"/>
    <n v="0.15"/>
    <s v="98226.96"/>
    <s v="17303"/>
    <x v="1"/>
    <x v="0"/>
    <s v="Website"/>
    <n v="115529.96"/>
  </r>
  <r>
    <s v="ORD106243"/>
    <x v="1"/>
    <s v="08-02-2025"/>
    <s v="CUST11143"/>
    <s v="Consumer"/>
    <s v="Maharashtra"/>
    <x v="21"/>
    <x v="2"/>
    <s v="Handbag"/>
    <s v="1"/>
    <s v="6082.42"/>
    <n v="0"/>
    <s v="3843.72"/>
    <s v="2238.6999999999998"/>
    <x v="3"/>
    <x v="1"/>
    <s v="Mobile App"/>
    <n v="6082.42"/>
  </r>
  <r>
    <s v="ORD106253"/>
    <x v="11"/>
    <s v="15-10-2025"/>
    <s v="CUST10562"/>
    <s v="Corporate"/>
    <s v="Gujarat"/>
    <x v="3"/>
    <x v="3"/>
    <s v="Vacuum Cleaner"/>
    <s v="1"/>
    <s v="4788.25"/>
    <n v="0.15"/>
    <s v="2774.21"/>
    <s v="1295.8"/>
    <x v="1"/>
    <x v="0"/>
    <s v="Marketplace"/>
    <n v="4070.0124999999998"/>
  </r>
  <r>
    <s v="ORD106254"/>
    <x v="9"/>
    <s v="07-06-2025"/>
    <s v="CUST12312"/>
    <s v="Consumer"/>
    <s v="Kerala"/>
    <x v="5"/>
    <x v="3"/>
    <s v="Coffee Maker"/>
    <s v="3"/>
    <s v="11270.02"/>
    <n v="0.15"/>
    <s v="24181.03"/>
    <s v="4557.5200000000004"/>
    <x v="0"/>
    <x v="0"/>
    <s v="Mobile App"/>
    <n v="28738.550999999901"/>
  </r>
  <r>
    <s v="ORD106261"/>
    <x v="3"/>
    <s v="31-03-2025"/>
    <s v="CUST11122"/>
    <s v="Home Office"/>
    <s v="Tamil Nadu"/>
    <x v="13"/>
    <x v="0"/>
    <s v="Tablet"/>
    <s v="1"/>
    <s v="34537.440000000002"/>
    <n v="0.15"/>
    <s v="21173.77"/>
    <s v="8183.05"/>
    <x v="1"/>
    <x v="0"/>
    <s v="Website"/>
    <n v="29356.824000000001"/>
  </r>
  <r>
    <s v="ORD106265"/>
    <x v="9"/>
    <s v="17-06-2025"/>
    <s v="CUST12787"/>
    <s v="Consumer"/>
    <s v="Telangana"/>
    <x v="16"/>
    <x v="2"/>
    <s v="Sneakers"/>
    <s v="1"/>
    <s v="4684.6899999999996"/>
    <n v="0.2"/>
    <s v="2631.65"/>
    <s v="1116.0999999999999"/>
    <x v="2"/>
    <x v="2"/>
    <s v="Marketplace"/>
    <n v="3747.752"/>
  </r>
  <r>
    <s v="ORD106268"/>
    <x v="10"/>
    <s v="03-11-2025"/>
    <s v="CUST12248"/>
    <s v="Home Office"/>
    <s v="Delhi"/>
    <x v="12"/>
    <x v="4"/>
    <s v="Fitness Band"/>
    <s v="2"/>
    <s v="10281.44"/>
    <n v="0"/>
    <s v="12087.77"/>
    <s v="8475.11"/>
    <x v="2"/>
    <x v="0"/>
    <s v="Mobile App"/>
    <n v="20562.88"/>
  </r>
  <r>
    <s v="ORD106270"/>
    <x v="4"/>
    <s v="12-04-2025"/>
    <s v="CUST12461"/>
    <s v="Home Office"/>
    <s v="Karnataka"/>
    <x v="22"/>
    <x v="0"/>
    <s v="Tablet"/>
    <s v="1"/>
    <s v="41414.199999999997"/>
    <n v="0.2"/>
    <s v="24631.71"/>
    <s v="8499.65"/>
    <x v="1"/>
    <x v="0"/>
    <s v="Mobile App"/>
    <n v="33131.360000000001"/>
  </r>
  <r>
    <s v="ORD106272"/>
    <x v="3"/>
    <s v="24-03-2025"/>
    <s v="CUST12915"/>
    <s v="Home Office"/>
    <s v="West Bengal"/>
    <x v="9"/>
    <x v="3"/>
    <s v="Coffee Maker"/>
    <s v="3"/>
    <s v="9173.68"/>
    <n v="0.1"/>
    <s v="20680.52"/>
    <s v="4088.42"/>
    <x v="3"/>
    <x v="3"/>
    <s v="Website"/>
    <n v="24768.936000000002"/>
  </r>
  <r>
    <s v="ORD106277"/>
    <x v="4"/>
    <s v="15-04-2025"/>
    <s v="CUST11066"/>
    <s v="Corporate"/>
    <s v="Delhi"/>
    <x v="7"/>
    <x v="3"/>
    <s v="Air Fryer"/>
    <s v="2"/>
    <s v="1745.68"/>
    <n v="0.15"/>
    <s v="2476.06"/>
    <s v="491.6"/>
    <x v="5"/>
    <x v="0"/>
    <s v="Mobile App"/>
    <n v="2967.6559999999999"/>
  </r>
  <r>
    <s v="ORD106306"/>
    <x v="8"/>
    <s v="09-08-2025"/>
    <s v="CUST10941"/>
    <s v="Home Office"/>
    <s v="West Bengal"/>
    <x v="0"/>
    <x v="3"/>
    <s v="Coffee Maker"/>
    <s v="1"/>
    <s v="2680.01"/>
    <n v="0.05"/>
    <s v="1656.22"/>
    <s v="889.79"/>
    <x v="3"/>
    <x v="3"/>
    <s v="Mobile App"/>
    <n v="2546.0095000000001"/>
  </r>
  <r>
    <s v="ORD106309"/>
    <x v="2"/>
    <s v="29-12-2025"/>
    <s v="CUST13296"/>
    <s v="Corporate"/>
    <s v="Maharashtra"/>
    <x v="21"/>
    <x v="3"/>
    <s v="Coffee Maker"/>
    <s v="2"/>
    <s v="3125.35"/>
    <n v="0.1"/>
    <s v="4371.58"/>
    <s v="1254.05"/>
    <x v="2"/>
    <x v="0"/>
    <s v="Marketplace"/>
    <n v="5625.63"/>
  </r>
  <r>
    <s v="ORD106312"/>
    <x v="7"/>
    <s v="28-05-2025"/>
    <s v="CUST10092"/>
    <s v="Corporate"/>
    <s v="Tamil Nadu"/>
    <x v="1"/>
    <x v="1"/>
    <s v="Shampoo"/>
    <s v="1"/>
    <s v="4609.6400000000003"/>
    <n v="0"/>
    <s v="3730.23"/>
    <s v="879.41"/>
    <x v="1"/>
    <x v="0"/>
    <s v="Marketplace"/>
    <n v="4609.6400000000003"/>
  </r>
  <r>
    <s v="ORD106313"/>
    <x v="4"/>
    <s v="01-04-2025"/>
    <s v="CUST11530"/>
    <s v="Home Office"/>
    <s v="Tamil Nadu"/>
    <x v="8"/>
    <x v="2"/>
    <s v="Sneakers"/>
    <s v="1"/>
    <s v="5916.35"/>
    <n v="0.05"/>
    <s v="4476.5"/>
    <s v="1144.03"/>
    <x v="3"/>
    <x v="0"/>
    <s v="Website"/>
    <n v="5620.5325000000003"/>
  </r>
  <r>
    <s v="ORD106315"/>
    <x v="6"/>
    <s v="14-07-2025"/>
    <s v="CUST10669"/>
    <s v="Consumer"/>
    <s v="Gujarat"/>
    <x v="3"/>
    <x v="4"/>
    <s v="Football"/>
    <s v="1"/>
    <s v="5358.92"/>
    <n v="0.05"/>
    <s v="4219.12"/>
    <s v="871.85"/>
    <x v="1"/>
    <x v="0"/>
    <s v="Website"/>
    <n v="5090.9740000000002"/>
  </r>
  <r>
    <s v="ORD106319"/>
    <x v="9"/>
    <s v="30-06-2025"/>
    <s v="CUST11546"/>
    <s v="Corporate"/>
    <s v="Gujarat"/>
    <x v="10"/>
    <x v="3"/>
    <s v="Air Fryer"/>
    <s v="1"/>
    <s v="4785.95"/>
    <n v="0.1"/>
    <s v="3106.02"/>
    <s v="1201.33"/>
    <x v="5"/>
    <x v="0"/>
    <s v="Marketplace"/>
    <n v="4307.3549999999996"/>
  </r>
  <r>
    <s v="ORD106342"/>
    <x v="0"/>
    <s v="04-01-2025"/>
    <s v="CUST11339"/>
    <s v="Home Office"/>
    <s v="West Bengal"/>
    <x v="9"/>
    <x v="3"/>
    <s v="Mixer Grinder"/>
    <s v="3"/>
    <s v="17515.7"/>
    <n v="0"/>
    <s v="35628.94"/>
    <s v="16918.16"/>
    <x v="0"/>
    <x v="0"/>
    <s v="Website"/>
    <n v="52547.1"/>
  </r>
  <r>
    <s v="ORD106345"/>
    <x v="6"/>
    <s v="20-07-2025"/>
    <s v="CUST11290"/>
    <s v="Corporate"/>
    <s v="Gujarat"/>
    <x v="18"/>
    <x v="3"/>
    <s v="Mixer Grinder"/>
    <s v="1"/>
    <s v="9511.84"/>
    <n v="0.1"/>
    <s v="5326.72"/>
    <s v="3233.94"/>
    <x v="3"/>
    <x v="0"/>
    <s v="Marketplace"/>
    <n v="8560.6560000000009"/>
  </r>
  <r>
    <s v="ORD106367"/>
    <x v="6"/>
    <s v="05-07-2025"/>
    <s v="CUST11840"/>
    <s v="Home Office"/>
    <s v="Gujarat"/>
    <x v="10"/>
    <x v="2"/>
    <s v="Handbag"/>
    <s v="1"/>
    <s v="6234.67"/>
    <n v="0"/>
    <s v="4068.81"/>
    <s v="2165.86"/>
    <x v="2"/>
    <x v="0"/>
    <s v="Marketplace"/>
    <n v="6234.67"/>
  </r>
  <r>
    <s v="ORD106368"/>
    <x v="3"/>
    <s v="30-03-2025"/>
    <s v="CUST12637"/>
    <s v="Corporate"/>
    <s v="Maharashtra"/>
    <x v="21"/>
    <x v="3"/>
    <s v="Mixer Grinder"/>
    <s v="1"/>
    <s v="14915.07"/>
    <n v="0.05"/>
    <s v="8210.58"/>
    <s v="5958.74"/>
    <x v="5"/>
    <x v="1"/>
    <s v="Marketplace"/>
    <n v="14169.316499999901"/>
  </r>
  <r>
    <s v="ORD106384"/>
    <x v="4"/>
    <s v="11-04-2025"/>
    <s v="CUST11269"/>
    <s v="Corporate"/>
    <s v="Karnataka"/>
    <x v="22"/>
    <x v="4"/>
    <s v="Cricket Bat"/>
    <s v="2"/>
    <s v="11666.53"/>
    <n v="0.15"/>
    <s v="17040.72"/>
    <s v="2792.38"/>
    <x v="2"/>
    <x v="1"/>
    <s v="Website"/>
    <n v="19833.100999999999"/>
  </r>
  <r>
    <s v="ORD106387"/>
    <x v="4"/>
    <s v="23-04-2025"/>
    <s v="CUST12044"/>
    <s v="Home Office"/>
    <s v="Maharashtra"/>
    <x v="4"/>
    <x v="2"/>
    <s v="T-Shirt"/>
    <s v="1"/>
    <s v="5885.18"/>
    <n v="0.1"/>
    <s v="3511.88"/>
    <s v="1784.78"/>
    <x v="1"/>
    <x v="0"/>
    <s v="Marketplace"/>
    <n v="5296.6620000000003"/>
  </r>
  <r>
    <s v="ORD106396"/>
    <x v="3"/>
    <s v="09-03-2025"/>
    <s v="CUST10547"/>
    <s v="Consumer"/>
    <s v="Gujarat"/>
    <x v="3"/>
    <x v="3"/>
    <s v="Air Fryer"/>
    <s v="1"/>
    <s v="13482.72"/>
    <n v="0"/>
    <s v="8114.68"/>
    <s v="5368.04"/>
    <x v="3"/>
    <x v="0"/>
    <s v="Mobile App"/>
    <n v="13482.72"/>
  </r>
  <r>
    <s v="ORD106403"/>
    <x v="5"/>
    <s v="06-09-2025"/>
    <s v="CUST11272"/>
    <s v="Home Office"/>
    <s v="Tamil Nadu"/>
    <x v="1"/>
    <x v="3"/>
    <s v="Cookware Set"/>
    <s v="1"/>
    <s v="5394.37"/>
    <n v="0.1"/>
    <s v="3843.41"/>
    <s v="1011.52"/>
    <x v="1"/>
    <x v="0"/>
    <s v="Mobile App"/>
    <n v="4854.933"/>
  </r>
  <r>
    <s v="ORD106413"/>
    <x v="10"/>
    <s v="16-11-2025"/>
    <s v="CUST13088"/>
    <s v="Consumer"/>
    <s v="Karnataka"/>
    <x v="17"/>
    <x v="0"/>
    <s v="Tablet"/>
    <s v="1"/>
    <s v="39895.410000000003"/>
    <n v="0.1"/>
    <s v="24658.47"/>
    <s v="11247.4"/>
    <x v="1"/>
    <x v="0"/>
    <s v="Website"/>
    <n v="35905.868999999999"/>
  </r>
  <r>
    <s v="ORD106416"/>
    <x v="10"/>
    <s v="05-11-2025"/>
    <s v="CUST11393"/>
    <s v="Home Office"/>
    <s v="Karnataka"/>
    <x v="2"/>
    <x v="4"/>
    <s v="Cricket Bat"/>
    <s v="1"/>
    <s v="1853.76"/>
    <n v="0"/>
    <s v="1484.68"/>
    <s v="369.08"/>
    <x v="3"/>
    <x v="0"/>
    <s v="Marketplace"/>
    <n v="1853.76"/>
  </r>
  <r>
    <s v="ORD106425"/>
    <x v="5"/>
    <s v="16-09-2025"/>
    <s v="CUST10712"/>
    <s v="Corporate"/>
    <s v="Kerala"/>
    <x v="5"/>
    <x v="0"/>
    <s v="Tablet"/>
    <s v="2"/>
    <s v="50054.41"/>
    <n v="0.1"/>
    <s v="70407.48"/>
    <s v="19690.46"/>
    <x v="2"/>
    <x v="0"/>
    <s v="Marketplace"/>
    <n v="90097.937999999995"/>
  </r>
  <r>
    <s v="ORD106431"/>
    <x v="7"/>
    <s v="01-05-2025"/>
    <s v="CUST10844"/>
    <s v="Home Office"/>
    <s v="Karnataka"/>
    <x v="17"/>
    <x v="2"/>
    <s v="Sneakers"/>
    <s v="1"/>
    <s v="2369.1799999999998"/>
    <n v="0.05"/>
    <s v="1328.52"/>
    <s v="922.2"/>
    <x v="3"/>
    <x v="2"/>
    <s v="Website"/>
    <n v="2250.72099999999"/>
  </r>
  <r>
    <s v="ORD106433"/>
    <x v="7"/>
    <s v="04-05-2025"/>
    <s v="CUST10662"/>
    <s v="Consumer"/>
    <s v="Maharashtra"/>
    <x v="20"/>
    <x v="4"/>
    <s v="Cricket Bat"/>
    <s v="1"/>
    <s v="2736.16"/>
    <n v="0.2"/>
    <s v="1985.3"/>
    <s v="203.63"/>
    <x v="5"/>
    <x v="0"/>
    <s v="Mobile App"/>
    <n v="2188.9279999999999"/>
  </r>
  <r>
    <s v="ORD106439"/>
    <x v="5"/>
    <s v="20-09-2025"/>
    <s v="CUST12228"/>
    <s v="Corporate"/>
    <s v="Kerala"/>
    <x v="5"/>
    <x v="3"/>
    <s v="Coffee Maker"/>
    <s v="2"/>
    <s v="13951.6"/>
    <n v="0.1"/>
    <s v="16046.4"/>
    <s v="9066.48"/>
    <x v="2"/>
    <x v="0"/>
    <s v="Mobile App"/>
    <n v="25112.880000000001"/>
  </r>
  <r>
    <s v="ORD106457"/>
    <x v="2"/>
    <s v="19-12-2025"/>
    <s v="CUST10797"/>
    <s v="Consumer"/>
    <s v="Karnataka"/>
    <x v="22"/>
    <x v="0"/>
    <s v="Smartwatch"/>
    <s v="4"/>
    <s v="61153.26"/>
    <n v="0.05"/>
    <s v="140499.07999999999"/>
    <s v="91883.31"/>
    <x v="5"/>
    <x v="0"/>
    <s v="Marketplace"/>
    <n v="232382.38800000001"/>
  </r>
  <r>
    <s v="ORD106460"/>
    <x v="1"/>
    <s v="12-02-2025"/>
    <s v="CUST11092"/>
    <s v="Consumer"/>
    <s v="Kerala"/>
    <x v="5"/>
    <x v="0"/>
    <s v="Smartwatch"/>
    <s v="1"/>
    <s v="52299.02"/>
    <n v="0.2"/>
    <s v="40954.94"/>
    <s v="884.28"/>
    <x v="5"/>
    <x v="0"/>
    <s v="Marketplace"/>
    <n v="41839.216"/>
  </r>
  <r>
    <s v="ORD106471"/>
    <x v="3"/>
    <s v="29-03-2025"/>
    <s v="CUST11401"/>
    <s v="Consumer"/>
    <s v="Tamil Nadu"/>
    <x v="13"/>
    <x v="0"/>
    <s v="Laptop"/>
    <s v="1"/>
    <s v="14410.07"/>
    <n v="0"/>
    <s v="9451.65"/>
    <s v="4958.42"/>
    <x v="2"/>
    <x v="0"/>
    <s v="Website"/>
    <n v="14410.07"/>
  </r>
  <r>
    <s v="ORD106472"/>
    <x v="5"/>
    <s v="16-09-2025"/>
    <s v="CUST10453"/>
    <s v="Home Office"/>
    <s v="Delhi"/>
    <x v="12"/>
    <x v="1"/>
    <s v="Lipstick"/>
    <s v="1"/>
    <s v="2182.34"/>
    <n v="0.1"/>
    <s v="1367.4"/>
    <s v="596.71"/>
    <x v="5"/>
    <x v="0"/>
    <s v="Marketplace"/>
    <n v="1964.106"/>
  </r>
  <r>
    <s v="ORD106476"/>
    <x v="3"/>
    <s v="06-03-2025"/>
    <s v="CUST10424"/>
    <s v="Corporate"/>
    <s v="West Bengal"/>
    <x v="0"/>
    <x v="2"/>
    <s v="T-Shirt"/>
    <s v="2"/>
    <s v="2312.33"/>
    <n v="0.05"/>
    <s v="2571.61"/>
    <s v="1821.82"/>
    <x v="0"/>
    <x v="0"/>
    <s v="Website"/>
    <n v="4393.4269999999997"/>
  </r>
  <r>
    <s v="ORD106484"/>
    <x v="11"/>
    <s v="14-10-2025"/>
    <s v="CUST10610"/>
    <s v="Home Office"/>
    <s v="Kerala"/>
    <x v="5"/>
    <x v="2"/>
    <s v="Sneakers"/>
    <s v="2"/>
    <s v="1770.16"/>
    <n v="0.1"/>
    <s v="2736.4"/>
    <s v="449.89"/>
    <x v="2"/>
    <x v="0"/>
    <s v="Website"/>
    <n v="3186.288"/>
  </r>
  <r>
    <s v="ORD106493"/>
    <x v="7"/>
    <s v="21-05-2025"/>
    <s v="CUST12342"/>
    <s v="Home Office"/>
    <s v="Maharashtra"/>
    <x v="20"/>
    <x v="1"/>
    <s v="Hair Dryer"/>
    <s v="1"/>
    <s v="2872.55"/>
    <n v="0.15"/>
    <s v="1740.73"/>
    <s v="700.94"/>
    <x v="1"/>
    <x v="3"/>
    <s v="Website"/>
    <n v="2441.6675"/>
  </r>
  <r>
    <s v="ORD106499"/>
    <x v="10"/>
    <s v="19-11-2025"/>
    <s v="CUST12721"/>
    <s v="Consumer"/>
    <s v="Gujarat"/>
    <x v="3"/>
    <x v="2"/>
    <s v="Sneakers"/>
    <s v="4"/>
    <s v="416.46"/>
    <n v="0.1"/>
    <s v="1362.46"/>
    <s v="136.80000000000001"/>
    <x v="1"/>
    <x v="0"/>
    <s v="Marketplace"/>
    <n v="1499.2559999999901"/>
  </r>
  <r>
    <s v="ORD106502"/>
    <x v="9"/>
    <s v="04-06-2025"/>
    <s v="CUST13225"/>
    <s v="Corporate"/>
    <s v="Telangana"/>
    <x v="16"/>
    <x v="1"/>
    <s v="Perfume"/>
    <s v="1"/>
    <s v="2264.7800000000002"/>
    <n v="0.05"/>
    <s v="1677.82"/>
    <s v="473.72"/>
    <x v="1"/>
    <x v="0"/>
    <s v="Marketplace"/>
    <n v="2151.5410000000002"/>
  </r>
  <r>
    <s v="ORD106537"/>
    <x v="4"/>
    <s v="02-04-2025"/>
    <s v="CUST11724"/>
    <s v="Corporate"/>
    <s v="Karnataka"/>
    <x v="2"/>
    <x v="4"/>
    <s v="Fitness Band"/>
    <s v="1"/>
    <s v="3844.47"/>
    <n v="0.05"/>
    <s v="2477.04"/>
    <s v="1175.21"/>
    <x v="3"/>
    <x v="0"/>
    <s v="Mobile App"/>
    <n v="3652.2464999999902"/>
  </r>
  <r>
    <s v="ORD106555"/>
    <x v="1"/>
    <s v="17-02-2025"/>
    <s v="CUST12065"/>
    <s v="Home Office"/>
    <s v="Maharashtra"/>
    <x v="20"/>
    <x v="3"/>
    <s v="Mixer Grinder"/>
    <s v="2"/>
    <s v="15679.01"/>
    <n v="0.2"/>
    <s v="24978.21"/>
    <s v="108.21"/>
    <x v="5"/>
    <x v="0"/>
    <s v="Marketplace"/>
    <n v="25086.416000000001"/>
  </r>
  <r>
    <s v="ORD106561"/>
    <x v="4"/>
    <s v="17-04-2025"/>
    <s v="CUST12352"/>
    <s v="Consumer"/>
    <s v="Kerala"/>
    <x v="6"/>
    <x v="0"/>
    <s v="Smartphone"/>
    <s v="2"/>
    <s v="11585.1"/>
    <n v="0"/>
    <s v="16403.88"/>
    <s v="6766.32"/>
    <x v="1"/>
    <x v="0"/>
    <s v="Mobile App"/>
    <n v="23170.2"/>
  </r>
  <r>
    <s v="ORD106563"/>
    <x v="7"/>
    <s v="11-05-2025"/>
    <s v="CUST10897"/>
    <s v="Home Office"/>
    <s v="Gujarat"/>
    <x v="3"/>
    <x v="1"/>
    <s v="Hair Dryer"/>
    <s v="1"/>
    <s v="2942.96"/>
    <n v="0"/>
    <s v="2285.31"/>
    <s v="657.65"/>
    <x v="5"/>
    <x v="0"/>
    <s v="Mobile App"/>
    <n v="2942.96"/>
  </r>
  <r>
    <s v="ORD106570"/>
    <x v="7"/>
    <s v="09-05-2025"/>
    <s v="CUST12971"/>
    <s v="Corporate"/>
    <s v="Kerala"/>
    <x v="15"/>
    <x v="3"/>
    <s v="Coffee Maker"/>
    <s v="1"/>
    <s v="11153.97"/>
    <n v="0"/>
    <s v="7496.89"/>
    <s v="3657.08"/>
    <x v="0"/>
    <x v="0"/>
    <s v="Mobile App"/>
    <n v="11153.97"/>
  </r>
  <r>
    <s v="ORD106577"/>
    <x v="2"/>
    <s v="19-12-2025"/>
    <s v="CUST11928"/>
    <s v="Home Office"/>
    <s v="West Bengal"/>
    <x v="0"/>
    <x v="3"/>
    <s v="Coffee Maker"/>
    <s v="1"/>
    <s v="678.67"/>
    <n v="0.05"/>
    <s v="466.02"/>
    <s v="178.72"/>
    <x v="4"/>
    <x v="0"/>
    <s v="Mobile App"/>
    <n v="644.73649999999998"/>
  </r>
  <r>
    <s v="ORD106582"/>
    <x v="4"/>
    <s v="21-04-2025"/>
    <s v="CUST11703"/>
    <s v="Corporate"/>
    <s v="Kerala"/>
    <x v="15"/>
    <x v="0"/>
    <s v="Tablet"/>
    <s v="2"/>
    <s v="51889.53"/>
    <n v="0.05"/>
    <s v="70935.94"/>
    <s v="27654.17"/>
    <x v="0"/>
    <x v="0"/>
    <s v="Marketplace"/>
    <n v="98590.106999999902"/>
  </r>
  <r>
    <s v="ORD106591"/>
    <x v="5"/>
    <s v="19-09-2025"/>
    <s v="CUST11677"/>
    <s v="Corporate"/>
    <s v="West Bengal"/>
    <x v="0"/>
    <x v="4"/>
    <s v="Yoga Mat"/>
    <s v="3"/>
    <s v="7236.11"/>
    <n v="0.2"/>
    <s v="15613.54"/>
    <s v="1753.12"/>
    <x v="1"/>
    <x v="0"/>
    <s v="Mobile App"/>
    <n v="17366.664000000001"/>
  </r>
  <r>
    <s v="ORD106600"/>
    <x v="9"/>
    <s v="14-06-2025"/>
    <s v="CUST13448"/>
    <s v="Corporate"/>
    <s v="Karnataka"/>
    <x v="17"/>
    <x v="0"/>
    <s v="Smartphone"/>
    <s v="1"/>
    <s v="27237.62"/>
    <n v="0.1"/>
    <s v="19119.23"/>
    <s v="5394.63"/>
    <x v="0"/>
    <x v="0"/>
    <s v="Marketplace"/>
    <n v="24513.858"/>
  </r>
  <r>
    <s v="ORD106604"/>
    <x v="3"/>
    <s v="09-03-2025"/>
    <s v="CUST11966"/>
    <s v="Consumer"/>
    <s v="Gujarat"/>
    <x v="18"/>
    <x v="0"/>
    <s v="Laptop"/>
    <s v="1"/>
    <s v="12089.4"/>
    <n v="0.1"/>
    <s v="8885.34"/>
    <s v="1995.12"/>
    <x v="5"/>
    <x v="1"/>
    <s v="Website"/>
    <n v="10880.46"/>
  </r>
  <r>
    <s v="ORD106607"/>
    <x v="4"/>
    <s v="26-04-2025"/>
    <s v="CUST10964"/>
    <s v="Corporate"/>
    <s v="Delhi"/>
    <x v="7"/>
    <x v="0"/>
    <s v="Smartphone"/>
    <s v="1"/>
    <s v="67648.39"/>
    <n v="0"/>
    <s v="39073.31"/>
    <s v="28575.08"/>
    <x v="2"/>
    <x v="0"/>
    <s v="Mobile App"/>
    <n v="67648.39"/>
  </r>
  <r>
    <s v="ORD106614"/>
    <x v="4"/>
    <s v="15-04-2025"/>
    <s v="CUST13023"/>
    <s v="Corporate"/>
    <s v="Maharashtra"/>
    <x v="4"/>
    <x v="4"/>
    <s v="Cricket Bat"/>
    <s v="1"/>
    <s v="1224.1500000000001"/>
    <n v="0.05"/>
    <s v="939.9"/>
    <s v="223.04"/>
    <x v="2"/>
    <x v="0"/>
    <s v="Marketplace"/>
    <n v="1162.9425000000001"/>
  </r>
  <r>
    <s v="ORD106635"/>
    <x v="4"/>
    <s v="24-04-2025"/>
    <s v="CUST10987"/>
    <s v="Consumer"/>
    <s v="West Bengal"/>
    <x v="0"/>
    <x v="3"/>
    <s v="Coffee Maker"/>
    <s v="1"/>
    <s v="5694.11"/>
    <n v="0"/>
    <s v="4528.24"/>
    <s v="1165.8699999999999"/>
    <x v="1"/>
    <x v="0"/>
    <s v="Website"/>
    <n v="5694.11"/>
  </r>
  <r>
    <s v="ORD106636"/>
    <x v="10"/>
    <s v="01-11-2025"/>
    <s v="CUST10055"/>
    <s v="Corporate"/>
    <s v="Kerala"/>
    <x v="6"/>
    <x v="4"/>
    <s v="Fitness Band"/>
    <s v="1"/>
    <s v="1056.6099999999999"/>
    <n v="0.1"/>
    <s v="644.66999999999996"/>
    <s v="306.27999999999997"/>
    <x v="5"/>
    <x v="0"/>
    <s v="Website"/>
    <n v="950.94899999999996"/>
  </r>
  <r>
    <s v="ORD106637"/>
    <x v="0"/>
    <s v="24-01-2025"/>
    <s v="CUST12543"/>
    <s v="Consumer"/>
    <s v="West Bengal"/>
    <x v="0"/>
    <x v="2"/>
    <s v="Jacket"/>
    <s v="1"/>
    <s v="593.64"/>
    <n v="0.15"/>
    <s v="373.79"/>
    <s v="130.80000000000001"/>
    <x v="0"/>
    <x v="2"/>
    <s v="Website"/>
    <n v="504.59399999999999"/>
  </r>
  <r>
    <s v="ORD106640"/>
    <x v="10"/>
    <s v="26-11-2025"/>
    <s v="CUST12733"/>
    <s v="Home Office"/>
    <s v="Telangana"/>
    <x v="14"/>
    <x v="3"/>
    <s v="Cookware Set"/>
    <s v="2"/>
    <s v="15803.3"/>
    <n v="0"/>
    <s v="23516.02"/>
    <s v="8090.58"/>
    <x v="1"/>
    <x v="0"/>
    <s v="Marketplace"/>
    <n v="31606.6"/>
  </r>
  <r>
    <s v="ORD106651"/>
    <x v="7"/>
    <s v="20-05-2025"/>
    <s v="CUST10057"/>
    <s v="Corporate"/>
    <s v="Delhi"/>
    <x v="12"/>
    <x v="1"/>
    <s v="Face Cream"/>
    <s v="2"/>
    <s v="2723.14"/>
    <n v="0.15"/>
    <s v="3930.12"/>
    <s v="699.22"/>
    <x v="2"/>
    <x v="0"/>
    <s v="Mobile App"/>
    <n v="4629.3379999999997"/>
  </r>
  <r>
    <s v="ORD106654"/>
    <x v="0"/>
    <s v="18-01-2025"/>
    <s v="CUST10363"/>
    <s v="Home Office"/>
    <s v="Karnataka"/>
    <x v="22"/>
    <x v="0"/>
    <s v="Laptop"/>
    <s v="1"/>
    <s v="27877.69"/>
    <n v="0.05"/>
    <s v="18844.759999999998"/>
    <s v="7639.05"/>
    <x v="5"/>
    <x v="0"/>
    <s v="Marketplace"/>
    <n v="26483.805499999999"/>
  </r>
  <r>
    <s v="ORD106660"/>
    <x v="1"/>
    <s v="02-02-2025"/>
    <s v="CUST12232"/>
    <s v="Consumer"/>
    <s v="Maharashtra"/>
    <x v="4"/>
    <x v="2"/>
    <s v="Sneakers"/>
    <s v="1"/>
    <s v="3405.03"/>
    <n v="0.1"/>
    <s v="2158.79"/>
    <s v="905.74"/>
    <x v="0"/>
    <x v="0"/>
    <s v="Website"/>
    <n v="3064.527"/>
  </r>
  <r>
    <s v="ORD106661"/>
    <x v="10"/>
    <s v="20-11-2025"/>
    <s v="CUST10935"/>
    <s v="Corporate"/>
    <s v="Telangana"/>
    <x v="16"/>
    <x v="4"/>
    <s v="Fitness Band"/>
    <s v="2"/>
    <s v="5036.83"/>
    <n v="0.1"/>
    <s v="7900.57"/>
    <s v="1165.72"/>
    <x v="5"/>
    <x v="1"/>
    <s v="Mobile App"/>
    <n v="9066.2939999999999"/>
  </r>
  <r>
    <s v="ORD106664"/>
    <x v="3"/>
    <s v="26-03-2025"/>
    <s v="CUST11759"/>
    <s v="Corporate"/>
    <s v="Tamil Nadu"/>
    <x v="11"/>
    <x v="3"/>
    <s v="Cookware Set"/>
    <s v="1"/>
    <s v="9795.11"/>
    <n v="0.1"/>
    <s v="6580.36"/>
    <s v="2235.2399999999998"/>
    <x v="5"/>
    <x v="0"/>
    <s v="Marketplace"/>
    <n v="8815.5990000000002"/>
  </r>
  <r>
    <s v="ORD106672"/>
    <x v="10"/>
    <s v="24-11-2025"/>
    <s v="CUST12025"/>
    <s v="Corporate"/>
    <s v="Telangana"/>
    <x v="14"/>
    <x v="4"/>
    <s v="Fitness Band"/>
    <s v="1"/>
    <s v="2073.61"/>
    <n v="0.05"/>
    <s v="1681.94"/>
    <s v="287.99"/>
    <x v="5"/>
    <x v="0"/>
    <s v="Mobile App"/>
    <n v="1969.9295"/>
  </r>
  <r>
    <s v="ORD106678"/>
    <x v="4"/>
    <s v="25-04-2025"/>
    <s v="CUST12923"/>
    <s v="Home Office"/>
    <s v="Delhi"/>
    <x v="12"/>
    <x v="3"/>
    <s v="Vacuum Cleaner"/>
    <s v="2"/>
    <s v="3424.58"/>
    <n v="0.1"/>
    <s v="4411.24"/>
    <s v="1753"/>
    <x v="5"/>
    <x v="0"/>
    <s v="Website"/>
    <n v="6164.2439999999997"/>
  </r>
  <r>
    <s v="ORD106699"/>
    <x v="6"/>
    <s v="02-07-2025"/>
    <s v="CUST11317"/>
    <s v="Home Office"/>
    <s v="Karnataka"/>
    <x v="22"/>
    <x v="0"/>
    <s v="Headphones"/>
    <s v="1"/>
    <s v="67974.009999999995"/>
    <n v="0.1"/>
    <s v="50787.26"/>
    <s v="10389.35"/>
    <x v="0"/>
    <x v="0"/>
    <s v="Website"/>
    <n v="61176.608999999997"/>
  </r>
  <r>
    <s v="ORD106700"/>
    <x v="1"/>
    <s v="12-02-2025"/>
    <s v="CUST12037"/>
    <s v="Home Office"/>
    <s v="Karnataka"/>
    <x v="17"/>
    <x v="4"/>
    <s v="Running Shoes"/>
    <s v="1"/>
    <s v="9123.64"/>
    <n v="0.05"/>
    <s v="6844.14"/>
    <s v="1823.32"/>
    <x v="0"/>
    <x v="0"/>
    <s v="Marketplace"/>
    <n v="8667.4579999999896"/>
  </r>
  <r>
    <s v="ORD106703"/>
    <x v="1"/>
    <s v="21-02-2025"/>
    <s v="CUST10787"/>
    <s v="Home Office"/>
    <s v="Tamil Nadu"/>
    <x v="13"/>
    <x v="2"/>
    <s v="Handbag"/>
    <s v="3"/>
    <s v="5560.75"/>
    <n v="0.05"/>
    <s v="13528.99"/>
    <s v="2319.15"/>
    <x v="3"/>
    <x v="0"/>
    <s v="Marketplace"/>
    <n v="15848.137499999901"/>
  </r>
  <r>
    <s v="ORD106711"/>
    <x v="7"/>
    <s v="05-05-2025"/>
    <s v="CUST12505"/>
    <s v="Corporate"/>
    <s v="Telangana"/>
    <x v="16"/>
    <x v="3"/>
    <s v="Mixer Grinder"/>
    <s v="3"/>
    <s v="5017.6400000000003"/>
    <n v="0.05"/>
    <s v="9424.24"/>
    <s v="4876.03"/>
    <x v="2"/>
    <x v="0"/>
    <s v="Mobile App"/>
    <n v="14300.273999999999"/>
  </r>
  <r>
    <s v="ORD106716"/>
    <x v="6"/>
    <s v="06-07-2025"/>
    <s v="CUST10491"/>
    <s v="Corporate"/>
    <s v="Kerala"/>
    <x v="15"/>
    <x v="1"/>
    <s v="Shampoo"/>
    <s v="2"/>
    <s v="3607.4"/>
    <n v="0.1"/>
    <s v="4129.1499999999996"/>
    <s v="2364.17"/>
    <x v="5"/>
    <x v="0"/>
    <s v="Marketplace"/>
    <n v="6493.32"/>
  </r>
  <r>
    <s v="ORD106719"/>
    <x v="5"/>
    <s v="17-09-2025"/>
    <s v="CUST13447"/>
    <s v="Corporate"/>
    <s v="West Bengal"/>
    <x v="9"/>
    <x v="0"/>
    <s v="Smartphone"/>
    <s v="1"/>
    <s v="6597.42"/>
    <n v="0.1"/>
    <s v="3816.47"/>
    <s v="2121.21"/>
    <x v="0"/>
    <x v="0"/>
    <s v="Marketplace"/>
    <n v="5937.6779999999999"/>
  </r>
  <r>
    <s v="ORD106723"/>
    <x v="1"/>
    <s v="17-02-2025"/>
    <s v="CUST12834"/>
    <s v="Home Office"/>
    <s v="Telangana"/>
    <x v="16"/>
    <x v="2"/>
    <s v="Jacket"/>
    <s v="1"/>
    <s v="3828.05"/>
    <n v="0"/>
    <s v="2305.5"/>
    <s v="1522.55"/>
    <x v="5"/>
    <x v="0"/>
    <s v="Mobile App"/>
    <n v="3828.05"/>
  </r>
  <r>
    <s v="ORD106727"/>
    <x v="2"/>
    <s v="07-12-2025"/>
    <s v="CUST11968"/>
    <s v="Corporate"/>
    <s v="Telangana"/>
    <x v="14"/>
    <x v="3"/>
    <s v="Air Fryer"/>
    <s v="1"/>
    <s v="13672.49"/>
    <n v="0.15"/>
    <s v="10479.51"/>
    <s v="1142.1099999999999"/>
    <x v="3"/>
    <x v="0"/>
    <s v="Marketplace"/>
    <n v="11621.6165"/>
  </r>
  <r>
    <s v="ORD106742"/>
    <x v="0"/>
    <s v="22-01-2025"/>
    <s v="CUST12500"/>
    <s v="Home Office"/>
    <s v="Kerala"/>
    <x v="5"/>
    <x v="1"/>
    <s v="Perfume"/>
    <s v="2"/>
    <s v="4323.05"/>
    <n v="0.05"/>
    <s v="5151.82"/>
    <s v="3061.98"/>
    <x v="1"/>
    <x v="0"/>
    <s v="Website"/>
    <n v="8213.7950000000001"/>
  </r>
  <r>
    <s v="ORD106743"/>
    <x v="5"/>
    <s v="29-09-2025"/>
    <s v="CUST12141"/>
    <s v="Consumer"/>
    <s v="Gujarat"/>
    <x v="18"/>
    <x v="3"/>
    <s v="Air Fryer"/>
    <s v="4"/>
    <s v="12714.61"/>
    <n v="0"/>
    <s v="37190.959999999999"/>
    <s v="13667.48"/>
    <x v="5"/>
    <x v="2"/>
    <s v="Marketplace"/>
    <n v="50858.44"/>
  </r>
  <r>
    <s v="ORD106744"/>
    <x v="5"/>
    <s v="29-09-2025"/>
    <s v="CUST12738"/>
    <s v="Corporate"/>
    <s v="Gujarat"/>
    <x v="18"/>
    <x v="2"/>
    <s v="Handbag"/>
    <s v="1"/>
    <s v="2282.56"/>
    <n v="0.05"/>
    <s v="1311.15"/>
    <s v="857.28"/>
    <x v="1"/>
    <x v="0"/>
    <s v="Website"/>
    <n v="2168.4319999999998"/>
  </r>
  <r>
    <s v="ORD106748"/>
    <x v="6"/>
    <s v="26-07-2025"/>
    <s v="CUST11214"/>
    <s v="Consumer"/>
    <s v="Kerala"/>
    <x v="6"/>
    <x v="0"/>
    <s v="Laptop"/>
    <s v="2"/>
    <s v="41744.57"/>
    <n v="0.2"/>
    <s v="65198.64"/>
    <s v="1592.67"/>
    <x v="3"/>
    <x v="0"/>
    <s v="Website"/>
    <n v="66791.312000000005"/>
  </r>
  <r>
    <s v="ORD106752"/>
    <x v="8"/>
    <s v="02-08-2025"/>
    <s v="CUST13182"/>
    <s v="Home Office"/>
    <s v="Karnataka"/>
    <x v="2"/>
    <x v="2"/>
    <s v="Handbag"/>
    <s v="3"/>
    <s v="5948.41"/>
    <n v="0.05"/>
    <s v="10945.93"/>
    <s v="6007.04"/>
    <x v="5"/>
    <x v="0"/>
    <s v="Website"/>
    <n v="16952.968499999999"/>
  </r>
  <r>
    <s v="ORD106775"/>
    <x v="1"/>
    <s v="19-02-2025"/>
    <s v="CUST13101"/>
    <s v="Consumer"/>
    <s v="Kerala"/>
    <x v="5"/>
    <x v="0"/>
    <s v="Smartwatch"/>
    <s v="1"/>
    <s v="63804.86"/>
    <n v="0.05"/>
    <s v="35219.120000000003"/>
    <s v="25395.5"/>
    <x v="5"/>
    <x v="0"/>
    <s v="Website"/>
    <n v="60614.616999999998"/>
  </r>
  <r>
    <s v="ORD106780"/>
    <x v="2"/>
    <s v="19-12-2025"/>
    <s v="CUST10367"/>
    <s v="Corporate"/>
    <s v="Kerala"/>
    <x v="15"/>
    <x v="2"/>
    <s v="Jeans"/>
    <s v="2"/>
    <s v="6261.49"/>
    <n v="0.05"/>
    <s v="8882.1299999999992"/>
    <s v="3014.7"/>
    <x v="2"/>
    <x v="0"/>
    <s v="Mobile App"/>
    <n v="11896.8309999999"/>
  </r>
  <r>
    <s v="ORD106786"/>
    <x v="11"/>
    <s v="09-10-2025"/>
    <s v="CUST11978"/>
    <s v="Consumer"/>
    <s v="Tamil Nadu"/>
    <x v="8"/>
    <x v="2"/>
    <s v="T-Shirt"/>
    <s v="4"/>
    <s v="807.5"/>
    <n v="0.15"/>
    <s v="1963.65"/>
    <s v="781.85"/>
    <x v="3"/>
    <x v="0"/>
    <s v="Website"/>
    <n v="2745.5"/>
  </r>
  <r>
    <s v="ORD106792"/>
    <x v="10"/>
    <s v="15-11-2025"/>
    <s v="CUST12280"/>
    <s v="Home Office"/>
    <s v="Telangana"/>
    <x v="16"/>
    <x v="0"/>
    <s v="Laptop"/>
    <s v="2"/>
    <s v="61225.69"/>
    <n v="0.1"/>
    <s v="82361.009999999995"/>
    <s v="27845.23"/>
    <x v="3"/>
    <x v="2"/>
    <s v="Mobile App"/>
    <n v="110206.242"/>
  </r>
  <r>
    <s v="ORD106794"/>
    <x v="4"/>
    <s v="08-04-2025"/>
    <s v="CUST11858"/>
    <s v="Corporate"/>
    <s v="Karnataka"/>
    <x v="2"/>
    <x v="2"/>
    <s v="T-Shirt"/>
    <s v="1"/>
    <s v="423.35"/>
    <n v="0"/>
    <s v="280.66000000000003"/>
    <s v="142.69"/>
    <x v="2"/>
    <x v="0"/>
    <s v="Mobile App"/>
    <n v="423.35"/>
  </r>
  <r>
    <s v="ORD106798"/>
    <x v="5"/>
    <s v="22-09-2025"/>
    <s v="CUST11776"/>
    <s v="Home Office"/>
    <s v="Tamil Nadu"/>
    <x v="13"/>
    <x v="1"/>
    <s v="Perfume"/>
    <s v="1"/>
    <s v="5587.24"/>
    <n v="0.1"/>
    <s v="4339.12"/>
    <s v="689.4"/>
    <x v="0"/>
    <x v="0"/>
    <s v="Mobile App"/>
    <n v="5028.5159999999996"/>
  </r>
  <r>
    <s v="ORD106799"/>
    <x v="9"/>
    <s v="24-06-2025"/>
    <s v="CUST10173"/>
    <s v="Corporate"/>
    <s v="Gujarat"/>
    <x v="3"/>
    <x v="3"/>
    <s v="Coffee Maker"/>
    <s v="3"/>
    <s v="16060.55"/>
    <n v="0.1"/>
    <s v="27697.57"/>
    <s v="15665.91"/>
    <x v="3"/>
    <x v="0"/>
    <s v="Marketplace"/>
    <n v="43363.484999999899"/>
  </r>
  <r>
    <s v="ORD106801"/>
    <x v="3"/>
    <s v="24-03-2025"/>
    <s v="CUST10397"/>
    <s v="Home Office"/>
    <s v="Maharashtra"/>
    <x v="21"/>
    <x v="4"/>
    <s v="Fitness Band"/>
    <s v="4"/>
    <s v="3447.49"/>
    <n v="0.05"/>
    <s v="9105.35"/>
    <s v="3995.11"/>
    <x v="5"/>
    <x v="0"/>
    <s v="Marketplace"/>
    <n v="13100.461999999899"/>
  </r>
  <r>
    <s v="ORD106802"/>
    <x v="1"/>
    <s v="21-02-2025"/>
    <s v="CUST10463"/>
    <s v="Home Office"/>
    <s v="Gujarat"/>
    <x v="18"/>
    <x v="3"/>
    <s v="Air Fryer"/>
    <s v="2"/>
    <s v="13482.64"/>
    <n v="0.2"/>
    <s v="19616.650000000001"/>
    <s v="1955.57"/>
    <x v="0"/>
    <x v="3"/>
    <s v="Mobile App"/>
    <n v="21572.223999999998"/>
  </r>
  <r>
    <s v="ORD106806"/>
    <x v="10"/>
    <s v="09-11-2025"/>
    <s v="CUST12843"/>
    <s v="Home Office"/>
    <s v="Maharashtra"/>
    <x v="21"/>
    <x v="4"/>
    <s v="Running Shoes"/>
    <s v="1"/>
    <s v="3707.3"/>
    <n v="0.05"/>
    <s v="2954.62"/>
    <s v="567.32000000000005"/>
    <x v="1"/>
    <x v="0"/>
    <s v="Website"/>
    <n v="3521.9349999999999"/>
  </r>
  <r>
    <s v="ORD106810"/>
    <x v="5"/>
    <s v="17-09-2025"/>
    <s v="CUST11195"/>
    <s v="Consumer"/>
    <s v="Delhi"/>
    <x v="12"/>
    <x v="2"/>
    <s v="Sneakers"/>
    <s v="1"/>
    <s v="1742.68"/>
    <n v="0.15"/>
    <s v="1108.44"/>
    <s v="372.84"/>
    <x v="1"/>
    <x v="0"/>
    <s v="Website"/>
    <n v="1481.278"/>
  </r>
  <r>
    <s v="ORD106813"/>
    <x v="4"/>
    <s v="19-04-2025"/>
    <s v="CUST11305"/>
    <s v="Home Office"/>
    <s v="Maharashtra"/>
    <x v="4"/>
    <x v="2"/>
    <s v="T-Shirt"/>
    <s v="4"/>
    <s v="688.91"/>
    <n v="0.05"/>
    <s v="1607.97"/>
    <s v="1009.89"/>
    <x v="0"/>
    <x v="0"/>
    <s v="Mobile App"/>
    <n v="2617.8579999999902"/>
  </r>
  <r>
    <s v="ORD106814"/>
    <x v="9"/>
    <s v="04-06-2025"/>
    <s v="CUST11183"/>
    <s v="Corporate"/>
    <s v="Telangana"/>
    <x v="16"/>
    <x v="1"/>
    <s v="Face Cream"/>
    <s v="2"/>
    <s v="4682.97"/>
    <n v="0.05"/>
    <s v="5874.76"/>
    <s v="3022.88"/>
    <x v="0"/>
    <x v="0"/>
    <s v="Website"/>
    <n v="8897.643"/>
  </r>
  <r>
    <s v="ORD106816"/>
    <x v="3"/>
    <s v="05-03-2025"/>
    <s v="CUST12708"/>
    <s v="Home Office"/>
    <s v="Delhi"/>
    <x v="7"/>
    <x v="0"/>
    <s v="Smartphone"/>
    <s v="1"/>
    <s v="73259.28"/>
    <n v="0.1"/>
    <s v="56648.85"/>
    <s v="9284.5"/>
    <x v="5"/>
    <x v="0"/>
    <s v="Marketplace"/>
    <n v="65933.351999999999"/>
  </r>
  <r>
    <s v="ORD106844"/>
    <x v="6"/>
    <s v="27-07-2025"/>
    <s v="CUST13114"/>
    <s v="Corporate"/>
    <s v="Maharashtra"/>
    <x v="20"/>
    <x v="0"/>
    <s v="Tablet"/>
    <s v="1"/>
    <s v="53447.22"/>
    <n v="0"/>
    <s v="40518.839999999997"/>
    <s v="12928.38"/>
    <x v="0"/>
    <x v="0"/>
    <s v="Website"/>
    <n v="53447.22"/>
  </r>
  <r>
    <s v="ORD106854"/>
    <x v="11"/>
    <s v="30-10-2025"/>
    <s v="CUST11341"/>
    <s v="Consumer"/>
    <s v="West Bengal"/>
    <x v="0"/>
    <x v="0"/>
    <s v="Laptop"/>
    <s v="1"/>
    <s v="997.45"/>
    <n v="0.05"/>
    <s v="753.6"/>
    <s v="193.98"/>
    <x v="2"/>
    <x v="0"/>
    <s v="Mobile App"/>
    <n v="947.57749999999999"/>
  </r>
  <r>
    <s v="ORD106856"/>
    <x v="2"/>
    <s v="25-12-2025"/>
    <s v="CUST11533"/>
    <s v="Home Office"/>
    <s v="Maharashtra"/>
    <x v="20"/>
    <x v="1"/>
    <s v="Hair Dryer"/>
    <s v="1"/>
    <s v="5786.76"/>
    <n v="0.05"/>
    <s v="3702.07"/>
    <s v="1795.35"/>
    <x v="0"/>
    <x v="3"/>
    <s v="Mobile App"/>
    <n v="5497.4219999999996"/>
  </r>
  <r>
    <s v="ORD106865"/>
    <x v="4"/>
    <s v="11-04-2025"/>
    <s v="CUST12137"/>
    <s v="Consumer"/>
    <s v="Telangana"/>
    <x v="14"/>
    <x v="0"/>
    <s v="Laptop"/>
    <s v="1"/>
    <s v="24523.23"/>
    <n v="0"/>
    <s v="15502.33"/>
    <s v="9020.9"/>
    <x v="2"/>
    <x v="0"/>
    <s v="Website"/>
    <n v="24523.23"/>
  </r>
  <r>
    <s v="ORD106880"/>
    <x v="4"/>
    <s v="24-04-2025"/>
    <s v="CUST11414"/>
    <s v="Corporate"/>
    <s v="Gujarat"/>
    <x v="18"/>
    <x v="2"/>
    <s v="T-Shirt"/>
    <s v="1"/>
    <s v="3566.17"/>
    <n v="0.15"/>
    <s v="2886.77"/>
    <s v="144.47"/>
    <x v="5"/>
    <x v="0"/>
    <s v="Marketplace"/>
    <n v="3031.2444999999998"/>
  </r>
  <r>
    <s v="ORD106886"/>
    <x v="2"/>
    <s v="12-12-2025"/>
    <s v="CUST11943"/>
    <s v="Corporate"/>
    <s v="Karnataka"/>
    <x v="17"/>
    <x v="4"/>
    <s v="Cricket Bat"/>
    <s v="1"/>
    <s v="10730.82"/>
    <n v="0.05"/>
    <s v="8785.86"/>
    <s v="1408.42"/>
    <x v="2"/>
    <x v="0"/>
    <s v="Mobile App"/>
    <n v="10194.2789999999"/>
  </r>
  <r>
    <s v="ORD106887"/>
    <x v="6"/>
    <s v="17-07-2025"/>
    <s v="CUST11218"/>
    <s v="Home Office"/>
    <s v="Gujarat"/>
    <x v="18"/>
    <x v="2"/>
    <s v="T-Shirt"/>
    <s v="2"/>
    <s v="2629.7"/>
    <n v="0"/>
    <s v="2925.26"/>
    <s v="2334.14"/>
    <x v="5"/>
    <x v="1"/>
    <s v="Website"/>
    <n v="5259.4"/>
  </r>
  <r>
    <s v="ORD106892"/>
    <x v="11"/>
    <s v="03-10-2025"/>
    <s v="CUST11474"/>
    <s v="Home Office"/>
    <s v="Tamil Nadu"/>
    <x v="19"/>
    <x v="2"/>
    <s v="Sneakers"/>
    <s v="1"/>
    <s v="4748.49"/>
    <n v="0.05"/>
    <s v="3404.85"/>
    <s v="1106.22"/>
    <x v="1"/>
    <x v="0"/>
    <s v="Marketplace"/>
    <n v="4511.0654999999997"/>
  </r>
  <r>
    <s v="ORD106893"/>
    <x v="6"/>
    <s v="04-07-2025"/>
    <s v="CUST12202"/>
    <s v="Home Office"/>
    <s v="Kerala"/>
    <x v="15"/>
    <x v="4"/>
    <s v="Football"/>
    <s v="1"/>
    <s v="7345.59"/>
    <n v="0.15"/>
    <s v="4423.22"/>
    <s v="1820.53"/>
    <x v="3"/>
    <x v="0"/>
    <s v="Marketplace"/>
    <n v="6243.7515000000003"/>
  </r>
  <r>
    <s v="ORD106911"/>
    <x v="5"/>
    <s v="03-09-2025"/>
    <s v="CUST12573"/>
    <s v="Consumer"/>
    <s v="Gujarat"/>
    <x v="18"/>
    <x v="3"/>
    <s v="Mixer Grinder"/>
    <s v="2"/>
    <s v="738.92"/>
    <n v="0.1"/>
    <s v="879.05"/>
    <s v="451.01"/>
    <x v="3"/>
    <x v="0"/>
    <s v="Website"/>
    <n v="1330.056"/>
  </r>
  <r>
    <s v="ORD106923"/>
    <x v="11"/>
    <s v="16-10-2025"/>
    <s v="CUST10550"/>
    <s v="Consumer"/>
    <s v="Telangana"/>
    <x v="14"/>
    <x v="0"/>
    <s v="Tablet"/>
    <s v="1"/>
    <s v="16367.6"/>
    <n v="0.05"/>
    <s v="12613.6"/>
    <s v="2935.62"/>
    <x v="2"/>
    <x v="0"/>
    <s v="Mobile App"/>
    <n v="15549.22"/>
  </r>
  <r>
    <s v="ORD106927"/>
    <x v="7"/>
    <s v="26-05-2025"/>
    <s v="CUST12765"/>
    <s v="Corporate"/>
    <s v="Delhi"/>
    <x v="12"/>
    <x v="2"/>
    <s v="Handbag"/>
    <s v="2"/>
    <s v="526.29"/>
    <n v="0"/>
    <s v="658.05"/>
    <s v="394.53"/>
    <x v="1"/>
    <x v="0"/>
    <s v="Mobile App"/>
    <n v="1052.58"/>
  </r>
  <r>
    <s v="ORD106948"/>
    <x v="11"/>
    <s v="20-10-2025"/>
    <s v="CUST11361"/>
    <s v="Corporate"/>
    <s v="Kerala"/>
    <x v="15"/>
    <x v="4"/>
    <s v="Cricket Bat"/>
    <s v="4"/>
    <s v="4009.43"/>
    <n v="0.1"/>
    <s v="10300.68"/>
    <s v="4133.2700000000004"/>
    <x v="3"/>
    <x v="1"/>
    <s v="Website"/>
    <n v="14433.948"/>
  </r>
  <r>
    <s v="ORD106949"/>
    <x v="2"/>
    <s v="26-12-2025"/>
    <s v="CUST12536"/>
    <s v="Corporate"/>
    <s v="Tamil Nadu"/>
    <x v="19"/>
    <x v="2"/>
    <s v="Jacket"/>
    <s v="1"/>
    <s v="2185"/>
    <n v="0.05"/>
    <s v="1720.88"/>
    <s v="354.87"/>
    <x v="5"/>
    <x v="0"/>
    <s v="Mobile App"/>
    <n v="2075.75"/>
  </r>
  <r>
    <s v="ORD106955"/>
    <x v="3"/>
    <s v="03-03-2025"/>
    <s v="CUST11905"/>
    <s v="Corporate"/>
    <s v="West Bengal"/>
    <x v="9"/>
    <x v="0"/>
    <s v="Smartwatch"/>
    <s v="1"/>
    <s v="28169.01"/>
    <n v="0.15"/>
    <s v="18847.54"/>
    <s v="5096.12"/>
    <x v="0"/>
    <x v="0"/>
    <s v="Mobile App"/>
    <n v="23943.6584999999"/>
  </r>
  <r>
    <s v="ORD106961"/>
    <x v="2"/>
    <s v="12-12-2025"/>
    <s v="CUST10090"/>
    <s v="Home Office"/>
    <s v="Telangana"/>
    <x v="14"/>
    <x v="3"/>
    <s v="Cookware Set"/>
    <s v="1"/>
    <s v="2453.8200000000002"/>
    <n v="0.05"/>
    <s v="1641.27"/>
    <s v="689.86"/>
    <x v="1"/>
    <x v="1"/>
    <s v="Website"/>
    <n v="2331.1289999999999"/>
  </r>
  <r>
    <s v="ORD106964"/>
    <x v="4"/>
    <s v="12-04-2025"/>
    <s v="CUST12157"/>
    <s v="Consumer"/>
    <s v="Kerala"/>
    <x v="15"/>
    <x v="3"/>
    <s v="Cookware Set"/>
    <s v="2"/>
    <s v="16918.240000000002"/>
    <n v="0.15"/>
    <s v="26404.400000000001"/>
    <s v="2356.61"/>
    <x v="5"/>
    <x v="0"/>
    <s v="Mobile App"/>
    <n v="28761.008000000002"/>
  </r>
  <r>
    <s v="ORD106965"/>
    <x v="2"/>
    <s v="26-12-2025"/>
    <s v="CUST13323"/>
    <s v="Consumer"/>
    <s v="Maharashtra"/>
    <x v="20"/>
    <x v="4"/>
    <s v="Football"/>
    <s v="1"/>
    <s v="11179.77"/>
    <n v="0.15"/>
    <s v="6232.95"/>
    <s v="3269.85"/>
    <x v="3"/>
    <x v="2"/>
    <s v="Marketplace"/>
    <n v="9502.8045000000002"/>
  </r>
  <r>
    <s v="ORD106966"/>
    <x v="2"/>
    <s v="17-12-2025"/>
    <s v="CUST12257"/>
    <s v="Home Office"/>
    <s v="Kerala"/>
    <x v="15"/>
    <x v="0"/>
    <s v="Smartphone"/>
    <s v="1"/>
    <s v="66657.850000000006"/>
    <n v="0.05"/>
    <s v="51561.46"/>
    <s v="11763.5"/>
    <x v="2"/>
    <x v="0"/>
    <s v="Website"/>
    <n v="63324.957499999997"/>
  </r>
  <r>
    <s v="ORD106976"/>
    <x v="3"/>
    <s v="14-03-2025"/>
    <s v="CUST12994"/>
    <s v="Home Office"/>
    <s v="Delhi"/>
    <x v="7"/>
    <x v="0"/>
    <s v="Laptop"/>
    <s v="1"/>
    <s v="6397.2"/>
    <n v="0"/>
    <s v="4854.7"/>
    <s v="1542.5"/>
    <x v="0"/>
    <x v="3"/>
    <s v="Mobile App"/>
    <n v="6397.2"/>
  </r>
  <r>
    <s v="ORD106994"/>
    <x v="8"/>
    <s v="31-08-2025"/>
    <s v="CUST13493"/>
    <s v="Home Office"/>
    <s v="Telangana"/>
    <x v="14"/>
    <x v="3"/>
    <s v="Vacuum Cleaner"/>
    <s v="2"/>
    <s v="10592.9"/>
    <n v="0.15"/>
    <s v="14722.43"/>
    <s v="3285.5"/>
    <x v="2"/>
    <x v="2"/>
    <s v="Mobile App"/>
    <n v="18007.93"/>
  </r>
  <r>
    <s v="ORD106995"/>
    <x v="0"/>
    <s v="11-01-2025"/>
    <s v="CUST10922"/>
    <s v="Corporate"/>
    <s v="Telangana"/>
    <x v="16"/>
    <x v="0"/>
    <s v="Smartwatch"/>
    <s v="3"/>
    <s v="870.71"/>
    <n v="0.15"/>
    <s v="1558.43"/>
    <s v="661.88"/>
    <x v="0"/>
    <x v="0"/>
    <s v="Website"/>
    <n v="2220.3105"/>
  </r>
  <r>
    <s v="ORD106997"/>
    <x v="9"/>
    <s v="17-06-2025"/>
    <s v="CUST13024"/>
    <s v="Corporate"/>
    <s v="Telangana"/>
    <x v="16"/>
    <x v="0"/>
    <s v="Headphones"/>
    <s v="1"/>
    <s v="73824.34"/>
    <n v="0.15"/>
    <s v="44937.77"/>
    <s v="17812.919999999998"/>
    <x v="0"/>
    <x v="0"/>
    <s v="Website"/>
    <n v="62750.688999999998"/>
  </r>
  <r>
    <s v="ORD106999"/>
    <x v="6"/>
    <s v="17-07-2025"/>
    <s v="CUST11898"/>
    <s v="Corporate"/>
    <s v="Gujarat"/>
    <x v="3"/>
    <x v="0"/>
    <s v="Tablet"/>
    <s v="3"/>
    <s v="8207.34"/>
    <n v="0"/>
    <s v="18776.099999999999"/>
    <s v="5845.92"/>
    <x v="2"/>
    <x v="0"/>
    <s v="Marketplace"/>
    <n v="24622.02"/>
  </r>
  <r>
    <s v="ORD107004"/>
    <x v="1"/>
    <s v="17-02-2025"/>
    <s v="CUST12363"/>
    <s v="Corporate"/>
    <s v="West Bengal"/>
    <x v="0"/>
    <x v="0"/>
    <s v="Laptop"/>
    <s v="1"/>
    <s v="69664.08"/>
    <n v="0"/>
    <s v="52099.56"/>
    <s v="17564.52"/>
    <x v="0"/>
    <x v="3"/>
    <s v="Mobile App"/>
    <n v="69664.08"/>
  </r>
  <r>
    <s v="ORD107009"/>
    <x v="3"/>
    <s v="28-03-2025"/>
    <s v="CUST13092"/>
    <s v="Consumer"/>
    <s v="West Bengal"/>
    <x v="9"/>
    <x v="3"/>
    <s v="Vacuum Cleaner"/>
    <s v="2"/>
    <s v="16419.13"/>
    <n v="0"/>
    <s v="24107.200000000001"/>
    <s v="8731.06"/>
    <x v="3"/>
    <x v="0"/>
    <s v="Mobile App"/>
    <n v="32838.26"/>
  </r>
  <r>
    <s v="ORD107011"/>
    <x v="0"/>
    <s v="30-01-2025"/>
    <s v="CUST11550"/>
    <s v="Consumer"/>
    <s v="Telangana"/>
    <x v="14"/>
    <x v="4"/>
    <s v="Cricket Bat"/>
    <s v="2"/>
    <s v="8554.7000000000007"/>
    <n v="0.05"/>
    <s v="13435.92"/>
    <s v="2818.01"/>
    <x v="1"/>
    <x v="0"/>
    <s v="Website"/>
    <n v="16253.93"/>
  </r>
  <r>
    <s v="ORD107021"/>
    <x v="2"/>
    <s v="22-12-2025"/>
    <s v="CUST13265"/>
    <s v="Home Office"/>
    <s v="Maharashtra"/>
    <x v="20"/>
    <x v="0"/>
    <s v="Smartphone"/>
    <s v="1"/>
    <s v="56331.11"/>
    <n v="0.1"/>
    <s v="35042.870000000003"/>
    <s v="15655.13"/>
    <x v="5"/>
    <x v="0"/>
    <s v="Website"/>
    <n v="50697.999000000003"/>
  </r>
  <r>
    <s v="ORD107025"/>
    <x v="10"/>
    <s v="19-11-2025"/>
    <s v="CUST10360"/>
    <s v="Consumer"/>
    <s v="Delhi"/>
    <x v="7"/>
    <x v="2"/>
    <s v="Jeans"/>
    <s v="1"/>
    <s v="5696.74"/>
    <n v="0.05"/>
    <s v="4048.57"/>
    <s v="1363.33"/>
    <x v="5"/>
    <x v="0"/>
    <s v="Marketplace"/>
    <n v="5411.9029999999902"/>
  </r>
  <r>
    <s v="ORD107036"/>
    <x v="8"/>
    <s v="02-08-2025"/>
    <s v="CUST10036"/>
    <s v="Consumer"/>
    <s v="Delhi"/>
    <x v="7"/>
    <x v="3"/>
    <s v="Cookware Set"/>
    <s v="2"/>
    <s v="8551.66"/>
    <n v="0.15"/>
    <s v="12810.15"/>
    <s v="1727.67"/>
    <x v="3"/>
    <x v="0"/>
    <s v="Marketplace"/>
    <n v="14537.822"/>
  </r>
  <r>
    <s v="ORD107047"/>
    <x v="0"/>
    <s v="29-01-2025"/>
    <s v="CUST10801"/>
    <s v="Home Office"/>
    <s v="Karnataka"/>
    <x v="2"/>
    <x v="3"/>
    <s v="Coffee Maker"/>
    <s v="3"/>
    <s v="8659.4699999999993"/>
    <n v="0.1"/>
    <s v="19249.830000000002"/>
    <s v="4130.74"/>
    <x v="3"/>
    <x v="0"/>
    <s v="Mobile App"/>
    <n v="23380.568999999901"/>
  </r>
  <r>
    <s v="ORD107049"/>
    <x v="2"/>
    <s v="25-12-2025"/>
    <s v="CUST10949"/>
    <s v="Home Office"/>
    <s v="Kerala"/>
    <x v="5"/>
    <x v="3"/>
    <s v="Vacuum Cleaner"/>
    <s v="1"/>
    <s v="11549.14"/>
    <n v="0.1"/>
    <s v="6711.83"/>
    <s v="3682.4"/>
    <x v="0"/>
    <x v="1"/>
    <s v="Marketplace"/>
    <n v="10394.226000000001"/>
  </r>
  <r>
    <s v="ORD107050"/>
    <x v="4"/>
    <s v="25-04-2025"/>
    <s v="CUST12626"/>
    <s v="Home Office"/>
    <s v="Delhi"/>
    <x v="12"/>
    <x v="4"/>
    <s v="Yoga Mat"/>
    <s v="1"/>
    <s v="9395.5400000000009"/>
    <n v="0.2"/>
    <s v="5409.71"/>
    <s v="2106.7199999999998"/>
    <x v="4"/>
    <x v="0"/>
    <s v="Mobile App"/>
    <n v="7516.4319999999998"/>
  </r>
  <r>
    <s v="ORD107051"/>
    <x v="11"/>
    <s v="15-10-2025"/>
    <s v="CUST12241"/>
    <s v="Corporate"/>
    <s v="Karnataka"/>
    <x v="17"/>
    <x v="0"/>
    <s v="Tablet"/>
    <s v="3"/>
    <s v="56690.75"/>
    <n v="0.15"/>
    <s v="136975.38"/>
    <s v="7586.03"/>
    <x v="3"/>
    <x v="0"/>
    <s v="Mobile App"/>
    <n v="144561.41250000001"/>
  </r>
  <r>
    <s v="ORD107084"/>
    <x v="6"/>
    <s v="22-07-2025"/>
    <s v="CUST11983"/>
    <s v="Home Office"/>
    <s v="Maharashtra"/>
    <x v="4"/>
    <x v="3"/>
    <s v="Cookware Set"/>
    <s v="1"/>
    <s v="15905.32"/>
    <n v="0.1"/>
    <s v="12860.7"/>
    <s v="1454.09"/>
    <x v="3"/>
    <x v="0"/>
    <s v="Marketplace"/>
    <n v="14314.788"/>
  </r>
  <r>
    <s v="ORD107092"/>
    <x v="3"/>
    <s v="21-03-2025"/>
    <s v="CUST11505"/>
    <s v="Home Office"/>
    <s v="Kerala"/>
    <x v="6"/>
    <x v="1"/>
    <s v="Shampoo"/>
    <s v="1"/>
    <s v="3733.99"/>
    <n v="0.1"/>
    <s v="2903.23"/>
    <s v="457.36"/>
    <x v="3"/>
    <x v="0"/>
    <s v="Mobile App"/>
    <n v="3360.5909999999999"/>
  </r>
  <r>
    <s v="ORD107097"/>
    <x v="6"/>
    <s v="14-07-2025"/>
    <s v="CUST11431"/>
    <s v="Corporate"/>
    <s v="Karnataka"/>
    <x v="17"/>
    <x v="3"/>
    <s v="Air Fryer"/>
    <s v="1"/>
    <s v="5531.89"/>
    <n v="0"/>
    <s v="4411.96"/>
    <s v="1119.93"/>
    <x v="1"/>
    <x v="3"/>
    <s v="Marketplace"/>
    <n v="5531.89"/>
  </r>
  <r>
    <s v="ORD107100"/>
    <x v="7"/>
    <s v="10-05-2025"/>
    <s v="CUST13374"/>
    <s v="Corporate"/>
    <s v="Gujarat"/>
    <x v="18"/>
    <x v="4"/>
    <s v="Fitness Band"/>
    <s v="2"/>
    <s v="5297.53"/>
    <n v="0.15"/>
    <s v="8295.65"/>
    <s v="710.15"/>
    <x v="0"/>
    <x v="0"/>
    <s v="Mobile App"/>
    <n v="9005.8009999999995"/>
  </r>
  <r>
    <s v="ORD107113"/>
    <x v="4"/>
    <s v="05-04-2025"/>
    <s v="CUST11895"/>
    <s v="Home Office"/>
    <s v="Kerala"/>
    <x v="5"/>
    <x v="2"/>
    <s v="Sneakers"/>
    <s v="4"/>
    <s v="2589.94"/>
    <n v="0"/>
    <s v="5965.72"/>
    <s v="4394.04"/>
    <x v="0"/>
    <x v="0"/>
    <s v="Website"/>
    <n v="10359.76"/>
  </r>
  <r>
    <s v="ORD107117"/>
    <x v="4"/>
    <s v="23-04-2025"/>
    <s v="CUST13132"/>
    <s v="Home Office"/>
    <s v="Telangana"/>
    <x v="14"/>
    <x v="2"/>
    <s v="Jacket"/>
    <s v="2"/>
    <s v="831.52"/>
    <n v="0"/>
    <s v="1307.1500000000001"/>
    <s v="355.89"/>
    <x v="3"/>
    <x v="0"/>
    <s v="Website"/>
    <n v="1663.04"/>
  </r>
  <r>
    <s v="ORD107120"/>
    <x v="9"/>
    <s v="26-06-2025"/>
    <s v="CUST11766"/>
    <s v="Corporate"/>
    <s v="Delhi"/>
    <x v="7"/>
    <x v="0"/>
    <s v="Laptop"/>
    <s v="2"/>
    <s v="12377.18"/>
    <n v="0"/>
    <s v="15074.92"/>
    <s v="9679.44"/>
    <x v="5"/>
    <x v="0"/>
    <s v="Website"/>
    <n v="24754.36"/>
  </r>
  <r>
    <s v="ORD107137"/>
    <x v="11"/>
    <s v="13-10-2025"/>
    <s v="CUST11506"/>
    <s v="Consumer"/>
    <s v="Delhi"/>
    <x v="12"/>
    <x v="2"/>
    <s v="Sneakers"/>
    <s v="1"/>
    <s v="4590.7700000000004"/>
    <n v="0.1"/>
    <s v="2947.57"/>
    <s v="1184.1199999999999"/>
    <x v="3"/>
    <x v="0"/>
    <s v="Mobile App"/>
    <n v="4131.6930000000002"/>
  </r>
  <r>
    <s v="ORD107150"/>
    <x v="11"/>
    <s v="31-10-2025"/>
    <s v="CUST11817"/>
    <s v="Consumer"/>
    <s v="Karnataka"/>
    <x v="17"/>
    <x v="4"/>
    <s v="Fitness Band"/>
    <s v="1"/>
    <s v="5582.68"/>
    <n v="0.15"/>
    <s v="3647.64"/>
    <s v="1097.6400000000001"/>
    <x v="1"/>
    <x v="1"/>
    <s v="Mobile App"/>
    <n v="4745.2780000000002"/>
  </r>
  <r>
    <s v="ORD107156"/>
    <x v="10"/>
    <s v="22-11-2025"/>
    <s v="CUST11844"/>
    <s v="Corporate"/>
    <s v="Maharashtra"/>
    <x v="21"/>
    <x v="0"/>
    <s v="Smartwatch"/>
    <s v="1"/>
    <s v="8490.06"/>
    <n v="0.05"/>
    <s v="6029.41"/>
    <s v="2036.15"/>
    <x v="2"/>
    <x v="0"/>
    <s v="Website"/>
    <n v="8065.5569999999898"/>
  </r>
  <r>
    <s v="ORD107170"/>
    <x v="10"/>
    <s v="15-11-2025"/>
    <s v="CUST12019"/>
    <s v="Consumer"/>
    <s v="Kerala"/>
    <x v="15"/>
    <x v="2"/>
    <s v="T-Shirt"/>
    <s v="1"/>
    <s v="6096.49"/>
    <n v="0.15"/>
    <s v="4878.5"/>
    <s v="303.52"/>
    <x v="5"/>
    <x v="0"/>
    <s v="Mobile App"/>
    <n v="5182.0164999999997"/>
  </r>
  <r>
    <s v="ORD107176"/>
    <x v="8"/>
    <s v="29-08-2025"/>
    <s v="CUST10611"/>
    <s v="Consumer"/>
    <s v="Gujarat"/>
    <x v="3"/>
    <x v="1"/>
    <s v="Shampoo"/>
    <s v="2"/>
    <s v="1204.53"/>
    <n v="0"/>
    <s v="1399.23"/>
    <s v="1009.83"/>
    <x v="3"/>
    <x v="1"/>
    <s v="Marketplace"/>
    <n v="2409.06"/>
  </r>
  <r>
    <s v="ORD107198"/>
    <x v="3"/>
    <s v="02-03-2025"/>
    <s v="CUST10929"/>
    <s v="Home Office"/>
    <s v="Maharashtra"/>
    <x v="4"/>
    <x v="4"/>
    <s v="Cricket Bat"/>
    <s v="1"/>
    <s v="1520.22"/>
    <n v="0.05"/>
    <s v="1099.81"/>
    <s v="344.4"/>
    <x v="0"/>
    <x v="2"/>
    <s v="Marketplace"/>
    <n v="1444.2090000000001"/>
  </r>
  <r>
    <s v="ORD107200"/>
    <x v="11"/>
    <s v="14-10-2025"/>
    <s v="CUST13157"/>
    <s v="Home Office"/>
    <s v="Kerala"/>
    <x v="5"/>
    <x v="3"/>
    <s v="Air Fryer"/>
    <s v="1"/>
    <s v="4007.49"/>
    <n v="0.15"/>
    <s v="3143.2"/>
    <s v="263.17"/>
    <x v="3"/>
    <x v="0"/>
    <s v="Mobile App"/>
    <n v="3406.3664999999901"/>
  </r>
  <r>
    <s v="ORD107205"/>
    <x v="6"/>
    <s v="08-07-2025"/>
    <s v="CUST12604"/>
    <s v="Consumer"/>
    <s v="Karnataka"/>
    <x v="2"/>
    <x v="1"/>
    <s v="Lipstick"/>
    <s v="3"/>
    <s v="4027.32"/>
    <n v="0.05"/>
    <s v="8267.1299999999992"/>
    <s v="3210.73"/>
    <x v="1"/>
    <x v="0"/>
    <s v="Website"/>
    <n v="11477.861999999999"/>
  </r>
  <r>
    <s v="ORD107207"/>
    <x v="8"/>
    <s v="18-08-2025"/>
    <s v="CUST12508"/>
    <s v="Home Office"/>
    <s v="Telangana"/>
    <x v="14"/>
    <x v="3"/>
    <s v="Air Fryer"/>
    <s v="2"/>
    <s v="5341.87"/>
    <n v="0.05"/>
    <s v="7113.08"/>
    <s v="3036.47"/>
    <x v="5"/>
    <x v="0"/>
    <s v="Website"/>
    <n v="10149.553"/>
  </r>
  <r>
    <s v="ORD107214"/>
    <x v="3"/>
    <s v="01-03-2025"/>
    <s v="CUST10298"/>
    <s v="Corporate"/>
    <s v="Tamil Nadu"/>
    <x v="8"/>
    <x v="2"/>
    <s v="Jacket"/>
    <s v="1"/>
    <s v="6920.74"/>
    <n v="0.05"/>
    <s v="5182.2700000000004"/>
    <s v="1392.43"/>
    <x v="3"/>
    <x v="0"/>
    <s v="Marketplace"/>
    <n v="6574.7029999999904"/>
  </r>
  <r>
    <s v="ORD107234"/>
    <x v="8"/>
    <s v="06-08-2025"/>
    <s v="CUST10632"/>
    <s v="Corporate"/>
    <s v="Telangana"/>
    <x v="14"/>
    <x v="3"/>
    <s v="Air Fryer"/>
    <s v="1"/>
    <s v="11369.86"/>
    <n v="0.1"/>
    <s v="8130.11"/>
    <s v="2102.7600000000002"/>
    <x v="3"/>
    <x v="2"/>
    <s v="Mobile App"/>
    <n v="10232.874"/>
  </r>
  <r>
    <s v="ORD107251"/>
    <x v="5"/>
    <s v="29-09-2025"/>
    <s v="CUST12689"/>
    <s v="Corporate"/>
    <s v="Kerala"/>
    <x v="5"/>
    <x v="2"/>
    <s v="Jeans"/>
    <s v="2"/>
    <s v="1093.1600000000001"/>
    <n v="0.15"/>
    <s v="1615.95"/>
    <s v="242.42"/>
    <x v="1"/>
    <x v="1"/>
    <s v="Marketplace"/>
    <n v="1858.3720000000001"/>
  </r>
  <r>
    <s v="ORD107255"/>
    <x v="4"/>
    <s v="02-04-2025"/>
    <s v="CUST13247"/>
    <s v="Corporate"/>
    <s v="Delhi"/>
    <x v="7"/>
    <x v="1"/>
    <s v="Face Cream"/>
    <s v="4"/>
    <s v="1951.48"/>
    <n v="0.15"/>
    <s v="4643.84"/>
    <s v="1991.19"/>
    <x v="3"/>
    <x v="0"/>
    <s v="Marketplace"/>
    <n v="6635.0320000000002"/>
  </r>
  <r>
    <s v="ORD107273"/>
    <x v="8"/>
    <s v="19-08-2025"/>
    <s v="CUST10043"/>
    <s v="Home Office"/>
    <s v="Kerala"/>
    <x v="6"/>
    <x v="2"/>
    <s v="Handbag"/>
    <s v="1"/>
    <s v="1539.69"/>
    <n v="0.05"/>
    <s v="875.13"/>
    <s v="587.58000000000004"/>
    <x v="1"/>
    <x v="0"/>
    <s v="Marketplace"/>
    <n v="1462.7055"/>
  </r>
  <r>
    <s v="ORD107288"/>
    <x v="11"/>
    <s v="05-10-2025"/>
    <s v="CUST12359"/>
    <s v="Corporate"/>
    <s v="Kerala"/>
    <x v="5"/>
    <x v="1"/>
    <s v="Perfume"/>
    <s v="2"/>
    <s v="3558.19"/>
    <n v="0.05"/>
    <s v="4054.05"/>
    <s v="2706.51"/>
    <x v="3"/>
    <x v="0"/>
    <s v="Website"/>
    <n v="6760.5609999999997"/>
  </r>
  <r>
    <s v="ORD107316"/>
    <x v="9"/>
    <s v="26-06-2025"/>
    <s v="CUST12878"/>
    <s v="Corporate"/>
    <s v="Maharashtra"/>
    <x v="4"/>
    <x v="2"/>
    <s v="Handbag"/>
    <s v="4"/>
    <s v="5131.84"/>
    <n v="0.1"/>
    <s v="14379.83"/>
    <s v="4094.79"/>
    <x v="5"/>
    <x v="0"/>
    <s v="Mobile App"/>
    <n v="18474.624"/>
  </r>
  <r>
    <s v="ORD107331"/>
    <x v="5"/>
    <s v="08-09-2025"/>
    <s v="CUST11037"/>
    <s v="Home Office"/>
    <s v="Kerala"/>
    <x v="6"/>
    <x v="1"/>
    <s v="Face Cream"/>
    <s v="1"/>
    <s v="4520.67"/>
    <n v="0.1"/>
    <s v="2502.23"/>
    <s v="1566.37"/>
    <x v="5"/>
    <x v="3"/>
    <s v="Website"/>
    <n v="4068.6030000000001"/>
  </r>
  <r>
    <s v="ORD107342"/>
    <x v="11"/>
    <s v="29-10-2025"/>
    <s v="CUST11658"/>
    <s v="Home Office"/>
    <s v="West Bengal"/>
    <x v="9"/>
    <x v="0"/>
    <s v="Laptop"/>
    <s v="2"/>
    <s v="13413.91"/>
    <n v="0.15"/>
    <s v="19490.080000000002"/>
    <s v="3313.57"/>
    <x v="1"/>
    <x v="0"/>
    <s v="Mobile App"/>
    <n v="22803.647000000001"/>
  </r>
  <r>
    <s v="ORD107360"/>
    <x v="4"/>
    <s v="29-04-2025"/>
    <s v="CUST13307"/>
    <s v="Corporate"/>
    <s v="West Bengal"/>
    <x v="9"/>
    <x v="3"/>
    <s v="Mixer Grinder"/>
    <s v="3"/>
    <s v="3226.57"/>
    <n v="0"/>
    <s v="7286.24"/>
    <s v="2393.4699999999998"/>
    <x v="3"/>
    <x v="0"/>
    <s v="Website"/>
    <n v="9679.7099999999991"/>
  </r>
  <r>
    <s v="ORD107361"/>
    <x v="7"/>
    <s v="12-05-2025"/>
    <s v="CUST10918"/>
    <s v="Consumer"/>
    <s v="Gujarat"/>
    <x v="10"/>
    <x v="0"/>
    <s v="Headphones"/>
    <s v="3"/>
    <s v="22463.48"/>
    <n v="0"/>
    <s v="48184.61"/>
    <s v="19205.830000000002"/>
    <x v="1"/>
    <x v="2"/>
    <s v="Website"/>
    <n v="67390.44"/>
  </r>
  <r>
    <s v="ORD107363"/>
    <x v="2"/>
    <s v="25-12-2025"/>
    <s v="CUST10176"/>
    <s v="Home Office"/>
    <s v="Tamil Nadu"/>
    <x v="11"/>
    <x v="2"/>
    <s v="T-Shirt"/>
    <s v="1"/>
    <s v="1044.01"/>
    <n v="0.05"/>
    <s v="749.62"/>
    <s v="242.19"/>
    <x v="0"/>
    <x v="1"/>
    <s v="Website"/>
    <n v="991.80949999999996"/>
  </r>
  <r>
    <s v="ORD107364"/>
    <x v="6"/>
    <s v="22-07-2025"/>
    <s v="CUST10531"/>
    <s v="Corporate"/>
    <s v="Telangana"/>
    <x v="14"/>
    <x v="0"/>
    <s v="Smartphone"/>
    <s v="1"/>
    <s v="4511.32"/>
    <n v="0.1"/>
    <s v="2679.31"/>
    <s v="1380.88"/>
    <x v="3"/>
    <x v="0"/>
    <s v="Mobile App"/>
    <n v="4060.1879999999901"/>
  </r>
  <r>
    <s v="ORD107379"/>
    <x v="6"/>
    <s v="15-07-2025"/>
    <s v="CUST13015"/>
    <s v="Corporate"/>
    <s v="Karnataka"/>
    <x v="17"/>
    <x v="0"/>
    <s v="Smartphone"/>
    <s v="1"/>
    <s v="27656.34"/>
    <n v="0.1"/>
    <s v="17048.490000000002"/>
    <s v="7842.22"/>
    <x v="5"/>
    <x v="0"/>
    <s v="Website"/>
    <n v="24890.705999999998"/>
  </r>
  <r>
    <s v="ORD107387"/>
    <x v="4"/>
    <s v="19-04-2025"/>
    <s v="CUST12049"/>
    <s v="Consumer"/>
    <s v="West Bengal"/>
    <x v="9"/>
    <x v="3"/>
    <s v="Air Fryer"/>
    <s v="2"/>
    <s v="4952.87"/>
    <n v="0.1"/>
    <s v="6284.38"/>
    <s v="2630.79"/>
    <x v="1"/>
    <x v="0"/>
    <s v="Marketplace"/>
    <n v="8915.1659999999993"/>
  </r>
  <r>
    <s v="ORD107395"/>
    <x v="4"/>
    <s v="08-04-2025"/>
    <s v="CUST10981"/>
    <s v="Corporate"/>
    <s v="West Bengal"/>
    <x v="0"/>
    <x v="3"/>
    <s v="Mixer Grinder"/>
    <s v="3"/>
    <s v="760.65"/>
    <n v="0.15"/>
    <s v="1355.67"/>
    <s v="583.99"/>
    <x v="2"/>
    <x v="0"/>
    <s v="Mobile App"/>
    <n v="1939.65749999999"/>
  </r>
  <r>
    <s v="ORD107398"/>
    <x v="9"/>
    <s v="05-06-2025"/>
    <s v="CUST12147"/>
    <s v="Corporate"/>
    <s v="Kerala"/>
    <x v="15"/>
    <x v="2"/>
    <s v="Jeans"/>
    <s v="1"/>
    <s v="6541.63"/>
    <n v="0.1"/>
    <s v="3800.23"/>
    <s v="2087.2399999999998"/>
    <x v="2"/>
    <x v="3"/>
    <s v="Website"/>
    <n v="5887.4669999999996"/>
  </r>
  <r>
    <s v="ORD107399"/>
    <x v="4"/>
    <s v="03-04-2025"/>
    <s v="CUST10749"/>
    <s v="Corporate"/>
    <s v="Gujarat"/>
    <x v="10"/>
    <x v="2"/>
    <s v="Sneakers"/>
    <s v="2"/>
    <s v="6630.04"/>
    <n v="0.05"/>
    <s v="8839.6"/>
    <s v="3757.48"/>
    <x v="2"/>
    <x v="3"/>
    <s v="Website"/>
    <n v="12597.075999999999"/>
  </r>
  <r>
    <s v="ORD107402"/>
    <x v="0"/>
    <s v="01-01-2025"/>
    <s v="CUST12846"/>
    <s v="Corporate"/>
    <s v="Tamil Nadu"/>
    <x v="19"/>
    <x v="0"/>
    <s v="Laptop"/>
    <s v="1"/>
    <s v="16460.09"/>
    <n v="0.15"/>
    <s v="9715.27"/>
    <s v="4275.8100000000004"/>
    <x v="0"/>
    <x v="0"/>
    <s v="Mobile App"/>
    <n v="13991.076499999999"/>
  </r>
  <r>
    <s v="ORD107419"/>
    <x v="11"/>
    <s v="01-10-2025"/>
    <s v="CUST13449"/>
    <s v="Consumer"/>
    <s v="Tamil Nadu"/>
    <x v="8"/>
    <x v="3"/>
    <s v="Coffee Maker"/>
    <s v="4"/>
    <s v="7692.2"/>
    <n v="0.1"/>
    <s v="21573.97"/>
    <s v="6117.95"/>
    <x v="1"/>
    <x v="0"/>
    <s v="Mobile App"/>
    <n v="27691.919999999998"/>
  </r>
  <r>
    <s v="ORD107427"/>
    <x v="3"/>
    <s v="28-03-2025"/>
    <s v="CUST10096"/>
    <s v="Home Office"/>
    <s v="Kerala"/>
    <x v="15"/>
    <x v="0"/>
    <s v="Smartphone"/>
    <s v="4"/>
    <s v="9730.89"/>
    <n v="0.05"/>
    <s v="23291.95"/>
    <s v="13685.43"/>
    <x v="2"/>
    <x v="0"/>
    <s v="Marketplace"/>
    <n v="36977.381999999998"/>
  </r>
  <r>
    <s v="ORD107439"/>
    <x v="6"/>
    <s v="03-07-2025"/>
    <s v="CUST12667"/>
    <s v="Consumer"/>
    <s v="Tamil Nadu"/>
    <x v="13"/>
    <x v="4"/>
    <s v="Cricket Bat"/>
    <s v="1"/>
    <s v="2655.16"/>
    <n v="0.05"/>
    <s v="1764.06"/>
    <s v="758.34"/>
    <x v="1"/>
    <x v="0"/>
    <s v="Marketplace"/>
    <n v="2522.40199999999"/>
  </r>
  <r>
    <s v="ORD107442"/>
    <x v="4"/>
    <s v="08-04-2025"/>
    <s v="CUST12982"/>
    <s v="Corporate"/>
    <s v="Delhi"/>
    <x v="12"/>
    <x v="2"/>
    <s v="Jeans"/>
    <s v="2"/>
    <s v="3259.13"/>
    <n v="0.2"/>
    <s v="4120.16"/>
    <s v="1094.45"/>
    <x v="3"/>
    <x v="0"/>
    <s v="Website"/>
    <n v="5214.6080000000002"/>
  </r>
  <r>
    <s v="ORD107455"/>
    <x v="2"/>
    <s v="07-12-2025"/>
    <s v="CUST10705"/>
    <s v="Home Office"/>
    <s v="Maharashtra"/>
    <x v="4"/>
    <x v="0"/>
    <s v="Smartphone"/>
    <s v="1"/>
    <s v="53017.760000000002"/>
    <n v="0.1"/>
    <s v="36151.33"/>
    <s v="11564.65"/>
    <x v="2"/>
    <x v="2"/>
    <s v="Mobile App"/>
    <n v="47715.983999999997"/>
  </r>
  <r>
    <s v="ORD107456"/>
    <x v="2"/>
    <s v="20-12-2025"/>
    <s v="CUST10446"/>
    <s v="Home Office"/>
    <s v="Maharashtra"/>
    <x v="4"/>
    <x v="1"/>
    <s v="Shampoo"/>
    <s v="2"/>
    <s v="5755.18"/>
    <n v="0.15"/>
    <s v="7126.55"/>
    <s v="2657.26"/>
    <x v="3"/>
    <x v="0"/>
    <s v="Mobile App"/>
    <n v="9783.8060000000005"/>
  </r>
  <r>
    <s v="ORD107462"/>
    <x v="1"/>
    <s v="05-02-2025"/>
    <s v="CUST10162"/>
    <s v="Home Office"/>
    <s v="Kerala"/>
    <x v="6"/>
    <x v="4"/>
    <s v="Football"/>
    <s v="1"/>
    <s v="5568.23"/>
    <n v="0.1"/>
    <s v="3292.66"/>
    <s v="1718.75"/>
    <x v="2"/>
    <x v="0"/>
    <s v="Marketplace"/>
    <n v="5011.4070000000002"/>
  </r>
  <r>
    <s v="ORD107496"/>
    <x v="6"/>
    <s v="05-07-2025"/>
    <s v="CUST12229"/>
    <s v="Corporate"/>
    <s v="Tamil Nadu"/>
    <x v="8"/>
    <x v="0"/>
    <s v="Smartwatch"/>
    <s v="1"/>
    <s v="23571.33"/>
    <n v="0.1"/>
    <s v="14594.78"/>
    <s v="6619.42"/>
    <x v="1"/>
    <x v="0"/>
    <s v="Marketplace"/>
    <n v="21214.197"/>
  </r>
  <r>
    <s v="ORD107498"/>
    <x v="11"/>
    <s v="28-10-2025"/>
    <s v="CUST12346"/>
    <s v="Corporate"/>
    <s v="Kerala"/>
    <x v="15"/>
    <x v="4"/>
    <s v="Running Shoes"/>
    <s v="3"/>
    <s v="11207.36"/>
    <n v="0.1"/>
    <s v="23157.49"/>
    <s v="7102.38"/>
    <x v="3"/>
    <x v="0"/>
    <s v="Mobile App"/>
    <n v="30259.871999999999"/>
  </r>
  <r>
    <s v="ORD107500"/>
    <x v="2"/>
    <s v="12-12-2025"/>
    <s v="CUST10066"/>
    <s v="Corporate"/>
    <s v="Gujarat"/>
    <x v="3"/>
    <x v="4"/>
    <s v="Running Shoes"/>
    <s v="1"/>
    <s v="1234.1300000000001"/>
    <n v="0.2"/>
    <s v="870.32"/>
    <s v="116.98"/>
    <x v="2"/>
    <x v="0"/>
    <s v="Marketplace"/>
    <n v="987.30399999999997"/>
  </r>
  <r>
    <s v="ORD107519"/>
    <x v="9"/>
    <s v="10-06-2025"/>
    <s v="CUST11043"/>
    <s v="Consumer"/>
    <s v="West Bengal"/>
    <x v="9"/>
    <x v="0"/>
    <s v="Smartwatch"/>
    <s v="2"/>
    <s v="33417.86"/>
    <n v="0.1"/>
    <s v="42937.86"/>
    <s v="17214.29"/>
    <x v="3"/>
    <x v="0"/>
    <s v="Marketplace"/>
    <n v="60152.148000000001"/>
  </r>
  <r>
    <s v="ORD107522"/>
    <x v="1"/>
    <s v="22-02-2025"/>
    <s v="CUST12907"/>
    <s v="Home Office"/>
    <s v="Telangana"/>
    <x v="16"/>
    <x v="2"/>
    <s v="Sneakers"/>
    <s v="1"/>
    <s v="2057.66"/>
    <n v="0.1"/>
    <s v="1306.23"/>
    <s v="545.66"/>
    <x v="0"/>
    <x v="0"/>
    <s v="Website"/>
    <n v="1851.894"/>
  </r>
  <r>
    <s v="ORD107546"/>
    <x v="2"/>
    <s v="16-12-2025"/>
    <s v="CUST11649"/>
    <s v="Corporate"/>
    <s v="Telangana"/>
    <x v="16"/>
    <x v="0"/>
    <s v="Smartwatch"/>
    <s v="3"/>
    <s v="13936.89"/>
    <n v="0.15"/>
    <s v="26033.200000000001"/>
    <s v="9505.8700000000008"/>
    <x v="0"/>
    <x v="0"/>
    <s v="Mobile App"/>
    <n v="35539.069499999998"/>
  </r>
  <r>
    <s v="ORD107552"/>
    <x v="2"/>
    <s v="31-12-2025"/>
    <s v="CUST11706"/>
    <s v="Consumer"/>
    <s v="Tamil Nadu"/>
    <x v="13"/>
    <x v="4"/>
    <s v="Cricket Bat"/>
    <s v="1"/>
    <s v="11890.91"/>
    <n v="0"/>
    <s v="8207.89"/>
    <s v="3683.02"/>
    <x v="0"/>
    <x v="0"/>
    <s v="Marketplace"/>
    <n v="11890.91"/>
  </r>
  <r>
    <s v="ORD107554"/>
    <x v="10"/>
    <s v="29-11-2025"/>
    <s v="CUST12856"/>
    <s v="Home Office"/>
    <s v="Karnataka"/>
    <x v="2"/>
    <x v="3"/>
    <s v="Air Fryer"/>
    <s v="2"/>
    <s v="3462.5"/>
    <n v="0.05"/>
    <s v="5326.18"/>
    <s v="1252.57"/>
    <x v="2"/>
    <x v="0"/>
    <s v="Website"/>
    <n v="6578.75"/>
  </r>
  <r>
    <s v="ORD107559"/>
    <x v="5"/>
    <s v="13-09-2025"/>
    <s v="CUST10044"/>
    <s v="Home Office"/>
    <s v="Kerala"/>
    <x v="15"/>
    <x v="4"/>
    <s v="Cricket Bat"/>
    <s v="1"/>
    <s v="11130.74"/>
    <n v="0.2"/>
    <s v="9086.6"/>
    <s v="-182.01"/>
    <x v="1"/>
    <x v="0"/>
    <s v="Mobile App"/>
    <n v="8904.5920000000006"/>
  </r>
  <r>
    <s v="ORD107561"/>
    <x v="6"/>
    <s v="12-07-2025"/>
    <s v="CUST11736"/>
    <s v="Corporate"/>
    <s v="Delhi"/>
    <x v="7"/>
    <x v="1"/>
    <s v="Shampoo"/>
    <s v="1"/>
    <s v="5629.79"/>
    <n v="0"/>
    <s v="3318.05"/>
    <s v="2311.7399999999998"/>
    <x v="3"/>
    <x v="0"/>
    <s v="Marketplace"/>
    <n v="5629.79"/>
  </r>
  <r>
    <s v="ORD107566"/>
    <x v="9"/>
    <s v="29-06-2025"/>
    <s v="CUST11565"/>
    <s v="Home Office"/>
    <s v="Delhi"/>
    <x v="7"/>
    <x v="2"/>
    <s v="Jeans"/>
    <s v="1"/>
    <s v="1820.65"/>
    <n v="0.1"/>
    <s v="1310.87"/>
    <s v="327.71"/>
    <x v="0"/>
    <x v="0"/>
    <s v="Marketplace"/>
    <n v="1638.585"/>
  </r>
  <r>
    <s v="ORD107570"/>
    <x v="1"/>
    <s v="26-02-2025"/>
    <s v="CUST11923"/>
    <s v="Consumer"/>
    <s v="Tamil Nadu"/>
    <x v="1"/>
    <x v="0"/>
    <s v="Laptop"/>
    <s v="1"/>
    <s v="17474.27"/>
    <n v="0.1"/>
    <s v="13117"/>
    <s v="2609.84"/>
    <x v="0"/>
    <x v="0"/>
    <s v="Website"/>
    <n v="15726.843000000001"/>
  </r>
  <r>
    <s v="ORD107610"/>
    <x v="9"/>
    <s v="19-06-2025"/>
    <s v="CUST10886"/>
    <s v="Home Office"/>
    <s v="Karnataka"/>
    <x v="17"/>
    <x v="3"/>
    <s v="Cookware Set"/>
    <s v="1"/>
    <s v="5922.25"/>
    <n v="0.2"/>
    <s v="4581.01"/>
    <s v="156.79"/>
    <x v="0"/>
    <x v="0"/>
    <s v="Mobile App"/>
    <n v="4737.8"/>
  </r>
  <r>
    <s v="ORD107615"/>
    <x v="3"/>
    <s v="28-03-2025"/>
    <s v="CUST11815"/>
    <s v="Home Office"/>
    <s v="Kerala"/>
    <x v="15"/>
    <x v="2"/>
    <s v="T-Shirt"/>
    <s v="2"/>
    <s v="3478.3"/>
    <n v="0.05"/>
    <s v="4041.14"/>
    <s v="2567.63"/>
    <x v="2"/>
    <x v="0"/>
    <s v="Mobile App"/>
    <n v="6608.77"/>
  </r>
  <r>
    <s v="ORD107623"/>
    <x v="1"/>
    <s v="18-02-2025"/>
    <s v="CUST10467"/>
    <s v="Corporate"/>
    <s v="West Bengal"/>
    <x v="9"/>
    <x v="2"/>
    <s v="T-Shirt"/>
    <s v="4"/>
    <s v="2542.4699999999998"/>
    <n v="0.15"/>
    <s v="6049.29"/>
    <s v="2595.11"/>
    <x v="3"/>
    <x v="0"/>
    <s v="Mobile App"/>
    <n v="8644.3979999999992"/>
  </r>
  <r>
    <s v="ORD107634"/>
    <x v="4"/>
    <s v="22-04-2025"/>
    <s v="CUST11601"/>
    <s v="Consumer"/>
    <s v="Telangana"/>
    <x v="14"/>
    <x v="0"/>
    <s v="Headphones"/>
    <s v="2"/>
    <s v="45059.43"/>
    <n v="0.1"/>
    <s v="71092.78"/>
    <s v="10014.19"/>
    <x v="3"/>
    <x v="0"/>
    <s v="Marketplace"/>
    <n v="81106.974000000002"/>
  </r>
  <r>
    <s v="ORD107638"/>
    <x v="3"/>
    <s v="19-03-2025"/>
    <s v="CUST10396"/>
    <s v="Corporate"/>
    <s v="Tamil Nadu"/>
    <x v="1"/>
    <x v="4"/>
    <s v="Football"/>
    <s v="1"/>
    <s v="5958.55"/>
    <n v="0"/>
    <s v="3551.62"/>
    <s v="2406.9299999999998"/>
    <x v="5"/>
    <x v="0"/>
    <s v="Mobile App"/>
    <n v="5958.55"/>
  </r>
  <r>
    <s v="ORD107641"/>
    <x v="11"/>
    <s v="01-10-2025"/>
    <s v="CUST11962"/>
    <s v="Consumer"/>
    <s v="Kerala"/>
    <x v="15"/>
    <x v="2"/>
    <s v="Jacket"/>
    <s v="1"/>
    <s v="1510.69"/>
    <n v="0.1"/>
    <s v="1091.48"/>
    <s v="268.14"/>
    <x v="1"/>
    <x v="0"/>
    <s v="Marketplace"/>
    <n v="1359.6210000000001"/>
  </r>
  <r>
    <s v="ORD107644"/>
    <x v="2"/>
    <s v="11-12-2025"/>
    <s v="CUST12521"/>
    <s v="Consumer"/>
    <s v="Gujarat"/>
    <x v="3"/>
    <x v="0"/>
    <s v="Laptop"/>
    <s v="4"/>
    <s v="53092.81"/>
    <n v="0.1"/>
    <s v="123403.72"/>
    <s v="67730.399999999994"/>
    <x v="2"/>
    <x v="0"/>
    <s v="Marketplace"/>
    <n v="191134.11600000001"/>
  </r>
  <r>
    <s v="ORD107646"/>
    <x v="3"/>
    <s v="14-03-2025"/>
    <s v="CUST11130"/>
    <s v="Corporate"/>
    <s v="Gujarat"/>
    <x v="18"/>
    <x v="0"/>
    <s v="Smartwatch"/>
    <s v="3"/>
    <s v="41127.480000000003"/>
    <n v="0.1"/>
    <s v="92448.9"/>
    <s v="18595.3"/>
    <x v="0"/>
    <x v="0"/>
    <s v="Website"/>
    <n v="111044.196"/>
  </r>
  <r>
    <s v="ORD107672"/>
    <x v="8"/>
    <s v="23-08-2025"/>
    <s v="CUST12462"/>
    <s v="Corporate"/>
    <s v="Karnataka"/>
    <x v="2"/>
    <x v="0"/>
    <s v="Laptop"/>
    <s v="1"/>
    <s v="30425.37"/>
    <n v="0.05"/>
    <s v="22383.57"/>
    <s v="6520.53"/>
    <x v="2"/>
    <x v="0"/>
    <s v="Website"/>
    <n v="28904.101499999899"/>
  </r>
  <r>
    <s v="ORD107685"/>
    <x v="8"/>
    <s v="29-08-2025"/>
    <s v="CUST10334"/>
    <s v="Corporate"/>
    <s v="Karnataka"/>
    <x v="22"/>
    <x v="0"/>
    <s v="Headphones"/>
    <s v="1"/>
    <s v="25557.05"/>
    <n v="0.1"/>
    <s v="14590.65"/>
    <s v="8410.69"/>
    <x v="0"/>
    <x v="0"/>
    <s v="Mobile App"/>
    <n v="23001.345000000001"/>
  </r>
  <r>
    <s v="ORD107690"/>
    <x v="9"/>
    <s v="08-06-2025"/>
    <s v="CUST10982"/>
    <s v="Consumer"/>
    <s v="Maharashtra"/>
    <x v="20"/>
    <x v="0"/>
    <s v="Smartwatch"/>
    <s v="1"/>
    <s v="44242.05"/>
    <n v="0.1"/>
    <s v="34557.300000000003"/>
    <s v="5260.54"/>
    <x v="0"/>
    <x v="0"/>
    <s v="Marketplace"/>
    <n v="39817.845000000001"/>
  </r>
  <r>
    <s v="ORD107694"/>
    <x v="5"/>
    <s v="18-09-2025"/>
    <s v="CUST11167"/>
    <s v="Consumer"/>
    <s v="Delhi"/>
    <x v="7"/>
    <x v="3"/>
    <s v="Air Fryer"/>
    <s v="1"/>
    <s v="9710.1200000000008"/>
    <n v="0.05"/>
    <s v="5343.43"/>
    <s v="3881.18"/>
    <x v="5"/>
    <x v="0"/>
    <s v="Website"/>
    <n v="9224.6139999999996"/>
  </r>
  <r>
    <s v="ORD107695"/>
    <x v="11"/>
    <s v="06-10-2025"/>
    <s v="CUST10990"/>
    <s v="Corporate"/>
    <s v="Karnataka"/>
    <x v="17"/>
    <x v="3"/>
    <s v="Cookware Set"/>
    <s v="3"/>
    <s v="14627.84"/>
    <n v="0.15"/>
    <s v="35053.06"/>
    <s v="2247.9299999999998"/>
    <x v="0"/>
    <x v="0"/>
    <s v="Mobile App"/>
    <n v="37300.991999999998"/>
  </r>
  <r>
    <s v="ORD107720"/>
    <x v="7"/>
    <s v="25-05-2025"/>
    <s v="CUST10532"/>
    <s v="Corporate"/>
    <s v="Karnataka"/>
    <x v="2"/>
    <x v="2"/>
    <s v="T-Shirt"/>
    <s v="2"/>
    <s v="1416.8"/>
    <n v="0.1"/>
    <s v="1605.67"/>
    <s v="944.57"/>
    <x v="0"/>
    <x v="1"/>
    <s v="Mobile App"/>
    <n v="2550.2399999999998"/>
  </r>
  <r>
    <s v="ORD107728"/>
    <x v="10"/>
    <s v="13-11-2025"/>
    <s v="CUST12983"/>
    <s v="Consumer"/>
    <s v="Telangana"/>
    <x v="16"/>
    <x v="3"/>
    <s v="Vacuum Cleaner"/>
    <s v="3"/>
    <s v="13120.13"/>
    <n v="0.05"/>
    <s v="29430.93"/>
    <s v="7961.44"/>
    <x v="0"/>
    <x v="0"/>
    <s v="Marketplace"/>
    <n v="37392.370499999997"/>
  </r>
  <r>
    <s v="ORD107737"/>
    <x v="5"/>
    <s v="22-09-2025"/>
    <s v="CUST11571"/>
    <s v="Home Office"/>
    <s v="Karnataka"/>
    <x v="2"/>
    <x v="4"/>
    <s v="Cricket Bat"/>
    <s v="2"/>
    <s v="7362.06"/>
    <n v="0.15"/>
    <s v="10146.41"/>
    <s v="2369.09"/>
    <x v="2"/>
    <x v="0"/>
    <s v="Marketplace"/>
    <n v="12515.502"/>
  </r>
  <r>
    <s v="ORD107749"/>
    <x v="1"/>
    <s v="22-02-2025"/>
    <s v="CUST12492"/>
    <s v="Consumer"/>
    <s v="Telangana"/>
    <x v="16"/>
    <x v="2"/>
    <s v="Sneakers"/>
    <s v="1"/>
    <s v="3224.13"/>
    <n v="0.05"/>
    <s v="2498.06"/>
    <s v="564.86"/>
    <x v="3"/>
    <x v="1"/>
    <s v="Marketplace"/>
    <n v="3062.9234999999999"/>
  </r>
  <r>
    <s v="ORD107761"/>
    <x v="6"/>
    <s v="14-07-2025"/>
    <s v="CUST12933"/>
    <s v="Corporate"/>
    <s v="Telangana"/>
    <x v="14"/>
    <x v="0"/>
    <s v="Smartwatch"/>
    <s v="2"/>
    <s v="31463.360000000001"/>
    <n v="0.05"/>
    <s v="34801.370000000003"/>
    <s v="24979.01"/>
    <x v="1"/>
    <x v="0"/>
    <s v="Mobile App"/>
    <n v="59780.383999999998"/>
  </r>
  <r>
    <s v="ORD107765"/>
    <x v="2"/>
    <s v="30-12-2025"/>
    <s v="CUST12449"/>
    <s v="Consumer"/>
    <s v="West Bengal"/>
    <x v="9"/>
    <x v="3"/>
    <s v="Coffee Maker"/>
    <s v="2"/>
    <s v="17895.259999999998"/>
    <n v="0.05"/>
    <s v="25058.53"/>
    <s v="8942.4599999999991"/>
    <x v="2"/>
    <x v="0"/>
    <s v="Mobile App"/>
    <n v="34000.993999999999"/>
  </r>
  <r>
    <s v="ORD107771"/>
    <x v="1"/>
    <s v="24-02-2025"/>
    <s v="CUST12064"/>
    <s v="Corporate"/>
    <s v="Telangana"/>
    <x v="14"/>
    <x v="2"/>
    <s v="Jacket"/>
    <s v="1"/>
    <s v="6491.42"/>
    <n v="0"/>
    <s v="4030.91"/>
    <s v="2460.5100000000002"/>
    <x v="3"/>
    <x v="0"/>
    <s v="Mobile App"/>
    <n v="6491.42"/>
  </r>
  <r>
    <s v="ORD107772"/>
    <x v="9"/>
    <s v="04-06-2025"/>
    <s v="CUST11540"/>
    <s v="Consumer"/>
    <s v="Tamil Nadu"/>
    <x v="13"/>
    <x v="2"/>
    <s v="T-Shirt"/>
    <s v="1"/>
    <s v="400.04"/>
    <n v="0.1"/>
    <s v="232.6"/>
    <s v="127.44"/>
    <x v="1"/>
    <x v="0"/>
    <s v="Marketplace"/>
    <n v="360.036"/>
  </r>
  <r>
    <s v="ORD107773"/>
    <x v="2"/>
    <s v="16-12-2025"/>
    <s v="CUST12388"/>
    <s v="Home Office"/>
    <s v="Tamil Nadu"/>
    <x v="8"/>
    <x v="0"/>
    <s v="Smartphone"/>
    <s v="1"/>
    <s v="44044.81"/>
    <n v="0.2"/>
    <s v="32225.040000000001"/>
    <s v="3010.81"/>
    <x v="2"/>
    <x v="0"/>
    <s v="Mobile App"/>
    <n v="35235.847999999998"/>
  </r>
  <r>
    <s v="ORD107784"/>
    <x v="1"/>
    <s v="07-02-2025"/>
    <s v="CUST12034"/>
    <s v="Home Office"/>
    <s v="Karnataka"/>
    <x v="17"/>
    <x v="3"/>
    <s v="Cookware Set"/>
    <s v="1"/>
    <s v="8383.5300000000007"/>
    <n v="0"/>
    <s v="5041.79"/>
    <s v="3341.74"/>
    <x v="1"/>
    <x v="0"/>
    <s v="Website"/>
    <n v="8383.5300000000007"/>
  </r>
  <r>
    <s v="ORD107785"/>
    <x v="7"/>
    <s v="18-05-2025"/>
    <s v="CUST10795"/>
    <s v="Consumer"/>
    <s v="Tamil Nadu"/>
    <x v="13"/>
    <x v="0"/>
    <s v="Headphones"/>
    <s v="1"/>
    <s v="59161.760000000002"/>
    <n v="0"/>
    <s v="46555.64"/>
    <s v="12606.12"/>
    <x v="5"/>
    <x v="0"/>
    <s v="Mobile App"/>
    <n v="59161.760000000002"/>
  </r>
  <r>
    <s v="ORD107787"/>
    <x v="5"/>
    <s v="29-09-2025"/>
    <s v="CUST13002"/>
    <s v="Home Office"/>
    <s v="Karnataka"/>
    <x v="2"/>
    <x v="0"/>
    <s v="Headphones"/>
    <s v="2"/>
    <s v="30454.41"/>
    <n v="0"/>
    <s v="35099.870000000003"/>
    <s v="25808.95"/>
    <x v="3"/>
    <x v="0"/>
    <s v="Marketplace"/>
    <n v="60908.82"/>
  </r>
  <r>
    <s v="ORD107796"/>
    <x v="3"/>
    <s v="21-03-2025"/>
    <s v="CUST12291"/>
    <s v="Home Office"/>
    <s v="Telangana"/>
    <x v="16"/>
    <x v="0"/>
    <s v="Tablet"/>
    <s v="1"/>
    <s v="52751.14"/>
    <n v="0"/>
    <s v="37007.15"/>
    <s v="15743.99"/>
    <x v="3"/>
    <x v="0"/>
    <s v="Mobile App"/>
    <n v="52751.14"/>
  </r>
  <r>
    <s v="ORD107801"/>
    <x v="10"/>
    <s v="15-11-2025"/>
    <s v="CUST12164"/>
    <s v="Home Office"/>
    <s v="Kerala"/>
    <x v="6"/>
    <x v="3"/>
    <s v="Vacuum Cleaner"/>
    <s v="3"/>
    <s v="10369.52"/>
    <n v="0.1"/>
    <s v="19077.73"/>
    <s v="8919.9699999999993"/>
    <x v="3"/>
    <x v="0"/>
    <s v="Marketplace"/>
    <n v="27997.704000000002"/>
  </r>
  <r>
    <s v="ORD107810"/>
    <x v="1"/>
    <s v="22-02-2025"/>
    <s v="CUST13382"/>
    <s v="Corporate"/>
    <s v="Karnataka"/>
    <x v="2"/>
    <x v="3"/>
    <s v="Coffee Maker"/>
    <s v="2"/>
    <s v="15606.64"/>
    <n v="0"/>
    <s v="21852.81"/>
    <s v="9360.4699999999993"/>
    <x v="0"/>
    <x v="0"/>
    <s v="Mobile App"/>
    <n v="31213.279999999999"/>
  </r>
  <r>
    <s v="ORD107828"/>
    <x v="8"/>
    <s v="30-08-2025"/>
    <s v="CUST13115"/>
    <s v="Corporate"/>
    <s v="Karnataka"/>
    <x v="22"/>
    <x v="0"/>
    <s v="Tablet"/>
    <s v="3"/>
    <s v="54091.54"/>
    <n v="0"/>
    <s v="118442.25"/>
    <s v="43832.37"/>
    <x v="2"/>
    <x v="0"/>
    <s v="Marketplace"/>
    <n v="162274.62"/>
  </r>
  <r>
    <s v="ORD107830"/>
    <x v="3"/>
    <s v="27-03-2025"/>
    <s v="CUST12897"/>
    <s v="Corporate"/>
    <s v="Telangana"/>
    <x v="14"/>
    <x v="3"/>
    <s v="Mixer Grinder"/>
    <s v="1"/>
    <s v="8945.08"/>
    <n v="0.1"/>
    <s v="7197.13"/>
    <s v="853.44"/>
    <x v="5"/>
    <x v="0"/>
    <s v="Mobile App"/>
    <n v="8050.5720000000001"/>
  </r>
  <r>
    <s v="ORD107839"/>
    <x v="11"/>
    <s v="22-10-2025"/>
    <s v="CUST11813"/>
    <s v="Consumer"/>
    <s v="West Bengal"/>
    <x v="9"/>
    <x v="1"/>
    <s v="Perfume"/>
    <s v="1"/>
    <s v="1796.16"/>
    <n v="0"/>
    <s v="1169.82"/>
    <s v="626.34"/>
    <x v="2"/>
    <x v="0"/>
    <s v="Website"/>
    <n v="1796.16"/>
  </r>
  <r>
    <s v="ORD107841"/>
    <x v="8"/>
    <s v="01-08-2025"/>
    <s v="CUST11118"/>
    <s v="Consumer"/>
    <s v="Karnataka"/>
    <x v="2"/>
    <x v="2"/>
    <s v="Handbag"/>
    <s v="1"/>
    <s v="1214.23"/>
    <n v="0.15"/>
    <s v="888.32"/>
    <s v="143.78"/>
    <x v="1"/>
    <x v="0"/>
    <s v="Website"/>
    <n v="1032.0954999999999"/>
  </r>
  <r>
    <s v="ORD107865"/>
    <x v="5"/>
    <s v="15-09-2025"/>
    <s v="CUST11942"/>
    <s v="Consumer"/>
    <s v="Kerala"/>
    <x v="6"/>
    <x v="4"/>
    <s v="Football"/>
    <s v="1"/>
    <s v="779.96"/>
    <n v="0.1"/>
    <s v="572.52"/>
    <s v="129.44"/>
    <x v="3"/>
    <x v="3"/>
    <s v="Mobile App"/>
    <n v="701.96400000000006"/>
  </r>
  <r>
    <s v="ORD107872"/>
    <x v="0"/>
    <s v="27-01-2025"/>
    <s v="CUST13209"/>
    <s v="Home Office"/>
    <s v="Gujarat"/>
    <x v="3"/>
    <x v="3"/>
    <s v="Mixer Grinder"/>
    <s v="1"/>
    <s v="4005.43"/>
    <n v="0"/>
    <s v="2333.7600000000002"/>
    <s v="1671.67"/>
    <x v="0"/>
    <x v="0"/>
    <s v="Mobile App"/>
    <n v="4005.43"/>
  </r>
  <r>
    <s v="ORD107875"/>
    <x v="9"/>
    <s v="07-06-2025"/>
    <s v="CUST12563"/>
    <s v="Corporate"/>
    <s v="Gujarat"/>
    <x v="10"/>
    <x v="4"/>
    <s v="Running Shoes"/>
    <s v="1"/>
    <s v="4869.54"/>
    <n v="0.15"/>
    <s v="3936.98"/>
    <s v="202.13"/>
    <x v="1"/>
    <x v="3"/>
    <s v="Marketplace"/>
    <n v="4139.1089999999904"/>
  </r>
  <r>
    <s v="ORD107901"/>
    <x v="7"/>
    <s v="28-05-2025"/>
    <s v="CUST11421"/>
    <s v="Consumer"/>
    <s v="Telangana"/>
    <x v="14"/>
    <x v="2"/>
    <s v="Sneakers"/>
    <s v="1"/>
    <s v="6805.35"/>
    <n v="0.15"/>
    <s v="4764.46"/>
    <s v="1020.09"/>
    <x v="0"/>
    <x v="0"/>
    <s v="Website"/>
    <n v="5784.5474999999997"/>
  </r>
  <r>
    <s v="ORD107912"/>
    <x v="4"/>
    <s v="15-04-2025"/>
    <s v="CUST13445"/>
    <s v="Corporate"/>
    <s v="Telangana"/>
    <x v="16"/>
    <x v="2"/>
    <s v="Jacket"/>
    <s v="1"/>
    <s v="3228.91"/>
    <n v="0"/>
    <s v="1894.39"/>
    <s v="1334.52"/>
    <x v="1"/>
    <x v="0"/>
    <s v="Marketplace"/>
    <n v="3228.91"/>
  </r>
  <r>
    <s v="ORD107918"/>
    <x v="7"/>
    <s v="23-05-2025"/>
    <s v="CUST12258"/>
    <s v="Home Office"/>
    <s v="West Bengal"/>
    <x v="9"/>
    <x v="2"/>
    <s v="Handbag"/>
    <s v="2"/>
    <s v="4039.4"/>
    <n v="0.1"/>
    <s v="5284.97"/>
    <s v="1985.95"/>
    <x v="3"/>
    <x v="2"/>
    <s v="Marketplace"/>
    <n v="7270.92"/>
  </r>
  <r>
    <s v="ORD107925"/>
    <x v="3"/>
    <s v="25-03-2025"/>
    <s v="CUST11971"/>
    <s v="Home Office"/>
    <s v="Gujarat"/>
    <x v="3"/>
    <x v="4"/>
    <s v="Running Shoes"/>
    <s v="1"/>
    <s v="7838.14"/>
    <n v="0.2"/>
    <s v="5917.76"/>
    <s v="352.75"/>
    <x v="0"/>
    <x v="0"/>
    <s v="Marketplace"/>
    <n v="6270.5119999999997"/>
  </r>
  <r>
    <s v="ORD107939"/>
    <x v="10"/>
    <s v="26-11-2025"/>
    <s v="CUST11412"/>
    <s v="Consumer"/>
    <s v="Telangana"/>
    <x v="16"/>
    <x v="2"/>
    <s v="Handbag"/>
    <s v="1"/>
    <s v="4770.32"/>
    <n v="0.1"/>
    <s v="2758.92"/>
    <s v="1534.37"/>
    <x v="3"/>
    <x v="0"/>
    <s v="Marketplace"/>
    <n v="4293.2879999999996"/>
  </r>
  <r>
    <s v="ORD107941"/>
    <x v="7"/>
    <s v="10-05-2025"/>
    <s v="CUST11181"/>
    <s v="Consumer"/>
    <s v="West Bengal"/>
    <x v="0"/>
    <x v="3"/>
    <s v="Air Fryer"/>
    <s v="1"/>
    <s v="2119.73"/>
    <n v="0.1"/>
    <s v="1402"/>
    <s v="505.76"/>
    <x v="1"/>
    <x v="2"/>
    <s v="Website"/>
    <n v="1907.7570000000001"/>
  </r>
  <r>
    <s v="ORD107948"/>
    <x v="1"/>
    <s v="18-02-2025"/>
    <s v="CUST11850"/>
    <s v="Corporate"/>
    <s v="Gujarat"/>
    <x v="3"/>
    <x v="0"/>
    <s v="Headphones"/>
    <s v="1"/>
    <s v="39967.17"/>
    <n v="0.1"/>
    <s v="23344.39"/>
    <s v="12626.06"/>
    <x v="4"/>
    <x v="0"/>
    <s v="Website"/>
    <n v="35970.453000000001"/>
  </r>
  <r>
    <s v="ORD107954"/>
    <x v="5"/>
    <s v="17-09-2025"/>
    <s v="CUST11600"/>
    <s v="Corporate"/>
    <s v="Delhi"/>
    <x v="12"/>
    <x v="3"/>
    <s v="Vacuum Cleaner"/>
    <s v="1"/>
    <s v="10092.950000000001"/>
    <n v="0.15"/>
    <s v="5883.53"/>
    <s v="2695.48"/>
    <x v="2"/>
    <x v="0"/>
    <s v="Mobile App"/>
    <n v="8579.0074999999997"/>
  </r>
  <r>
    <s v="ORD107967"/>
    <x v="8"/>
    <s v="24-08-2025"/>
    <s v="CUST11455"/>
    <s v="Corporate"/>
    <s v="Kerala"/>
    <x v="15"/>
    <x v="0"/>
    <s v="Smartwatch"/>
    <s v="1"/>
    <s v="61335.22"/>
    <n v="0.1"/>
    <s v="37845.089999999997"/>
    <s v="17356.61"/>
    <x v="5"/>
    <x v="0"/>
    <s v="Website"/>
    <n v="55201.697999999997"/>
  </r>
  <r>
    <s v="ORD107978"/>
    <x v="6"/>
    <s v="05-07-2025"/>
    <s v="CUST11878"/>
    <s v="Home Office"/>
    <s v="Gujarat"/>
    <x v="18"/>
    <x v="3"/>
    <s v="Vacuum Cleaner"/>
    <s v="1"/>
    <s v="5016.09"/>
    <n v="0.1"/>
    <s v="3809.33"/>
    <s v="705.15"/>
    <x v="2"/>
    <x v="1"/>
    <s v="Website"/>
    <n v="4514.4809999999998"/>
  </r>
  <r>
    <s v="ORD107995"/>
    <x v="8"/>
    <s v="06-08-2025"/>
    <s v="CUST10135"/>
    <s v="Consumer"/>
    <s v="Kerala"/>
    <x v="6"/>
    <x v="2"/>
    <s v="Jeans"/>
    <s v="2"/>
    <s v="6526.77"/>
    <n v="0.15"/>
    <s v="9659.6299999999992"/>
    <s v="1435.88"/>
    <x v="2"/>
    <x v="2"/>
    <s v="Mobile App"/>
    <n v="11095.509"/>
  </r>
  <r>
    <s v="ORD108002"/>
    <x v="7"/>
    <s v="16-05-2025"/>
    <s v="CUST11754"/>
    <s v="Consumer"/>
    <s v="Telangana"/>
    <x v="16"/>
    <x v="2"/>
    <s v="T-Shirt"/>
    <s v="3"/>
    <s v="4921.07"/>
    <n v="0"/>
    <s v="8770.49"/>
    <s v="5992.72"/>
    <x v="5"/>
    <x v="0"/>
    <s v="Marketplace"/>
    <n v="14763.21"/>
  </r>
  <r>
    <s v="ORD108022"/>
    <x v="10"/>
    <s v="27-11-2025"/>
    <s v="CUST11403"/>
    <s v="Home Office"/>
    <s v="Karnataka"/>
    <x v="17"/>
    <x v="0"/>
    <s v="Smartphone"/>
    <s v="1"/>
    <s v="71301.52"/>
    <n v="0.1"/>
    <s v="53732.25"/>
    <s v="10439.120000000001"/>
    <x v="5"/>
    <x v="0"/>
    <s v="Mobile App"/>
    <n v="64171.368000000002"/>
  </r>
  <r>
    <s v="ORD108038"/>
    <x v="1"/>
    <s v="06-02-2025"/>
    <s v="CUST12741"/>
    <s v="Home Office"/>
    <s v="Kerala"/>
    <x v="6"/>
    <x v="2"/>
    <s v="Handbag"/>
    <s v="3"/>
    <s v="6015.67"/>
    <n v="0.2"/>
    <s v="11306.46"/>
    <s v="3131.15"/>
    <x v="3"/>
    <x v="3"/>
    <s v="Marketplace"/>
    <n v="14437.608"/>
  </r>
  <r>
    <s v="ORD108039"/>
    <x v="5"/>
    <s v="08-09-2025"/>
    <s v="CUST13394"/>
    <s v="Consumer"/>
    <s v="Tamil Nadu"/>
    <x v="8"/>
    <x v="3"/>
    <s v="Cookware Set"/>
    <s v="1"/>
    <s v="8290.42"/>
    <n v="0"/>
    <s v="6623.61"/>
    <s v="1666.81"/>
    <x v="1"/>
    <x v="0"/>
    <s v="Mobile App"/>
    <n v="8290.42"/>
  </r>
  <r>
    <s v="ORD108041"/>
    <x v="9"/>
    <s v="09-06-2025"/>
    <s v="CUST10292"/>
    <s v="Home Office"/>
    <s v="Karnataka"/>
    <x v="17"/>
    <x v="3"/>
    <s v="Vacuum Cleaner"/>
    <s v="1"/>
    <s v="4709.6099999999997"/>
    <n v="0.05"/>
    <s v="2673.01"/>
    <s v="1801.12"/>
    <x v="0"/>
    <x v="2"/>
    <s v="Website"/>
    <n v="4474.12949999999"/>
  </r>
  <r>
    <s v="ORD108058"/>
    <x v="1"/>
    <s v="22-02-2025"/>
    <s v="CUST10589"/>
    <s v="Consumer"/>
    <s v="Kerala"/>
    <x v="6"/>
    <x v="0"/>
    <s v="Tablet"/>
    <s v="3"/>
    <s v="10858.67"/>
    <n v="0.1"/>
    <s v="21309.21"/>
    <s v="8009.2"/>
    <x v="1"/>
    <x v="0"/>
    <s v="Mobile App"/>
    <n v="29318.409"/>
  </r>
  <r>
    <s v="ORD108061"/>
    <x v="7"/>
    <s v="29-05-2025"/>
    <s v="CUST10038"/>
    <s v="Home Office"/>
    <s v="Delhi"/>
    <x v="7"/>
    <x v="3"/>
    <s v="Cookware Set"/>
    <s v="1"/>
    <s v="14876.06"/>
    <n v="0.1"/>
    <s v="9790.2999999999993"/>
    <s v="3598.15"/>
    <x v="3"/>
    <x v="2"/>
    <s v="Website"/>
    <n v="13388.454"/>
  </r>
  <r>
    <s v="ORD108067"/>
    <x v="6"/>
    <s v="26-07-2025"/>
    <s v="CUST10174"/>
    <s v="Home Office"/>
    <s v="Telangana"/>
    <x v="14"/>
    <x v="0"/>
    <s v="Smartwatch"/>
    <s v="1"/>
    <s v="70646.83"/>
    <n v="0"/>
    <s v="48184.56"/>
    <s v="22462.27"/>
    <x v="5"/>
    <x v="0"/>
    <s v="Website"/>
    <n v="70646.83"/>
  </r>
  <r>
    <s v="ORD108069"/>
    <x v="9"/>
    <s v="05-06-2025"/>
    <s v="CUST12643"/>
    <s v="Home Office"/>
    <s v="Karnataka"/>
    <x v="22"/>
    <x v="3"/>
    <s v="Air Fryer"/>
    <s v="2"/>
    <s v="14288.95"/>
    <n v="0"/>
    <s v="17886.21"/>
    <s v="10691.69"/>
    <x v="1"/>
    <x v="0"/>
    <s v="Marketplace"/>
    <n v="28577.9"/>
  </r>
  <r>
    <s v="ORD108095"/>
    <x v="11"/>
    <s v="06-10-2025"/>
    <s v="CUST10739"/>
    <s v="Home Office"/>
    <s v="Gujarat"/>
    <x v="18"/>
    <x v="2"/>
    <s v="Jacket"/>
    <s v="1"/>
    <s v="1343.09"/>
    <n v="0.2"/>
    <s v="915.64"/>
    <s v="158.83000000000001"/>
    <x v="5"/>
    <x v="0"/>
    <s v="Mobile App"/>
    <n v="1074.472"/>
  </r>
  <r>
    <s v="ORD108096"/>
    <x v="9"/>
    <s v="30-06-2025"/>
    <s v="CUST12722"/>
    <s v="Consumer"/>
    <s v="Maharashtra"/>
    <x v="21"/>
    <x v="2"/>
    <s v="Mixer Grinder"/>
    <s v="1"/>
    <s v="17455.89"/>
    <n v="0"/>
    <s v="10320.09"/>
    <s v="7135.8"/>
    <x v="4"/>
    <x v="0"/>
    <s v="Marketplace"/>
    <n v="17455.89"/>
  </r>
  <r>
    <s v="ORD108106"/>
    <x v="7"/>
    <s v="11-05-2025"/>
    <s v="CUST13197"/>
    <s v="Home Office"/>
    <s v="Gujarat"/>
    <x v="18"/>
    <x v="2"/>
    <s v="Jeans"/>
    <s v="2"/>
    <s v="6178.39"/>
    <n v="0"/>
    <s v="9334.15"/>
    <s v="3022.63"/>
    <x v="3"/>
    <x v="0"/>
    <s v="Marketplace"/>
    <n v="12356.78"/>
  </r>
  <r>
    <s v="ORD108108"/>
    <x v="3"/>
    <s v="16-03-2025"/>
    <s v="CUST13234"/>
    <s v="Consumer"/>
    <s v="Tamil Nadu"/>
    <x v="1"/>
    <x v="3"/>
    <s v="Cookware Set"/>
    <s v="1"/>
    <s v="14532.6"/>
    <n v="0.05"/>
    <s v="9597.33"/>
    <s v="4208.6400000000003"/>
    <x v="0"/>
    <x v="3"/>
    <s v="Marketplace"/>
    <n v="13805.97"/>
  </r>
  <r>
    <s v="ORD108122"/>
    <x v="9"/>
    <s v="07-06-2025"/>
    <s v="CUST11366"/>
    <s v="Home Office"/>
    <s v="Telangana"/>
    <x v="14"/>
    <x v="3"/>
    <s v="Cookware Set"/>
    <s v="3"/>
    <s v="16821.36"/>
    <n v="0.1"/>
    <s v="33329.550000000003"/>
    <s v="12088.12"/>
    <x v="1"/>
    <x v="2"/>
    <s v="Mobile App"/>
    <n v="45417.671999999999"/>
  </r>
  <r>
    <s v="ORD108132"/>
    <x v="0"/>
    <s v="05-01-2025"/>
    <s v="CUST10998"/>
    <s v="Corporate"/>
    <s v="Maharashtra"/>
    <x v="21"/>
    <x v="2"/>
    <s v="Jeans"/>
    <s v="1"/>
    <s v="4968.0600000000004"/>
    <n v="0.05"/>
    <s v="3328.51"/>
    <s v="1391.15"/>
    <x v="2"/>
    <x v="0"/>
    <s v="Mobile App"/>
    <n v="4719.6570000000002"/>
  </r>
  <r>
    <s v="ORD108142"/>
    <x v="2"/>
    <s v="25-12-2025"/>
    <s v="CUST13087"/>
    <s v="Consumer"/>
    <s v="Tamil Nadu"/>
    <x v="13"/>
    <x v="1"/>
    <s v="Perfume"/>
    <s v="3"/>
    <s v="4428.1499999999996"/>
    <n v="0.15"/>
    <s v="8939.31"/>
    <s v="2352.4699999999998"/>
    <x v="1"/>
    <x v="0"/>
    <s v="Marketplace"/>
    <n v="11291.782499999999"/>
  </r>
  <r>
    <s v="ORD108147"/>
    <x v="0"/>
    <s v="19-01-2025"/>
    <s v="CUST12852"/>
    <s v="Home Office"/>
    <s v="Delhi"/>
    <x v="12"/>
    <x v="2"/>
    <s v="Sneakers"/>
    <s v="2"/>
    <s v="4508.4399999999996"/>
    <n v="0.1"/>
    <s v="7364.03"/>
    <s v="751.16"/>
    <x v="3"/>
    <x v="0"/>
    <s v="Marketplace"/>
    <n v="8115.19199999999"/>
  </r>
  <r>
    <s v="ORD108154"/>
    <x v="7"/>
    <s v="05-05-2025"/>
    <s v="CUST13224"/>
    <s v="Home Office"/>
    <s v="West Bengal"/>
    <x v="0"/>
    <x v="2"/>
    <s v="T-Shirt"/>
    <s v="1"/>
    <s v="5833.82"/>
    <n v="0.1"/>
    <s v="4219.5200000000004"/>
    <s v="1030.92"/>
    <x v="0"/>
    <x v="2"/>
    <s v="Mobile App"/>
    <n v="5250.4380000000001"/>
  </r>
  <r>
    <s v="ORD108173"/>
    <x v="9"/>
    <s v="27-06-2025"/>
    <s v="CUST10631"/>
    <s v="Home Office"/>
    <s v="Telangana"/>
    <x v="14"/>
    <x v="3"/>
    <s v="Cookware Set"/>
    <s v="1"/>
    <s v="5913.41"/>
    <n v="0.15"/>
    <s v="4547.8"/>
    <s v="478.6"/>
    <x v="1"/>
    <x v="0"/>
    <s v="Website"/>
    <n v="5026.3984999999902"/>
  </r>
  <r>
    <s v="ORD108177"/>
    <x v="4"/>
    <s v="21-04-2025"/>
    <s v="CUST10642"/>
    <s v="Home Office"/>
    <s v="Maharashtra"/>
    <x v="21"/>
    <x v="4"/>
    <s v="Yoga Mat"/>
    <s v="2"/>
    <s v="3537.45"/>
    <n v="0.1"/>
    <s v="5228.8100000000004"/>
    <s v="1138.5999999999999"/>
    <x v="0"/>
    <x v="0"/>
    <s v="Website"/>
    <n v="6367.41"/>
  </r>
  <r>
    <s v="ORD108180"/>
    <x v="9"/>
    <s v="28-06-2025"/>
    <s v="CUST12996"/>
    <s v="Home Office"/>
    <s v="Maharashtra"/>
    <x v="20"/>
    <x v="4"/>
    <s v="Cricket Bat"/>
    <s v="1"/>
    <s v="9074.4699999999993"/>
    <n v="0.2"/>
    <s v="5060.54"/>
    <s v="2199.04"/>
    <x v="0"/>
    <x v="1"/>
    <s v="Mobile App"/>
    <n v="7259.576"/>
  </r>
  <r>
    <s v="ORD108218"/>
    <x v="9"/>
    <s v="11-06-2025"/>
    <s v="CUST12973"/>
    <s v="Home Office"/>
    <s v="Maharashtra"/>
    <x v="20"/>
    <x v="3"/>
    <s v="Cookware Set"/>
    <s v="1"/>
    <s v="5771.95"/>
    <n v="0.1"/>
    <s v="4015.05"/>
    <s v="1179.71"/>
    <x v="3"/>
    <x v="2"/>
    <s v="Website"/>
    <n v="5194.7550000000001"/>
  </r>
  <r>
    <s v="ORD108227"/>
    <x v="10"/>
    <s v="12-11-2025"/>
    <s v="CUST12599"/>
    <s v="Consumer"/>
    <s v="Delhi"/>
    <x v="12"/>
    <x v="2"/>
    <s v="T-Shirt"/>
    <s v="1"/>
    <s v="4936.2"/>
    <n v="0.2"/>
    <s v="3911.93"/>
    <s v="37.03"/>
    <x v="1"/>
    <x v="3"/>
    <s v="Website"/>
    <n v="3948.96"/>
  </r>
  <r>
    <s v="ORD108239"/>
    <x v="1"/>
    <s v="18-02-2025"/>
    <s v="CUST10065"/>
    <s v="Corporate"/>
    <s v="Delhi"/>
    <x v="7"/>
    <x v="4"/>
    <s v="Yoga Mat"/>
    <s v="4"/>
    <s v="4279.13"/>
    <n v="0.1"/>
    <s v="13284.9"/>
    <s v="2119.9699999999998"/>
    <x v="5"/>
    <x v="0"/>
    <s v="Website"/>
    <n v="15404.868"/>
  </r>
  <r>
    <s v="ORD108248"/>
    <x v="1"/>
    <s v="26-02-2025"/>
    <s v="CUST11939"/>
    <s v="Consumer"/>
    <s v="Telangana"/>
    <x v="14"/>
    <x v="2"/>
    <s v="T-Shirt"/>
    <s v="1"/>
    <s v="4802.6000000000004"/>
    <n v="0"/>
    <s v="3278.58"/>
    <s v="1524.02"/>
    <x v="2"/>
    <x v="2"/>
    <s v="Marketplace"/>
    <n v="4802.6000000000004"/>
  </r>
  <r>
    <s v="ORD108251"/>
    <x v="0"/>
    <s v="21-01-2025"/>
    <s v="CUST11731"/>
    <s v="Consumer"/>
    <s v="Delhi"/>
    <x v="12"/>
    <x v="2"/>
    <s v="Handbag"/>
    <s v="1"/>
    <s v="532.4"/>
    <n v="0"/>
    <s v="353.18"/>
    <s v="179.22"/>
    <x v="3"/>
    <x v="0"/>
    <s v="Mobile App"/>
    <n v="532.4"/>
  </r>
  <r>
    <s v="ORD108254"/>
    <x v="4"/>
    <s v="22-04-2025"/>
    <s v="CUST12699"/>
    <s v="Home Office"/>
    <s v="Delhi"/>
    <x v="12"/>
    <x v="0"/>
    <s v="Laptop"/>
    <s v="3"/>
    <s v="57797.58"/>
    <n v="0.1"/>
    <s v="100523.04"/>
    <s v="55530.43"/>
    <x v="1"/>
    <x v="0"/>
    <s v="Marketplace"/>
    <n v="156053.46599999999"/>
  </r>
  <r>
    <s v="ORD108265"/>
    <x v="8"/>
    <s v="12-08-2025"/>
    <s v="CUST13066"/>
    <s v="Consumer"/>
    <s v="Maharashtra"/>
    <x v="21"/>
    <x v="3"/>
    <s v="Vacuum Cleaner"/>
    <s v="2"/>
    <s v="1187.3599999999999"/>
    <n v="0"/>
    <s v="1629.78"/>
    <s v="744.94"/>
    <x v="2"/>
    <x v="1"/>
    <s v="Website"/>
    <n v="2374.7199999999998"/>
  </r>
  <r>
    <s v="ORD108267"/>
    <x v="0"/>
    <s v="14-01-2025"/>
    <s v="CUST11897"/>
    <s v="Home Office"/>
    <s v="Kerala"/>
    <x v="6"/>
    <x v="1"/>
    <s v="Hair Dryer"/>
    <s v="1"/>
    <s v="5615.44"/>
    <n v="0.1"/>
    <s v="3996.06"/>
    <s v="1057.8399999999999"/>
    <x v="2"/>
    <x v="0"/>
    <s v="Website"/>
    <n v="5053.8959999999997"/>
  </r>
  <r>
    <s v="ORD108268"/>
    <x v="10"/>
    <s v="03-11-2025"/>
    <s v="CUST10399"/>
    <s v="Corporate"/>
    <s v="Gujarat"/>
    <x v="10"/>
    <x v="0"/>
    <s v="Headphones"/>
    <s v="1"/>
    <s v="27744.62"/>
    <n v="0"/>
    <s v="16158.9"/>
    <s v="11585.72"/>
    <x v="1"/>
    <x v="0"/>
    <s v="Mobile App"/>
    <n v="27744.62"/>
  </r>
  <r>
    <s v="ORD108288"/>
    <x v="1"/>
    <s v="10-02-2025"/>
    <s v="CUST11528"/>
    <s v="Consumer"/>
    <s v="Gujarat"/>
    <x v="18"/>
    <x v="3"/>
    <s v="Cookware Set"/>
    <s v="1"/>
    <s v="2943.22"/>
    <n v="0.05"/>
    <s v="2070.36"/>
    <s v="725.7"/>
    <x v="2"/>
    <x v="0"/>
    <s v="Website"/>
    <n v="2796.0589999999902"/>
  </r>
  <r>
    <s v="ORD108315"/>
    <x v="1"/>
    <s v="13-02-2025"/>
    <s v="CUST12981"/>
    <s v="Corporate"/>
    <s v="Telangana"/>
    <x v="16"/>
    <x v="4"/>
    <s v="Cricket Bat"/>
    <s v="2"/>
    <s v="6472.82"/>
    <n v="0"/>
    <s v="8891.19"/>
    <s v="4054.45"/>
    <x v="1"/>
    <x v="0"/>
    <s v="Mobile App"/>
    <n v="12945.64"/>
  </r>
  <r>
    <s v="ORD108322"/>
    <x v="2"/>
    <s v="26-12-2025"/>
    <s v="CUST10235"/>
    <s v="Corporate"/>
    <s v="Karnataka"/>
    <x v="22"/>
    <x v="4"/>
    <s v="Fitness Band"/>
    <s v="3"/>
    <s v="4014.08"/>
    <n v="0.1"/>
    <s v="7047.6"/>
    <s v="3790.42"/>
    <x v="5"/>
    <x v="0"/>
    <s v="Mobile App"/>
    <n v="10838.016"/>
  </r>
  <r>
    <s v="ORD108366"/>
    <x v="4"/>
    <s v="22-04-2025"/>
    <s v="CUST13411"/>
    <s v="Consumer"/>
    <s v="Delhi"/>
    <x v="7"/>
    <x v="2"/>
    <s v="Sneakers"/>
    <s v="1"/>
    <s v="4472.38"/>
    <n v="0"/>
    <s v="3148.72"/>
    <s v="1323.66"/>
    <x v="2"/>
    <x v="0"/>
    <s v="Mobile App"/>
    <n v="4472.38"/>
  </r>
  <r>
    <s v="ORD108367"/>
    <x v="8"/>
    <s v="24-08-2025"/>
    <s v="CUST11416"/>
    <s v="Consumer"/>
    <s v="Gujarat"/>
    <x v="10"/>
    <x v="2"/>
    <s v="Jeans"/>
    <s v="2"/>
    <s v="4953.6899999999996"/>
    <n v="0.1"/>
    <s v="6815.68"/>
    <s v="2100.96"/>
    <x v="1"/>
    <x v="0"/>
    <s v="Website"/>
    <n v="8916.6419999999998"/>
  </r>
  <r>
    <s v="ORD108375"/>
    <x v="3"/>
    <s v="11-03-2025"/>
    <s v="CUST12439"/>
    <s v="Home Office"/>
    <s v="West Bengal"/>
    <x v="0"/>
    <x v="4"/>
    <s v="Yoga Mat"/>
    <s v="1"/>
    <s v="2170.14"/>
    <n v="0.1"/>
    <s v="1738.22"/>
    <s v="214.91"/>
    <x v="3"/>
    <x v="0"/>
    <s v="Mobile App"/>
    <n v="1953.126"/>
  </r>
  <r>
    <s v="ORD108394"/>
    <x v="0"/>
    <s v="03-01-2025"/>
    <s v="CUST10007"/>
    <s v="Home Office"/>
    <s v="Telangana"/>
    <x v="14"/>
    <x v="3"/>
    <s v="Cookware Set"/>
    <s v="1"/>
    <s v="10943.5"/>
    <n v="0.05"/>
    <s v="8640.89"/>
    <s v="1755.43"/>
    <x v="1"/>
    <x v="3"/>
    <s v="Mobile App"/>
    <n v="10396.324999999901"/>
  </r>
  <r>
    <s v="ORD108399"/>
    <x v="10"/>
    <s v="03-11-2025"/>
    <s v="CUST11918"/>
    <s v="Corporate"/>
    <s v="Kerala"/>
    <x v="15"/>
    <x v="3"/>
    <s v="Vacuum Cleaner"/>
    <s v="1"/>
    <s v="7594.42"/>
    <n v="0.15"/>
    <s v="5208.05"/>
    <s v="1247.21"/>
    <x v="1"/>
    <x v="0"/>
    <s v="Website"/>
    <n v="6455.2569999999996"/>
  </r>
  <r>
    <s v="ORD108417"/>
    <x v="2"/>
    <s v="28-12-2025"/>
    <s v="CUST10519"/>
    <s v="Home Office"/>
    <s v="Maharashtra"/>
    <x v="21"/>
    <x v="0"/>
    <s v="Tablet"/>
    <s v="1"/>
    <s v="29070.61"/>
    <n v="0.05"/>
    <s v="22426.95"/>
    <s v="5190.13"/>
    <x v="3"/>
    <x v="3"/>
    <s v="Mobile App"/>
    <n v="27617.0795"/>
  </r>
  <r>
    <s v="ORD108428"/>
    <x v="6"/>
    <s v="12-07-2025"/>
    <s v="CUST13121"/>
    <s v="Consumer"/>
    <s v="Delhi"/>
    <x v="12"/>
    <x v="3"/>
    <s v="Mixer Grinder"/>
    <s v="2"/>
    <s v="1500.89"/>
    <n v="0.1"/>
    <s v="1830.4"/>
    <s v="871.2"/>
    <x v="5"/>
    <x v="3"/>
    <s v="Website"/>
    <n v="2701.6019999999999"/>
  </r>
  <r>
    <s v="ORD108429"/>
    <x v="5"/>
    <s v="04-09-2025"/>
    <s v="CUST10443"/>
    <s v="Consumer"/>
    <s v="Delhi"/>
    <x v="7"/>
    <x v="4"/>
    <s v="Football"/>
    <s v="2"/>
    <s v="4804.0200000000004"/>
    <n v="0.2"/>
    <s v="5968.58"/>
    <s v="1717.85"/>
    <x v="2"/>
    <x v="0"/>
    <s v="Marketplace"/>
    <n v="7686.4319999999998"/>
  </r>
  <r>
    <s v="ORD108448"/>
    <x v="8"/>
    <s v="06-08-2025"/>
    <s v="CUST11336"/>
    <s v="Home Office"/>
    <s v="Telangana"/>
    <x v="14"/>
    <x v="3"/>
    <s v="Mixer Grinder"/>
    <s v="1"/>
    <s v="12928.76"/>
    <n v="0.2"/>
    <s v="8443.19"/>
    <s v="1899.82"/>
    <x v="5"/>
    <x v="1"/>
    <s v="Website"/>
    <n v="10343.008"/>
  </r>
  <r>
    <s v="ORD108453"/>
    <x v="7"/>
    <s v="12-05-2025"/>
    <s v="CUST11083"/>
    <s v="Consumer"/>
    <s v="Tamil Nadu"/>
    <x v="11"/>
    <x v="2"/>
    <s v="Jacket"/>
    <s v="1"/>
    <s v="2745.74"/>
    <n v="0.1"/>
    <s v="1567.74"/>
    <s v="903.43"/>
    <x v="2"/>
    <x v="0"/>
    <s v="Website"/>
    <n v="2471.1659999999902"/>
  </r>
  <r>
    <s v="ORD108464"/>
    <x v="4"/>
    <s v="06-04-2025"/>
    <s v="CUST10121"/>
    <s v="Home Office"/>
    <s v="West Bengal"/>
    <x v="9"/>
    <x v="0"/>
    <s v="Headphones"/>
    <s v="2"/>
    <s v="25262.55"/>
    <n v="0.1"/>
    <s v="39063.25"/>
    <s v="6409.34"/>
    <x v="0"/>
    <x v="0"/>
    <s v="Website"/>
    <n v="45472.59"/>
  </r>
  <r>
    <s v="ORD108467"/>
    <x v="0"/>
    <s v="18-01-2025"/>
    <s v="CUST11857"/>
    <s v="Corporate"/>
    <s v="Telangana"/>
    <x v="14"/>
    <x v="1"/>
    <s v="Perfume"/>
    <s v="1"/>
    <s v="2479.16"/>
    <n v="0"/>
    <s v="1393.35"/>
    <m/>
    <x v="3"/>
    <x v="0"/>
    <s v="Mobile App"/>
    <n v="2479.16"/>
  </r>
  <r>
    <s v="ORD108482"/>
    <x v="6"/>
    <s v="08-07-2025"/>
    <s v="CUST10445"/>
    <s v="Home Office"/>
    <s v="Telangana"/>
    <x v="16"/>
    <x v="2"/>
    <s v="Jeans"/>
    <s v="1"/>
    <s v="1221.71"/>
    <n v="0"/>
    <s v="818.41"/>
    <s v="403.3"/>
    <x v="5"/>
    <x v="0"/>
    <s v="Marketplace"/>
    <n v="1221.71"/>
  </r>
  <r>
    <s v="ORD108519"/>
    <x v="10"/>
    <s v="20-11-2025"/>
    <s v="CUST12651"/>
    <s v="Corporate"/>
    <s v="West Bengal"/>
    <x v="0"/>
    <x v="2"/>
    <s v="T-Shirt"/>
    <s v="2"/>
    <s v="6715.57"/>
    <n v="0"/>
    <s v="8164.26"/>
    <s v="5266.88"/>
    <x v="5"/>
    <x v="0"/>
    <s v="Marketplace"/>
    <n v="13431.14"/>
  </r>
  <r>
    <s v="ORD108522"/>
    <x v="6"/>
    <s v="20-07-2025"/>
    <s v="CUST11004"/>
    <s v="Corporate"/>
    <s v="Karnataka"/>
    <x v="17"/>
    <x v="3"/>
    <s v="Mixer Grinder"/>
    <s v="2"/>
    <s v="14297.48"/>
    <n v="0.15"/>
    <s v="17325.07"/>
    <s v="6980.65"/>
    <x v="2"/>
    <x v="0"/>
    <s v="Website"/>
    <n v="24305.716"/>
  </r>
  <r>
    <s v="ORD108538"/>
    <x v="3"/>
    <s v="20-03-2025"/>
    <s v="CUST11884"/>
    <s v="Home Office"/>
    <s v="Tamil Nadu"/>
    <x v="8"/>
    <x v="0"/>
    <s v="Smartphone"/>
    <s v="1"/>
    <s v="39755.339999999997"/>
    <n v="0.1"/>
    <s v="30149.360000000001"/>
    <s v="5630.45"/>
    <x v="1"/>
    <x v="2"/>
    <s v="Mobile App"/>
    <n v="35779.805999999997"/>
  </r>
  <r>
    <s v="ORD108583"/>
    <x v="0"/>
    <s v="04-01-2025"/>
    <s v="CUST10341"/>
    <s v="Home Office"/>
    <s v="Maharashtra"/>
    <x v="20"/>
    <x v="3"/>
    <s v="Cookware Set"/>
    <s v="2"/>
    <s v="12857.86"/>
    <n v="0"/>
    <s v="17174.11"/>
    <s v="8541.61"/>
    <x v="0"/>
    <x v="3"/>
    <s v="Website"/>
    <n v="25715.72"/>
  </r>
  <r>
    <s v="ORD108610"/>
    <x v="10"/>
    <s v="28-11-2025"/>
    <s v="CUST13452"/>
    <s v="Corporate"/>
    <s v="Maharashtra"/>
    <x v="4"/>
    <x v="2"/>
    <s v="Sneakers"/>
    <s v="4"/>
    <s v="2550.34"/>
    <n v="0.1"/>
    <s v="7174.88"/>
    <s v="2006.34"/>
    <x v="0"/>
    <x v="0"/>
    <s v="Mobile App"/>
    <n v="9181.2240000000002"/>
  </r>
  <r>
    <s v="ORD108612"/>
    <x v="4"/>
    <s v="19-04-2025"/>
    <s v="CUST12163"/>
    <s v="Consumer"/>
    <s v="Delhi"/>
    <x v="7"/>
    <x v="4"/>
    <s v="Running Shoes"/>
    <s v="1"/>
    <s v="3851.38"/>
    <n v="0.1"/>
    <s v="2754.41"/>
    <s v="711.83"/>
    <x v="1"/>
    <x v="0"/>
    <s v="Website"/>
    <n v="3466.2420000000002"/>
  </r>
  <r>
    <s v="ORD108613"/>
    <x v="3"/>
    <s v="06-03-2025"/>
    <s v="CUST12384"/>
    <s v="Corporate"/>
    <s v="Kerala"/>
    <x v="6"/>
    <x v="2"/>
    <s v="Jeans"/>
    <s v="1"/>
    <s v="926.75"/>
    <n v="0.05"/>
    <s v="606.92999999999995"/>
    <s v="273.48"/>
    <x v="3"/>
    <x v="0"/>
    <s v="Website"/>
    <n v="880.412499999999"/>
  </r>
  <r>
    <s v="ORD108614"/>
    <x v="8"/>
    <s v="03-08-2025"/>
    <s v="CUST12814"/>
    <s v="Consumer"/>
    <s v="Tamil Nadu"/>
    <x v="13"/>
    <x v="3"/>
    <s v="Vacuum Cleaner"/>
    <s v="1"/>
    <s v="3212.36"/>
    <n v="0"/>
    <s v="1792.94"/>
    <s v="1419.42"/>
    <x v="5"/>
    <x v="0"/>
    <s v="Mobile App"/>
    <n v="3212.36"/>
  </r>
  <r>
    <s v="ORD108616"/>
    <x v="5"/>
    <s v="17-09-2025"/>
    <s v="CUST10421"/>
    <s v="Home Office"/>
    <s v="Gujarat"/>
    <x v="3"/>
    <x v="0"/>
    <s v="Smartwatch"/>
    <s v="4"/>
    <s v="18409.27"/>
    <n v="0"/>
    <s v="50784.4"/>
    <s v="22852.68"/>
    <x v="1"/>
    <x v="0"/>
    <s v="Marketplace"/>
    <n v="73637.08"/>
  </r>
  <r>
    <s v="ORD108622"/>
    <x v="8"/>
    <s v="28-08-2025"/>
    <s v="CUST13142"/>
    <s v="Consumer"/>
    <s v="Delhi"/>
    <x v="7"/>
    <x v="0"/>
    <s v="Smartwatch"/>
    <s v="1"/>
    <s v="6345.36"/>
    <n v="0.15"/>
    <s v="5186.99"/>
    <s v="206.57"/>
    <x v="5"/>
    <x v="0"/>
    <s v="Website"/>
    <n v="5393.5559999999996"/>
  </r>
  <r>
    <s v="ORD108631"/>
    <x v="4"/>
    <s v="18-04-2025"/>
    <s v="CUST10415"/>
    <s v="Home Office"/>
    <s v="Karnataka"/>
    <x v="2"/>
    <x v="3"/>
    <s v="Mixer Grinder"/>
    <s v="2"/>
    <s v="9357.26"/>
    <n v="0"/>
    <s v="12321.6"/>
    <s v="6392.92"/>
    <x v="5"/>
    <x v="0"/>
    <s v="Website"/>
    <n v="18714.52"/>
  </r>
  <r>
    <s v="ORD108639"/>
    <x v="8"/>
    <s v="19-08-2025"/>
    <s v="CUST12724"/>
    <s v="Home Office"/>
    <s v="Maharashtra"/>
    <x v="20"/>
    <x v="4"/>
    <s v="Cricket Bat"/>
    <s v="4"/>
    <s v="8960.49"/>
    <n v="0.1"/>
    <s v="19733.73"/>
    <s v="12524.03"/>
    <x v="1"/>
    <x v="0"/>
    <s v="Marketplace"/>
    <n v="32257.763999999999"/>
  </r>
  <r>
    <s v="ORD108645"/>
    <x v="5"/>
    <s v="04-09-2025"/>
    <s v="CUST13213"/>
    <s v="Consumer"/>
    <s v="Telangana"/>
    <x v="14"/>
    <x v="1"/>
    <s v="Perfume"/>
    <s v="1"/>
    <s v="5171.3999999999996"/>
    <n v="0.1"/>
    <s v="4008.32"/>
    <s v="645.94000000000005"/>
    <x v="0"/>
    <x v="1"/>
    <s v="Website"/>
    <n v="4654.26"/>
  </r>
  <r>
    <s v="ORD108649"/>
    <x v="10"/>
    <s v="30-11-2025"/>
    <s v="CUST11259"/>
    <s v="Corporate"/>
    <s v="Delhi"/>
    <x v="7"/>
    <x v="0"/>
    <s v="Smartwatch"/>
    <s v="1"/>
    <s v="73720.59"/>
    <n v="0.15"/>
    <s v="56766.15"/>
    <s v="5896.35"/>
    <x v="2"/>
    <x v="0"/>
    <s v="Mobile App"/>
    <n v="62662.501499999998"/>
  </r>
  <r>
    <s v="ORD108651"/>
    <x v="2"/>
    <s v="04-12-2025"/>
    <s v="CUST12743"/>
    <s v="Corporate"/>
    <s v="Kerala"/>
    <x v="5"/>
    <x v="1"/>
    <s v="Lipstick"/>
    <s v="1"/>
    <s v="1325.49"/>
    <n v="0"/>
    <s v="797.78"/>
    <s v="527.71"/>
    <x v="1"/>
    <x v="0"/>
    <s v="Mobile App"/>
    <n v="1325.49"/>
  </r>
  <r>
    <s v="ORD108659"/>
    <x v="1"/>
    <s v="09-02-2025"/>
    <s v="CUST11468"/>
    <s v="Home Office"/>
    <s v="Gujarat"/>
    <x v="3"/>
    <x v="0"/>
    <s v="Headphones"/>
    <s v="1"/>
    <s v="39542.910000000003"/>
    <n v="0.2"/>
    <s v="31897.5"/>
    <s v="-263.17"/>
    <x v="0"/>
    <x v="0"/>
    <s v="Mobile App"/>
    <n v="31634.328000000001"/>
  </r>
  <r>
    <s v="ORD108684"/>
    <x v="0"/>
    <s v="31-01-2025"/>
    <s v="CUST12523"/>
    <s v="Home Office"/>
    <s v="Gujarat"/>
    <x v="18"/>
    <x v="0"/>
    <s v="Headphones"/>
    <s v="1"/>
    <s v="15119.05"/>
    <n v="0"/>
    <s v="9413.31"/>
    <s v="5705.74"/>
    <x v="1"/>
    <x v="0"/>
    <s v="Marketplace"/>
    <n v="15119.05"/>
  </r>
  <r>
    <s v="ORD108696"/>
    <x v="3"/>
    <s v="28-03-2025"/>
    <s v="CUST11834"/>
    <s v="Consumer"/>
    <s v="Maharashtra"/>
    <x v="21"/>
    <x v="0"/>
    <s v="Smartwatch"/>
    <s v="1"/>
    <s v="54895.839999999997"/>
    <n v="0.15"/>
    <s v="41870.92"/>
    <s v="4790.54"/>
    <x v="1"/>
    <x v="0"/>
    <s v="Marketplace"/>
    <n v="46661.463999999898"/>
  </r>
  <r>
    <s v="ORD108709"/>
    <x v="9"/>
    <s v="20-06-2025"/>
    <s v="CUST11234"/>
    <s v="Corporate"/>
    <s v="Tamil Nadu"/>
    <x v="8"/>
    <x v="0"/>
    <s v="Laptop"/>
    <s v="2"/>
    <s v="32076.02"/>
    <n v="0.1"/>
    <s v="42817.45"/>
    <s v="14919.39"/>
    <x v="0"/>
    <x v="0"/>
    <s v="Website"/>
    <n v="57736.836000000003"/>
  </r>
  <r>
    <s v="ORD108724"/>
    <x v="9"/>
    <s v="16-06-2025"/>
    <s v="CUST12171"/>
    <s v="Corporate"/>
    <s v="Delhi"/>
    <x v="12"/>
    <x v="2"/>
    <s v="Sneakers"/>
    <s v="1"/>
    <s v="2490.71"/>
    <n v="0.1"/>
    <s v="1472.49"/>
    <s v="769.15"/>
    <x v="0"/>
    <x v="0"/>
    <s v="Website"/>
    <n v="2241.6390000000001"/>
  </r>
  <r>
    <s v="ORD108742"/>
    <x v="11"/>
    <s v="26-10-2025"/>
    <s v="CUST13144"/>
    <s v="Consumer"/>
    <s v="Kerala"/>
    <x v="5"/>
    <x v="2"/>
    <s v="Sneakers"/>
    <s v="2"/>
    <s v="312.13"/>
    <n v="0.15"/>
    <s v="473.6"/>
    <s v="57.02"/>
    <x v="1"/>
    <x v="0"/>
    <s v="Website"/>
    <n v="530.62099999999998"/>
  </r>
  <r>
    <s v="ORD108746"/>
    <x v="0"/>
    <s v="30-01-2025"/>
    <s v="CUST11556"/>
    <s v="Consumer"/>
    <s v="Maharashtra"/>
    <x v="4"/>
    <x v="2"/>
    <s v="Jacket"/>
    <s v="1"/>
    <s v="644.91"/>
    <n v="0.15"/>
    <s v="386.73"/>
    <s v="161.44"/>
    <x v="2"/>
    <x v="2"/>
    <s v="Website"/>
    <n v="548.17349999999999"/>
  </r>
  <r>
    <s v="ORD108757"/>
    <x v="2"/>
    <s v="30-12-2025"/>
    <s v="CUST12681"/>
    <s v="Corporate"/>
    <s v="Karnataka"/>
    <x v="22"/>
    <x v="3"/>
    <s v="Coffee Maker"/>
    <s v="2"/>
    <s v="3376.98"/>
    <n v="0.15"/>
    <s v="5388.22"/>
    <s v="352.65"/>
    <x v="2"/>
    <x v="0"/>
    <s v="Mobile App"/>
    <n v="5740.866"/>
  </r>
  <r>
    <s v="ORD108784"/>
    <x v="7"/>
    <s v="14-05-2025"/>
    <s v="CUST11169"/>
    <s v="Home Office"/>
    <s v="Kerala"/>
    <x v="6"/>
    <x v="3"/>
    <s v="Coffee Maker"/>
    <s v="1"/>
    <s v="4396.51"/>
    <n v="0.1"/>
    <s v="3364.45"/>
    <s v="592.41"/>
    <x v="2"/>
    <x v="2"/>
    <s v="Marketplace"/>
    <n v="3956.8589999999999"/>
  </r>
  <r>
    <s v="ORD108795"/>
    <x v="4"/>
    <s v="24-04-2025"/>
    <s v="CUST11692"/>
    <s v="Corporate"/>
    <s v="Delhi"/>
    <x v="12"/>
    <x v="4"/>
    <s v="Fitness Band"/>
    <s v="2"/>
    <s v="2412.5300000000002"/>
    <n v="0.1"/>
    <s v="2809.74"/>
    <s v="1532.81"/>
    <x v="5"/>
    <x v="0"/>
    <s v="Mobile App"/>
    <n v="4342.5540000000001"/>
  </r>
  <r>
    <s v="ORD108827"/>
    <x v="6"/>
    <s v="26-07-2025"/>
    <s v="CUST11152"/>
    <s v="Corporate"/>
    <s v="Telangana"/>
    <x v="16"/>
    <x v="4"/>
    <s v="Cricket Bat"/>
    <s v="2"/>
    <s v="5728.84"/>
    <n v="0.1"/>
    <s v="9020.67"/>
    <s v="1291.24"/>
    <x v="5"/>
    <x v="0"/>
    <s v="Mobile App"/>
    <n v="10311.912"/>
  </r>
  <r>
    <s v="ORD108843"/>
    <x v="10"/>
    <s v="18-11-2025"/>
    <s v="CUST13237"/>
    <s v="Consumer"/>
    <s v="Gujarat"/>
    <x v="3"/>
    <x v="3"/>
    <s v="Mixer Grinder"/>
    <s v="1"/>
    <s v="14177.01"/>
    <n v="0.1"/>
    <s v="9015.8799999999992"/>
    <s v="3743.43"/>
    <x v="0"/>
    <x v="0"/>
    <s v="Mobile App"/>
    <n v="12759.308999999999"/>
  </r>
  <r>
    <s v="ORD108863"/>
    <x v="7"/>
    <s v="27-05-2025"/>
    <s v="CUST10806"/>
    <s v="Consumer"/>
    <s v="Gujarat"/>
    <x v="18"/>
    <x v="0"/>
    <s v="Smartphone"/>
    <s v="1"/>
    <s v="20318.37"/>
    <n v="0.15"/>
    <s v="14920.15"/>
    <s v="2350.46"/>
    <x v="2"/>
    <x v="2"/>
    <s v="Marketplace"/>
    <n v="17270.6145"/>
  </r>
  <r>
    <s v="ORD108878"/>
    <x v="8"/>
    <s v="30-08-2025"/>
    <s v="CUST11910"/>
    <s v="Consumer"/>
    <s v="Delhi"/>
    <x v="12"/>
    <x v="0"/>
    <s v="Fitness Band"/>
    <s v="2"/>
    <s v="11556.52"/>
    <n v="0.1"/>
    <s v="18799.53"/>
    <s v="2002.21"/>
    <x v="1"/>
    <x v="3"/>
    <s v="Mobile App"/>
    <n v="20801.736000000001"/>
  </r>
  <r>
    <s v="ORD108886"/>
    <x v="0"/>
    <s v="11-01-2025"/>
    <s v="CUST13311"/>
    <s v="Corporate"/>
    <s v="Kerala"/>
    <x v="5"/>
    <x v="2"/>
    <s v="Handbag"/>
    <s v="1"/>
    <s v="2803.6"/>
    <n v="0.1"/>
    <s v="1549.15"/>
    <s v="974.09"/>
    <x v="0"/>
    <x v="0"/>
    <s v="Marketplace"/>
    <n v="2523.2399999999998"/>
  </r>
  <r>
    <s v="ORD108892"/>
    <x v="6"/>
    <s v="12-07-2025"/>
    <s v="CUST11162"/>
    <s v="Consumer"/>
    <s v="Karnataka"/>
    <x v="22"/>
    <x v="0"/>
    <s v="Tablet"/>
    <s v="1"/>
    <s v="73911.58"/>
    <n v="0.1"/>
    <s v="43447.96"/>
    <s v="23072.46"/>
    <x v="2"/>
    <x v="0"/>
    <s v="Mobile App"/>
    <n v="66520.422000000006"/>
  </r>
  <r>
    <s v="ORD108893"/>
    <x v="10"/>
    <s v="30-11-2025"/>
    <s v="CUST10878"/>
    <s v="Corporate"/>
    <s v="Kerala"/>
    <x v="5"/>
    <x v="2"/>
    <s v="T-Shirt"/>
    <s v="1"/>
    <s v="1432.52"/>
    <n v="0.1"/>
    <s v="945.73"/>
    <s v="343.54"/>
    <x v="0"/>
    <x v="0"/>
    <s v="Mobile App"/>
    <n v="1289.268"/>
  </r>
  <r>
    <s v="ORD108907"/>
    <x v="6"/>
    <s v="14-07-2025"/>
    <s v="CUST13041"/>
    <s v="Corporate"/>
    <s v="Kerala"/>
    <x v="15"/>
    <x v="2"/>
    <s v="Jacket"/>
    <s v="3"/>
    <s v="1159.07"/>
    <n v="0.05"/>
    <s v="1932.66"/>
    <s v="1370.69"/>
    <x v="3"/>
    <x v="0"/>
    <s v="Website"/>
    <n v="3303.3494999999998"/>
  </r>
  <r>
    <s v="ORD108919"/>
    <x v="7"/>
    <s v="13-05-2025"/>
    <s v="CUST11351"/>
    <s v="Corporate"/>
    <s v="Karnataka"/>
    <x v="17"/>
    <x v="1"/>
    <s v="Shampoo"/>
    <s v="1"/>
    <s v="5773.77"/>
    <n v="0"/>
    <s v="3998.75"/>
    <s v="1775.02"/>
    <x v="2"/>
    <x v="0"/>
    <s v="Marketplace"/>
    <n v="5773.77"/>
  </r>
  <r>
    <s v="ORD108923"/>
    <x v="10"/>
    <s v="04-11-2025"/>
    <s v="CUST11689"/>
    <s v="Home Office"/>
    <s v="Delhi"/>
    <x v="7"/>
    <x v="3"/>
    <s v="Vacuum Cleaner"/>
    <s v="2"/>
    <s v="1818.24"/>
    <n v="0.2"/>
    <s v="2022.78"/>
    <s v="886.4"/>
    <x v="3"/>
    <x v="0"/>
    <s v="Mobile App"/>
    <n v="2909.1840000000002"/>
  </r>
  <r>
    <s v="ORD108934"/>
    <x v="3"/>
    <s v="21-03-2025"/>
    <s v="CUST11543"/>
    <s v="Consumer"/>
    <s v="Telangana"/>
    <x v="14"/>
    <x v="4"/>
    <s v="Cricket Bat"/>
    <s v="1"/>
    <s v="2871.48"/>
    <n v="0.1"/>
    <s v="2196.7600000000002"/>
    <s v="387.57"/>
    <x v="1"/>
    <x v="0"/>
    <s v="Website"/>
    <n v="2584.3319999999999"/>
  </r>
  <r>
    <s v="ORD108955"/>
    <x v="4"/>
    <s v="14-04-2025"/>
    <s v="CUST10682"/>
    <s v="Consumer"/>
    <s v="Telangana"/>
    <x v="16"/>
    <x v="2"/>
    <s v="T-Shirt"/>
    <s v="1"/>
    <s v="5495.83"/>
    <n v="0.05"/>
    <s v="3734.06"/>
    <s v="1486.98"/>
    <x v="5"/>
    <x v="0"/>
    <s v="Marketplace"/>
    <n v="5221.0384999999997"/>
  </r>
  <r>
    <s v="ORD108970"/>
    <x v="0"/>
    <s v="07-01-2025"/>
    <s v="CUST12426"/>
    <s v="Home Office"/>
    <s v="Gujarat"/>
    <x v="3"/>
    <x v="1"/>
    <s v="Face Cream"/>
    <s v="1"/>
    <s v="1461.89"/>
    <n v="0.1"/>
    <s v="1043.18"/>
    <s v="272.52"/>
    <x v="3"/>
    <x v="0"/>
    <s v="Mobile App"/>
    <n v="1315.701"/>
  </r>
  <r>
    <s v="ORD108978"/>
    <x v="10"/>
    <s v="02-11-2025"/>
    <s v="CUST10403"/>
    <s v="Corporate"/>
    <s v="Kerala"/>
    <x v="5"/>
    <x v="2"/>
    <s v="Jacket"/>
    <s v="2"/>
    <s v="3375.15"/>
    <n v="0"/>
    <s v="5092.84"/>
    <s v="1657.46"/>
    <x v="2"/>
    <x v="0"/>
    <s v="Mobile App"/>
    <n v="6750.3"/>
  </r>
  <r>
    <s v="ORD108986"/>
    <x v="7"/>
    <s v="26-05-2025"/>
    <s v="CUST11265"/>
    <s v="Corporate"/>
    <s v="Maharashtra"/>
    <x v="4"/>
    <x v="1"/>
    <s v="Hair Dryer"/>
    <s v="3"/>
    <s v="392.95"/>
    <n v="0.1"/>
    <s v="941.53"/>
    <s v="119.43"/>
    <x v="1"/>
    <x v="0"/>
    <s v="Marketplace"/>
    <n v="1060.9649999999999"/>
  </r>
  <r>
    <s v="ORD108988"/>
    <x v="1"/>
    <s v="07-02-2025"/>
    <s v="CUST11356"/>
    <s v="Home Office"/>
    <s v="Maharashtra"/>
    <x v="4"/>
    <x v="3"/>
    <s v="Cookware Set"/>
    <s v="1"/>
    <s v="1372.84"/>
    <n v="0"/>
    <s v="857.66"/>
    <s v="515.17999999999995"/>
    <x v="1"/>
    <x v="0"/>
    <s v="Marketplace"/>
    <n v="1372.84"/>
  </r>
  <r>
    <s v="ORD109007"/>
    <x v="6"/>
    <s v="20-07-2025"/>
    <s v="CUST13384"/>
    <s v="Home Office"/>
    <s v="Maharashtra"/>
    <x v="20"/>
    <x v="2"/>
    <s v="T-Shirt"/>
    <s v="2"/>
    <s v="5575.02"/>
    <n v="0"/>
    <s v="7198.47"/>
    <s v="3951.57"/>
    <x v="1"/>
    <x v="0"/>
    <s v="Mobile App"/>
    <n v="11150.04"/>
  </r>
  <r>
    <s v="ORD109012"/>
    <x v="4"/>
    <s v="30-04-2025"/>
    <s v="CUST11720"/>
    <s v="Consumer"/>
    <s v="Karnataka"/>
    <x v="17"/>
    <x v="3"/>
    <s v="Cookware Set"/>
    <s v="1"/>
    <s v="9342.73"/>
    <n v="0.05"/>
    <s v="6499.69"/>
    <s v="2375.9"/>
    <x v="3"/>
    <x v="0"/>
    <s v="Mobile App"/>
    <n v="8875.5934999999899"/>
  </r>
  <r>
    <s v="ORD109020"/>
    <x v="3"/>
    <s v="06-03-2025"/>
    <s v="CUST13420"/>
    <s v="Corporate"/>
    <s v="Gujarat"/>
    <x v="10"/>
    <x v="0"/>
    <s v="Headphones"/>
    <s v="1"/>
    <s v="26528.05"/>
    <n v="0"/>
    <s v="15337.74"/>
    <s v="11190.31"/>
    <x v="3"/>
    <x v="1"/>
    <s v="Mobile App"/>
    <n v="26528.05"/>
  </r>
  <r>
    <s v="ORD109034"/>
    <x v="6"/>
    <s v="15-07-2025"/>
    <s v="CUST11618"/>
    <s v="Consumer"/>
    <s v="Maharashtra"/>
    <x v="21"/>
    <x v="0"/>
    <s v="Headphones"/>
    <s v="1"/>
    <s v="63838.31"/>
    <n v="0.05"/>
    <s v="45962.97"/>
    <s v="14683.42"/>
    <x v="2"/>
    <x v="0"/>
    <s v="Mobile App"/>
    <n v="60646.3944999999"/>
  </r>
  <r>
    <s v="ORD109044"/>
    <x v="1"/>
    <s v="04-02-2025"/>
    <s v="CUST11462"/>
    <s v="Consumer"/>
    <s v="West Bengal"/>
    <x v="0"/>
    <x v="3"/>
    <s v="Coffee Maker"/>
    <s v="1"/>
    <s v="11602.27"/>
    <n v="0.2"/>
    <s v="6476.84"/>
    <s v="2804.98"/>
    <x v="1"/>
    <x v="2"/>
    <s v="Website"/>
    <n v="9281.8160000000007"/>
  </r>
  <r>
    <s v="ORD109046"/>
    <x v="2"/>
    <s v="16-12-2025"/>
    <s v="CUST11142"/>
    <s v="Consumer"/>
    <s v="Maharashtra"/>
    <x v="4"/>
    <x v="3"/>
    <s v="Mixer Grinder"/>
    <s v="1"/>
    <s v="16104.81"/>
    <n v="0.1"/>
    <s v="9184.4599999999991"/>
    <s v="5309.87"/>
    <x v="3"/>
    <x v="3"/>
    <s v="Website"/>
    <n v="14494.329"/>
  </r>
  <r>
    <s v="ORD109048"/>
    <x v="7"/>
    <s v="16-05-2025"/>
    <s v="CUST10268"/>
    <s v="Consumer"/>
    <s v="Tamil Nadu"/>
    <x v="19"/>
    <x v="0"/>
    <s v="Headphones"/>
    <s v="1"/>
    <s v="21975.119999999999"/>
    <n v="0.1"/>
    <s v="12963.75"/>
    <s v="6813.86"/>
    <x v="2"/>
    <x v="3"/>
    <s v="Website"/>
    <n v="19777.608"/>
  </r>
  <r>
    <s v="ORD109055"/>
    <x v="5"/>
    <s v="23-09-2025"/>
    <s v="CUST10402"/>
    <s v="Corporate"/>
    <s v="Tamil Nadu"/>
    <x v="8"/>
    <x v="0"/>
    <s v="Smartphone"/>
    <s v="1"/>
    <s v="51018.81"/>
    <n v="0.2"/>
    <s v="38796.339999999997"/>
    <s v="2018.71"/>
    <x v="1"/>
    <x v="0"/>
    <s v="Marketplace"/>
    <n v="40815.048000000003"/>
  </r>
  <r>
    <s v="ORD109061"/>
    <x v="5"/>
    <s v="27-09-2025"/>
    <s v="CUST10317"/>
    <s v="Consumer"/>
    <s v="Tamil Nadu"/>
    <x v="19"/>
    <x v="0"/>
    <s v="Headphones"/>
    <s v="1"/>
    <s v="30554.18"/>
    <n v="0.15"/>
    <s v="17869.060000000001"/>
    <s v="8101.99"/>
    <x v="0"/>
    <x v="0"/>
    <s v="Marketplace"/>
    <n v="25971.053"/>
  </r>
  <r>
    <s v="ORD109070"/>
    <x v="10"/>
    <s v="06-11-2025"/>
    <s v="CUST10243"/>
    <s v="Corporate"/>
    <s v="Kerala"/>
    <x v="15"/>
    <x v="0"/>
    <s v="Headphones"/>
    <s v="4"/>
    <s v="58471.79"/>
    <n v="0"/>
    <s v="152087.38"/>
    <s v="81799.78"/>
    <x v="5"/>
    <x v="0"/>
    <s v="Marketplace"/>
    <n v="233887.16"/>
  </r>
  <r>
    <s v="ORD109088"/>
    <x v="0"/>
    <s v="17-01-2025"/>
    <s v="CUST11456"/>
    <s v="Home Office"/>
    <s v="Delhi"/>
    <x v="12"/>
    <x v="1"/>
    <s v="Face Cream"/>
    <s v="1"/>
    <s v="1664.09"/>
    <n v="0.1"/>
    <s v="1150.8800000000001"/>
    <s v="346.8"/>
    <x v="5"/>
    <x v="0"/>
    <s v="Marketplace"/>
    <n v="1497.681"/>
  </r>
  <r>
    <s v="ORD109089"/>
    <x v="11"/>
    <s v="03-10-2025"/>
    <s v="CUST13468"/>
    <s v="Home Office"/>
    <s v="Maharashtra"/>
    <x v="20"/>
    <x v="1"/>
    <s v="Face Cream"/>
    <s v="3"/>
    <s v="4385.01"/>
    <n v="0.15"/>
    <s v="8686.2000000000007"/>
    <s v="2495.58"/>
    <x v="0"/>
    <x v="2"/>
    <s v="Website"/>
    <n v="11181.7755"/>
  </r>
  <r>
    <s v="ORD109090"/>
    <x v="3"/>
    <s v="21-03-2025"/>
    <s v="CUST11507"/>
    <s v="Consumer"/>
    <s v="Karnataka"/>
    <x v="2"/>
    <x v="3"/>
    <s v="Mixer Grinder"/>
    <s v="3"/>
    <s v="3251.99"/>
    <n v="0.1"/>
    <s v="5583.6"/>
    <s v="3196.77"/>
    <x v="3"/>
    <x v="0"/>
    <s v="Mobile App"/>
    <n v="8780.3729999999996"/>
  </r>
  <r>
    <s v="ORD109095"/>
    <x v="11"/>
    <s v="08-10-2025"/>
    <s v="CUST10767"/>
    <s v="Consumer"/>
    <s v="Delhi"/>
    <x v="12"/>
    <x v="4"/>
    <s v="Fitness Band"/>
    <s v="1"/>
    <s v="5686.84"/>
    <n v="0.05"/>
    <s v="4090.23"/>
    <s v="1312.27"/>
    <x v="3"/>
    <x v="0"/>
    <s v="Website"/>
    <n v="5402.4979999999996"/>
  </r>
  <r>
    <s v="ORD109104"/>
    <x v="10"/>
    <s v="01-11-2025"/>
    <s v="CUST10091"/>
    <s v="Home Office"/>
    <s v="Delhi"/>
    <x v="7"/>
    <x v="1"/>
    <s v="Hair Dryer"/>
    <s v="3"/>
    <s v="5829.11"/>
    <n v="0"/>
    <s v="13642.85"/>
    <s v="3844.48"/>
    <x v="5"/>
    <x v="3"/>
    <s v="Marketplace"/>
    <n v="17487.3299999999"/>
  </r>
  <r>
    <s v="ORD109129"/>
    <x v="11"/>
    <s v="23-10-2025"/>
    <s v="CUST10220"/>
    <s v="Home Office"/>
    <s v="Kerala"/>
    <x v="5"/>
    <x v="4"/>
    <s v="Yoga Mat"/>
    <s v="1"/>
    <s v="7985.54"/>
    <n v="0.1"/>
    <s v="5668.47"/>
    <s v="1518.52"/>
    <x v="2"/>
    <x v="0"/>
    <s v="Website"/>
    <n v="7186.9859999999999"/>
  </r>
  <r>
    <s v="ORD109131"/>
    <x v="4"/>
    <s v="04-04-2025"/>
    <s v="CUST11922"/>
    <s v="Consumer"/>
    <s v="Tamil Nadu"/>
    <x v="8"/>
    <x v="2"/>
    <s v="Handbag"/>
    <s v="2"/>
    <s v="4273.3599999999997"/>
    <n v="0.2"/>
    <s v="5390.21"/>
    <s v="1447.17"/>
    <x v="0"/>
    <x v="0"/>
    <s v="Website"/>
    <n v="6837.3760000000002"/>
  </r>
  <r>
    <s v="ORD109133"/>
    <x v="11"/>
    <s v="09-10-2025"/>
    <s v="CUST12522"/>
    <s v="Consumer"/>
    <s v="Maharashtra"/>
    <x v="20"/>
    <x v="2"/>
    <s v="Sneakers"/>
    <s v="3"/>
    <s v="6874.93"/>
    <n v="0.15"/>
    <s v="13537.43"/>
    <s v="3993.64"/>
    <x v="0"/>
    <x v="0"/>
    <s v="Marketplace"/>
    <n v="17531.071499999998"/>
  </r>
  <r>
    <s v="ORD109134"/>
    <x v="3"/>
    <s v="30-03-2025"/>
    <s v="CUST13333"/>
    <s v="Corporate"/>
    <s v="Telangana"/>
    <x v="14"/>
    <x v="0"/>
    <s v="Headphones"/>
    <s v="2"/>
    <s v="5955.29"/>
    <n v="0.15"/>
    <s v="8990.52"/>
    <s v="1133.47"/>
    <x v="3"/>
    <x v="0"/>
    <s v="Marketplace"/>
    <n v="10123.993"/>
  </r>
  <r>
    <s v="ORD109142"/>
    <x v="11"/>
    <s v="06-10-2025"/>
    <s v="CUST11852"/>
    <s v="Consumer"/>
    <s v="Delhi"/>
    <x v="12"/>
    <x v="2"/>
    <s v="Sneakers"/>
    <s v="3"/>
    <s v="3530.79"/>
    <n v="0.1"/>
    <s v="7470.54"/>
    <s v="2062.59"/>
    <x v="2"/>
    <x v="0"/>
    <s v="Website"/>
    <n v="9533.1329999999998"/>
  </r>
  <r>
    <s v="ORD109166"/>
    <x v="7"/>
    <s v="31-05-2025"/>
    <s v="CUST10358"/>
    <s v="Consumer"/>
    <s v="Gujarat"/>
    <x v="18"/>
    <x v="1"/>
    <s v="Hair Dryer"/>
    <s v="1"/>
    <s v="901"/>
    <n v="0"/>
    <s v="508.88"/>
    <s v="392.12"/>
    <x v="2"/>
    <x v="0"/>
    <s v="Mobile App"/>
    <n v="901"/>
  </r>
  <r>
    <s v="ORD109204"/>
    <x v="3"/>
    <s v="29-03-2025"/>
    <s v="CUST11612"/>
    <s v="Corporate"/>
    <s v="Delhi"/>
    <x v="7"/>
    <x v="3"/>
    <s v="Mixer Grinder"/>
    <s v="1"/>
    <s v="10072.790000000001"/>
    <n v="0.15"/>
    <s v="5556.88"/>
    <s v="3004.99"/>
    <x v="2"/>
    <x v="3"/>
    <s v="Marketplace"/>
    <n v="8561.8714999999993"/>
  </r>
  <r>
    <s v="ORD109235"/>
    <x v="3"/>
    <s v="04-03-2025"/>
    <s v="CUST12167"/>
    <s v="Home Office"/>
    <s v="West Bengal"/>
    <x v="9"/>
    <x v="2"/>
    <s v="Jeans"/>
    <s v="1"/>
    <s v="5681.12"/>
    <n v="0.1"/>
    <s v="4035.14"/>
    <s v="1077.8699999999999"/>
    <x v="3"/>
    <x v="0"/>
    <s v="Website"/>
    <n v="5113.0079999999998"/>
  </r>
  <r>
    <s v="ORD109245"/>
    <x v="1"/>
    <s v="22-02-2025"/>
    <s v="CUST11404"/>
    <s v="Corporate"/>
    <s v="Kerala"/>
    <x v="6"/>
    <x v="4"/>
    <s v="Cricket Bat"/>
    <s v="1"/>
    <s v="3056.31"/>
    <n v="0"/>
    <s v="2244.4699999999998"/>
    <s v="659.02"/>
    <x v="2"/>
    <x v="0"/>
    <s v="Website"/>
    <n v="3056.31"/>
  </r>
  <r>
    <s v="ORD109256"/>
    <x v="10"/>
    <s v="02-11-2025"/>
    <s v="CUST12068"/>
    <s v="Corporate"/>
    <s v="Kerala"/>
    <x v="5"/>
    <x v="3"/>
    <s v="Air Fryer"/>
    <s v="1"/>
    <s v="5580.19"/>
    <n v="0"/>
    <s v="4492.6899999999996"/>
    <s v="1087.5"/>
    <x v="1"/>
    <x v="0"/>
    <s v="Mobile App"/>
    <n v="5580.19"/>
  </r>
  <r>
    <s v="ORD109264"/>
    <x v="6"/>
    <s v="16-07-2025"/>
    <s v="CUST11446"/>
    <s v="Home Office"/>
    <s v="Kerala"/>
    <x v="15"/>
    <x v="2"/>
    <s v="T-Shirt"/>
    <s v="2"/>
    <s v="2595.19"/>
    <n v="0.15"/>
    <s v="3540.62"/>
    <s v="871.2"/>
    <x v="3"/>
    <x v="0"/>
    <s v="Mobile App"/>
    <n v="4411.8230000000003"/>
  </r>
  <r>
    <s v="ORD109288"/>
    <x v="9"/>
    <s v="22-06-2025"/>
    <s v="CUST12213"/>
    <s v="Home Office"/>
    <s v="Delhi"/>
    <x v="7"/>
    <x v="2"/>
    <s v="T-Shirt"/>
    <s v="1"/>
    <s v="3001.31"/>
    <n v="0.15"/>
    <s v="2090.42"/>
    <s v="460.69"/>
    <x v="1"/>
    <x v="0"/>
    <s v="Marketplace"/>
    <n v="2551.1134999999999"/>
  </r>
  <r>
    <s v="ORD109296"/>
    <x v="10"/>
    <s v="18-11-2025"/>
    <s v="CUST12205"/>
    <s v="Corporate"/>
    <s v="Gujarat"/>
    <x v="3"/>
    <x v="0"/>
    <s v="Tablet"/>
    <s v="4"/>
    <s v="45525.34"/>
    <n v="0"/>
    <s v="104613.38"/>
    <s v="77487.98"/>
    <x v="5"/>
    <x v="0"/>
    <s v="Website"/>
    <n v="182101.36"/>
  </r>
  <r>
    <s v="ORD109316"/>
    <x v="2"/>
    <s v="28-12-2025"/>
    <s v="CUST10943"/>
    <s v="Corporate"/>
    <s v="Kerala"/>
    <x v="5"/>
    <x v="1"/>
    <s v="Shampoo"/>
    <s v="2"/>
    <s v="1926.03"/>
    <n v="0"/>
    <s v="2823.07"/>
    <s v="1028.99"/>
    <x v="0"/>
    <x v="0"/>
    <s v="Mobile App"/>
    <n v="3852.06"/>
  </r>
  <r>
    <s v="ORD109346"/>
    <x v="7"/>
    <s v="11-05-2025"/>
    <s v="CUST12376"/>
    <s v="Consumer"/>
    <s v="Maharashtra"/>
    <x v="4"/>
    <x v="1"/>
    <s v="Hair Dryer"/>
    <s v="1"/>
    <s v="5091.99"/>
    <n v="0.2"/>
    <s v="3731.14"/>
    <s v="342.45"/>
    <x v="5"/>
    <x v="1"/>
    <s v="Mobile App"/>
    <n v="4073.5920000000001"/>
  </r>
  <r>
    <s v="ORD109365"/>
    <x v="6"/>
    <s v="29-07-2025"/>
    <s v="CUST11919"/>
    <s v="Consumer"/>
    <s v="Delhi"/>
    <x v="12"/>
    <x v="1"/>
    <s v="Perfume"/>
    <s v="2"/>
    <s v="3703.82"/>
    <n v="0.05"/>
    <s v="4945.49"/>
    <s v="2091.77"/>
    <x v="5"/>
    <x v="0"/>
    <s v="Mobile App"/>
    <n v="7037.2579999999998"/>
  </r>
  <r>
    <s v="ORD109386"/>
    <x v="2"/>
    <s v="01-12-2025"/>
    <s v="CUST12700"/>
    <s v="Home Office"/>
    <s v="Kerala"/>
    <x v="5"/>
    <x v="1"/>
    <s v="Face Cream"/>
    <s v="1"/>
    <s v="2652.83"/>
    <n v="0.1"/>
    <s v="2144.63"/>
    <s v="242.92"/>
    <x v="5"/>
    <x v="0"/>
    <s v="Marketplace"/>
    <n v="2387.547"/>
  </r>
  <r>
    <s v="ORD109398"/>
    <x v="8"/>
    <s v="01-08-2025"/>
    <s v="CUST12083"/>
    <s v="Home Office"/>
    <s v="Telangana"/>
    <x v="14"/>
    <x v="0"/>
    <s v="Smartwatch"/>
    <s v="2"/>
    <s v="33254.35"/>
    <n v="0"/>
    <s v="45651.519999999997"/>
    <s v="20857.18"/>
    <x v="0"/>
    <x v="0"/>
    <s v="Website"/>
    <n v="66508.7"/>
  </r>
  <r>
    <s v="ORD109430"/>
    <x v="11"/>
    <s v="25-10-2025"/>
    <s v="CUST11993"/>
    <s v="Corporate"/>
    <s v="West Bengal"/>
    <x v="0"/>
    <x v="2"/>
    <s v="T-Shirt"/>
    <s v="2"/>
    <s v="2946.12"/>
    <n v="0.05"/>
    <s v="4497.6499999999996"/>
    <s v="1099.98"/>
    <x v="1"/>
    <x v="3"/>
    <s v="Marketplace"/>
    <n v="5597.6279999999997"/>
  </r>
  <r>
    <s v="ORD109443"/>
    <x v="4"/>
    <s v="10-04-2025"/>
    <s v="CUST13355"/>
    <s v="Home Office"/>
    <s v="Gujarat"/>
    <x v="3"/>
    <x v="3"/>
    <s v="Mixer Grinder"/>
    <s v="4"/>
    <s v="6515.19"/>
    <n v="0.1"/>
    <s v="18414.189999999999"/>
    <s v="5040.49"/>
    <x v="1"/>
    <x v="1"/>
    <s v="Mobile App"/>
    <n v="23454.683999999899"/>
  </r>
  <r>
    <s v="ORD109459"/>
    <x v="9"/>
    <s v="21-06-2025"/>
    <s v="CUST10732"/>
    <s v="Home Office"/>
    <s v="Maharashtra"/>
    <x v="20"/>
    <x v="0"/>
    <s v="Headphones"/>
    <s v="4"/>
    <s v="17592.27"/>
    <n v="0.15"/>
    <s v="56145.53"/>
    <s v="3668.19"/>
    <x v="5"/>
    <x v="0"/>
    <s v="Marketplace"/>
    <n v="59813.718000000001"/>
  </r>
  <r>
    <s v="ORD109475"/>
    <x v="10"/>
    <s v="26-11-2025"/>
    <s v="CUST10373"/>
    <s v="Consumer"/>
    <s v="Tamil Nadu"/>
    <x v="19"/>
    <x v="0"/>
    <s v="Smartwatch"/>
    <s v="1"/>
    <s v="36018.1"/>
    <n v="0.1"/>
    <s v="21076.95"/>
    <s v="11339.34"/>
    <x v="1"/>
    <x v="0"/>
    <s v="Mobile App"/>
    <n v="32416.29"/>
  </r>
  <r>
    <s v="ORD109478"/>
    <x v="9"/>
    <s v="16-06-2025"/>
    <s v="CUST12077"/>
    <s v="Corporate"/>
    <s v="West Bengal"/>
    <x v="9"/>
    <x v="3"/>
    <s v="Mixer Grinder"/>
    <s v="2"/>
    <s v="17569.59"/>
    <n v="0.05"/>
    <s v="24017.88"/>
    <s v="9364.34"/>
    <x v="2"/>
    <x v="0"/>
    <s v="Mobile App"/>
    <n v="33382.220999999998"/>
  </r>
  <r>
    <s v="ORD109484"/>
    <x v="3"/>
    <s v="01-03-2025"/>
    <s v="CUST11854"/>
    <s v="Corporate"/>
    <s v="Telangana"/>
    <x v="16"/>
    <x v="4"/>
    <s v="Yoga Mat"/>
    <s v="2"/>
    <s v="1623.07"/>
    <n v="0.1"/>
    <s v="2339.36"/>
    <s v="582.16999999999996"/>
    <x v="5"/>
    <x v="0"/>
    <s v="Mobile App"/>
    <n v="2921.5259999999998"/>
  </r>
  <r>
    <s v="ORD109487"/>
    <x v="1"/>
    <s v="22-02-2025"/>
    <s v="CUST10099"/>
    <s v="Corporate"/>
    <s v="Maharashtra"/>
    <x v="4"/>
    <x v="0"/>
    <s v="Tablet"/>
    <s v="1"/>
    <s v="40165.53"/>
    <n v="0.05"/>
    <s v="22623.29"/>
    <s v="15533.96"/>
    <x v="5"/>
    <x v="0"/>
    <s v="Mobile App"/>
    <n v="38157.253499999999"/>
  </r>
  <r>
    <s v="ORD109509"/>
    <x v="6"/>
    <s v="18-07-2025"/>
    <s v="CUST13233"/>
    <s v="Consumer"/>
    <s v="Karnataka"/>
    <x v="22"/>
    <x v="0"/>
    <s v="Tablet"/>
    <s v="3"/>
    <s v="34359.82"/>
    <n v="0.15"/>
    <s v="84275.33"/>
    <s v="3342.21"/>
    <x v="2"/>
    <x v="0"/>
    <s v="Mobile App"/>
    <n v="87617.540999999997"/>
  </r>
  <r>
    <s v="ORD109520"/>
    <x v="9"/>
    <s v="11-06-2025"/>
    <s v="CUST11481"/>
    <s v="Home Office"/>
    <s v="Maharashtra"/>
    <x v="21"/>
    <x v="4"/>
    <s v="Running Shoes"/>
    <s v="1"/>
    <s v="11178.12"/>
    <n v="0.2"/>
    <s v="9104.4"/>
    <s v="-161.9"/>
    <x v="5"/>
    <x v="0"/>
    <s v="Mobile App"/>
    <n v="8942.4959999999992"/>
  </r>
  <r>
    <s v="ORD109533"/>
    <x v="10"/>
    <s v="02-11-2025"/>
    <s v="CUST11085"/>
    <s v="Consumer"/>
    <s v="West Bengal"/>
    <x v="9"/>
    <x v="3"/>
    <s v="Air Fryer"/>
    <s v="4"/>
    <s v="15041.54"/>
    <n v="0.2"/>
    <s v="46264.21"/>
    <s v="1868.72"/>
    <x v="5"/>
    <x v="0"/>
    <s v="Marketplace"/>
    <n v="48132.928"/>
  </r>
  <r>
    <s v="ORD109534"/>
    <x v="1"/>
    <s v="23-02-2025"/>
    <s v="CUST12047"/>
    <s v="Consumer"/>
    <s v="Tamil Nadu"/>
    <x v="13"/>
    <x v="3"/>
    <s v="Vacuum Cleaner"/>
    <s v="1"/>
    <s v="4096.88"/>
    <n v="0.05"/>
    <s v="2784.04"/>
    <s v="1108"/>
    <x v="0"/>
    <x v="0"/>
    <s v="Mobile App"/>
    <n v="3892.0360000000001"/>
  </r>
  <r>
    <s v="ORD109538"/>
    <x v="8"/>
    <s v="01-08-2025"/>
    <s v="CUST12823"/>
    <s v="Home Office"/>
    <s v="Tamil Nadu"/>
    <x v="13"/>
    <x v="1"/>
    <s v="Shampoo"/>
    <s v="1"/>
    <s v="5930.83"/>
    <n v="0.2"/>
    <s v="4721.24"/>
    <s v="23.42"/>
    <x v="2"/>
    <x v="0"/>
    <s v="Mobile App"/>
    <n v="4744.6639999999998"/>
  </r>
  <r>
    <s v="ORD109545"/>
    <x v="0"/>
    <s v="08-01-2025"/>
    <s v="CUST12836"/>
    <s v="Corporate"/>
    <s v="Kerala"/>
    <x v="15"/>
    <x v="0"/>
    <s v="Smartwatch"/>
    <s v="2"/>
    <s v="68777.119999999995"/>
    <n v="0.05"/>
    <s v="82959.199999999997"/>
    <s v="47717.33"/>
    <x v="0"/>
    <x v="2"/>
    <s v="Website"/>
    <n v="130676.527999999"/>
  </r>
  <r>
    <s v="ORD109549"/>
    <x v="1"/>
    <s v="26-02-2025"/>
    <s v="CUST10752"/>
    <s v="Consumer"/>
    <s v="Delhi"/>
    <x v="12"/>
    <x v="2"/>
    <s v="Sneakers"/>
    <s v="1"/>
    <s v="504.03"/>
    <n v="0.15"/>
    <s v="399.04"/>
    <s v="29.39"/>
    <x v="3"/>
    <x v="0"/>
    <s v="Website"/>
    <n v="428.42549999999898"/>
  </r>
  <r>
    <s v="ORD109598"/>
    <x v="2"/>
    <s v="03-12-2025"/>
    <s v="CUST11117"/>
    <s v="Home Office"/>
    <s v="Maharashtra"/>
    <x v="21"/>
    <x v="2"/>
    <s v="Sneakers"/>
    <s v="1"/>
    <s v="2104.19"/>
    <n v="0.2"/>
    <s v="1373.57"/>
    <s v="309.77999999999997"/>
    <x v="2"/>
    <x v="0"/>
    <s v="Mobile App"/>
    <n v="1683.3520000000001"/>
  </r>
  <r>
    <s v="ORD109613"/>
    <x v="7"/>
    <s v="07-05-2025"/>
    <s v="CUST12207"/>
    <s v="Consumer"/>
    <s v="West Bengal"/>
    <x v="9"/>
    <x v="0"/>
    <s v="Tablet"/>
    <s v="1"/>
    <s v="52536.68"/>
    <n v="0.1"/>
    <s v="35760.22"/>
    <s v="11522.79"/>
    <x v="1"/>
    <x v="0"/>
    <s v="Marketplace"/>
    <n v="47283.012000000002"/>
  </r>
  <r>
    <s v="ORD109644"/>
    <x v="0"/>
    <s v="15-01-2025"/>
    <s v="CUST12911"/>
    <s v="Home Office"/>
    <s v="West Bengal"/>
    <x v="0"/>
    <x v="1"/>
    <s v="Perfume"/>
    <s v="2"/>
    <s v="5558.42"/>
    <n v="0"/>
    <s v="8408.1"/>
    <s v="2708.74"/>
    <x v="0"/>
    <x v="0"/>
    <s v="Website"/>
    <n v="11116.84"/>
  </r>
  <r>
    <s v="ORD109653"/>
    <x v="9"/>
    <s v="19-06-2025"/>
    <s v="CUST10716"/>
    <s v="Home Office"/>
    <s v="Delhi"/>
    <x v="12"/>
    <x v="2"/>
    <s v="Jacket"/>
    <s v="1"/>
    <s v="586.94000000000005"/>
    <n v="0.1"/>
    <s v="477.07"/>
    <s v="51.18"/>
    <x v="2"/>
    <x v="0"/>
    <s v="Marketplace"/>
    <n v="528.24599999999998"/>
  </r>
  <r>
    <s v="ORD109656"/>
    <x v="7"/>
    <s v="31-05-2025"/>
    <s v="CUST11915"/>
    <s v="Home Office"/>
    <s v="Telangana"/>
    <x v="16"/>
    <x v="4"/>
    <s v="Running Shoes"/>
    <s v="1"/>
    <s v="7325.54"/>
    <n v="0.05"/>
    <s v="4674.2700000000004"/>
    <s v="2284.9899999999998"/>
    <x v="5"/>
    <x v="0"/>
    <s v="Website"/>
    <n v="6959.2629999999999"/>
  </r>
  <r>
    <s v="ORD109666"/>
    <x v="9"/>
    <s v="28-06-2025"/>
    <s v="CUST12014"/>
    <s v="Home Office"/>
    <s v="Kerala"/>
    <x v="6"/>
    <x v="2"/>
    <s v="T-Shirt"/>
    <s v="1"/>
    <s v="5126.1899999999996"/>
    <n v="0.1"/>
    <s v="3830.02"/>
    <s v="783.55"/>
    <x v="0"/>
    <x v="3"/>
    <s v="Marketplace"/>
    <n v="4613.5709999999999"/>
  </r>
  <r>
    <s v="ORD109679"/>
    <x v="1"/>
    <s v="08-02-2025"/>
    <s v="CUST10580"/>
    <s v="Home Office"/>
    <s v="Gujarat"/>
    <x v="3"/>
    <x v="1"/>
    <s v="Shampoo"/>
    <s v="2"/>
    <s v="1889.69"/>
    <n v="0.1"/>
    <s v="2278.91"/>
    <s v="1122.53"/>
    <x v="5"/>
    <x v="0"/>
    <s v="Marketplace"/>
    <n v="3401.442"/>
  </r>
  <r>
    <s v="ORD109707"/>
    <x v="7"/>
    <s v="16-05-2025"/>
    <s v="CUST13218"/>
    <s v="Home Office"/>
    <s v="Delhi"/>
    <x v="7"/>
    <x v="2"/>
    <s v="T-Shirt"/>
    <s v="1"/>
    <s v="5545.47"/>
    <n v="0.15"/>
    <s v="3787.08"/>
    <s v="926.57"/>
    <x v="2"/>
    <x v="0"/>
    <s v="Mobile App"/>
    <n v="4713.6495000000004"/>
  </r>
  <r>
    <s v="ORD109714"/>
    <x v="6"/>
    <s v="31-07-2025"/>
    <s v="CUST10255"/>
    <s v="Corporate"/>
    <s v="Gujarat"/>
    <x v="18"/>
    <x v="2"/>
    <s v="Sneakers"/>
    <s v="1"/>
    <s v="3458.06"/>
    <n v="0.1"/>
    <s v="2762.79"/>
    <s v="349.46"/>
    <x v="5"/>
    <x v="2"/>
    <s v="Mobile App"/>
    <n v="3112.2539999999999"/>
  </r>
  <r>
    <s v="ORD109734"/>
    <x v="9"/>
    <s v="03-06-2025"/>
    <s v="CUST11926"/>
    <s v="Corporate"/>
    <s v="Kerala"/>
    <x v="6"/>
    <x v="4"/>
    <s v="Yoga Mat"/>
    <s v="1"/>
    <s v="3017.29"/>
    <n v="0.05"/>
    <s v="2007.63"/>
    <s v="858.8"/>
    <x v="5"/>
    <x v="0"/>
    <s v="Website"/>
    <n v="2866.4254999999998"/>
  </r>
  <r>
    <s v="ORD109735"/>
    <x v="10"/>
    <s v="30-11-2025"/>
    <s v="CUST11957"/>
    <s v="Corporate"/>
    <s v="West Bengal"/>
    <x v="9"/>
    <x v="1"/>
    <s v="Hair Dryer"/>
    <s v="3"/>
    <s v="3895.29"/>
    <n v="0.1"/>
    <s v="7980.75"/>
    <s v="2536.5300000000002"/>
    <x v="3"/>
    <x v="0"/>
    <s v="Marketplace"/>
    <n v="10517.282999999999"/>
  </r>
  <r>
    <s v="ORD109748"/>
    <x v="0"/>
    <s v="21-01-2025"/>
    <s v="CUST13252"/>
    <s v="Consumer"/>
    <s v="Maharashtra"/>
    <x v="21"/>
    <x v="4"/>
    <s v="Yoga Mat"/>
    <s v="2"/>
    <s v="2860.89"/>
    <n v="0.05"/>
    <s v="3545.25"/>
    <s v="1890.44"/>
    <x v="1"/>
    <x v="0"/>
    <s v="Mobile App"/>
    <n v="5435.6909999999998"/>
  </r>
  <r>
    <s v="ORD109750"/>
    <x v="5"/>
    <s v="12-09-2025"/>
    <s v="CUST12512"/>
    <s v="Corporate"/>
    <s v="Delhi"/>
    <x v="12"/>
    <x v="3"/>
    <s v="Vacuum Cleaner"/>
    <s v="1"/>
    <s v="5190.22"/>
    <n v="0.1"/>
    <s v="3117.51"/>
    <s v="1553.69"/>
    <x v="0"/>
    <x v="0"/>
    <s v="Mobile App"/>
    <n v="4671.1980000000003"/>
  </r>
  <r>
    <s v="ORD109763"/>
    <x v="8"/>
    <s v="08-08-2025"/>
    <s v="CUST11233"/>
    <s v="Corporate"/>
    <s v="Kerala"/>
    <x v="6"/>
    <x v="1"/>
    <s v="Face Cream"/>
    <s v="2"/>
    <s v="1195.79"/>
    <n v="0"/>
    <s v="1871.21"/>
    <s v="520.37"/>
    <x v="1"/>
    <x v="0"/>
    <s v="Mobile App"/>
    <n v="2391.58"/>
  </r>
  <r>
    <s v="ORD109790"/>
    <x v="4"/>
    <s v="01-04-2025"/>
    <s v="CUST12158"/>
    <s v="Corporate"/>
    <s v="Delhi"/>
    <x v="12"/>
    <x v="2"/>
    <s v="Laptop"/>
    <s v="2"/>
    <s v="67516.38"/>
    <n v="0.2"/>
    <s v="102689.95"/>
    <s v="5336.26"/>
    <x v="1"/>
    <x v="0"/>
    <s v="Website"/>
    <n v="108026.208"/>
  </r>
  <r>
    <s v="ORD109837"/>
    <x v="11"/>
    <s v="30-10-2025"/>
    <s v="CUST11274"/>
    <s v="Home Office"/>
    <s v="Gujarat"/>
    <x v="10"/>
    <x v="4"/>
    <s v="Cricket Bat"/>
    <s v="1"/>
    <s v="11314.84"/>
    <n v="0.05"/>
    <s v="8677.89"/>
    <s v="2071.21"/>
    <x v="0"/>
    <x v="3"/>
    <s v="Mobile App"/>
    <n v="10749.098"/>
  </r>
  <r>
    <s v="ORD109841"/>
    <x v="3"/>
    <s v="26-03-2025"/>
    <s v="CUST11355"/>
    <s v="Corporate"/>
    <s v="Kerala"/>
    <x v="6"/>
    <x v="0"/>
    <s v="Headphones"/>
    <s v="3"/>
    <s v="62608.88"/>
    <n v="0.05"/>
    <s v="119547.19"/>
    <s v="58888.12"/>
    <x v="3"/>
    <x v="0"/>
    <s v="Mobile App"/>
    <n v="178435.30799999999"/>
  </r>
  <r>
    <s v="ORD109849"/>
    <x v="3"/>
    <s v="09-03-2025"/>
    <s v="CUST13275"/>
    <s v="Home Office"/>
    <s v="Gujarat"/>
    <x v="3"/>
    <x v="2"/>
    <s v="Handbag"/>
    <s v="1"/>
    <s v="4040.66"/>
    <n v="0.05"/>
    <s v="3129.88"/>
    <s v="708.75"/>
    <x v="0"/>
    <x v="0"/>
    <s v="Marketplace"/>
    <n v="3838.6269999999899"/>
  </r>
  <r>
    <s v="ORD109885"/>
    <x v="8"/>
    <s v="19-08-2025"/>
    <s v="CUST12615"/>
    <s v="Home Office"/>
    <s v="Tamil Nadu"/>
    <x v="11"/>
    <x v="4"/>
    <s v="Running Shoes"/>
    <s v="1"/>
    <s v="483.46"/>
    <n v="0.15"/>
    <s v="363.77"/>
    <s v="47.17"/>
    <x v="2"/>
    <x v="0"/>
    <s v="Website"/>
    <n v="410.94099999999997"/>
  </r>
  <r>
    <s v="ORD109939"/>
    <x v="9"/>
    <s v="25-06-2025"/>
    <s v="CUST12569"/>
    <s v="Consumer"/>
    <s v="Gujarat"/>
    <x v="10"/>
    <x v="3"/>
    <s v="Coffee Maker"/>
    <s v="1"/>
    <s v="5923.88"/>
    <n v="0.15"/>
    <s v="4409.68"/>
    <s v="625.62"/>
    <x v="0"/>
    <x v="0"/>
    <s v="Marketplace"/>
    <n v="5035.2979999999998"/>
  </r>
  <r>
    <s v="ORD109956"/>
    <x v="6"/>
    <s v="08-07-2025"/>
    <s v="CUST11807"/>
    <s v="Consumer"/>
    <s v="Telangana"/>
    <x v="14"/>
    <x v="2"/>
    <s v="T-Shirt"/>
    <s v="1"/>
    <s v="5722.96"/>
    <n v="0.15"/>
    <s v="4086.5"/>
    <s v="778.02"/>
    <x v="1"/>
    <x v="2"/>
    <s v="Marketplace"/>
    <n v="4864.5159999999996"/>
  </r>
  <r>
    <s v="ORD109971"/>
    <x v="4"/>
    <s v="20-04-2025"/>
    <s v="CUST13009"/>
    <s v="Consumer"/>
    <s v="Maharashtra"/>
    <x v="4"/>
    <x v="4"/>
    <s v="Yoga Mat"/>
    <s v="4"/>
    <s v="11775.61"/>
    <n v="0"/>
    <s v="37708.46"/>
    <s v="9393.98"/>
    <x v="3"/>
    <x v="0"/>
    <s v="Mobile App"/>
    <n v="47102.44"/>
  </r>
  <r>
    <s v="ORD109993"/>
    <x v="0"/>
    <s v="31-01-2025"/>
    <s v="CUST12701"/>
    <s v="Consumer"/>
    <s v="Telangana"/>
    <x v="16"/>
    <x v="0"/>
    <s v="Laptop"/>
    <s v="2"/>
    <s v="49956.63"/>
    <n v="0"/>
    <s v="73802.61"/>
    <s v="26110.65"/>
    <x v="3"/>
    <x v="0"/>
    <s v="Marketplace"/>
    <n v="99913.26"/>
  </r>
  <r>
    <s v="ORD110009"/>
    <x v="6"/>
    <s v="06-07-2025"/>
    <s v="CUST12884"/>
    <s v="Home Office"/>
    <s v="Delhi"/>
    <x v="12"/>
    <x v="3"/>
    <s v="Coffee Maker"/>
    <s v="2"/>
    <s v="9477.7099999999991"/>
    <n v="0.1"/>
    <s v="12604.61"/>
    <s v="4455.2700000000004"/>
    <x v="5"/>
    <x v="0"/>
    <s v="Mobile App"/>
    <n v="17059.878000000001"/>
  </r>
  <r>
    <s v="ORD110014"/>
    <x v="10"/>
    <s v="12-11-2025"/>
    <s v="CUST12275"/>
    <s v="Corporate"/>
    <s v="Kerala"/>
    <x v="6"/>
    <x v="0"/>
    <s v="Tablet"/>
    <s v="2"/>
    <s v="15735.99"/>
    <n v="0.05"/>
    <s v="25073.67"/>
    <s v="4824.71"/>
    <x v="1"/>
    <x v="0"/>
    <s v="Marketplace"/>
    <n v="29898.380999999899"/>
  </r>
  <r>
    <s v="ORD110044"/>
    <x v="7"/>
    <s v="02-05-2025"/>
    <s v="CUST12433"/>
    <s v="Home Office"/>
    <s v="Karnataka"/>
    <x v="17"/>
    <x v="2"/>
    <s v="Handbag"/>
    <s v="1"/>
    <s v="2405.79"/>
    <n v="0.1"/>
    <s v="1936.54"/>
    <s v="228.67"/>
    <x v="3"/>
    <x v="1"/>
    <s v="Mobile App"/>
    <n v="2165.2109999999998"/>
  </r>
  <r>
    <s v="ORD110050"/>
    <x v="8"/>
    <s v="28-08-2025"/>
    <s v="CUST10184"/>
    <s v="Corporate"/>
    <s v="Delhi"/>
    <x v="12"/>
    <x v="0"/>
    <s v="Smartwatch"/>
    <s v="2"/>
    <s v="68642.13"/>
    <n v="0.2"/>
    <s v="76525.350000000006"/>
    <s v="33302.06"/>
    <x v="0"/>
    <x v="2"/>
    <s v="Website"/>
    <n v="109827.408"/>
  </r>
  <r>
    <s v="ORD110054"/>
    <x v="8"/>
    <s v="08-08-2025"/>
    <s v="CUST12200"/>
    <s v="Home Office"/>
    <s v="Maharashtra"/>
    <x v="21"/>
    <x v="0"/>
    <s v="Laptop"/>
    <s v="2"/>
    <s v="9239.4699999999993"/>
    <n v="0.05"/>
    <s v="10848.71"/>
    <s v="6706.28"/>
    <x v="1"/>
    <x v="0"/>
    <s v="Marketplace"/>
    <n v="17554.992999999999"/>
  </r>
  <r>
    <s v="ORD110075"/>
    <x v="7"/>
    <s v="18-05-2025"/>
    <s v="CUST11072"/>
    <s v="Corporate"/>
    <s v="Tamil Nadu"/>
    <x v="19"/>
    <x v="1"/>
    <s v="Face Cream"/>
    <s v="4"/>
    <s v="358.65"/>
    <n v="0.15"/>
    <s v="880.91"/>
    <s v="338.5"/>
    <x v="5"/>
    <x v="2"/>
    <s v="Website"/>
    <n v="1219.4099999999901"/>
  </r>
  <r>
    <s v="ORD110082"/>
    <x v="6"/>
    <s v="17-07-2025"/>
    <s v="CUST11353"/>
    <s v="Home Office"/>
    <s v="Kerala"/>
    <x v="15"/>
    <x v="2"/>
    <s v="Sneakers"/>
    <s v="1"/>
    <s v="1321.26"/>
    <n v="0.05"/>
    <s v="950.98"/>
    <s v="304.22000000000003"/>
    <x v="3"/>
    <x v="0"/>
    <s v="Marketplace"/>
    <n v="1255.1969999999999"/>
  </r>
  <r>
    <s v="ORD110101"/>
    <x v="4"/>
    <s v="06-04-2025"/>
    <s v="CUST11318"/>
    <s v="Home Office"/>
    <s v="West Bengal"/>
    <x v="0"/>
    <x v="2"/>
    <s v="T-Shirt"/>
    <s v="1"/>
    <s v="4360.12"/>
    <n v="0.15"/>
    <s v="2455.52"/>
    <s v="1250.58"/>
    <x v="1"/>
    <x v="0"/>
    <s v="Website"/>
    <n v="3706.1019999999999"/>
  </r>
  <r>
    <s v="ORD110103"/>
    <x v="9"/>
    <s v="07-06-2025"/>
    <s v="CUST12883"/>
    <s v="Consumer"/>
    <s v="Karnataka"/>
    <x v="2"/>
    <x v="2"/>
    <s v="Sneakers"/>
    <s v="2"/>
    <s v="4795.04"/>
    <n v="0.1"/>
    <s v="7763.6"/>
    <s v="867.47"/>
    <x v="2"/>
    <x v="0"/>
    <s v="Mobile App"/>
    <n v="8631.0720000000001"/>
  </r>
  <r>
    <s v="ORD110117"/>
    <x v="3"/>
    <s v="09-03-2025"/>
    <s v="CUST12974"/>
    <s v="Consumer"/>
    <s v="Maharashtra"/>
    <x v="20"/>
    <x v="4"/>
    <s v="Football"/>
    <s v="1"/>
    <s v="7650.15"/>
    <n v="0.1"/>
    <s v="5503.61"/>
    <s v="1381.53"/>
    <x v="2"/>
    <x v="2"/>
    <s v="Marketplace"/>
    <n v="6885.1350000000002"/>
  </r>
  <r>
    <s v="ORD110118"/>
    <x v="10"/>
    <s v="06-11-2025"/>
    <s v="CUST11279"/>
    <s v="Home Office"/>
    <s v="Kerala"/>
    <x v="6"/>
    <x v="4"/>
    <s v="Running Shoes"/>
    <s v="1"/>
    <s v="10071.39"/>
    <n v="0"/>
    <s v="5582.3"/>
    <s v="4489.09"/>
    <x v="5"/>
    <x v="0"/>
    <s v="Website"/>
    <n v="10071.39"/>
  </r>
  <r>
    <s v="ORD110126"/>
    <x v="3"/>
    <s v="15-03-2025"/>
    <s v="CUST12308"/>
    <s v="Home Office"/>
    <s v="Kerala"/>
    <x v="5"/>
    <x v="2"/>
    <s v="T-Shirt"/>
    <s v="1"/>
    <s v="2402.3000000000002"/>
    <n v="0.05"/>
    <s v="1879.56"/>
    <s v="402.62"/>
    <x v="2"/>
    <x v="0"/>
    <s v="Marketplace"/>
    <n v="2282.1849999999999"/>
  </r>
  <r>
    <s v="ORD110138"/>
    <x v="7"/>
    <s v="23-05-2025"/>
    <s v="CUST11879"/>
    <s v="Consumer"/>
    <s v="Tamil Nadu"/>
    <x v="1"/>
    <x v="1"/>
    <s v="Shampoo"/>
    <s v="1"/>
    <s v="3219.59"/>
    <n v="0.1"/>
    <s v="2538.36"/>
    <s v="359.27"/>
    <x v="5"/>
    <x v="0"/>
    <s v="Website"/>
    <n v="2897.6309999999999"/>
  </r>
  <r>
    <s v="ORD110187"/>
    <x v="11"/>
    <s v="06-10-2025"/>
    <s v="CUST11150"/>
    <s v="Consumer"/>
    <s v="Karnataka"/>
    <x v="17"/>
    <x v="0"/>
    <s v="Headphones"/>
    <s v="1"/>
    <s v="24741.3"/>
    <n v="0.1"/>
    <s v="17296.330000000002"/>
    <s v="4970.84"/>
    <x v="3"/>
    <x v="0"/>
    <s v="Mobile App"/>
    <n v="22267.17"/>
  </r>
  <r>
    <s v="ORD110213"/>
    <x v="11"/>
    <s v="29-10-2025"/>
    <s v="CUST12656"/>
    <s v="Consumer"/>
    <s v="Karnataka"/>
    <x v="22"/>
    <x v="1"/>
    <s v="Perfume"/>
    <s v="2"/>
    <s v="1423.36"/>
    <n v="0.1"/>
    <s v="1568.39"/>
    <s v="993.66"/>
    <x v="5"/>
    <x v="3"/>
    <s v="Mobile App"/>
    <n v="2562.0479999999998"/>
  </r>
  <r>
    <s v="ORD110234"/>
    <x v="5"/>
    <s v="13-09-2025"/>
    <s v="CUST11032"/>
    <s v="Consumer"/>
    <s v="Karnataka"/>
    <x v="17"/>
    <x v="3"/>
    <s v="Mixer Grinder"/>
    <s v="1"/>
    <s v="7234.67"/>
    <n v="0"/>
    <s v="5296.96"/>
    <s v="1937.71"/>
    <x v="5"/>
    <x v="0"/>
    <s v="Website"/>
    <n v="7234.67"/>
  </r>
  <r>
    <s v="ORD110253"/>
    <x v="8"/>
    <s v="10-08-2025"/>
    <s v="CUST11210"/>
    <s v="Consumer"/>
    <s v="Gujarat"/>
    <x v="10"/>
    <x v="2"/>
    <s v="T-Shirt"/>
    <s v="3"/>
    <s v="3212.12"/>
    <n v="0.15"/>
    <s v="6250.2"/>
    <s v="1940.71"/>
    <x v="3"/>
    <x v="0"/>
    <s v="Mobile App"/>
    <n v="8190.9059999999999"/>
  </r>
  <r>
    <s v="ORD110286"/>
    <x v="1"/>
    <s v="28-02-2025"/>
    <s v="CUST10915"/>
    <s v="Home Office"/>
    <s v="Maharashtra"/>
    <x v="20"/>
    <x v="3"/>
    <s v="Air Fryer"/>
    <s v="2"/>
    <s v="14962.18"/>
    <n v="0.1"/>
    <s v="22508.03"/>
    <s v="4423.8900000000003"/>
    <x v="2"/>
    <x v="0"/>
    <s v="Mobile App"/>
    <n v="26931.923999999999"/>
  </r>
  <r>
    <s v="ORD110304"/>
    <x v="7"/>
    <s v="06-05-2025"/>
    <s v="CUST10912"/>
    <s v="Corporate"/>
    <s v="Kerala"/>
    <x v="5"/>
    <x v="0"/>
    <s v="Tablet"/>
    <s v="3"/>
    <s v="31372.97"/>
    <n v="0.1"/>
    <s v="73993.03"/>
    <s v="10713.99"/>
    <x v="0"/>
    <x v="0"/>
    <s v="Mobile App"/>
    <n v="84707.019"/>
  </r>
  <r>
    <s v="ORD110325"/>
    <x v="6"/>
    <s v="12-07-2025"/>
    <s v="CUST12686"/>
    <s v="Home Office"/>
    <s v="Delhi"/>
    <x v="7"/>
    <x v="3"/>
    <s v="Air Fryer"/>
    <s v="3"/>
    <s v="11881.45"/>
    <n v="0.05"/>
    <s v="25226.36"/>
    <s v="8635.77"/>
    <x v="5"/>
    <x v="0"/>
    <s v="Mobile App"/>
    <n v="33862.1325"/>
  </r>
  <r>
    <s v="ORD110328"/>
    <x v="7"/>
    <s v="26-05-2025"/>
    <s v="CUST12159"/>
    <s v="Corporate"/>
    <s v="Kerala"/>
    <x v="5"/>
    <x v="4"/>
    <s v="Cricket Bat"/>
    <s v="2"/>
    <s v="7180.12"/>
    <n v="0"/>
    <s v="8597.1"/>
    <s v="5763.14"/>
    <x v="0"/>
    <x v="0"/>
    <s v="Mobile App"/>
    <n v="14360.24"/>
  </r>
  <r>
    <s v="ORD110329"/>
    <x v="8"/>
    <s v="27-08-2025"/>
    <s v="CUST12313"/>
    <s v="Home Office"/>
    <s v="Karnataka"/>
    <x v="2"/>
    <x v="3"/>
    <s v="Mixer Grinder"/>
    <s v="2"/>
    <s v="9244.9500000000007"/>
    <n v="0"/>
    <s v="14029.47"/>
    <s v="4460.43"/>
    <x v="2"/>
    <x v="0"/>
    <s v="Website"/>
    <n v="18489.900000000001"/>
  </r>
  <r>
    <s v="ORD110347"/>
    <x v="9"/>
    <s v="25-06-2025"/>
    <s v="CUST12841"/>
    <s v="Corporate"/>
    <s v="Maharashtra"/>
    <x v="21"/>
    <x v="0"/>
    <s v="Smartwatch"/>
    <s v="1"/>
    <s v="27282.71"/>
    <n v="0.15"/>
    <s v="20226.13"/>
    <s v="2964.17"/>
    <x v="1"/>
    <x v="0"/>
    <s v="Marketplace"/>
    <n v="23190.3034999999"/>
  </r>
  <r>
    <s v="ORD110360"/>
    <x v="2"/>
    <s v="30-12-2025"/>
    <s v="CUST12647"/>
    <s v="Consumer"/>
    <s v="Tamil Nadu"/>
    <x v="13"/>
    <x v="2"/>
    <s v="Jeans"/>
    <s v="1"/>
    <s v="913.24"/>
    <n v="0.05"/>
    <s v="549.91"/>
    <s v="317.67"/>
    <x v="0"/>
    <x v="0"/>
    <s v="Mobile App"/>
    <n v="867.57799999999997"/>
  </r>
  <r>
    <s v="ORD110381"/>
    <x v="2"/>
    <s v="05-12-2025"/>
    <s v="CUST11561"/>
    <s v="Home Office"/>
    <s v="Delhi"/>
    <x v="12"/>
    <x v="0"/>
    <s v="Smartphone"/>
    <s v="4"/>
    <s v="38916.35"/>
    <n v="0.05"/>
    <s v="95970.79"/>
    <s v="51911.34"/>
    <x v="2"/>
    <x v="0"/>
    <s v="Website"/>
    <n v="147882.12999999899"/>
  </r>
  <r>
    <s v="ORD110403"/>
    <x v="3"/>
    <s v="26-03-2025"/>
    <s v="CUST10211"/>
    <s v="Corporate"/>
    <s v="Maharashtra"/>
    <x v="21"/>
    <x v="0"/>
    <s v="Smartwatch"/>
    <s v="1"/>
    <s v="36176.89"/>
    <n v="0.1"/>
    <s v="24727.64"/>
    <s v="7831.56"/>
    <x v="0"/>
    <x v="0"/>
    <s v="Mobile App"/>
    <n v="32559.201000000001"/>
  </r>
  <r>
    <s v="ORD110470"/>
    <x v="4"/>
    <s v="05-04-2025"/>
    <s v="CUST10183"/>
    <s v="Consumer"/>
    <s v="Delhi"/>
    <x v="7"/>
    <x v="2"/>
    <s v="Jeans"/>
    <s v="3"/>
    <s v="3404.7"/>
    <n v="0.15"/>
    <s v="7760.6"/>
    <s v="921.38"/>
    <x v="2"/>
    <x v="0"/>
    <s v="Mobile App"/>
    <n v="8681.9849999999897"/>
  </r>
  <r>
    <s v="ORD110487"/>
    <x v="10"/>
    <s v="04-11-2025"/>
    <s v="CUST11232"/>
    <s v="Home Office"/>
    <s v="Maharashtra"/>
    <x v="20"/>
    <x v="3"/>
    <s v="Coffee Maker"/>
    <s v="3"/>
    <s v="11971.72"/>
    <n v="0"/>
    <s v="26148.98"/>
    <s v="9766.18"/>
    <x v="1"/>
    <x v="3"/>
    <s v="Website"/>
    <n v="35915.159999999902"/>
  </r>
  <r>
    <s v="ORD110490"/>
    <x v="0"/>
    <s v="25-01-2025"/>
    <s v="CUST12435"/>
    <s v="Home Office"/>
    <s v="Kerala"/>
    <x v="15"/>
    <x v="3"/>
    <s v="Cookware Set"/>
    <s v="2"/>
    <s v="2821.7"/>
    <n v="0.1"/>
    <s v="4125.92"/>
    <s v="953.14"/>
    <x v="2"/>
    <x v="0"/>
    <s v="Marketplace"/>
    <n v="5079.0599999999904"/>
  </r>
  <r>
    <s v="ORD110546"/>
    <x v="0"/>
    <s v="02-01-2025"/>
    <s v="CUST10142"/>
    <s v="Consumer"/>
    <s v="Telangana"/>
    <x v="16"/>
    <x v="4"/>
    <s v="Fitness Band"/>
    <s v="1"/>
    <s v="533.21"/>
    <n v="0.15"/>
    <s v="389.82"/>
    <s v="63.41"/>
    <x v="2"/>
    <x v="0"/>
    <s v="Website"/>
    <n v="453.2285"/>
  </r>
  <r>
    <s v="ORD110600"/>
    <x v="4"/>
    <s v="14-04-2025"/>
    <s v="CUST12744"/>
    <s v="Home Office"/>
    <s v="Maharashtra"/>
    <x v="21"/>
    <x v="1"/>
    <s v="Lipstick"/>
    <s v="2"/>
    <s v="5555.74"/>
    <n v="0.05"/>
    <s v="7961.47"/>
    <s v="2594.44"/>
    <x v="5"/>
    <x v="0"/>
    <s v="Website"/>
    <n v="10555.905999999901"/>
  </r>
  <r>
    <s v="ORD110624"/>
    <x v="7"/>
    <s v="18-05-2025"/>
    <s v="CUST10933"/>
    <s v="Corporate"/>
    <s v="Tamil Nadu"/>
    <x v="8"/>
    <x v="0"/>
    <s v="Headphones"/>
    <s v="1"/>
    <s v="44441.35"/>
    <n v="0.05"/>
    <s v="31450.44"/>
    <s v="10768.84"/>
    <x v="1"/>
    <x v="0"/>
    <s v="Mobile App"/>
    <n v="42219.282499999899"/>
  </r>
  <r>
    <s v="ORD110717"/>
    <x v="5"/>
    <s v="08-09-2025"/>
    <s v="CUST10378"/>
    <s v="Corporate"/>
    <s v="Maharashtra"/>
    <x v="20"/>
    <x v="2"/>
    <s v="Jeans"/>
    <s v="2"/>
    <s v="5655.25"/>
    <n v="0.05"/>
    <s v="8266.64"/>
    <s v="2478.34"/>
    <x v="3"/>
    <x v="0"/>
    <s v="Mobile App"/>
    <n v="10744.975"/>
  </r>
  <r>
    <s v="ORD110731"/>
    <x v="2"/>
    <s v="12-12-2025"/>
    <s v="CUST13104"/>
    <s v="Consumer"/>
    <s v="Kerala"/>
    <x v="6"/>
    <x v="2"/>
    <s v="Handbag"/>
    <s v="2"/>
    <s v="2061.4699999999998"/>
    <n v="0"/>
    <s v="3010.91"/>
    <s v="1112.03"/>
    <x v="5"/>
    <x v="0"/>
    <s v="Marketplace"/>
    <n v="4122.9399999999996"/>
  </r>
  <r>
    <s v="ORD110775"/>
    <x v="10"/>
    <s v="15-11-2025"/>
    <s v="CUST11101"/>
    <s v="Consumer"/>
    <s v="Telangana"/>
    <x v="14"/>
    <x v="3"/>
    <s v="Cookware Set"/>
    <s v="1"/>
    <s v="6932.78"/>
    <n v="0.05"/>
    <s v="5271.39"/>
    <s v="1314.75"/>
    <x v="5"/>
    <x v="1"/>
    <s v="Marketplace"/>
    <n v="6586.1409999999996"/>
  </r>
  <r>
    <s v="ORD110779"/>
    <x v="8"/>
    <s v="06-08-2025"/>
    <s v="CUST10963"/>
    <s v="Home Office"/>
    <s v="Karnataka"/>
    <x v="17"/>
    <x v="0"/>
    <s v="Smartphone"/>
    <s v="1"/>
    <s v="36261.910000000003"/>
    <n v="0.05"/>
    <s v="27043.84"/>
    <s v="7404.97"/>
    <x v="2"/>
    <x v="0"/>
    <s v="Marketplace"/>
    <n v="34448.8145"/>
  </r>
  <r>
    <s v="ORD110825"/>
    <x v="2"/>
    <s v="15-12-2025"/>
    <s v="CUST12178"/>
    <s v="Consumer"/>
    <s v="West Bengal"/>
    <x v="0"/>
    <x v="4"/>
    <s v="Football"/>
    <s v="3"/>
    <s v="7376.59"/>
    <n v="0.05"/>
    <s v="17395.02"/>
    <s v="3628.26"/>
    <x v="2"/>
    <x v="0"/>
    <s v="Mobile App"/>
    <n v="21023.281500000001"/>
  </r>
  <r>
    <s v="ORD110827"/>
    <x v="10"/>
    <s v="27-11-2025"/>
    <s v="CUST12773"/>
    <s v="Consumer"/>
    <s v="Kerala"/>
    <x v="6"/>
    <x v="3"/>
    <s v="Mixer Grinder"/>
    <s v="1"/>
    <s v="2837.53"/>
    <n v="0.05"/>
    <s v="2008.49"/>
    <s v="687.16"/>
    <x v="3"/>
    <x v="0"/>
    <s v="Mobile App"/>
    <n v="2695.6534999999999"/>
  </r>
  <r>
    <s v="ORD110831"/>
    <x v="7"/>
    <s v="13-05-2025"/>
    <s v="CUST12412"/>
    <s v="Corporate"/>
    <s v="Telangana"/>
    <x v="16"/>
    <x v="3"/>
    <s v="Air Fryer"/>
    <s v="1"/>
    <s v="13982.41"/>
    <n v="0.15"/>
    <s v="9261.34"/>
    <s v="2623.71"/>
    <x v="1"/>
    <x v="0"/>
    <s v="Website"/>
    <n v="11885.048499999901"/>
  </r>
  <r>
    <s v="ORD110851"/>
    <x v="1"/>
    <s v="22-02-2025"/>
    <s v="CUST13370"/>
    <s v="Home Office"/>
    <s v="Delhi"/>
    <x v="7"/>
    <x v="0"/>
    <s v="Tablet"/>
    <s v="1"/>
    <s v="61307.91"/>
    <n v="0"/>
    <s v="45443.19"/>
    <s v="15864.72"/>
    <x v="3"/>
    <x v="0"/>
    <s v="Mobile App"/>
    <n v="61307.91"/>
  </r>
  <r>
    <s v="ORD110862"/>
    <x v="10"/>
    <s v="01-11-2025"/>
    <s v="CUST10999"/>
    <s v="Home Office"/>
    <s v="Karnataka"/>
    <x v="22"/>
    <x v="3"/>
    <s v="Coffee Maker"/>
    <s v="1"/>
    <s v="9996.1200000000008"/>
    <n v="0.1"/>
    <s v="6447.85"/>
    <s v="2548.66"/>
    <x v="1"/>
    <x v="0"/>
    <s v="Mobile App"/>
    <n v="8996.5079999999998"/>
  </r>
  <r>
    <s v="ORD110869"/>
    <x v="2"/>
    <s v="24-12-2025"/>
    <s v="CUST11062"/>
    <s v="Home Office"/>
    <s v="Telangana"/>
    <x v="14"/>
    <x v="0"/>
    <s v="Headphones"/>
    <s v="1"/>
    <s v="26799.4"/>
    <n v="0.15"/>
    <s v="16503.07"/>
    <s v="6276.42"/>
    <x v="3"/>
    <x v="0"/>
    <s v="Marketplace"/>
    <n v="22779.49"/>
  </r>
  <r>
    <s v="ORD110910"/>
    <x v="8"/>
    <s v="12-08-2025"/>
    <s v="CUST12472"/>
    <s v="Corporate"/>
    <s v="Kerala"/>
    <x v="5"/>
    <x v="1"/>
    <s v="Shampoo"/>
    <s v="2"/>
    <s v="3214.76"/>
    <n v="0.1"/>
    <s v="4166.51"/>
    <s v="1620.06"/>
    <x v="0"/>
    <x v="0"/>
    <s v="Website"/>
    <n v="5786.5680000000002"/>
  </r>
  <r>
    <s v="ORD110920"/>
    <x v="11"/>
    <s v="10-10-2025"/>
    <s v="CUST11764"/>
    <s v="Corporate"/>
    <s v="West Bengal"/>
    <x v="9"/>
    <x v="3"/>
    <s v="Coffee Maker"/>
    <s v="1"/>
    <s v="13854.54"/>
    <n v="0.2"/>
    <s v="11231.65"/>
    <s v="-148.02000000000001"/>
    <x v="3"/>
    <x v="0"/>
    <s v="Mobile App"/>
    <n v="11083.632"/>
  </r>
  <r>
    <s v="ORD110937"/>
    <x v="2"/>
    <s v="22-12-2025"/>
    <s v="CUST13364"/>
    <s v="Corporate"/>
    <s v="Gujarat"/>
    <x v="18"/>
    <x v="4"/>
    <s v="Cricket Bat"/>
    <s v="2"/>
    <s v="682.05"/>
    <n v="0.15"/>
    <s v="933.29"/>
    <s v="226.19"/>
    <x v="2"/>
    <x v="0"/>
    <s v="Website"/>
    <n v="1159.4849999999999"/>
  </r>
  <r>
    <s v="ORD111092"/>
    <x v="4"/>
    <s v="02-04-2025"/>
    <s v="CUST10931"/>
    <s v="Consumer"/>
    <s v="Karnataka"/>
    <x v="22"/>
    <x v="4"/>
    <s v="Fitness Band"/>
    <s v="1"/>
    <s v="7976.88"/>
    <n v="0.05"/>
    <s v="5477.56"/>
    <s v="2100.48"/>
    <x v="2"/>
    <x v="0"/>
    <s v="Mobile App"/>
    <n v="7578.0360000000001"/>
  </r>
  <r>
    <s v="ORD111093"/>
    <x v="11"/>
    <s v="02-10-2025"/>
    <s v="CUST12602"/>
    <s v="Home Office"/>
    <s v="Gujarat"/>
    <x v="10"/>
    <x v="2"/>
    <s v="Sneakers"/>
    <s v="4"/>
    <s v="1501.88"/>
    <n v="0.1"/>
    <s v="4508.2299999999996"/>
    <s v="898.54"/>
    <x v="1"/>
    <x v="0"/>
    <s v="Mobile App"/>
    <n v="5406.768"/>
  </r>
  <r>
    <s v="ORD111099"/>
    <x v="6"/>
    <s v="24-07-2025"/>
    <s v="CUST11934"/>
    <s v="Consumer"/>
    <s v="Telangana"/>
    <x v="14"/>
    <x v="4"/>
    <s v="Running Shoes"/>
    <s v="1"/>
    <s v="8071.55"/>
    <n v="0.1"/>
    <s v="6341.38"/>
    <s v="923.02"/>
    <x v="5"/>
    <x v="0"/>
    <s v="Mobile App"/>
    <n v="7264.3950000000004"/>
  </r>
  <r>
    <s v="ORD111109"/>
    <x v="2"/>
    <s v="30-12-2025"/>
    <s v="CUST10072"/>
    <s v="Corporate"/>
    <s v="Telangana"/>
    <x v="16"/>
    <x v="0"/>
    <s v="Smartwatch"/>
    <s v="1"/>
    <s v="61992.47"/>
    <n v="0.15"/>
    <s v="44416.41"/>
    <s v="8277.19"/>
    <x v="5"/>
    <x v="2"/>
    <s v="Website"/>
    <n v="52693.599499999997"/>
  </r>
  <r>
    <s v="ORD111166"/>
    <x v="7"/>
    <s v="01-05-2025"/>
    <s v="CUST11970"/>
    <s v="Home Office"/>
    <s v="Gujarat"/>
    <x v="18"/>
    <x v="1"/>
    <s v="Shampoo"/>
    <s v="2"/>
    <s v="5907.91"/>
    <n v="0.1"/>
    <s v="8962.26"/>
    <s v="1671.98"/>
    <x v="1"/>
    <x v="0"/>
    <s v="Website"/>
    <n v="10634.237999999999"/>
  </r>
  <r>
    <s v="ORD111206"/>
    <x v="1"/>
    <s v="27-02-2025"/>
    <s v="CUST10230"/>
    <s v="Home Office"/>
    <s v="Gujarat"/>
    <x v="10"/>
    <x v="0"/>
    <s v="Tablet"/>
    <s v="2"/>
    <s v="18399.46"/>
    <n v="0"/>
    <s v="20520.68"/>
    <s v="16278.24"/>
    <x v="5"/>
    <x v="0"/>
    <s v="Mobile App"/>
    <n v="36798.92"/>
  </r>
  <r>
    <s v="ORD111207"/>
    <x v="5"/>
    <s v="13-09-2025"/>
    <s v="CUST10347"/>
    <s v="Corporate"/>
    <s v="Delhi"/>
    <x v="7"/>
    <x v="3"/>
    <s v="Coffee Maker"/>
    <s v="1"/>
    <s v="10419.049999999999"/>
    <n v="0"/>
    <s v="7422.5"/>
    <s v="2996.55"/>
    <x v="0"/>
    <x v="0"/>
    <s v="Website"/>
    <n v="10419.049999999999"/>
  </r>
  <r>
    <s v="ORD111210"/>
    <x v="3"/>
    <s v="25-03-2025"/>
    <s v="CUST13168"/>
    <s v="Home Office"/>
    <s v="Telangana"/>
    <x v="14"/>
    <x v="3"/>
    <s v="Cookware Set"/>
    <s v="1"/>
    <s v="4035.17"/>
    <n v="0.1"/>
    <s v="2483.2600000000002"/>
    <s v="1148.3900000000001"/>
    <x v="2"/>
    <x v="0"/>
    <s v="Mobile App"/>
    <n v="3631.6529999999998"/>
  </r>
  <r>
    <s v="ORD111241"/>
    <x v="3"/>
    <s v="28-03-2025"/>
    <s v="CUST12244"/>
    <s v="Corporate"/>
    <s v="Maharashtra"/>
    <x v="4"/>
    <x v="0"/>
    <s v="Smartphone"/>
    <s v="1"/>
    <s v="34590.53"/>
    <n v="0.1"/>
    <s v="27263.13"/>
    <s v="3868.35"/>
    <x v="3"/>
    <x v="0"/>
    <s v="Marketplace"/>
    <n v="31131.476999999999"/>
  </r>
  <r>
    <s v="ORD111245"/>
    <x v="11"/>
    <s v="28-10-2025"/>
    <s v="CUST10934"/>
    <s v="Corporate"/>
    <s v="West Bengal"/>
    <x v="9"/>
    <x v="3"/>
    <s v="Vacuum Cleaner"/>
    <s v="3"/>
    <s v="14718.27"/>
    <n v="0.05"/>
    <s v="25119.5"/>
    <s v="16827.57"/>
    <x v="5"/>
    <x v="0"/>
    <s v="Marketplace"/>
    <n v="41947.069499999998"/>
  </r>
  <r>
    <s v="ORD111258"/>
    <x v="3"/>
    <s v="15-03-2025"/>
    <s v="CUST11685"/>
    <s v="Home Office"/>
    <s v="Tamil Nadu"/>
    <x v="11"/>
    <x v="2"/>
    <s v="Jacket"/>
    <s v="1"/>
    <s v="2514.7800000000002"/>
    <n v="0"/>
    <s v="1831.37"/>
    <s v="683.41"/>
    <x v="5"/>
    <x v="2"/>
    <s v="Marketplace"/>
    <n v="2514.7800000000002"/>
  </r>
  <r>
    <s v="ORD111271"/>
    <x v="11"/>
    <s v="06-10-2025"/>
    <s v="CUST11423"/>
    <s v="Consumer"/>
    <s v="Karnataka"/>
    <x v="17"/>
    <x v="4"/>
    <s v="Yoga Mat"/>
    <s v="1"/>
    <s v="8610.0300000000007"/>
    <n v="0.1"/>
    <s v="4831.29"/>
    <s v="2917.74"/>
    <x v="3"/>
    <x v="0"/>
    <s v="Website"/>
    <n v="7749.027"/>
  </r>
  <r>
    <s v="ORD111289"/>
    <x v="4"/>
    <s v="04-04-2025"/>
    <s v="CUST10546"/>
    <s v="Consumer"/>
    <s v="Telangana"/>
    <x v="14"/>
    <x v="3"/>
    <s v="Vacuum Cleaner"/>
    <s v="2"/>
    <s v="17278.52"/>
    <n v="0.05"/>
    <s v="20986.71"/>
    <s v="11842.48"/>
    <x v="2"/>
    <x v="0"/>
    <s v="Mobile App"/>
    <n v="32829.188000000002"/>
  </r>
  <r>
    <s v="ORD111297"/>
    <x v="5"/>
    <s v="20-09-2025"/>
    <s v="CUST12939"/>
    <s v="Consumer"/>
    <s v="Maharashtra"/>
    <x v="20"/>
    <x v="0"/>
    <s v="Tablet"/>
    <s v="3"/>
    <s v="58269.56"/>
    <n v="0.05"/>
    <s v="124251.24"/>
    <s v="41817.01"/>
    <x v="2"/>
    <x v="0"/>
    <s v="Marketplace"/>
    <n v="166068.245999999"/>
  </r>
  <r>
    <s v="ORD111301"/>
    <x v="9"/>
    <s v="06-06-2025"/>
    <s v="CUST12837"/>
    <s v="Corporate"/>
    <s v="Telangana"/>
    <x v="16"/>
    <x v="0"/>
    <s v="Laptop"/>
    <s v="4"/>
    <s v="60017.46"/>
    <n v="0.15"/>
    <s v="196520.83"/>
    <s v="7538.53"/>
    <x v="5"/>
    <x v="0"/>
    <s v="Marketplace"/>
    <n v="204059.364"/>
  </r>
  <r>
    <s v="ORD111317"/>
    <x v="0"/>
    <s v="29-01-2025"/>
    <s v="CUST10050"/>
    <s v="Corporate"/>
    <s v="Maharashtra"/>
    <x v="21"/>
    <x v="2"/>
    <s v="Handbag"/>
    <s v="1"/>
    <s v="2732.64"/>
    <n v="0.1"/>
    <s v="1543.11"/>
    <s v="916.27"/>
    <x v="5"/>
    <x v="2"/>
    <s v="Marketplace"/>
    <n v="2459.3759999999902"/>
  </r>
  <r>
    <s v="ORD111321"/>
    <x v="0"/>
    <s v="25-01-2025"/>
    <s v="CUST11040"/>
    <s v="Corporate"/>
    <s v="Kerala"/>
    <x v="5"/>
    <x v="2"/>
    <s v="Jacket"/>
    <s v="1"/>
    <s v="2574.3200000000002"/>
    <n v="0.1"/>
    <s v="2083.59"/>
    <s v="233.3"/>
    <x v="3"/>
    <x v="0"/>
    <s v="Website"/>
    <n v="2316.8879999999999"/>
  </r>
  <r>
    <s v="ORD111347"/>
    <x v="4"/>
    <s v="15-04-2025"/>
    <s v="CUST11205"/>
    <s v="Home Office"/>
    <s v="Kerala"/>
    <x v="15"/>
    <x v="2"/>
    <s v="Jacket"/>
    <s v="1"/>
    <s v="6036"/>
    <n v="0.1"/>
    <s v="4504.12"/>
    <s v="928.28"/>
    <x v="1"/>
    <x v="0"/>
    <s v="Mobile App"/>
    <n v="5432.4"/>
  </r>
  <r>
    <s v="ORD111358"/>
    <x v="2"/>
    <s v="18-12-2025"/>
    <s v="CUST11642"/>
    <s v="Consumer"/>
    <s v="West Bengal"/>
    <x v="0"/>
    <x v="3"/>
    <s v="Coffee Maker"/>
    <s v="1"/>
    <s v="12399.84"/>
    <n v="0.1"/>
    <s v="9456.92"/>
    <s v="1702.94"/>
    <x v="0"/>
    <x v="3"/>
    <s v="Marketplace"/>
    <n v="11159.856"/>
  </r>
  <r>
    <s v="ORD111378"/>
    <x v="2"/>
    <s v="26-12-2025"/>
    <s v="CUST11791"/>
    <s v="Corporate"/>
    <s v="Delhi"/>
    <x v="12"/>
    <x v="3"/>
    <s v="Mixer Grinder"/>
    <s v="1"/>
    <s v="15627.06"/>
    <n v="0"/>
    <s v="10842.31"/>
    <s v="4784.75"/>
    <x v="5"/>
    <x v="0"/>
    <s v="Mobile App"/>
    <n v="15627.06"/>
  </r>
  <r>
    <s v="ORD111387"/>
    <x v="2"/>
    <s v="23-12-2025"/>
    <s v="CUST12315"/>
    <s v="Home Office"/>
    <s v="Telangana"/>
    <x v="16"/>
    <x v="0"/>
    <s v="Headphones"/>
    <s v="1"/>
    <s v="46457.5"/>
    <n v="0.1"/>
    <s v="31955.52"/>
    <s v="9856.23"/>
    <x v="3"/>
    <x v="0"/>
    <s v="Mobile App"/>
    <n v="41811.75"/>
  </r>
  <r>
    <s v="ORD111391"/>
    <x v="6"/>
    <s v="16-07-2025"/>
    <s v="CUST11400"/>
    <s v="Home Office"/>
    <s v="Karnataka"/>
    <x v="17"/>
    <x v="2"/>
    <s v="Jeans"/>
    <s v="1"/>
    <s v="5027.5600000000004"/>
    <n v="0.1"/>
    <s v="3440.78"/>
    <s v="1084.02"/>
    <x v="0"/>
    <x v="0"/>
    <s v="Marketplace"/>
    <n v="4524.8040000000001"/>
  </r>
  <r>
    <s v="ORD111423"/>
    <x v="9"/>
    <s v="23-06-2025"/>
    <s v="CUST10666"/>
    <s v="Home Office"/>
    <s v="Tamil Nadu"/>
    <x v="1"/>
    <x v="0"/>
    <s v="Headphones"/>
    <s v="2"/>
    <s v="27033.77"/>
    <n v="0.1"/>
    <s v="37789.949999999997"/>
    <s v="10870.84"/>
    <x v="5"/>
    <x v="0"/>
    <s v="Website"/>
    <n v="48660.786"/>
  </r>
  <r>
    <s v="ORD111485"/>
    <x v="4"/>
    <s v="17-04-2025"/>
    <s v="CUST11991"/>
    <s v="Consumer"/>
    <s v="Delhi"/>
    <x v="7"/>
    <x v="2"/>
    <s v="Handbag"/>
    <s v="1"/>
    <s v="1578.76"/>
    <n v="0.05"/>
    <s v="1032.45"/>
    <s v="467.37"/>
    <x v="0"/>
    <x v="3"/>
    <s v="Marketplace"/>
    <n v="1499.8219999999999"/>
  </r>
  <r>
    <s v="ORD111522"/>
    <x v="0"/>
    <s v="06-01-2025"/>
    <s v="CUST12139"/>
    <s v="Consumer"/>
    <s v="Delhi"/>
    <x v="12"/>
    <x v="4"/>
    <s v="Cricket Bat"/>
    <s v="2"/>
    <s v="1751.3"/>
    <n v="0.15"/>
    <s v="2455.69"/>
    <s v="521.52"/>
    <x v="3"/>
    <x v="3"/>
    <s v="Mobile App"/>
    <n v="2977.21"/>
  </r>
  <r>
    <s v="ORD111532"/>
    <x v="11"/>
    <s v="09-10-2025"/>
    <s v="CUST12362"/>
    <s v="Consumer"/>
    <s v="Karnataka"/>
    <x v="22"/>
    <x v="2"/>
    <s v="Sneakers"/>
    <s v="1"/>
    <s v="1141.8"/>
    <n v="0"/>
    <s v="768.31"/>
    <s v="373.49"/>
    <x v="2"/>
    <x v="0"/>
    <s v="Marketplace"/>
    <n v="1141.8"/>
  </r>
  <r>
    <s v="ORD111542"/>
    <x v="2"/>
    <s v="05-12-2025"/>
    <s v="CUST12842"/>
    <s v="Home Office"/>
    <s v="Delhi"/>
    <x v="12"/>
    <x v="0"/>
    <s v="Smartphone"/>
    <s v="1"/>
    <s v="19162.95"/>
    <n v="0.05"/>
    <s v="15686.78"/>
    <s v="2518.02"/>
    <x v="3"/>
    <x v="0"/>
    <s v="Website"/>
    <n v="18204.802500000002"/>
  </r>
  <r>
    <s v="ORD111581"/>
    <x v="10"/>
    <s v="03-11-2025"/>
    <s v="CUST12590"/>
    <s v="Home Office"/>
    <s v="Maharashtra"/>
    <x v="4"/>
    <x v="2"/>
    <s v="Handbag"/>
    <s v="2"/>
    <s v="5066.95"/>
    <n v="0.05"/>
    <s v="6786.9"/>
    <s v="2840.3"/>
    <x v="3"/>
    <x v="2"/>
    <s v="Website"/>
    <n v="9627.2049999999999"/>
  </r>
  <r>
    <s v="ORD111586"/>
    <x v="2"/>
    <s v="22-12-2025"/>
    <s v="CUST10627"/>
    <s v="Corporate"/>
    <s v="Tamil Nadu"/>
    <x v="1"/>
    <x v="1"/>
    <s v="Face Cream"/>
    <s v="4"/>
    <s v="4960.28"/>
    <n v="0"/>
    <s v="12463.48"/>
    <s v="7377.64"/>
    <x v="2"/>
    <x v="1"/>
    <s v="Website"/>
    <n v="19841.12"/>
  </r>
  <r>
    <s v="ORD111603"/>
    <x v="4"/>
    <s v="13-04-2025"/>
    <s v="CUST11539"/>
    <s v="Corporate"/>
    <s v="Tamil Nadu"/>
    <x v="11"/>
    <x v="3"/>
    <s v="Cookware Set"/>
    <s v="1"/>
    <s v="12309.26"/>
    <n v="0.05"/>
    <s v="7775.16"/>
    <s v="3918.64"/>
    <x v="1"/>
    <x v="1"/>
    <s v="Mobile App"/>
    <n v="11693.797"/>
  </r>
  <r>
    <s v="ORD111631"/>
    <x v="11"/>
    <s v="01-10-2025"/>
    <s v="CUST12395"/>
    <s v="Corporate"/>
    <s v="Maharashtra"/>
    <x v="20"/>
    <x v="0"/>
    <s v="Headphones"/>
    <s v="1"/>
    <s v="53371.12"/>
    <n v="0.1"/>
    <s v="33233.660000000003"/>
    <s v="14800.35"/>
    <x v="1"/>
    <x v="1"/>
    <s v="Marketplace"/>
    <n v="48034.008000000002"/>
  </r>
  <r>
    <s v="ORD111632"/>
    <x v="0"/>
    <s v="12-01-2025"/>
    <s v="CUST11078"/>
    <s v="Consumer"/>
    <s v="Gujarat"/>
    <x v="10"/>
    <x v="0"/>
    <s v="Smartwatch"/>
    <s v="3"/>
    <s v="45994.3"/>
    <n v="0.1"/>
    <s v="77922.48"/>
    <s v="46262.13"/>
    <x v="1"/>
    <x v="2"/>
    <s v="Mobile App"/>
    <n v="124184.61"/>
  </r>
  <r>
    <s v="ORD111651"/>
    <x v="9"/>
    <s v="24-06-2025"/>
    <s v="CUST11458"/>
    <s v="Corporate"/>
    <s v="Karnataka"/>
    <x v="17"/>
    <x v="4"/>
    <s v="Cricket Bat"/>
    <s v="2"/>
    <s v="11529.2"/>
    <n v="0.1"/>
    <s v="16877.810000000001"/>
    <s v="3874.75"/>
    <x v="0"/>
    <x v="0"/>
    <s v="Mobile App"/>
    <n v="20752.560000000001"/>
  </r>
  <r>
    <s v="ORD111661"/>
    <x v="0"/>
    <s v="10-01-2025"/>
    <s v="CUST10764"/>
    <s v="Home Office"/>
    <s v="Gujarat"/>
    <x v="3"/>
    <x v="0"/>
    <s v="Tablet"/>
    <s v="4"/>
    <s v="69226.25"/>
    <n v="0.05"/>
    <s v="220566.87"/>
    <s v="42492.88"/>
    <x v="5"/>
    <x v="0"/>
    <s v="Marketplace"/>
    <n v="263059.75"/>
  </r>
  <r>
    <s v="ORD111676"/>
    <x v="5"/>
    <s v="30-09-2025"/>
    <s v="CUST12242"/>
    <s v="Consumer"/>
    <s v="West Bengal"/>
    <x v="0"/>
    <x v="0"/>
    <s v="Headphones"/>
    <s v="1"/>
    <s v="12186.24"/>
    <n v="0.1"/>
    <s v="6717.34"/>
    <s v="4250.28"/>
    <x v="0"/>
    <x v="0"/>
    <s v="Marketplace"/>
    <n v="10967.616"/>
  </r>
  <r>
    <s v="ORD111726"/>
    <x v="3"/>
    <s v="01-03-2025"/>
    <s v="CUST11197"/>
    <s v="Consumer"/>
    <s v="West Bengal"/>
    <x v="0"/>
    <x v="3"/>
    <s v="Air Fryer"/>
    <s v="1"/>
    <s v="16762.259999999998"/>
    <n v="0.05"/>
    <s v="12244.84"/>
    <s v="3679.31"/>
    <x v="1"/>
    <x v="0"/>
    <s v="Mobile App"/>
    <n v="15924.146999999901"/>
  </r>
  <r>
    <s v="ORD111757"/>
    <x v="6"/>
    <s v="23-07-2025"/>
    <s v="CUST13500"/>
    <s v="Consumer"/>
    <s v="Kerala"/>
    <x v="6"/>
    <x v="0"/>
    <s v="Smartwatch"/>
    <s v="1"/>
    <s v="52829.67"/>
    <n v="0.15"/>
    <s v="35131.870000000003"/>
    <s v="9773.35"/>
    <x v="3"/>
    <x v="1"/>
    <s v="Mobile App"/>
    <n v="44905.219499999999"/>
  </r>
  <r>
    <s v="ORD111791"/>
    <x v="4"/>
    <s v="30-04-2025"/>
    <s v="CUST11761"/>
    <s v="Corporate"/>
    <s v="West Bengal"/>
    <x v="9"/>
    <x v="4"/>
    <s v="Fitness Band"/>
    <s v="1"/>
    <s v="7406.5"/>
    <n v="0"/>
    <s v="5348.79"/>
    <s v="2057.71"/>
    <x v="0"/>
    <x v="0"/>
    <s v="Website"/>
    <n v="7406.5"/>
  </r>
  <r>
    <s v="ORD111801"/>
    <x v="8"/>
    <s v="10-08-2025"/>
    <s v="CUST10217"/>
    <s v="Home Office"/>
    <s v="Kerala"/>
    <x v="6"/>
    <x v="4"/>
    <s v="Fitness Band"/>
    <s v="2"/>
    <s v="1248.02"/>
    <n v="0.05"/>
    <s v="1394.35"/>
    <s v="976.89"/>
    <x v="1"/>
    <x v="0"/>
    <s v="Website"/>
    <n v="2371.2379999999998"/>
  </r>
  <r>
    <s v="ORD111805"/>
    <x v="2"/>
    <s v="21-12-2025"/>
    <s v="CUST10784"/>
    <s v="Consumer"/>
    <s v="Tamil Nadu"/>
    <x v="13"/>
    <x v="3"/>
    <s v="Coffee Maker"/>
    <s v="1"/>
    <s v="11074.21"/>
    <n v="0"/>
    <s v="8039.89"/>
    <s v="3034.32"/>
    <x v="2"/>
    <x v="0"/>
    <s v="Website"/>
    <n v="11074.21"/>
  </r>
  <r>
    <s v="ORD111828"/>
    <x v="8"/>
    <s v="08-08-2025"/>
    <s v="CUST12428"/>
    <s v="Corporate"/>
    <s v="West Bengal"/>
    <x v="9"/>
    <x v="0"/>
    <s v="Smartphone"/>
    <s v="1"/>
    <s v="19121.18"/>
    <n v="0.05"/>
    <s v="12895.3"/>
    <s v="5269.82"/>
    <x v="5"/>
    <x v="3"/>
    <s v="Mobile App"/>
    <n v="18165.120999999999"/>
  </r>
  <r>
    <s v="ORD111833"/>
    <x v="4"/>
    <s v="09-04-2025"/>
    <s v="CUST10304"/>
    <s v="Consumer"/>
    <s v="Delhi"/>
    <x v="7"/>
    <x v="2"/>
    <s v="Jeans"/>
    <s v="1"/>
    <s v="1810.97"/>
    <n v="0.1"/>
    <s v="1245.53"/>
    <s v="384.34"/>
    <x v="3"/>
    <x v="0"/>
    <s v="Website"/>
    <n v="1629.873"/>
  </r>
  <r>
    <s v="ORD111849"/>
    <x v="10"/>
    <s v="07-11-2025"/>
    <s v="CUST11306"/>
    <s v="Home Office"/>
    <s v="Maharashtra"/>
    <x v="21"/>
    <x v="4"/>
    <s v="Yoga Mat"/>
    <s v="3"/>
    <s v="11372.52"/>
    <n v="0.1"/>
    <s v="24383.31"/>
    <s v="6322.49"/>
    <x v="3"/>
    <x v="0"/>
    <s v="Website"/>
    <n v="30705.804"/>
  </r>
  <r>
    <s v="ORD111941"/>
    <x v="10"/>
    <s v="16-11-2025"/>
    <s v="CUST10352"/>
    <s v="Consumer"/>
    <s v="Tamil Nadu"/>
    <x v="19"/>
    <x v="3"/>
    <s v="Coffee Maker"/>
    <s v="2"/>
    <s v="8814.1299999999992"/>
    <n v="0.05"/>
    <s v="13015.93"/>
    <s v="3730.92"/>
    <x v="1"/>
    <x v="0"/>
    <s v="Mobile App"/>
    <n v="16746.8469999999"/>
  </r>
  <r>
    <s v="ORD111962"/>
    <x v="11"/>
    <s v="05-10-2025"/>
    <s v="CUST10145"/>
    <s v="Home Office"/>
    <s v="Telangana"/>
    <x v="14"/>
    <x v="0"/>
    <s v="Laptop"/>
    <s v="1"/>
    <s v="54417.2"/>
    <n v="0.15"/>
    <s v="43415.67"/>
    <s v="2838.95"/>
    <x v="0"/>
    <x v="0"/>
    <s v="Marketplace"/>
    <n v="46254.619999999901"/>
  </r>
  <r>
    <s v="ORD112008"/>
    <x v="11"/>
    <s v="06-10-2025"/>
    <s v="CUST11422"/>
    <s v="Corporate"/>
    <s v="Maharashtra"/>
    <x v="20"/>
    <x v="4"/>
    <s v="Fitness Band"/>
    <s v="3"/>
    <s v="8057.9"/>
    <n v="0.1"/>
    <s v="13595.56"/>
    <s v="8160.77"/>
    <x v="1"/>
    <x v="0"/>
    <s v="Marketplace"/>
    <n v="21756.3299999999"/>
  </r>
  <r>
    <s v="ORD112081"/>
    <x v="1"/>
    <s v="06-02-2025"/>
    <s v="CUST13483"/>
    <s v="Consumer"/>
    <s v="Gujarat"/>
    <x v="18"/>
    <x v="2"/>
    <s v="T-Shirt"/>
    <s v="2"/>
    <s v="2051.79"/>
    <n v="0.05"/>
    <s v="2643.07"/>
    <s v="1255.33"/>
    <x v="0"/>
    <x v="0"/>
    <s v="Website"/>
    <n v="3898.4009999999998"/>
  </r>
  <r>
    <s v="ORD112101"/>
    <x v="0"/>
    <s v="22-01-2025"/>
    <s v="CUST10942"/>
    <s v="Home Office"/>
    <s v="Gujarat"/>
    <x v="3"/>
    <x v="2"/>
    <s v="Handbag"/>
    <s v="4"/>
    <s v="1970.14"/>
    <n v="0"/>
    <s v="5190.42"/>
    <s v="2690.14"/>
    <x v="1"/>
    <x v="0"/>
    <s v="Website"/>
    <n v="7880.56"/>
  </r>
  <r>
    <s v="ORD112122"/>
    <x v="0"/>
    <s v="06-01-2025"/>
    <s v="CUST10879"/>
    <s v="Home Office"/>
    <s v="West Bengal"/>
    <x v="0"/>
    <x v="4"/>
    <s v="Fitness Band"/>
    <s v="1"/>
    <s v="4505.0200000000004"/>
    <n v="0.1"/>
    <s v="3333.4"/>
    <s v="721.12"/>
    <x v="0"/>
    <x v="1"/>
    <s v="Marketplace"/>
    <n v="4054.518"/>
  </r>
  <r>
    <s v="ORD112181"/>
    <x v="5"/>
    <s v="18-09-2025"/>
    <s v="CUST12610"/>
    <s v="Home Office"/>
    <s v="Karnataka"/>
    <x v="2"/>
    <x v="0"/>
    <s v="Laptop"/>
    <s v="2"/>
    <s v="68275.92"/>
    <n v="0.1"/>
    <s v="91087.15"/>
    <s v="31809.51"/>
    <x v="1"/>
    <x v="0"/>
    <s v="Website"/>
    <n v="122896.656"/>
  </r>
  <r>
    <s v="ORD112206"/>
    <x v="9"/>
    <s v="30-06-2025"/>
    <s v="CUST11325"/>
    <s v="Home Office"/>
    <s v="Delhi"/>
    <x v="12"/>
    <x v="2"/>
    <s v="Jacket"/>
    <s v="1"/>
    <s v="2443.65"/>
    <n v="0.2"/>
    <s v="1824.02"/>
    <s v="130.9"/>
    <x v="3"/>
    <x v="1"/>
    <s v="Website"/>
    <n v="1954.92"/>
  </r>
  <r>
    <s v="ORD112207"/>
    <x v="1"/>
    <s v="18-02-2025"/>
    <s v="CUST10850"/>
    <s v="Consumer"/>
    <s v="West Bengal"/>
    <x v="0"/>
    <x v="3"/>
    <s v="Vacuum Cleaner"/>
    <s v="1"/>
    <s v="2415.2600000000002"/>
    <n v="0.05"/>
    <s v="1590.4"/>
    <s v="704.1"/>
    <x v="5"/>
    <x v="0"/>
    <s v="Website"/>
    <n v="2294.4969999999998"/>
  </r>
  <r>
    <s v="ORD112252"/>
    <x v="5"/>
    <s v="11-09-2025"/>
    <s v="CUST12584"/>
    <s v="Corporate"/>
    <s v="Telangana"/>
    <x v="16"/>
    <x v="2"/>
    <s v="T-Shirt"/>
    <s v="1"/>
    <s v="1687.72"/>
    <n v="0.1"/>
    <s v="959.38"/>
    <s v="559.57000000000005"/>
    <x v="2"/>
    <x v="0"/>
    <s v="Website"/>
    <n v="1518.9480000000001"/>
  </r>
  <r>
    <s v="ORD112266"/>
    <x v="9"/>
    <s v="12-06-2025"/>
    <s v="CUST12677"/>
    <s v="Corporate"/>
    <s v="Gujarat"/>
    <x v="18"/>
    <x v="0"/>
    <s v="Smartwatch"/>
    <s v="1"/>
    <s v="45945.45"/>
    <n v="0.1"/>
    <s v="37341.49"/>
    <s v="4009.41"/>
    <x v="5"/>
    <x v="0"/>
    <s v="Website"/>
    <n v="41350.904999999999"/>
  </r>
  <r>
    <s v="ORD112275"/>
    <x v="3"/>
    <s v="29-03-2025"/>
    <s v="CUST11726"/>
    <s v="Consumer"/>
    <s v="Maharashtra"/>
    <x v="21"/>
    <x v="3"/>
    <s v="Air Fryer"/>
    <s v="2"/>
    <s v="17641.27"/>
    <n v="0.1"/>
    <s v="25592.62"/>
    <s v="6161.67"/>
    <x v="3"/>
    <x v="0"/>
    <s v="Website"/>
    <n v="31754.286"/>
  </r>
  <r>
    <s v="ORD112277"/>
    <x v="9"/>
    <s v="26-06-2025"/>
    <s v="CUST13290"/>
    <s v="Home Office"/>
    <s v="Kerala"/>
    <x v="15"/>
    <x v="0"/>
    <s v="Smartphone"/>
    <s v="2"/>
    <s v="59028.54"/>
    <n v="0.15"/>
    <s v="95452.57"/>
    <s v="4895.95"/>
    <x v="2"/>
    <x v="0"/>
    <s v="Mobile App"/>
    <n v="100348.518"/>
  </r>
  <r>
    <s v="ORD112293"/>
    <x v="1"/>
    <s v="21-02-2025"/>
    <s v="CUST13327"/>
    <s v="Corporate"/>
    <s v="West Bengal"/>
    <x v="9"/>
    <x v="4"/>
    <s v="Running Shoes"/>
    <s v="1"/>
    <s v="4457.1499999999996"/>
    <n v="0.1"/>
    <s v="3046.14"/>
    <s v="965.3"/>
    <x v="1"/>
    <x v="0"/>
    <s v="Website"/>
    <n v="4011.4349999999999"/>
  </r>
  <r>
    <s v="ORD112307"/>
    <x v="5"/>
    <s v="04-09-2025"/>
    <s v="CUST10427"/>
    <s v="Corporate"/>
    <s v="Tamil Nadu"/>
    <x v="13"/>
    <x v="0"/>
    <s v="Tablet"/>
    <s v="1"/>
    <s v="12777.76"/>
    <n v="0.1"/>
    <s v="8098.07"/>
    <s v="3401.91"/>
    <x v="3"/>
    <x v="0"/>
    <s v="Marketplace"/>
    <n v="11499.984"/>
  </r>
  <r>
    <s v="ORD112329"/>
    <x v="0"/>
    <s v="24-01-2025"/>
    <s v="CUST10011"/>
    <s v="Home Office"/>
    <s v="West Bengal"/>
    <x v="9"/>
    <x v="0"/>
    <s v="Smartwatch"/>
    <s v="1"/>
    <s v="20979.759999999998"/>
    <n v="0.15"/>
    <s v="13576.81"/>
    <s v="4255.99"/>
    <x v="1"/>
    <x v="0"/>
    <s v="Mobile App"/>
    <n v="17832.795999999998"/>
  </r>
  <r>
    <s v="ORD112330"/>
    <x v="10"/>
    <s v="23-11-2025"/>
    <s v="CUST11482"/>
    <s v="Consumer"/>
    <s v="Kerala"/>
    <x v="6"/>
    <x v="0"/>
    <s v="Smartphone"/>
    <s v="1"/>
    <s v="18543.900000000001"/>
    <n v="0.1"/>
    <s v="13301.23"/>
    <s v="3388.28"/>
    <x v="3"/>
    <x v="0"/>
    <s v="Marketplace"/>
    <n v="16689.509999999998"/>
  </r>
  <r>
    <s v="ORD112419"/>
    <x v="9"/>
    <s v="14-06-2025"/>
    <s v="CUST10993"/>
    <s v="Consumer"/>
    <s v="West Bengal"/>
    <x v="0"/>
    <x v="2"/>
    <s v="Jeans"/>
    <s v="1"/>
    <s v="1673.16"/>
    <n v="0.2"/>
    <s v="1181.7"/>
    <s v="156.83000000000001"/>
    <x v="5"/>
    <x v="2"/>
    <s v="Mobile App"/>
    <n v="1338.528"/>
  </r>
  <r>
    <s v="ORD112443"/>
    <x v="3"/>
    <s v="11-03-2025"/>
    <s v="CUST11751"/>
    <s v="Consumer"/>
    <s v="Maharashtra"/>
    <x v="4"/>
    <x v="1"/>
    <s v="Face Cream"/>
    <s v="1"/>
    <s v="4231.0600000000004"/>
    <n v="0"/>
    <s v="2682.39"/>
    <s v="1548.67"/>
    <x v="5"/>
    <x v="0"/>
    <s v="Mobile App"/>
    <n v="4231.0600000000004"/>
  </r>
  <r>
    <s v="ORD112453"/>
    <x v="1"/>
    <s v="18-02-2025"/>
    <s v="CUST12497"/>
    <s v="Corporate"/>
    <s v="West Bengal"/>
    <x v="0"/>
    <x v="2"/>
    <s v="Handbag"/>
    <s v="1"/>
    <s v="3805.47"/>
    <n v="0.15"/>
    <s v="3080.27"/>
    <s v="154.38"/>
    <x v="1"/>
    <x v="0"/>
    <s v="Marketplace"/>
    <n v="3234.64949999999"/>
  </r>
  <r>
    <s v="ORD112489"/>
    <x v="10"/>
    <s v="05-11-2025"/>
    <s v="CUST11176"/>
    <s v="Corporate"/>
    <s v="West Bengal"/>
    <x v="0"/>
    <x v="0"/>
    <s v="Smartphone"/>
    <s v="2"/>
    <s v="62052.91"/>
    <n v="0.1"/>
    <s v="71258.7"/>
    <s v="40436.54"/>
    <x v="3"/>
    <x v="0"/>
    <s v="Mobile App"/>
    <n v="111695.238"/>
  </r>
  <r>
    <s v="ORD112491"/>
    <x v="11"/>
    <s v="13-10-2025"/>
    <s v="CUST10051"/>
    <s v="Home Office"/>
    <s v="West Bengal"/>
    <x v="0"/>
    <x v="3"/>
    <s v="Coffee Maker"/>
    <s v="1"/>
    <s v="8339.1299999999992"/>
    <n v="0.05"/>
    <s v="6628.56"/>
    <s v="1293.6099999999999"/>
    <x v="5"/>
    <x v="0"/>
    <s v="Marketplace"/>
    <n v="7922.1734999999899"/>
  </r>
  <r>
    <s v="ORD112509"/>
    <x v="4"/>
    <s v="14-04-2025"/>
    <s v="CUST12652"/>
    <s v="Corporate"/>
    <s v="Tamil Nadu"/>
    <x v="11"/>
    <x v="3"/>
    <s v="Vacuum Cleaner"/>
    <s v="1"/>
    <s v="14615.97"/>
    <n v="0.1"/>
    <s v="9097.58"/>
    <s v="4056.79"/>
    <x v="0"/>
    <x v="0"/>
    <s v="Marketplace"/>
    <n v="13154.373"/>
  </r>
  <r>
    <s v="ORD112529"/>
    <x v="4"/>
    <s v="15-04-2025"/>
    <s v="CUST13014"/>
    <s v="Home Office"/>
    <s v="Maharashtra"/>
    <x v="21"/>
    <x v="3"/>
    <s v="Mixer Grinder"/>
    <s v="4"/>
    <s v="5407.56"/>
    <n v="0.1"/>
    <s v="14475.55"/>
    <s v="4991.67"/>
    <x v="5"/>
    <x v="0"/>
    <s v="Mobile App"/>
    <n v="19467.216"/>
  </r>
  <r>
    <s v="ORD112555"/>
    <x v="9"/>
    <s v="10-06-2025"/>
    <s v="CUST12518"/>
    <s v="Corporate"/>
    <s v="Maharashtra"/>
    <x v="21"/>
    <x v="3"/>
    <s v="Coffee Maker"/>
    <s v="2"/>
    <s v="9906.07"/>
    <n v="0.15"/>
    <s v="11974.31"/>
    <s v="4866.01"/>
    <x v="2"/>
    <x v="0"/>
    <s v="Marketplace"/>
    <n v="16840.319"/>
  </r>
  <r>
    <s v="ORD112583"/>
    <x v="1"/>
    <s v="06-02-2025"/>
    <s v="CUST12021"/>
    <s v="Home Office"/>
    <s v="Kerala"/>
    <x v="15"/>
    <x v="4"/>
    <s v="Fitness Band"/>
    <s v="1"/>
    <s v="2599.7399999999998"/>
    <n v="0.15"/>
    <s v="1997.93"/>
    <s v="211.85"/>
    <x v="1"/>
    <x v="0"/>
    <s v="Mobile App"/>
    <n v="2209.77899999999"/>
  </r>
  <r>
    <s v="ORD112589"/>
    <x v="5"/>
    <s v="06-09-2025"/>
    <s v="CUST11803"/>
    <s v="Corporate"/>
    <s v="Tamil Nadu"/>
    <x v="11"/>
    <x v="2"/>
    <s v="Handbag"/>
    <s v="1"/>
    <s v="3333.65"/>
    <n v="0.1"/>
    <s v="2248.39"/>
    <s v="751.9"/>
    <x v="1"/>
    <x v="0"/>
    <s v="Marketplace"/>
    <n v="3000.2849999999999"/>
  </r>
  <r>
    <s v="ORD112611"/>
    <x v="7"/>
    <s v="05-05-2025"/>
    <s v="CUST11428"/>
    <s v="Consumer"/>
    <s v="Kerala"/>
    <x v="6"/>
    <x v="2"/>
    <s v="Jeans"/>
    <s v="4"/>
    <s v="5302.44"/>
    <n v="0.05"/>
    <s v="15544.99"/>
    <s v="4604.28"/>
    <x v="0"/>
    <x v="0"/>
    <s v="Website"/>
    <n v="20149.271999999899"/>
  </r>
  <r>
    <s v="ORD112627"/>
    <x v="3"/>
    <s v="15-03-2025"/>
    <s v="CUST10700"/>
    <s v="Consumer"/>
    <s v="Delhi"/>
    <x v="12"/>
    <x v="0"/>
    <s v="Headphones"/>
    <s v="1"/>
    <s v="68426.460000000006"/>
    <n v="0.2"/>
    <s v="44145.39"/>
    <s v="10595.78"/>
    <x v="1"/>
    <x v="0"/>
    <s v="Website"/>
    <n v="54741.167999999998"/>
  </r>
  <r>
    <s v="ORD112638"/>
    <x v="5"/>
    <s v="25-09-2025"/>
    <s v="CUST10777"/>
    <s v="Consumer"/>
    <s v="Gujarat"/>
    <x v="10"/>
    <x v="0"/>
    <s v="Smartphone"/>
    <s v="1"/>
    <s v="71106.559999999998"/>
    <n v="0.05"/>
    <s v="50471.34"/>
    <s v="17079.89"/>
    <x v="1"/>
    <x v="0"/>
    <s v="Marketplace"/>
    <n v="67551.231999999902"/>
  </r>
  <r>
    <s v="ORD112664"/>
    <x v="11"/>
    <s v="12-10-2025"/>
    <s v="CUST11369"/>
    <s v="Home Office"/>
    <s v="Gujarat"/>
    <x v="18"/>
    <x v="0"/>
    <s v="Smartwatch"/>
    <s v="2"/>
    <s v="59004.52"/>
    <n v="0.15"/>
    <s v="67185.73"/>
    <s v="33121.949999999997"/>
    <x v="3"/>
    <x v="3"/>
    <s v="Marketplace"/>
    <n v="100307.68399999999"/>
  </r>
  <r>
    <s v="ORD112707"/>
    <x v="3"/>
    <s v="31-03-2025"/>
    <s v="CUST11133"/>
    <s v="Consumer"/>
    <s v="Karnataka"/>
    <x v="2"/>
    <x v="0"/>
    <s v="Tablet"/>
    <s v="1"/>
    <s v="11910.96"/>
    <n v="0.05"/>
    <s v="8159.64"/>
    <s v="3155.77"/>
    <x v="1"/>
    <x v="0"/>
    <s v="Website"/>
    <n v="11315.4119999999"/>
  </r>
  <r>
    <s v="ORD112755"/>
    <x v="2"/>
    <s v="03-12-2025"/>
    <s v="CUST10326"/>
    <s v="Home Office"/>
    <s v="Gujarat"/>
    <x v="3"/>
    <x v="1"/>
    <s v="Shampoo"/>
    <s v="2"/>
    <s v="2953.81"/>
    <n v="0.1"/>
    <s v="3486"/>
    <s v="1830.86"/>
    <x v="0"/>
    <x v="0"/>
    <s v="Marketplace"/>
    <n v="5316.8580000000002"/>
  </r>
  <r>
    <s v="ORD112757"/>
    <x v="8"/>
    <s v="17-08-2025"/>
    <s v="CUST13280"/>
    <s v="Corporate"/>
    <s v="Tamil Nadu"/>
    <x v="8"/>
    <x v="0"/>
    <s v="Smartphone"/>
    <s v="1"/>
    <s v="22160.43"/>
    <n v="0"/>
    <s v="17557.18"/>
    <s v="4603.25"/>
    <x v="3"/>
    <x v="3"/>
    <s v="Mobile App"/>
    <n v="22160.43"/>
  </r>
  <r>
    <s v="ORD112807"/>
    <x v="9"/>
    <s v="19-06-2025"/>
    <s v="CUST11911"/>
    <s v="Home Office"/>
    <s v="Delhi"/>
    <x v="12"/>
    <x v="4"/>
    <s v="Cricket Bat"/>
    <s v="1"/>
    <s v="9466.66"/>
    <n v="0.05"/>
    <s v="7017.2"/>
    <s v="1976.13"/>
    <x v="2"/>
    <x v="0"/>
    <s v="Mobile App"/>
    <n v="8993.3269999999993"/>
  </r>
  <r>
    <s v="ORD112830"/>
    <x v="9"/>
    <s v="20-06-2025"/>
    <s v="CUST13286"/>
    <s v="Consumer"/>
    <s v="Delhi"/>
    <x v="7"/>
    <x v="3"/>
    <s v="Cookware Set"/>
    <s v="1"/>
    <s v="12358.09"/>
    <n v="0.05"/>
    <s v="7011.51"/>
    <s v="4728.68"/>
    <x v="1"/>
    <x v="0"/>
    <s v="Marketplace"/>
    <n v="11740.1855"/>
  </r>
  <r>
    <s v="ORD112901"/>
    <x v="0"/>
    <s v="01-01-2025"/>
    <s v="CUST13341"/>
    <s v="Corporate"/>
    <s v="Gujarat"/>
    <x v="3"/>
    <x v="2"/>
    <s v="T-Shirt"/>
    <s v="1"/>
    <s v="916.02"/>
    <n v="0.05"/>
    <s v="699.11"/>
    <s v="171.11"/>
    <x v="1"/>
    <x v="0"/>
    <s v="Website"/>
    <n v="870.21899999999903"/>
  </r>
  <r>
    <s v="ORD112902"/>
    <x v="0"/>
    <s v="19-01-2025"/>
    <s v="CUST12211"/>
    <s v="Consumer"/>
    <s v="West Bengal"/>
    <x v="0"/>
    <x v="0"/>
    <s v="Smartphone"/>
    <s v="2"/>
    <s v="38397.58"/>
    <n v="0.1"/>
    <s v="59796.37"/>
    <s v="9319.27"/>
    <x v="1"/>
    <x v="0"/>
    <s v="Marketplace"/>
    <n v="69115.644"/>
  </r>
  <r>
    <s v="ORD112924"/>
    <x v="2"/>
    <s v="25-12-2025"/>
    <s v="CUST11953"/>
    <s v="Consumer"/>
    <s v="Karnataka"/>
    <x v="2"/>
    <x v="0"/>
    <s v="Headphones"/>
    <s v="1"/>
    <s v="31308.18"/>
    <n v="0.05"/>
    <s v="22280.22"/>
    <s v="7462.55"/>
    <x v="1"/>
    <x v="0"/>
    <s v="Mobile App"/>
    <n v="29742.771000000001"/>
  </r>
  <r>
    <s v="ORD112976"/>
    <x v="4"/>
    <s v="21-04-2025"/>
    <s v="CUST10134"/>
    <s v="Consumer"/>
    <s v="Gujarat"/>
    <x v="10"/>
    <x v="3"/>
    <s v="Mixer Grinder"/>
    <s v="1"/>
    <s v="17702.310000000001"/>
    <n v="0.15"/>
    <s v="14382.78"/>
    <s v="664.18"/>
    <x v="5"/>
    <x v="0"/>
    <s v="Website"/>
    <n v="15046.9635"/>
  </r>
  <r>
    <s v="ORD113072"/>
    <x v="11"/>
    <s v="10-10-2025"/>
    <s v="CUST12614"/>
    <s v="Consumer"/>
    <s v="Gujarat"/>
    <x v="18"/>
    <x v="2"/>
    <s v="Jeans"/>
    <s v="1"/>
    <s v="1941.33"/>
    <n v="0"/>
    <s v="1555.47"/>
    <s v="385.86"/>
    <x v="1"/>
    <x v="0"/>
    <s v="Website"/>
    <n v="1941.33"/>
  </r>
  <r>
    <s v="ORD113086"/>
    <x v="7"/>
    <s v="29-05-2025"/>
    <s v="CUST11465"/>
    <s v="Corporate"/>
    <s v="Karnataka"/>
    <x v="22"/>
    <x v="2"/>
    <s v="Handbag"/>
    <s v="2"/>
    <s v="5604.37"/>
    <n v="0.2"/>
    <s v="8349.2199999999993"/>
    <s v="617.77"/>
    <x v="1"/>
    <x v="0"/>
    <s v="Marketplace"/>
    <n v="8966.9920000000002"/>
  </r>
  <r>
    <s v="ORD113116"/>
    <x v="0"/>
    <s v="21-01-2025"/>
    <s v="CUST10815"/>
    <s v="Home Office"/>
    <s v="Delhi"/>
    <x v="7"/>
    <x v="3"/>
    <s v="Cookware Set"/>
    <s v="1"/>
    <s v="12945.23"/>
    <n v="0.15"/>
    <s v="10065.780000000001"/>
    <s v="937.67"/>
    <x v="3"/>
    <x v="0"/>
    <s v="Mobile App"/>
    <n v="11003.4455"/>
  </r>
  <r>
    <s v="ORD113140"/>
    <x v="6"/>
    <s v="07-07-2025"/>
    <s v="CUST12712"/>
    <s v="Consumer"/>
    <s v="Tamil Nadu"/>
    <x v="11"/>
    <x v="1"/>
    <s v="Shampoo"/>
    <s v="1"/>
    <s v="2914.49"/>
    <n v="0.1"/>
    <s v="2193.38"/>
    <s v="429.66"/>
    <x v="3"/>
    <x v="0"/>
    <s v="Website"/>
    <n v="2623.0409999999902"/>
  </r>
  <r>
    <s v="ORD113178"/>
    <x v="10"/>
    <s v="08-11-2025"/>
    <s v="CUST10566"/>
    <s v="Consumer"/>
    <s v="Kerala"/>
    <x v="6"/>
    <x v="2"/>
    <s v="Jacket"/>
    <s v="1"/>
    <s v="4481.76"/>
    <n v="0.05"/>
    <s v="2538.84"/>
    <s v="1718.83"/>
    <x v="0"/>
    <x v="3"/>
    <s v="Marketplace"/>
    <n v="4257.6719999999996"/>
  </r>
  <r>
    <s v="ORD113282"/>
    <x v="3"/>
    <s v="25-03-2025"/>
    <s v="CUST10247"/>
    <s v="Corporate"/>
    <s v="Gujarat"/>
    <x v="10"/>
    <x v="1"/>
    <s v="Lipstick"/>
    <s v="1"/>
    <s v="3112.96"/>
    <n v="0.1"/>
    <s v="2375.46"/>
    <s v="426.2"/>
    <x v="0"/>
    <x v="0"/>
    <s v="Marketplace"/>
    <n v="2801.6640000000002"/>
  </r>
  <r>
    <s v="ORD113303"/>
    <x v="7"/>
    <s v="25-05-2025"/>
    <s v="CUST11845"/>
    <s v="Consumer"/>
    <s v="Kerala"/>
    <x v="6"/>
    <x v="2"/>
    <s v="Sneakers"/>
    <s v="1"/>
    <s v="4205.46"/>
    <n v="0.1"/>
    <s v="3270.01"/>
    <s v="514.9"/>
    <x v="0"/>
    <x v="0"/>
    <s v="Marketplace"/>
    <n v="3784.9140000000002"/>
  </r>
  <r>
    <s v="ORD113375"/>
    <x v="8"/>
    <s v="23-08-2025"/>
    <s v="CUST11810"/>
    <s v="Corporate"/>
    <s v="Telangana"/>
    <x v="14"/>
    <x v="2"/>
    <s v="Jacket"/>
    <s v="1"/>
    <s v="3194.62"/>
    <n v="0"/>
    <s v="1929.08"/>
    <s v="1265.54"/>
    <x v="0"/>
    <x v="0"/>
    <s v="Mobile App"/>
    <n v="3194.62"/>
  </r>
  <r>
    <s v="ORD113481"/>
    <x v="4"/>
    <s v="02-04-2025"/>
    <s v="CUST11248"/>
    <s v="Home Office"/>
    <s v="Gujarat"/>
    <x v="10"/>
    <x v="2"/>
    <s v="Jacket"/>
    <s v="1"/>
    <s v="5678.82"/>
    <n v="0"/>
    <s v="4034"/>
    <s v="1644.82"/>
    <x v="5"/>
    <x v="0"/>
    <s v="Mobile App"/>
    <n v="5678.82"/>
  </r>
  <r>
    <s v="ORD113589"/>
    <x v="8"/>
    <s v="05-08-2025"/>
    <s v="CUST12581"/>
    <s v="Corporate"/>
    <s v="Telangana"/>
    <x v="14"/>
    <x v="2"/>
    <s v="Handbag"/>
    <s v="2"/>
    <s v="4765.41"/>
    <n v="0.05"/>
    <s v="6266.52"/>
    <s v="2787.76"/>
    <x v="5"/>
    <x v="0"/>
    <s v="Mobile App"/>
    <n v="9054.2789999999895"/>
  </r>
  <r>
    <s v="ORD113638"/>
    <x v="11"/>
    <s v="19-10-2025"/>
    <s v="CUST12254"/>
    <s v="Home Office"/>
    <s v="Gujarat"/>
    <x v="18"/>
    <x v="4"/>
    <s v="Football"/>
    <s v="1"/>
    <s v="5994.14"/>
    <n v="0.15"/>
    <s v="4267.1400000000003"/>
    <s v="827.88"/>
    <x v="3"/>
    <x v="0"/>
    <s v="Website"/>
    <n v="5095.0190000000002"/>
  </r>
  <r>
    <s v="ORD113670"/>
    <x v="8"/>
    <s v="19-08-2025"/>
    <s v="CUST12594"/>
    <s v="Corporate"/>
    <s v="Karnataka"/>
    <x v="17"/>
    <x v="3"/>
    <s v="Mixer Grinder"/>
    <s v="2"/>
    <s v="7601.59"/>
    <n v="0.1"/>
    <s v="8982.7199999999993"/>
    <s v="4700.1400000000003"/>
    <x v="5"/>
    <x v="0"/>
    <s v="Marketplace"/>
    <n v="13682.861999999999"/>
  </r>
  <r>
    <s v="ORD113686"/>
    <x v="5"/>
    <s v="23-09-2025"/>
    <s v="CUST12991"/>
    <s v="Consumer"/>
    <s v="Gujarat"/>
    <x v="3"/>
    <x v="2"/>
    <s v="T-Shirt"/>
    <s v="1"/>
    <s v="1862.9"/>
    <n v="0"/>
    <s v="1476.79"/>
    <s v="386.11"/>
    <x v="5"/>
    <x v="2"/>
    <s v="Website"/>
    <n v="1862.9"/>
  </r>
  <r>
    <s v="ORD113727"/>
    <x v="8"/>
    <s v="03-08-2025"/>
    <s v="CUST10629"/>
    <s v="Corporate"/>
    <s v="Kerala"/>
    <x v="5"/>
    <x v="4"/>
    <s v="Cricket Bat"/>
    <s v="4"/>
    <s v="6506.46"/>
    <n v="0.1"/>
    <s v="20307.36"/>
    <s v="3115.9"/>
    <x v="2"/>
    <x v="0"/>
    <s v="Website"/>
    <n v="23423.256000000001"/>
  </r>
  <r>
    <s v="ORD113807"/>
    <x v="4"/>
    <s v="19-04-2025"/>
    <s v="CUST13075"/>
    <s v="Consumer"/>
    <s v="Telangana"/>
    <x v="16"/>
    <x v="2"/>
    <s v="Handbag"/>
    <s v="4"/>
    <s v="2629.82"/>
    <n v="0.15"/>
    <s v="6322.8"/>
    <s v="2618.59"/>
    <x v="2"/>
    <x v="3"/>
    <s v="Marketplace"/>
    <n v="8941.3880000000008"/>
  </r>
  <r>
    <s v="ORD113946"/>
    <x v="11"/>
    <s v="13-10-2025"/>
    <s v="CUST10989"/>
    <s v="Consumer"/>
    <s v="Maharashtra"/>
    <x v="21"/>
    <x v="4"/>
    <s v="Cricket Bat"/>
    <s v="2"/>
    <s v="8778.93"/>
    <n v="0.1"/>
    <s v="12440.4"/>
    <s v="3361.67"/>
    <x v="1"/>
    <x v="0"/>
    <s v="Marketplace"/>
    <n v="15802.074000000001"/>
  </r>
  <r>
    <s v="ORD113976"/>
    <x v="6"/>
    <s v="05-07-2025"/>
    <s v="CUST10041"/>
    <s v="Consumer"/>
    <s v="Kerala"/>
    <x v="6"/>
    <x v="1"/>
    <s v="Hair Dryer"/>
    <s v="2"/>
    <s v="423.84"/>
    <n v="0.1"/>
    <s v="533.86"/>
    <s v="229.05"/>
    <x v="1"/>
    <x v="0"/>
    <s v="Website"/>
    <n v="762.91199999999901"/>
  </r>
  <r>
    <s v="ORD114067"/>
    <x v="5"/>
    <s v="01-09-2025"/>
    <s v="CUST11086"/>
    <s v="Consumer"/>
    <s v="Kerala"/>
    <x v="5"/>
    <x v="0"/>
    <s v="Smartphone"/>
    <s v="1"/>
    <s v="66615.789999999994"/>
    <n v="0.05"/>
    <s v="39550.03"/>
    <s v="23734.97"/>
    <x v="2"/>
    <x v="2"/>
    <s v="Mobile App"/>
    <n v="63285.0004999999"/>
  </r>
  <r>
    <s v="ORD114137"/>
    <x v="9"/>
    <s v="15-06-2025"/>
    <s v="CUST11872"/>
    <s v="Home Office"/>
    <s v="Delhi"/>
    <x v="12"/>
    <x v="1"/>
    <s v="Hair Dryer"/>
    <s v="1"/>
    <s v="1868.83"/>
    <n v="0"/>
    <s v="1156.27"/>
    <s v="712.56"/>
    <x v="2"/>
    <x v="0"/>
    <s v="Website"/>
    <n v="1868.83"/>
  </r>
  <r>
    <s v="ORD114336"/>
    <x v="7"/>
    <s v="26-05-2025"/>
    <s v="CUST12323"/>
    <s v="Consumer"/>
    <s v="Kerala"/>
    <x v="15"/>
    <x v="3"/>
    <s v="Air Fryer"/>
    <s v="1"/>
    <s v="2413.2600000000002"/>
    <n v="0.05"/>
    <s v="1696.04"/>
    <s v="596.55999999999995"/>
    <x v="5"/>
    <x v="0"/>
    <s v="Marketplace"/>
    <n v="2292.5970000000002"/>
  </r>
  <r>
    <s v="ORD114395"/>
    <x v="1"/>
    <s v="07-02-2025"/>
    <s v="CUST12055"/>
    <s v="Home Office"/>
    <s v="Delhi"/>
    <x v="12"/>
    <x v="0"/>
    <s v="Smartwatch"/>
    <s v="2"/>
    <s v="10900.72"/>
    <n v="0.15"/>
    <s v="17151.7"/>
    <s v="1379.52"/>
    <x v="2"/>
    <x v="0"/>
    <s v="Mobile App"/>
    <n v="18531.223999999998"/>
  </r>
  <r>
    <s v="ORD114398"/>
    <x v="0"/>
    <s v="24-01-2025"/>
    <s v="CUST10158"/>
    <s v="Home Office"/>
    <s v="Maharashtra"/>
    <x v="4"/>
    <x v="0"/>
    <s v="Smartwatch"/>
    <s v="4"/>
    <s v="20546.47"/>
    <n v="0.05"/>
    <s v="46485.62"/>
    <s v="31590.97"/>
    <x v="1"/>
    <x v="0"/>
    <s v="Marketplace"/>
    <n v="78076.585999999996"/>
  </r>
  <r>
    <s v="ORD114479"/>
    <x v="3"/>
    <s v="25-03-2025"/>
    <s v="CUST11794"/>
    <s v="Corporate"/>
    <s v="Tamil Nadu"/>
    <x v="1"/>
    <x v="0"/>
    <s v="Smartwatch"/>
    <s v="1"/>
    <s v="62030.31"/>
    <n v="0.05"/>
    <s v="46190.45"/>
    <s v="12738.34"/>
    <x v="0"/>
    <x v="0"/>
    <s v="Marketplace"/>
    <n v="58928.794499999902"/>
  </r>
  <r>
    <s v="ORD114551"/>
    <x v="7"/>
    <s v="24-05-2025"/>
    <s v="CUST10064"/>
    <s v="Consumer"/>
    <s v="Kerala"/>
    <x v="6"/>
    <x v="3"/>
    <s v="Air Fryer"/>
    <s v="1"/>
    <s v="17722.62"/>
    <n v="0.05"/>
    <s v="12811.81"/>
    <s v="4024.68"/>
    <x v="1"/>
    <x v="0"/>
    <s v="Marketplace"/>
    <n v="16836.4889999999"/>
  </r>
  <r>
    <s v="ORD114603"/>
    <x v="0"/>
    <s v="01-01-2025"/>
    <s v="CUST10688"/>
    <s v="Home Office"/>
    <s v="Telangana"/>
    <x v="14"/>
    <x v="3"/>
    <s v="Vacuum Cleaner"/>
    <s v="2"/>
    <s v="1411.04"/>
    <n v="0.1"/>
    <s v="1889.08"/>
    <s v="650.79"/>
    <x v="5"/>
    <x v="1"/>
    <s v="Marketplace"/>
    <n v="2539.8719999999998"/>
  </r>
  <r>
    <s v="ORD114713"/>
    <x v="2"/>
    <s v="17-12-2025"/>
    <s v="CUST13089"/>
    <s v="Home Office"/>
    <s v="Gujarat"/>
    <x v="10"/>
    <x v="3"/>
    <s v="Vacuum Cleaner"/>
    <s v="3"/>
    <s v="17062.38"/>
    <n v="0.05"/>
    <s v="41960.56"/>
    <s v="6667.22"/>
    <x v="1"/>
    <x v="3"/>
    <s v="Marketplace"/>
    <n v="48627.782999999901"/>
  </r>
  <r>
    <s v="ORD114717"/>
    <x v="6"/>
    <s v="08-07-2025"/>
    <s v="CUST11587"/>
    <s v="Consumer"/>
    <s v="Telangana"/>
    <x v="16"/>
    <x v="2"/>
    <s v="T-Shirt"/>
    <s v="1"/>
    <s v="4602.96"/>
    <n v="0"/>
    <s v="3038.53"/>
    <s v="1564.43"/>
    <x v="0"/>
    <x v="0"/>
    <s v="Mobile App"/>
    <n v="4602.96"/>
  </r>
  <r>
    <s v="ORD114726"/>
    <x v="7"/>
    <s v="23-05-2025"/>
    <s v="CUST13402"/>
    <s v="Corporate"/>
    <s v="Maharashtra"/>
    <x v="20"/>
    <x v="4"/>
    <s v="Running Shoes"/>
    <s v="1"/>
    <s v="8315.89"/>
    <n v="0"/>
    <s v="4792.67"/>
    <s v="3523.22"/>
    <x v="1"/>
    <x v="0"/>
    <s v="Marketplace"/>
    <n v="8315.89"/>
  </r>
  <r>
    <s v="ORD114743"/>
    <x v="3"/>
    <s v="14-03-2025"/>
    <s v="CUST11052"/>
    <s v="Home Office"/>
    <s v="Tamil Nadu"/>
    <x v="19"/>
    <x v="2"/>
    <s v="Jacket"/>
    <s v="3"/>
    <s v="5954.92"/>
    <n v="0"/>
    <s v="11450.65"/>
    <s v="6414.11"/>
    <x v="2"/>
    <x v="0"/>
    <s v="Marketplace"/>
    <n v="17864.759999999998"/>
  </r>
  <r>
    <s v="ORD114834"/>
    <x v="6"/>
    <s v="28-07-2025"/>
    <s v="CUST11893"/>
    <s v="Home Office"/>
    <s v="Kerala"/>
    <x v="6"/>
    <x v="2"/>
    <s v="Sneakers"/>
    <s v="3"/>
    <s v="3915.03"/>
    <n v="0.05"/>
    <s v="8895.36"/>
    <s v="2262.48"/>
    <x v="2"/>
    <x v="1"/>
    <s v="Website"/>
    <n v="11157.835499999999"/>
  </r>
  <r>
    <s v="ORD114917"/>
    <x v="1"/>
    <s v="17-02-2025"/>
    <s v="CUST12045"/>
    <s v="Consumer"/>
    <s v="Delhi"/>
    <x v="12"/>
    <x v="2"/>
    <s v="Sneakers"/>
    <s v="1"/>
    <s v="2997.84"/>
    <n v="0"/>
    <s v="1938.27"/>
    <s v="1059.57"/>
    <x v="1"/>
    <x v="0"/>
    <s v="Website"/>
    <n v="2997.84"/>
  </r>
  <r>
    <s v="ORD115129"/>
    <x v="7"/>
    <s v="23-05-2025"/>
    <s v="CUST13325"/>
    <s v="Consumer"/>
    <s v="Gujarat"/>
    <x v="10"/>
    <x v="0"/>
    <s v="Laptop"/>
    <s v="1"/>
    <s v="28296.799999999999"/>
    <n v="0.1"/>
    <s v="19524.939999999999"/>
    <s v="5942.18"/>
    <x v="2"/>
    <x v="0"/>
    <s v="Mobile App"/>
    <n v="25467.119999999999"/>
  </r>
  <r>
    <s v="ORD115221"/>
    <x v="8"/>
    <s v="13-08-2025"/>
    <s v="CUST12838"/>
    <s v="Home Office"/>
    <s v="Gujarat"/>
    <x v="18"/>
    <x v="0"/>
    <s v="Tablet"/>
    <s v="1"/>
    <s v="69281.990000000005"/>
    <n v="0.15"/>
    <s v="50632.32"/>
    <s v="8257.3700000000008"/>
    <x v="2"/>
    <x v="0"/>
    <s v="Website"/>
    <n v="58889.691500000001"/>
  </r>
  <r>
    <s v="ORD115308"/>
    <x v="2"/>
    <s v="31-12-2025"/>
    <s v="CUST12247"/>
    <s v="Consumer"/>
    <s v="Telangana"/>
    <x v="14"/>
    <x v="1"/>
    <s v="Face Cream"/>
    <s v="1"/>
    <s v="4616.97"/>
    <n v="0.1"/>
    <s v="3751.19"/>
    <s v="404.08"/>
    <x v="0"/>
    <x v="0"/>
    <s v="Website"/>
    <n v="4155.2730000000001"/>
  </r>
  <r>
    <s v="ORD115369"/>
    <x v="1"/>
    <s v="15-02-2025"/>
    <s v="CUST10094"/>
    <s v="Corporate"/>
    <s v="Tamil Nadu"/>
    <x v="13"/>
    <x v="2"/>
    <s v="T-Shirt"/>
    <s v="4"/>
    <s v="6530.56"/>
    <n v="0.1"/>
    <s v="19875.96"/>
    <s v="3634.06"/>
    <x v="0"/>
    <x v="2"/>
    <s v="Website"/>
    <n v="23510.016"/>
  </r>
  <r>
    <s v="ORD115440"/>
    <x v="5"/>
    <s v="29-09-2025"/>
    <s v="CUST13366"/>
    <s v="Home Office"/>
    <s v="Tamil Nadu"/>
    <x v="1"/>
    <x v="3"/>
    <s v="Coffee Maker"/>
    <s v="2"/>
    <s v="6575.98"/>
    <n v="0.05"/>
    <s v="8907.65"/>
    <s v="3586.71"/>
    <x v="5"/>
    <x v="1"/>
    <s v="Website"/>
    <n v="12494.361999999999"/>
  </r>
  <r>
    <s v="ORD115464"/>
    <x v="0"/>
    <s v="26-01-2025"/>
    <s v="CUST10236"/>
    <s v="Consumer"/>
    <s v="Kerala"/>
    <x v="6"/>
    <x v="1"/>
    <s v="Face Cream"/>
    <s v="2"/>
    <s v="928.23"/>
    <n v="0.05"/>
    <s v="1311.48"/>
    <s v="452.16"/>
    <x v="0"/>
    <x v="0"/>
    <s v="Website"/>
    <n v="1763.6369999999999"/>
  </r>
  <r>
    <s v="ORD115617"/>
    <x v="8"/>
    <s v="14-08-2025"/>
    <s v="CUST10337"/>
    <s v="Corporate"/>
    <s v="Telangana"/>
    <x v="14"/>
    <x v="0"/>
    <s v="Smartphone"/>
    <s v="3"/>
    <s v="54427.71"/>
    <n v="0.1"/>
    <s v="120989.61"/>
    <s v="25965.21"/>
    <x v="1"/>
    <x v="0"/>
    <s v="Website"/>
    <n v="146954.81700000001"/>
  </r>
  <r>
    <s v="ORD115663"/>
    <x v="4"/>
    <s v="14-04-2025"/>
    <s v="CUST13058"/>
    <s v="Home Office"/>
    <s v="Tamil Nadu"/>
    <x v="13"/>
    <x v="4"/>
    <s v="Running Shoes"/>
    <s v="1"/>
    <s v="8318.5400000000009"/>
    <n v="0.1"/>
    <s v="6367.64"/>
    <s v="1119.05"/>
    <x v="2"/>
    <x v="0"/>
    <s v="Mobile App"/>
    <n v="7486.6859999999997"/>
  </r>
  <r>
    <s v="ORD115726"/>
    <x v="0"/>
    <s v="17-01-2025"/>
    <s v="CUST10178"/>
    <s v="Consumer"/>
    <s v="Tamil Nadu"/>
    <x v="19"/>
    <x v="2"/>
    <s v="Jeans"/>
    <s v="2"/>
    <s v="5017.97"/>
    <n v="0"/>
    <s v="6038.81"/>
    <s v="3997.13"/>
    <x v="0"/>
    <x v="0"/>
    <s v="Website"/>
    <n v="10035.94"/>
  </r>
  <r>
    <s v="ORD115901"/>
    <x v="2"/>
    <s v="11-12-2025"/>
    <s v="CUST10847"/>
    <s v="Consumer"/>
    <s v="Tamil Nadu"/>
    <x v="8"/>
    <x v="3"/>
    <s v="Vacuum Cleaner"/>
    <s v="1"/>
    <s v="17943"/>
    <n v="0.05"/>
    <s v="11201.37"/>
    <s v="5844.48"/>
    <x v="3"/>
    <x v="0"/>
    <s v="Website"/>
    <n v="17045.849999999999"/>
  </r>
  <r>
    <s v="ORD115994"/>
    <x v="7"/>
    <s v="08-05-2025"/>
    <s v="CUST11628"/>
    <s v="Consumer"/>
    <s v="Gujarat"/>
    <x v="3"/>
    <x v="2"/>
    <s v="T-Shirt"/>
    <s v="4"/>
    <s v="6232.49"/>
    <n v="0.15"/>
    <s v="18932.21"/>
    <s v="2258.2600000000002"/>
    <x v="5"/>
    <x v="2"/>
    <s v="Website"/>
    <n v="21190.466"/>
  </r>
  <r>
    <s v="ORD116209"/>
    <x v="4"/>
    <s v="20-04-2025"/>
    <s v="CUST13026"/>
    <s v="Corporate"/>
    <s v="West Bengal"/>
    <x v="0"/>
    <x v="1"/>
    <s v="Shampoo"/>
    <s v="1"/>
    <s v="5077.3999999999996"/>
    <n v="0.1"/>
    <s v="4112.55"/>
    <s v="457.11"/>
    <x v="1"/>
    <x v="0"/>
    <s v="Mobile App"/>
    <n v="4569.66"/>
  </r>
  <r>
    <s v="ORD116293"/>
    <x v="3"/>
    <s v="11-03-2025"/>
    <s v="CUST13284"/>
    <s v="Consumer"/>
    <s v="Tamil Nadu"/>
    <x v="11"/>
    <x v="1"/>
    <s v="Shampoo"/>
    <s v="3"/>
    <s v="973.12"/>
    <n v="0"/>
    <s v="2173.9899999999998"/>
    <s v="745.37"/>
    <x v="1"/>
    <x v="0"/>
    <s v="Website"/>
    <n v="2919.36"/>
  </r>
  <r>
    <s v="ORD116416"/>
    <x v="1"/>
    <s v="10-02-2025"/>
    <s v="CUST12298"/>
    <s v="Consumer"/>
    <s v="Delhi"/>
    <x v="12"/>
    <x v="0"/>
    <s v="Smartphone"/>
    <s v="2"/>
    <s v="41228.36"/>
    <n v="0.1"/>
    <s v="51779.87"/>
    <s v="22431.18"/>
    <x v="2"/>
    <x v="0"/>
    <s v="Website"/>
    <n v="74211.047999999995"/>
  </r>
  <r>
    <s v="ORD116558"/>
    <x v="5"/>
    <s v="06-09-2025"/>
    <s v="CUST12278"/>
    <s v="Home Office"/>
    <s v="Delhi"/>
    <x v="12"/>
    <x v="2"/>
    <s v="Jeans"/>
    <s v="4"/>
    <s v="4062.57"/>
    <n v="0"/>
    <s v="9428.9699999999993"/>
    <s v="6821.31"/>
    <x v="2"/>
    <x v="0"/>
    <s v="Website"/>
    <n v="16250.28"/>
  </r>
  <r>
    <s v="ORD116565"/>
    <x v="4"/>
    <s v="01-04-2025"/>
    <s v="CUST11963"/>
    <s v="Corporate"/>
    <s v="Telangana"/>
    <x v="14"/>
    <x v="1"/>
    <s v="Perfume"/>
    <s v="2"/>
    <s v="343"/>
    <n v="0.1"/>
    <s v="515.02"/>
    <s v="102.38"/>
    <x v="1"/>
    <x v="0"/>
    <s v="Mobile App"/>
    <n v="617.4"/>
  </r>
  <r>
    <s v="ORD116742"/>
    <x v="6"/>
    <s v="03-07-2025"/>
    <s v="CUST11285"/>
    <s v="Corporate"/>
    <s v="Tamil Nadu"/>
    <x v="8"/>
    <x v="0"/>
    <s v="Tablet"/>
    <s v="1"/>
    <s v="61003.77"/>
    <n v="0"/>
    <s v="45181.53"/>
    <s v="15822.24"/>
    <x v="3"/>
    <x v="0"/>
    <s v="Website"/>
    <n v="61003.77"/>
  </r>
  <r>
    <s v="ORD116750"/>
    <x v="0"/>
    <s v="15-01-2025"/>
    <s v="CUST12008"/>
    <s v="Home Office"/>
    <s v="Tamil Nadu"/>
    <x v="19"/>
    <x v="4"/>
    <s v="Yoga Mat"/>
    <s v="1"/>
    <s v="1830.53"/>
    <n v="0.05"/>
    <s v="1215.67"/>
    <s v="523.33000000000004"/>
    <x v="2"/>
    <x v="0"/>
    <s v="Mobile App"/>
    <n v="1739.00349999999"/>
  </r>
  <r>
    <s v="ORD116875"/>
    <x v="4"/>
    <s v="08-04-2025"/>
    <s v="CUST12953"/>
    <s v="Corporate"/>
    <s v="Kerala"/>
    <x v="15"/>
    <x v="3"/>
    <s v="Vacuum Cleaner"/>
    <s v="1"/>
    <s v="14104.38"/>
    <n v="0.15"/>
    <s v="9823.8799999999992"/>
    <s v="2164.84"/>
    <x v="3"/>
    <x v="0"/>
    <s v="Website"/>
    <n v="11988.7229999999"/>
  </r>
  <r>
    <s v="ORD116916"/>
    <x v="5"/>
    <s v="29-09-2025"/>
    <s v="CUST13000"/>
    <s v="Corporate"/>
    <s v="Delhi"/>
    <x v="12"/>
    <x v="3"/>
    <s v="Mixer Grinder"/>
    <s v="1"/>
    <s v="8986.35"/>
    <n v="0.05"/>
    <s v="5763.76"/>
    <s v="2773.27"/>
    <x v="0"/>
    <x v="2"/>
    <s v="Website"/>
    <n v="8537.0324999999993"/>
  </r>
  <r>
    <s v="ORD116955"/>
    <x v="1"/>
    <s v="14-02-2025"/>
    <s v="CUST12494"/>
    <s v="Consumer"/>
    <s v="Maharashtra"/>
    <x v="20"/>
    <x v="0"/>
    <s v="Smartphone"/>
    <s v="1"/>
    <s v="47220.33"/>
    <n v="0.05"/>
    <s v="31894.720000000001"/>
    <s v="12964.59"/>
    <x v="3"/>
    <x v="0"/>
    <s v="Website"/>
    <n v="44859.313499999997"/>
  </r>
  <r>
    <s v="ORD116965"/>
    <x v="8"/>
    <s v="26-08-2025"/>
    <s v="CUST11246"/>
    <s v="Corporate"/>
    <s v="Telangana"/>
    <x v="14"/>
    <x v="0"/>
    <s v="Tablet"/>
    <s v="4"/>
    <s v="69286.16"/>
    <n v="0"/>
    <s v="202200.36"/>
    <s v="74944.28"/>
    <x v="5"/>
    <x v="1"/>
    <s v="Mobile App"/>
    <n v="277144.64"/>
  </r>
  <r>
    <s v="ORD117019"/>
    <x v="5"/>
    <s v="13-09-2025"/>
    <s v="CUST12387"/>
    <s v="Home Office"/>
    <s v="Delhi"/>
    <x v="7"/>
    <x v="2"/>
    <s v="Jacket"/>
    <s v="1"/>
    <s v="1369.08"/>
    <n v="0"/>
    <s v="756.78"/>
    <s v="612.29999999999995"/>
    <x v="2"/>
    <x v="3"/>
    <s v="Website"/>
    <n v="1369.08"/>
  </r>
  <r>
    <s v="ORD117063"/>
    <x v="5"/>
    <s v="18-09-2025"/>
    <s v="CUST12460"/>
    <s v="Home Office"/>
    <s v="Tamil Nadu"/>
    <x v="11"/>
    <x v="2"/>
    <s v="Sneakers"/>
    <s v="1"/>
    <s v="6487.45"/>
    <n v="0.05"/>
    <s v="3615.33"/>
    <s v="2547.75"/>
    <x v="3"/>
    <x v="0"/>
    <s v="Mobile App"/>
    <n v="6163.0774999999903"/>
  </r>
  <r>
    <s v="ORD117389"/>
    <x v="9"/>
    <s v="11-06-2025"/>
    <s v="CUST11989"/>
    <s v="Consumer"/>
    <s v="Kerala"/>
    <x v="5"/>
    <x v="0"/>
    <s v="Smartwatch"/>
    <s v="1"/>
    <s v="39979.019999999997"/>
    <n v="0.15"/>
    <s v="23026.11"/>
    <s v="10956.06"/>
    <x v="0"/>
    <x v="0"/>
    <s v="Website"/>
    <n v="33982.166999999899"/>
  </r>
  <r>
    <s v="ORD117406"/>
    <x v="1"/>
    <s v="13-02-2025"/>
    <s v="CUST11949"/>
    <s v="Home Office"/>
    <s v="Tamil Nadu"/>
    <x v="13"/>
    <x v="3"/>
    <s v="Mixer Grinder"/>
    <s v="2"/>
    <s v="3079.47"/>
    <n v="0"/>
    <s v="4889.66"/>
    <s v="1269.28"/>
    <x v="0"/>
    <x v="0"/>
    <s v="Mobile App"/>
    <n v="6158.94"/>
  </r>
  <r>
    <s v="ORD117449"/>
    <x v="0"/>
    <s v="20-01-2025"/>
    <s v="CUST10995"/>
    <s v="Corporate"/>
    <s v="West Bengal"/>
    <x v="0"/>
    <x v="1"/>
    <s v="Lipstick"/>
    <s v="1"/>
    <s v="1657.99"/>
    <n v="0.05"/>
    <s v="1328.8"/>
    <s v="246.29"/>
    <x v="2"/>
    <x v="3"/>
    <s v="Marketplace"/>
    <n v="1575.0905"/>
  </r>
  <r>
    <s v="ORD117550"/>
    <x v="7"/>
    <s v="13-05-2025"/>
    <s v="CUST12442"/>
    <s v="Consumer"/>
    <s v="Kerala"/>
    <x v="15"/>
    <x v="1"/>
    <s v="Shampoo"/>
    <s v="1"/>
    <s v="1175.58"/>
    <n v="0.2"/>
    <s v="752.2"/>
    <s v="188.26"/>
    <x v="2"/>
    <x v="2"/>
    <s v="Website"/>
    <n v="940.46399999999903"/>
  </r>
  <r>
    <s v="ORD117696"/>
    <x v="4"/>
    <s v="11-04-2025"/>
    <s v="CUST12337"/>
    <s v="Corporate"/>
    <s v="Maharashtra"/>
    <x v="21"/>
    <x v="0"/>
    <s v="Headphones"/>
    <s v="3"/>
    <s v="1360.08"/>
    <n v="0"/>
    <s v="2298.41"/>
    <s v="1781.83"/>
    <x v="5"/>
    <x v="0"/>
    <s v="Website"/>
    <n v="4080.24"/>
  </r>
  <r>
    <s v="ORD117744"/>
    <x v="7"/>
    <s v="20-05-2025"/>
    <s v="CUST10212"/>
    <s v="Home Office"/>
    <s v="Maharashtra"/>
    <x v="21"/>
    <x v="3"/>
    <s v="Cookware Set"/>
    <s v="3"/>
    <s v="8839.2999999999993"/>
    <n v="0.2"/>
    <s v="21710.7"/>
    <s v="-496.38"/>
    <x v="3"/>
    <x v="0"/>
    <s v="Mobile App"/>
    <n v="21214.32"/>
  </r>
  <r>
    <s v="ORD117924"/>
    <x v="8"/>
    <s v="05-08-2025"/>
    <s v="CUST11595"/>
    <s v="Home Office"/>
    <s v="Telangana"/>
    <x v="14"/>
    <x v="2"/>
    <s v="Handbag"/>
    <s v="3"/>
    <s v="4954.91"/>
    <n v="0.05"/>
    <s v="10074.370000000001"/>
    <s v="4047.12"/>
    <x v="2"/>
    <x v="0"/>
    <s v="Mobile App"/>
    <n v="14121.4934999999"/>
  </r>
  <r>
    <s v="ORD117971"/>
    <x v="3"/>
    <s v="17-03-2025"/>
    <s v="CUST13027"/>
    <s v="Home Office"/>
    <s v="West Bengal"/>
    <x v="0"/>
    <x v="1"/>
    <s v="Shampoo"/>
    <s v="1"/>
    <s v="785.17"/>
    <n v="0.1"/>
    <s v="627.97"/>
    <s v="78.680000000000007"/>
    <x v="0"/>
    <x v="2"/>
    <s v="Mobile App"/>
    <n v="706.65300000000002"/>
  </r>
  <r>
    <s v="ORD117993"/>
    <x v="6"/>
    <s v="07-07-2025"/>
    <s v="CUST10462"/>
    <s v="Corporate"/>
    <s v="Telangana"/>
    <x v="14"/>
    <x v="2"/>
    <s v="Jacket"/>
    <s v="1"/>
    <s v="6180.47"/>
    <n v="0.2"/>
    <s v="4403.71"/>
    <s v="540.66999999999996"/>
    <x v="3"/>
    <x v="0"/>
    <s v="Mobile App"/>
    <n v="4944.3760000000002"/>
  </r>
  <r>
    <s v="ORD118064"/>
    <x v="9"/>
    <s v="08-06-2025"/>
    <s v="CUST10848"/>
    <s v="Home Office"/>
    <s v="Kerala"/>
    <x v="6"/>
    <x v="1"/>
    <s v="Face Cream"/>
    <s v="1"/>
    <s v="2917.34"/>
    <n v="0.2"/>
    <s v="1728.37"/>
    <s v="605.5"/>
    <x v="1"/>
    <x v="0"/>
    <s v="Mobile App"/>
    <n v="2333.8719999999998"/>
  </r>
  <r>
    <s v="ORD118456"/>
    <x v="4"/>
    <s v="21-04-2025"/>
    <s v="CUST11663"/>
    <s v="Corporate"/>
    <s v="Delhi"/>
    <x v="12"/>
    <x v="1"/>
    <s v="Lipstick"/>
    <s v="2"/>
    <s v="3132.55"/>
    <n v="0.05"/>
    <s v="4076.51"/>
    <s v="1875.33"/>
    <x v="3"/>
    <x v="0"/>
    <s v="Website"/>
    <n v="5951.8450000000003"/>
  </r>
  <r>
    <s v="ORD118828"/>
    <x v="4"/>
    <s v="25-04-2025"/>
    <s v="CUST10785"/>
    <s v="Consumer"/>
    <s v="Telangana"/>
    <x v="16"/>
    <x v="0"/>
    <s v="Smartwatch"/>
    <s v="3"/>
    <s v="52814.59"/>
    <n v="0.05"/>
    <s v="110945.23"/>
    <s v="39576.35"/>
    <x v="5"/>
    <x v="0"/>
    <s v="Marketplace"/>
    <n v="150521.58149999901"/>
  </r>
  <r>
    <s v="ORD119473"/>
    <x v="2"/>
    <s v="09-12-2025"/>
    <s v="CUST10711"/>
    <s v="Consumer"/>
    <s v="Maharashtra"/>
    <x v="4"/>
    <x v="0"/>
    <s v="Tablet"/>
    <s v="3"/>
    <s v="38218.51"/>
    <n v="0.1"/>
    <s v="70982.98"/>
    <s v="32207"/>
    <x v="0"/>
    <x v="0"/>
    <s v="Marketplace"/>
    <n v="103189.977"/>
  </r>
  <r>
    <s v="ORD119519"/>
    <x v="3"/>
    <s v="10-03-2025"/>
    <s v="CUST10123"/>
    <s v="Home Office"/>
    <s v="Telangana"/>
    <x v="16"/>
    <x v="2"/>
    <s v="Sneakers"/>
    <s v="2"/>
    <s v="4255.3900000000003"/>
    <n v="0.15"/>
    <s v="6958.86"/>
    <s v="275.3"/>
    <x v="0"/>
    <x v="0"/>
    <s v="Marketplace"/>
    <n v="7234.1629999999996"/>
  </r>
  <r>
    <s v="ORD119550"/>
    <x v="10"/>
    <s v="20-11-2025"/>
    <s v="CUST12060"/>
    <s v="Corporate"/>
    <s v="Tamil Nadu"/>
    <x v="11"/>
    <x v="0"/>
    <s v="Smartwatch"/>
    <s v="1"/>
    <s v="25074.22"/>
    <n v="0.05"/>
    <s v="19840.580000000002"/>
    <s v="3979.93"/>
    <x v="5"/>
    <x v="0"/>
    <s v="Marketplace"/>
    <n v="23820.508999999998"/>
  </r>
  <r>
    <s v="ORD119895"/>
    <x v="9"/>
    <s v="18-06-2025"/>
    <s v="CUST10106"/>
    <s v="Consumer"/>
    <s v="Tamil Nadu"/>
    <x v="11"/>
    <x v="3"/>
    <s v="Air Fryer"/>
    <s v="4"/>
    <s v="15546.93"/>
    <n v="0"/>
    <s v="49294"/>
    <s v="12893.72"/>
    <x v="1"/>
    <x v="0"/>
    <s v="Marketplace"/>
    <n v="62187.72"/>
  </r>
  <r>
    <s v="ORD119952"/>
    <x v="5"/>
    <s v="25-09-2025"/>
    <s v="CUST11929"/>
    <s v="Home Office"/>
    <s v="Karnataka"/>
    <x v="17"/>
    <x v="2"/>
    <s v="Jeans"/>
    <s v="1"/>
    <s v="5172.82"/>
    <n v="0"/>
    <s v="3999.21"/>
    <s v="1173.6099999999999"/>
    <x v="0"/>
    <x v="0"/>
    <s v="Website"/>
    <n v="5172.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73EFF-F0E5-4308-BF33-36330221B469}" name="PivotTable8" cacheId="1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18">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numFmtId="2" showAll="0"/>
  </pivotFields>
  <rowItems count="1">
    <i/>
  </rowItems>
  <colItems count="1">
    <i/>
  </colItems>
  <dataFields count="1">
    <dataField name="TOTAL DISCOUNT" fld="11" baseField="0" baseItem="0" numFmtId="164"/>
  </dataFields>
  <formats count="1">
    <format dxfId="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D991BA-1006-4FFE-8F40-BC315A709600}" name="PivotTable7"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dataField="1"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numFmtId="2" showAll="0"/>
  </pivotFields>
  <rowItems count="1">
    <i/>
  </rowItems>
  <colItems count="1">
    <i/>
  </colItems>
  <dataFields count="1">
    <dataField name="TOTAL ORDERS" fld="0" subtotal="count" baseField="0" baseItem="0" numFmtId="3"/>
  </dataFields>
  <formats count="1">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075BDE-9CBA-4E52-B94B-48BAD1D66042}" name="PivotTable6" cacheId="1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dataField="1" numFmtId="2" showAll="0"/>
  </pivotFields>
  <rowItems count="1">
    <i/>
  </rowItems>
  <colItems count="1">
    <i/>
  </colItems>
  <dataFields count="1">
    <dataField name="TOTAL SALES" fld="17" baseField="0" baseItem="0" numFmtId="6"/>
  </dataFields>
  <formats count="1">
    <format dxfId="10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DD91D-6081-4BB5-B0BB-AAB944E16AB7}" name="PivotTable12" cacheId="1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2:A43" firstHeaderRow="1" firstDataRow="1" firstDataCol="0"/>
  <pivotFields count="18">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dataField="1" numFmtId="2" showAll="0"/>
  </pivotFields>
  <rowItems count="1">
    <i/>
  </rowItems>
  <colItems count="1">
    <i/>
  </colItems>
  <dataFields count="1">
    <dataField name="TOTAL SALES" fld="17" baseField="0" baseItem="0" numFmtId="6"/>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646F65-FAC5-4B75-94D8-23B01CDE79CD}" name="PivotTable11"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2:C43" firstHeaderRow="1" firstDataRow="1" firstDataCol="0"/>
  <pivotFields count="18">
    <pivotField dataField="1"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numFmtId="2" showAll="0"/>
  </pivotFields>
  <rowItems count="1">
    <i/>
  </rowItems>
  <colItems count="1">
    <i/>
  </colItems>
  <dataFields count="1">
    <dataField name="TOTAL ORDERS" fld="0" subtotal="count" baseField="0" baseItem="0" numFmtId="3"/>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C23E569-413E-4741-9AE8-7AAC7370F4B9}" name="PivotTable10" cacheId="11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42:E43" firstHeaderRow="1" firstDataRow="1" firstDataCol="0"/>
  <pivotFields count="18">
    <pivotField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numFmtId="2" showAll="0"/>
  </pivotFields>
  <rowItems count="1">
    <i/>
  </rowItems>
  <colItems count="1">
    <i/>
  </colItems>
  <dataFields count="1">
    <dataField name="TOTAL DISCOUNT" fld="11" baseField="0" baseItem="0" numFmtId="164"/>
  </dataFields>
  <formats count="1">
    <format dxfId="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07693D-D019-428E-A66A-D8C883959072}" name="PivotTable5"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3:N10" firstHeaderRow="1" firstDataRow="1" firstDataCol="1"/>
  <pivotFields count="18">
    <pivotField dataField="1"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axis="axisRow" showAll="0">
      <items count="7">
        <item x="2"/>
        <item x="3"/>
        <item x="5"/>
        <item x="1"/>
        <item x="4"/>
        <item x="0"/>
        <item t="default"/>
      </items>
    </pivotField>
    <pivotField showAll="0">
      <items count="5">
        <item x="3"/>
        <item x="0"/>
        <item x="1"/>
        <item x="2"/>
        <item t="default"/>
      </items>
    </pivotField>
    <pivotField showAll="0"/>
    <pivotField numFmtId="2" showAll="0"/>
  </pivotFields>
  <rowFields count="1">
    <field x="14"/>
  </rowFields>
  <rowItems count="7">
    <i>
      <x/>
    </i>
    <i>
      <x v="1"/>
    </i>
    <i>
      <x v="2"/>
    </i>
    <i>
      <x v="3"/>
    </i>
    <i>
      <x v="4"/>
    </i>
    <i>
      <x v="5"/>
    </i>
    <i t="grand">
      <x/>
    </i>
  </rowItems>
  <colItems count="1">
    <i/>
  </colItems>
  <dataFields count="1">
    <dataField name="Count of Order ID" fld="0" subtotal="count" baseField="0" baseItem="0"/>
  </dataFields>
  <chartFormats count="7">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14" count="1" selected="0">
            <x v="0"/>
          </reference>
        </references>
      </pivotArea>
    </chartFormat>
    <chartFormat chart="12" format="16">
      <pivotArea type="data" outline="0" fieldPosition="0">
        <references count="2">
          <reference field="4294967294" count="1" selected="0">
            <x v="0"/>
          </reference>
          <reference field="14" count="1" selected="0">
            <x v="1"/>
          </reference>
        </references>
      </pivotArea>
    </chartFormat>
    <chartFormat chart="12" format="17">
      <pivotArea type="data" outline="0" fieldPosition="0">
        <references count="2">
          <reference field="4294967294" count="1" selected="0">
            <x v="0"/>
          </reference>
          <reference field="14" count="1" selected="0">
            <x v="2"/>
          </reference>
        </references>
      </pivotArea>
    </chartFormat>
    <chartFormat chart="12" format="18">
      <pivotArea type="data" outline="0" fieldPosition="0">
        <references count="2">
          <reference field="4294967294" count="1" selected="0">
            <x v="0"/>
          </reference>
          <reference field="14" count="1" selected="0">
            <x v="3"/>
          </reference>
        </references>
      </pivotArea>
    </chartFormat>
    <chartFormat chart="12" format="19">
      <pivotArea type="data" outline="0" fieldPosition="0">
        <references count="2">
          <reference field="4294967294" count="1" selected="0">
            <x v="0"/>
          </reference>
          <reference field="14" count="1" selected="0">
            <x v="4"/>
          </reference>
        </references>
      </pivotArea>
    </chartFormat>
    <chartFormat chart="12"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0A825B-B4D1-4BC6-B901-324D72887CF2}" name="PivotTable4"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J3:K8" firstHeaderRow="1" firstDataRow="1" firstDataCol="1"/>
  <pivotFields count="18">
    <pivotField dataField="1" showAll="0"/>
    <pivotField showAll="0"/>
    <pivotField showAll="0"/>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axis="axisRow" showAll="0">
      <items count="5">
        <item x="3"/>
        <item x="0"/>
        <item x="1"/>
        <item x="2"/>
        <item t="default"/>
      </items>
    </pivotField>
    <pivotField showAll="0"/>
    <pivotField numFmtId="2" showAll="0"/>
  </pivotFields>
  <rowFields count="1">
    <field x="15"/>
  </rowFields>
  <rowItems count="5">
    <i>
      <x/>
    </i>
    <i>
      <x v="1"/>
    </i>
    <i>
      <x v="2"/>
    </i>
    <i>
      <x v="3"/>
    </i>
    <i t="grand">
      <x/>
    </i>
  </rowItems>
  <colItems count="1">
    <i/>
  </colItems>
  <dataFields count="1">
    <dataField name="Count of Order ID" fld="0" subtotal="count" baseField="0" baseItem="0"/>
  </dataFields>
  <chartFormats count="6">
    <chartFormat chart="10" format="0" series="1">
      <pivotArea type="data" outline="0" fieldPosition="0">
        <references count="1">
          <reference field="4294967294" count="1" selected="0">
            <x v="0"/>
          </reference>
        </references>
      </pivotArea>
    </chartFormat>
    <chartFormat chart="24" format="10" series="1">
      <pivotArea type="data" outline="0" fieldPosition="0">
        <references count="1">
          <reference field="4294967294" count="1" selected="0">
            <x v="0"/>
          </reference>
        </references>
      </pivotArea>
    </chartFormat>
    <chartFormat chart="24" format="11">
      <pivotArea type="data" outline="0" fieldPosition="0">
        <references count="2">
          <reference field="4294967294" count="1" selected="0">
            <x v="0"/>
          </reference>
          <reference field="15" count="1" selected="0">
            <x v="0"/>
          </reference>
        </references>
      </pivotArea>
    </chartFormat>
    <chartFormat chart="24" format="12">
      <pivotArea type="data" outline="0" fieldPosition="0">
        <references count="2">
          <reference field="4294967294" count="1" selected="0">
            <x v="0"/>
          </reference>
          <reference field="15" count="1" selected="0">
            <x v="1"/>
          </reference>
        </references>
      </pivotArea>
    </chartFormat>
    <chartFormat chart="24" format="13">
      <pivotArea type="data" outline="0" fieldPosition="0">
        <references count="2">
          <reference field="4294967294" count="1" selected="0">
            <x v="0"/>
          </reference>
          <reference field="15" count="1" selected="0">
            <x v="2"/>
          </reference>
        </references>
      </pivotArea>
    </chartFormat>
    <chartFormat chart="24" format="1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CDB30E-B0AC-4AE2-A8BD-4D7B61AEC528}" name="PivotTable3"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G3:H16" firstHeaderRow="1" firstDataRow="1" firstDataCol="1"/>
  <pivotFields count="18">
    <pivotField showAll="0"/>
    <pivotField axis="axisRow" showAll="0">
      <items count="13">
        <item x="0"/>
        <item x="1"/>
        <item x="3"/>
        <item x="4"/>
        <item x="7"/>
        <item x="9"/>
        <item x="6"/>
        <item x="8"/>
        <item x="5"/>
        <item x="11"/>
        <item x="10"/>
        <item x="2"/>
        <item t="default"/>
      </items>
    </pivotField>
    <pivotField name="month" showAll="0" measureFilter="1" sortType="ascending"/>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dataField="1" numFmtId="2" showAll="0"/>
  </pivotFields>
  <rowFields count="1">
    <field x="1"/>
  </rowFields>
  <rowItems count="13">
    <i>
      <x/>
    </i>
    <i>
      <x v="1"/>
    </i>
    <i>
      <x v="2"/>
    </i>
    <i>
      <x v="3"/>
    </i>
    <i>
      <x v="4"/>
    </i>
    <i>
      <x v="5"/>
    </i>
    <i>
      <x v="6"/>
    </i>
    <i>
      <x v="7"/>
    </i>
    <i>
      <x v="8"/>
    </i>
    <i>
      <x v="9"/>
    </i>
    <i>
      <x v="10"/>
    </i>
    <i>
      <x v="11"/>
    </i>
    <i t="grand">
      <x/>
    </i>
  </rowItems>
  <colItems count="1">
    <i/>
  </colItems>
  <dataFields count="1">
    <dataField name="Sum of Sales" fld="17" baseField="0" baseItem="0" numFmtId="2"/>
  </dataFields>
  <chartFormats count="2">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43D25B-2C09-4862-B94D-F79587F46A7D}"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3:E14" firstHeaderRow="1" firstDataRow="1" firstDataCol="1"/>
  <pivotFields count="18">
    <pivotField showAll="0"/>
    <pivotField showAll="0"/>
    <pivotField showAll="0"/>
    <pivotField showAll="0"/>
    <pivotField showAll="0"/>
    <pivotField showAll="0"/>
    <pivotField axis="axisRow" showAll="0" measureFilter="1" sortType="descending">
      <items count="24">
        <item x="14"/>
        <item x="10"/>
        <item x="6"/>
        <item x="13"/>
        <item x="18"/>
        <item x="19"/>
        <item x="20"/>
        <item x="12"/>
        <item x="4"/>
        <item x="22"/>
        <item x="21"/>
        <item x="17"/>
        <item x="11"/>
        <item x="5"/>
        <item x="0"/>
        <item x="15"/>
        <item x="16"/>
        <item x="9"/>
        <item x="7"/>
        <item x="8"/>
        <item x="1"/>
        <item x="2"/>
        <item x="3"/>
        <item t="default"/>
      </items>
    </pivotField>
    <pivotField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dataField="1" numFmtId="2" showAll="0"/>
  </pivotFields>
  <rowFields count="1">
    <field x="6"/>
  </rowFields>
  <rowItems count="11">
    <i>
      <x/>
    </i>
    <i>
      <x v="2"/>
    </i>
    <i>
      <x v="7"/>
    </i>
    <i>
      <x v="8"/>
    </i>
    <i>
      <x v="9"/>
    </i>
    <i>
      <x v="14"/>
    </i>
    <i>
      <x v="16"/>
    </i>
    <i>
      <x v="17"/>
    </i>
    <i>
      <x v="18"/>
    </i>
    <i>
      <x v="22"/>
    </i>
    <i t="grand">
      <x/>
    </i>
  </rowItems>
  <colItems count="1">
    <i/>
  </colItems>
  <dataFields count="1">
    <dataField name="Sum of Sales" fld="17" baseField="0" baseItem="0" numFmtId="2"/>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6" count="1" selected="0">
            <x v="1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4F6A87C-0984-4A24-9EF7-B7BB1CC0A9B8}" name="PivotTable1"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8">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items count="7">
        <item x="2"/>
        <item x="3"/>
        <item x="5"/>
        <item x="1"/>
        <item x="4"/>
        <item x="0"/>
        <item t="default"/>
      </items>
    </pivotField>
    <pivotField showAll="0">
      <items count="5">
        <item x="3"/>
        <item x="0"/>
        <item x="1"/>
        <item x="2"/>
        <item t="default"/>
      </items>
    </pivotField>
    <pivotField showAll="0"/>
    <pivotField dataField="1" showAll="0"/>
  </pivotFields>
  <rowFields count="1">
    <field x="7"/>
  </rowFields>
  <rowItems count="6">
    <i>
      <x/>
    </i>
    <i>
      <x v="1"/>
    </i>
    <i>
      <x v="2"/>
    </i>
    <i>
      <x v="3"/>
    </i>
    <i>
      <x v="4"/>
    </i>
    <i t="grand">
      <x/>
    </i>
  </rowItems>
  <colItems count="1">
    <i/>
  </colItems>
  <dataFields count="1">
    <dataField name="Sum of Sales" fld="17"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C8CB51-33E5-4BC9-B17A-9A82193B488D}" autoFormatId="16" applyNumberFormats="0" applyBorderFormats="0" applyFontFormats="0" applyPatternFormats="0" applyAlignmentFormats="0" applyWidthHeightFormats="0">
  <queryTableRefresh nextId="19">
    <queryTableFields count="18">
      <queryTableField id="1" name="Order ID" tableColumnId="1"/>
      <queryTableField id="18" dataBound="0" tableColumnId="18"/>
      <queryTableField id="2" name="Order Date" tableColumnId="2"/>
      <queryTableField id="3" name="Customer ID" tableColumnId="3"/>
      <queryTableField id="4" name="Customer Segment" tableColumnId="4"/>
      <queryTableField id="5" name="State" tableColumnId="5"/>
      <queryTableField id="6" name="City" tableColumnId="6"/>
      <queryTableField id="7" name="Category" tableColumnId="7"/>
      <queryTableField id="8" name="Product" tableColumnId="8"/>
      <queryTableField id="9" name="Quantity" tableColumnId="9"/>
      <queryTableField id="10" name="Unit Price" tableColumnId="10"/>
      <queryTableField id="11" name="Discount" tableColumnId="11"/>
      <queryTableField id="12" name="Cost" tableColumnId="12"/>
      <queryTableField id="13" name="Profit" tableColumnId="13"/>
      <queryTableField id="14" name="Payment Method" tableColumnId="14"/>
      <queryTableField id="15" name="Order Status" tableColumnId="15"/>
      <queryTableField id="16" name="Sales Channel" tableColumnId="16"/>
      <queryTableField id="17" name="Sale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29473E-96F5-411F-82D7-0AF964F2DFAA}" sourceName="Category">
  <pivotTables>
    <pivotTable tabId="3" name="PivotTable5"/>
    <pivotTable tabId="4" name="PivotTable6"/>
    <pivotTable tabId="4" name="PivotTable7"/>
    <pivotTable tabId="4" name="PivotTable8"/>
    <pivotTable tabId="3" name="PivotTable1"/>
    <pivotTable tabId="3" name="PivotTable10"/>
    <pivotTable tabId="3" name="PivotTable11"/>
    <pivotTable tabId="3" name="PivotTable12"/>
    <pivotTable tabId="3" name="PivotTable2"/>
    <pivotTable tabId="3" name="PivotTable3"/>
    <pivotTable tabId="3" name="PivotTable4"/>
  </pivotTables>
  <data>
    <tabular pivotCacheId="49423344">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260DF5AC-B0E8-413E-B652-FA117212F6A9}" sourceName="Order Status">
  <pivotTables>
    <pivotTable tabId="3" name="PivotTable4"/>
    <pivotTable tabId="4" name="PivotTable6"/>
    <pivotTable tabId="4" name="PivotTable7"/>
    <pivotTable tabId="4" name="PivotTable8"/>
    <pivotTable tabId="3" name="PivotTable1"/>
    <pivotTable tabId="3" name="PivotTable10"/>
    <pivotTable tabId="3" name="PivotTable11"/>
    <pivotTable tabId="3" name="PivotTable12"/>
    <pivotTable tabId="3" name="PivotTable2"/>
    <pivotTable tabId="3" name="PivotTable3"/>
    <pivotTable tabId="3" name="PivotTable5"/>
  </pivotTables>
  <data>
    <tabular pivotCacheId="49423344">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99BB685-9802-444A-A016-A0A77C2C9FD4}" sourceName="Payment Method">
  <pivotTables>
    <pivotTable tabId="3" name="PivotTable5"/>
    <pivotTable tabId="4" name="PivotTable6"/>
    <pivotTable tabId="4" name="PivotTable7"/>
    <pivotTable tabId="4" name="PivotTable8"/>
    <pivotTable tabId="3" name="PivotTable1"/>
    <pivotTable tabId="3" name="PivotTable10"/>
    <pivotTable tabId="3" name="PivotTable11"/>
    <pivotTable tabId="3" name="PivotTable12"/>
    <pivotTable tabId="3" name="PivotTable2"/>
    <pivotTable tabId="3" name="PivotTable3"/>
    <pivotTable tabId="3" name="PivotTable4"/>
  </pivotTables>
  <data>
    <tabular pivotCacheId="49423344">
      <items count="6">
        <i x="2" s="1"/>
        <i x="3"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BACBA2-A801-4DFD-AC8A-F1FD140AEE79}" cache="Slicer_Category" caption="Category" style="SlicerStyleDark2" rowHeight="144000"/>
  <slicer name="Order Status" xr10:uid="{AD316D1C-5268-4962-8243-BE11458A4659}" cache="Slicer_Order_Status" caption="Order Status" style="SlicerStyleLight6" rowHeight="247650"/>
  <slicer name="Payment Method" xr10:uid="{14178A59-776B-4145-BFD4-00909DCD8E33}" cache="Slicer_Payment_Method" caption="Payment Method"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490505-2647-48BA-A9D9-A57E83491374}" name="Raw_Data" displayName="Raw_Data" ref="A1:R3489" tableType="queryTable" totalsRowShown="0">
  <autoFilter ref="A1:R3489" xr:uid="{1B490505-2647-48BA-A9D9-A57E83491374}"/>
  <tableColumns count="18">
    <tableColumn id="1" xr3:uid="{D267E20E-F2C5-4F6C-8C16-9AF068C8EABE}" uniqueName="1" name="Order ID" queryTableFieldId="1" dataDxfId="119"/>
    <tableColumn id="18" xr3:uid="{DAF4B640-98CA-4960-B1F8-57399FD66DD6}" uniqueName="18" name="Order Month" queryTableFieldId="18" dataDxfId="118">
      <calculatedColumnFormula>TEXT(Raw_Data[[#This Row],[Order Date]],"mmm")</calculatedColumnFormula>
    </tableColumn>
    <tableColumn id="2" xr3:uid="{8F1D4CA8-7192-40F0-99F2-AD53F7760606}" uniqueName="2" name="Order Date" queryTableFieldId="2" dataDxfId="117"/>
    <tableColumn id="3" xr3:uid="{B53AA658-815E-4FAC-8481-A6581F143DA0}" uniqueName="3" name="Customer ID" queryTableFieldId="3" dataDxfId="116"/>
    <tableColumn id="4" xr3:uid="{C1CB9B08-F844-441D-A2E8-4BE63E601CF9}" uniqueName="4" name="Customer Segment" queryTableFieldId="4" dataDxfId="115"/>
    <tableColumn id="5" xr3:uid="{BADF4CD6-D187-455B-8B51-EEE1F14A2F2E}" uniqueName="5" name="State" queryTableFieldId="5" dataDxfId="114"/>
    <tableColumn id="6" xr3:uid="{18E0D4E9-64DE-4FF6-A937-D10D35FF3827}" uniqueName="6" name="City" queryTableFieldId="6" dataDxfId="113"/>
    <tableColumn id="7" xr3:uid="{BDD907A6-E42C-4CF9-99AD-17650E7D1E42}" uniqueName="7" name="Category" queryTableFieldId="7" dataDxfId="112"/>
    <tableColumn id="8" xr3:uid="{C9DF88F7-0AAC-4D50-BA80-8E00BD1A5B6E}" uniqueName="8" name="Product" queryTableFieldId="8" dataDxfId="111"/>
    <tableColumn id="9" xr3:uid="{0380589A-1FF1-46B7-9B7A-4A3E1E8CE265}" uniqueName="9" name="Quantity" queryTableFieldId="9" dataDxfId="110"/>
    <tableColumn id="10" xr3:uid="{012F9702-2828-480D-84BC-012AAD3B29D3}" uniqueName="10" name="Unit Price" queryTableFieldId="10" dataDxfId="109"/>
    <tableColumn id="11" xr3:uid="{6B1AA901-17E8-4979-BF0F-51BBEC457397}" uniqueName="11" name="Discount" queryTableFieldId="11" dataDxfId="108"/>
    <tableColumn id="12" xr3:uid="{2DB88727-58A8-46CA-ADFC-E82DBD9FFBF8}" uniqueName="12" name="Cost" queryTableFieldId="12" dataDxfId="107"/>
    <tableColumn id="13" xr3:uid="{A6FF4B7F-6EFA-4245-B71B-52358732FD64}" uniqueName="13" name="Profit" queryTableFieldId="13" dataDxfId="106"/>
    <tableColumn id="14" xr3:uid="{13A2F77F-53BC-4CA6-A783-F7D87F151E15}" uniqueName="14" name="Payment Method" queryTableFieldId="14" dataDxfId="105"/>
    <tableColumn id="15" xr3:uid="{6937D766-603B-46BA-A0A7-7D3FBCDD3BAA}" uniqueName="15" name="Order Status" queryTableFieldId="15" dataDxfId="104"/>
    <tableColumn id="16" xr3:uid="{82648BE1-536B-477A-BF85-8BA904BC6D0D}" uniqueName="16" name="Sales Channel" queryTableFieldId="16" dataDxfId="103"/>
    <tableColumn id="17" xr3:uid="{A5E4EAC6-B4E6-46A8-BB80-8514CB903CDE}" uniqueName="17" name="Sales" queryTableFieldId="17" dataDxfId="102"/>
  </tableColumns>
  <tableStyleInfo name="TableStyleDark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22D7-B3FE-403D-8331-0FDBB2A383A4}">
  <dimension ref="A1:R3489"/>
  <sheetViews>
    <sheetView topLeftCell="F3463" workbookViewId="0">
      <selection activeCell="R1" sqref="R1"/>
    </sheetView>
  </sheetViews>
  <sheetFormatPr defaultRowHeight="14.4" x14ac:dyDescent="0.3"/>
  <cols>
    <col min="1" max="1" width="10.6640625" bestFit="1" customWidth="1"/>
    <col min="2" max="2" width="13.21875" bestFit="1" customWidth="1"/>
    <col min="3" max="3" width="12" bestFit="1" customWidth="1"/>
    <col min="4" max="4" width="13.109375" bestFit="1" customWidth="1"/>
    <col min="5" max="5" width="18.5546875" bestFit="1" customWidth="1"/>
    <col min="6" max="6" width="11.21875" bestFit="1" customWidth="1"/>
    <col min="7" max="7" width="10.6640625" bestFit="1" customWidth="1"/>
    <col min="8" max="8" width="13.88671875" bestFit="1" customWidth="1"/>
    <col min="9" max="9" width="14.44140625" bestFit="1" customWidth="1"/>
    <col min="10" max="10" width="9.88671875" bestFit="1" customWidth="1"/>
    <col min="11" max="11" width="18.77734375" bestFit="1" customWidth="1"/>
    <col min="12" max="12" width="10.33203125" bestFit="1" customWidth="1"/>
    <col min="13" max="13" width="18.77734375" bestFit="1" customWidth="1"/>
    <col min="14" max="14" width="19.44140625" bestFit="1" customWidth="1"/>
    <col min="15" max="15" width="16.6640625" bestFit="1" customWidth="1"/>
    <col min="16" max="16" width="13.21875" bestFit="1" customWidth="1"/>
    <col min="17" max="17" width="14.5546875" style="3" bestFit="1" customWidth="1"/>
    <col min="18" max="18" width="18.77734375" bestFit="1" customWidth="1"/>
  </cols>
  <sheetData>
    <row r="1" spans="1:18" x14ac:dyDescent="0.3">
      <c r="A1" t="s">
        <v>0</v>
      </c>
      <c r="B1" t="s">
        <v>17874</v>
      </c>
      <c r="C1" t="s">
        <v>1</v>
      </c>
      <c r="D1" t="s">
        <v>2</v>
      </c>
      <c r="E1" t="s">
        <v>3</v>
      </c>
      <c r="F1" t="s">
        <v>4</v>
      </c>
      <c r="G1" t="s">
        <v>5</v>
      </c>
      <c r="H1" t="s">
        <v>6</v>
      </c>
      <c r="I1" t="s">
        <v>7</v>
      </c>
      <c r="J1" t="s">
        <v>8</v>
      </c>
      <c r="K1" t="s">
        <v>9</v>
      </c>
      <c r="L1" t="s">
        <v>10</v>
      </c>
      <c r="M1" t="s">
        <v>11</v>
      </c>
      <c r="N1" t="s">
        <v>12</v>
      </c>
      <c r="O1" t="s">
        <v>13</v>
      </c>
      <c r="P1" t="s">
        <v>14</v>
      </c>
      <c r="Q1" t="s">
        <v>15</v>
      </c>
      <c r="R1" s="3" t="s">
        <v>16</v>
      </c>
    </row>
    <row r="2" spans="1:18" x14ac:dyDescent="0.3">
      <c r="A2" t="s">
        <v>17</v>
      </c>
      <c r="B2" t="str">
        <f>TEXT(Raw_Data[[#This Row],[Order Date]],"mmm")</f>
        <v>Jan</v>
      </c>
      <c r="C2" t="s">
        <v>18</v>
      </c>
      <c r="D2" t="s">
        <v>19</v>
      </c>
      <c r="E2" t="s">
        <v>20</v>
      </c>
      <c r="F2" t="s">
        <v>21</v>
      </c>
      <c r="G2" t="s">
        <v>22</v>
      </c>
      <c r="H2" t="s">
        <v>23</v>
      </c>
      <c r="I2" t="s">
        <v>24</v>
      </c>
      <c r="J2" t="s">
        <v>25</v>
      </c>
      <c r="K2" t="s">
        <v>26</v>
      </c>
      <c r="L2">
        <v>0.1</v>
      </c>
      <c r="M2" t="s">
        <v>27</v>
      </c>
      <c r="N2" t="s">
        <v>28</v>
      </c>
      <c r="O2" t="s">
        <v>29</v>
      </c>
      <c r="P2" t="s">
        <v>30</v>
      </c>
      <c r="Q2" t="s">
        <v>31</v>
      </c>
      <c r="R2" s="3">
        <v>66045.725999999995</v>
      </c>
    </row>
    <row r="3" spans="1:18" x14ac:dyDescent="0.3">
      <c r="A3" t="s">
        <v>32</v>
      </c>
      <c r="B3" t="str">
        <f>TEXT(Raw_Data[[#This Row],[Order Date]],"mmm")</f>
        <v>Feb</v>
      </c>
      <c r="C3" t="s">
        <v>33</v>
      </c>
      <c r="D3" t="s">
        <v>34</v>
      </c>
      <c r="E3" t="s">
        <v>35</v>
      </c>
      <c r="F3" t="s">
        <v>36</v>
      </c>
      <c r="G3" t="s">
        <v>37</v>
      </c>
      <c r="H3" t="s">
        <v>38</v>
      </c>
      <c r="I3" t="s">
        <v>39</v>
      </c>
      <c r="J3" t="s">
        <v>25</v>
      </c>
      <c r="K3" t="s">
        <v>40</v>
      </c>
      <c r="L3">
        <v>0.05</v>
      </c>
      <c r="M3" t="s">
        <v>41</v>
      </c>
      <c r="N3" t="s">
        <v>42</v>
      </c>
      <c r="O3" t="s">
        <v>43</v>
      </c>
      <c r="P3" t="s">
        <v>30</v>
      </c>
      <c r="Q3" t="s">
        <v>44</v>
      </c>
      <c r="R3" s="3">
        <v>597.67349999999999</v>
      </c>
    </row>
    <row r="4" spans="1:18" x14ac:dyDescent="0.3">
      <c r="A4" t="s">
        <v>45</v>
      </c>
      <c r="B4" t="str">
        <f>TEXT(Raw_Data[[#This Row],[Order Date]],"mmm")</f>
        <v>Dec</v>
      </c>
      <c r="C4" t="s">
        <v>46</v>
      </c>
      <c r="D4" t="s">
        <v>47</v>
      </c>
      <c r="E4" t="s">
        <v>48</v>
      </c>
      <c r="F4" t="s">
        <v>36</v>
      </c>
      <c r="G4" t="s">
        <v>37</v>
      </c>
      <c r="H4" t="s">
        <v>23</v>
      </c>
      <c r="I4" t="s">
        <v>49</v>
      </c>
      <c r="J4" t="s">
        <v>50</v>
      </c>
      <c r="K4" t="s">
        <v>51</v>
      </c>
      <c r="L4">
        <v>0.05</v>
      </c>
      <c r="M4" t="s">
        <v>52</v>
      </c>
      <c r="N4" t="s">
        <v>53</v>
      </c>
      <c r="O4" t="s">
        <v>54</v>
      </c>
      <c r="P4" t="s">
        <v>30</v>
      </c>
      <c r="Q4" t="s">
        <v>44</v>
      </c>
      <c r="R4" s="3">
        <v>133706.99</v>
      </c>
    </row>
    <row r="5" spans="1:18" x14ac:dyDescent="0.3">
      <c r="A5" t="s">
        <v>55</v>
      </c>
      <c r="B5" t="str">
        <f>TEXT(Raw_Data[[#This Row],[Order Date]],"mmm")</f>
        <v>Mar</v>
      </c>
      <c r="C5" t="s">
        <v>56</v>
      </c>
      <c r="D5" t="s">
        <v>57</v>
      </c>
      <c r="E5" t="s">
        <v>48</v>
      </c>
      <c r="F5" t="s">
        <v>58</v>
      </c>
      <c r="G5" t="s">
        <v>59</v>
      </c>
      <c r="H5" t="s">
        <v>38</v>
      </c>
      <c r="I5" t="s">
        <v>60</v>
      </c>
      <c r="J5" t="s">
        <v>50</v>
      </c>
      <c r="K5" t="s">
        <v>61</v>
      </c>
      <c r="L5">
        <v>0.1</v>
      </c>
      <c r="M5" t="s">
        <v>62</v>
      </c>
      <c r="N5" t="s">
        <v>63</v>
      </c>
      <c r="O5" t="s">
        <v>64</v>
      </c>
      <c r="P5" t="s">
        <v>30</v>
      </c>
      <c r="Q5" t="s">
        <v>65</v>
      </c>
      <c r="R5" s="3">
        <v>3699.84599999999</v>
      </c>
    </row>
    <row r="6" spans="1:18" x14ac:dyDescent="0.3">
      <c r="A6" t="s">
        <v>66</v>
      </c>
      <c r="B6" t="str">
        <f>TEXT(Raw_Data[[#This Row],[Order Date]],"mmm")</f>
        <v>Apr</v>
      </c>
      <c r="C6" t="s">
        <v>67</v>
      </c>
      <c r="D6" t="s">
        <v>68</v>
      </c>
      <c r="E6" t="s">
        <v>20</v>
      </c>
      <c r="F6" t="s">
        <v>69</v>
      </c>
      <c r="G6" t="s">
        <v>70</v>
      </c>
      <c r="H6" t="s">
        <v>38</v>
      </c>
      <c r="I6" t="s">
        <v>71</v>
      </c>
      <c r="J6" t="s">
        <v>25</v>
      </c>
      <c r="K6" t="s">
        <v>72</v>
      </c>
      <c r="L6">
        <v>0.1</v>
      </c>
      <c r="M6" t="s">
        <v>73</v>
      </c>
      <c r="N6" t="s">
        <v>74</v>
      </c>
      <c r="O6" t="s">
        <v>43</v>
      </c>
      <c r="P6" t="s">
        <v>30</v>
      </c>
      <c r="Q6" t="s">
        <v>31</v>
      </c>
      <c r="R6" s="3">
        <v>1779.2550000000001</v>
      </c>
    </row>
    <row r="7" spans="1:18" x14ac:dyDescent="0.3">
      <c r="A7" t="s">
        <v>75</v>
      </c>
      <c r="B7" t="str">
        <f>TEXT(Raw_Data[[#This Row],[Order Date]],"mmm")</f>
        <v>Sep</v>
      </c>
      <c r="C7" t="s">
        <v>76</v>
      </c>
      <c r="D7" t="s">
        <v>77</v>
      </c>
      <c r="E7" t="s">
        <v>35</v>
      </c>
      <c r="F7" t="s">
        <v>78</v>
      </c>
      <c r="G7" t="s">
        <v>79</v>
      </c>
      <c r="H7" t="s">
        <v>80</v>
      </c>
      <c r="I7" t="s">
        <v>81</v>
      </c>
      <c r="J7" t="s">
        <v>82</v>
      </c>
      <c r="K7" t="s">
        <v>83</v>
      </c>
      <c r="L7">
        <v>0</v>
      </c>
      <c r="M7" t="s">
        <v>84</v>
      </c>
      <c r="N7" t="s">
        <v>85</v>
      </c>
      <c r="O7" t="s">
        <v>43</v>
      </c>
      <c r="P7" t="s">
        <v>30</v>
      </c>
      <c r="Q7" t="s">
        <v>65</v>
      </c>
      <c r="R7" s="3">
        <v>19502.080000000002</v>
      </c>
    </row>
    <row r="8" spans="1:18" x14ac:dyDescent="0.3">
      <c r="A8" t="s">
        <v>86</v>
      </c>
      <c r="B8" t="str">
        <f>TEXT(Raw_Data[[#This Row],[Order Date]],"mmm")</f>
        <v>Jul</v>
      </c>
      <c r="C8" t="s">
        <v>87</v>
      </c>
      <c r="D8" t="s">
        <v>88</v>
      </c>
      <c r="E8" t="s">
        <v>48</v>
      </c>
      <c r="F8" t="s">
        <v>89</v>
      </c>
      <c r="G8" t="s">
        <v>90</v>
      </c>
      <c r="H8" t="s">
        <v>80</v>
      </c>
      <c r="I8" t="s">
        <v>91</v>
      </c>
      <c r="J8" t="s">
        <v>50</v>
      </c>
      <c r="K8" t="s">
        <v>92</v>
      </c>
      <c r="L8">
        <v>0</v>
      </c>
      <c r="M8" t="s">
        <v>93</v>
      </c>
      <c r="N8" t="s">
        <v>94</v>
      </c>
      <c r="O8" t="s">
        <v>54</v>
      </c>
      <c r="P8" t="s">
        <v>95</v>
      </c>
      <c r="Q8" t="s">
        <v>65</v>
      </c>
      <c r="R8" s="3">
        <v>7736.28</v>
      </c>
    </row>
    <row r="9" spans="1:18" x14ac:dyDescent="0.3">
      <c r="A9" t="s">
        <v>96</v>
      </c>
      <c r="B9" t="str">
        <f>TEXT(Raw_Data[[#This Row],[Order Date]],"mmm")</f>
        <v>Apr</v>
      </c>
      <c r="C9" t="s">
        <v>97</v>
      </c>
      <c r="D9" t="s">
        <v>98</v>
      </c>
      <c r="E9" t="s">
        <v>48</v>
      </c>
      <c r="F9" t="s">
        <v>89</v>
      </c>
      <c r="G9" t="s">
        <v>99</v>
      </c>
      <c r="H9" t="s">
        <v>80</v>
      </c>
      <c r="I9" t="s">
        <v>81</v>
      </c>
      <c r="J9" t="s">
        <v>100</v>
      </c>
      <c r="K9" t="s">
        <v>101</v>
      </c>
      <c r="L9">
        <v>0</v>
      </c>
      <c r="M9" t="s">
        <v>102</v>
      </c>
      <c r="N9" t="s">
        <v>103</v>
      </c>
      <c r="O9" t="s">
        <v>64</v>
      </c>
      <c r="P9" t="s">
        <v>30</v>
      </c>
      <c r="Q9" t="s">
        <v>65</v>
      </c>
      <c r="R9" s="3">
        <v>10133.16</v>
      </c>
    </row>
    <row r="10" spans="1:18" x14ac:dyDescent="0.3">
      <c r="A10" t="s">
        <v>104</v>
      </c>
      <c r="B10" t="str">
        <f>TEXT(Raw_Data[[#This Row],[Order Date]],"mmm")</f>
        <v>Sep</v>
      </c>
      <c r="C10" t="s">
        <v>76</v>
      </c>
      <c r="D10" t="s">
        <v>105</v>
      </c>
      <c r="E10" t="s">
        <v>35</v>
      </c>
      <c r="F10" t="s">
        <v>106</v>
      </c>
      <c r="G10" t="s">
        <v>106</v>
      </c>
      <c r="H10" t="s">
        <v>107</v>
      </c>
      <c r="I10" t="s">
        <v>108</v>
      </c>
      <c r="J10" t="s">
        <v>25</v>
      </c>
      <c r="K10" t="s">
        <v>109</v>
      </c>
      <c r="L10">
        <v>0.05</v>
      </c>
      <c r="M10" t="s">
        <v>110</v>
      </c>
      <c r="N10" t="s">
        <v>111</v>
      </c>
      <c r="O10" t="s">
        <v>29</v>
      </c>
      <c r="P10" t="s">
        <v>112</v>
      </c>
      <c r="Q10" t="s">
        <v>65</v>
      </c>
      <c r="R10" s="3">
        <v>3397.3329999999901</v>
      </c>
    </row>
    <row r="11" spans="1:18" x14ac:dyDescent="0.3">
      <c r="A11" t="s">
        <v>113</v>
      </c>
      <c r="B11" t="str">
        <f>TEXT(Raw_Data[[#This Row],[Order Date]],"mmm")</f>
        <v>Jul</v>
      </c>
      <c r="C11" t="s">
        <v>114</v>
      </c>
      <c r="D11" t="s">
        <v>115</v>
      </c>
      <c r="E11" t="s">
        <v>20</v>
      </c>
      <c r="F11" t="s">
        <v>106</v>
      </c>
      <c r="G11" t="s">
        <v>106</v>
      </c>
      <c r="H11" t="s">
        <v>80</v>
      </c>
      <c r="I11" t="s">
        <v>116</v>
      </c>
      <c r="J11" t="s">
        <v>50</v>
      </c>
      <c r="K11" t="s">
        <v>117</v>
      </c>
      <c r="L11">
        <v>0.15</v>
      </c>
      <c r="M11" t="s">
        <v>118</v>
      </c>
      <c r="N11" t="s">
        <v>119</v>
      </c>
      <c r="O11" t="s">
        <v>43</v>
      </c>
      <c r="P11" t="s">
        <v>30</v>
      </c>
      <c r="Q11" t="s">
        <v>31</v>
      </c>
      <c r="R11" s="3">
        <v>9863.7739999999994</v>
      </c>
    </row>
    <row r="12" spans="1:18" x14ac:dyDescent="0.3">
      <c r="A12" t="s">
        <v>120</v>
      </c>
      <c r="B12" t="str">
        <f>TEXT(Raw_Data[[#This Row],[Order Date]],"mmm")</f>
        <v>Apr</v>
      </c>
      <c r="C12" t="s">
        <v>121</v>
      </c>
      <c r="D12" t="s">
        <v>122</v>
      </c>
      <c r="E12" t="s">
        <v>20</v>
      </c>
      <c r="F12" t="s">
        <v>36</v>
      </c>
      <c r="G12" t="s">
        <v>123</v>
      </c>
      <c r="H12" t="s">
        <v>23</v>
      </c>
      <c r="I12" t="s">
        <v>24</v>
      </c>
      <c r="J12" t="s">
        <v>50</v>
      </c>
      <c r="K12" t="s">
        <v>124</v>
      </c>
      <c r="L12">
        <v>0.05</v>
      </c>
      <c r="M12" t="s">
        <v>125</v>
      </c>
      <c r="N12" t="s">
        <v>126</v>
      </c>
      <c r="O12" t="s">
        <v>29</v>
      </c>
      <c r="P12" t="s">
        <v>112</v>
      </c>
      <c r="Q12" t="s">
        <v>31</v>
      </c>
      <c r="R12" s="3">
        <v>83407.871999999901</v>
      </c>
    </row>
    <row r="13" spans="1:18" x14ac:dyDescent="0.3">
      <c r="A13" t="s">
        <v>127</v>
      </c>
      <c r="B13" t="str">
        <f>TEXT(Raw_Data[[#This Row],[Order Date]],"mmm")</f>
        <v>Jul</v>
      </c>
      <c r="C13" t="s">
        <v>128</v>
      </c>
      <c r="D13" t="s">
        <v>129</v>
      </c>
      <c r="E13" t="s">
        <v>48</v>
      </c>
      <c r="F13" t="s">
        <v>21</v>
      </c>
      <c r="G13" t="s">
        <v>130</v>
      </c>
      <c r="H13" t="s">
        <v>80</v>
      </c>
      <c r="I13" t="s">
        <v>131</v>
      </c>
      <c r="J13" t="s">
        <v>50</v>
      </c>
      <c r="K13" t="s">
        <v>132</v>
      </c>
      <c r="L13">
        <v>0.05</v>
      </c>
      <c r="M13" t="s">
        <v>133</v>
      </c>
      <c r="N13" t="s">
        <v>134</v>
      </c>
      <c r="O13" t="s">
        <v>135</v>
      </c>
      <c r="P13" t="s">
        <v>30</v>
      </c>
      <c r="Q13" t="s">
        <v>31</v>
      </c>
      <c r="R13" s="3">
        <v>12983.5359999999</v>
      </c>
    </row>
    <row r="14" spans="1:18" x14ac:dyDescent="0.3">
      <c r="A14" t="s">
        <v>136</v>
      </c>
      <c r="B14" t="str">
        <f>TEXT(Raw_Data[[#This Row],[Order Date]],"mmm")</f>
        <v>Apr</v>
      </c>
      <c r="C14" t="s">
        <v>137</v>
      </c>
      <c r="D14" t="s">
        <v>138</v>
      </c>
      <c r="E14" t="s">
        <v>20</v>
      </c>
      <c r="F14" t="s">
        <v>69</v>
      </c>
      <c r="G14" t="s">
        <v>139</v>
      </c>
      <c r="H14" t="s">
        <v>23</v>
      </c>
      <c r="I14" t="s">
        <v>24</v>
      </c>
      <c r="J14" t="s">
        <v>50</v>
      </c>
      <c r="K14" t="s">
        <v>140</v>
      </c>
      <c r="L14">
        <v>0.1</v>
      </c>
      <c r="M14" t="s">
        <v>141</v>
      </c>
      <c r="N14" t="s">
        <v>142</v>
      </c>
      <c r="O14" t="s">
        <v>54</v>
      </c>
      <c r="P14" t="s">
        <v>30</v>
      </c>
      <c r="Q14" t="s">
        <v>31</v>
      </c>
      <c r="R14" s="3">
        <v>109334.50199999999</v>
      </c>
    </row>
    <row r="15" spans="1:18" x14ac:dyDescent="0.3">
      <c r="A15" t="s">
        <v>143</v>
      </c>
      <c r="B15" t="str">
        <f>TEXT(Raw_Data[[#This Row],[Order Date]],"mmm")</f>
        <v>May</v>
      </c>
      <c r="C15" t="s">
        <v>144</v>
      </c>
      <c r="D15" t="s">
        <v>145</v>
      </c>
      <c r="E15" t="s">
        <v>48</v>
      </c>
      <c r="F15" t="s">
        <v>89</v>
      </c>
      <c r="G15" t="s">
        <v>99</v>
      </c>
      <c r="H15" t="s">
        <v>80</v>
      </c>
      <c r="I15" t="s">
        <v>146</v>
      </c>
      <c r="J15" t="s">
        <v>82</v>
      </c>
      <c r="K15" t="s">
        <v>147</v>
      </c>
      <c r="L15">
        <v>0.05</v>
      </c>
      <c r="M15" t="s">
        <v>148</v>
      </c>
      <c r="N15" t="s">
        <v>149</v>
      </c>
      <c r="O15" t="s">
        <v>64</v>
      </c>
      <c r="P15" t="s">
        <v>30</v>
      </c>
      <c r="Q15" t="s">
        <v>31</v>
      </c>
      <c r="R15" s="3">
        <v>14322.694</v>
      </c>
    </row>
    <row r="16" spans="1:18" x14ac:dyDescent="0.3">
      <c r="A16" t="s">
        <v>150</v>
      </c>
      <c r="B16" t="str">
        <f>TEXT(Raw_Data[[#This Row],[Order Date]],"mmm")</f>
        <v>Aug</v>
      </c>
      <c r="C16" t="s">
        <v>151</v>
      </c>
      <c r="D16" t="s">
        <v>152</v>
      </c>
      <c r="E16" t="s">
        <v>35</v>
      </c>
      <c r="F16" t="s">
        <v>36</v>
      </c>
      <c r="G16" t="s">
        <v>153</v>
      </c>
      <c r="H16" t="s">
        <v>154</v>
      </c>
      <c r="I16" t="s">
        <v>155</v>
      </c>
      <c r="J16" t="s">
        <v>25</v>
      </c>
      <c r="K16" t="s">
        <v>156</v>
      </c>
      <c r="L16">
        <v>0.05</v>
      </c>
      <c r="M16" t="s">
        <v>157</v>
      </c>
      <c r="N16" t="s">
        <v>158</v>
      </c>
      <c r="O16" t="s">
        <v>29</v>
      </c>
      <c r="P16" t="s">
        <v>159</v>
      </c>
      <c r="Q16" t="s">
        <v>44</v>
      </c>
      <c r="R16" s="3">
        <v>1170.3145</v>
      </c>
    </row>
    <row r="17" spans="1:18" x14ac:dyDescent="0.3">
      <c r="A17" t="s">
        <v>160</v>
      </c>
      <c r="B17" t="str">
        <f>TEXT(Raw_Data[[#This Row],[Order Date]],"mmm")</f>
        <v>Feb</v>
      </c>
      <c r="C17" t="s">
        <v>161</v>
      </c>
      <c r="D17" t="s">
        <v>162</v>
      </c>
      <c r="E17" t="s">
        <v>35</v>
      </c>
      <c r="F17" t="s">
        <v>106</v>
      </c>
      <c r="G17" t="s">
        <v>163</v>
      </c>
      <c r="H17" t="s">
        <v>107</v>
      </c>
      <c r="I17" t="s">
        <v>108</v>
      </c>
      <c r="J17" t="s">
        <v>25</v>
      </c>
      <c r="K17" t="s">
        <v>164</v>
      </c>
      <c r="L17">
        <v>0.1</v>
      </c>
      <c r="M17" t="s">
        <v>165</v>
      </c>
      <c r="N17" t="s">
        <v>166</v>
      </c>
      <c r="O17" t="s">
        <v>64</v>
      </c>
      <c r="P17" t="s">
        <v>30</v>
      </c>
      <c r="Q17" t="s">
        <v>44</v>
      </c>
      <c r="R17" s="3">
        <v>7543.4129999999996</v>
      </c>
    </row>
    <row r="18" spans="1:18" x14ac:dyDescent="0.3">
      <c r="A18" t="s">
        <v>167</v>
      </c>
      <c r="B18" t="str">
        <f>TEXT(Raw_Data[[#This Row],[Order Date]],"mmm")</f>
        <v>Dec</v>
      </c>
      <c r="C18" t="s">
        <v>168</v>
      </c>
      <c r="D18" t="s">
        <v>169</v>
      </c>
      <c r="E18" t="s">
        <v>48</v>
      </c>
      <c r="F18" t="s">
        <v>21</v>
      </c>
      <c r="G18" t="s">
        <v>130</v>
      </c>
      <c r="H18" t="s">
        <v>38</v>
      </c>
      <c r="I18" t="s">
        <v>39</v>
      </c>
      <c r="J18" t="s">
        <v>25</v>
      </c>
      <c r="K18" t="s">
        <v>170</v>
      </c>
      <c r="L18">
        <v>0.15</v>
      </c>
      <c r="M18" t="s">
        <v>171</v>
      </c>
      <c r="N18" t="s">
        <v>172</v>
      </c>
      <c r="O18" t="s">
        <v>173</v>
      </c>
      <c r="P18" t="s">
        <v>30</v>
      </c>
      <c r="Q18" t="s">
        <v>31</v>
      </c>
      <c r="R18" s="3">
        <v>4809.5124999999998</v>
      </c>
    </row>
    <row r="19" spans="1:18" x14ac:dyDescent="0.3">
      <c r="A19" t="s">
        <v>174</v>
      </c>
      <c r="B19" t="str">
        <f>TEXT(Raw_Data[[#This Row],[Order Date]],"mmm")</f>
        <v>Jan</v>
      </c>
      <c r="C19" t="s">
        <v>175</v>
      </c>
      <c r="D19" t="s">
        <v>176</v>
      </c>
      <c r="E19" t="s">
        <v>35</v>
      </c>
      <c r="F19" t="s">
        <v>106</v>
      </c>
      <c r="G19" t="s">
        <v>106</v>
      </c>
      <c r="H19" t="s">
        <v>38</v>
      </c>
      <c r="I19" t="s">
        <v>39</v>
      </c>
      <c r="J19" t="s">
        <v>25</v>
      </c>
      <c r="K19" t="s">
        <v>177</v>
      </c>
      <c r="L19">
        <v>0.05</v>
      </c>
      <c r="M19" t="s">
        <v>178</v>
      </c>
      <c r="N19" t="s">
        <v>179</v>
      </c>
      <c r="O19" t="s">
        <v>64</v>
      </c>
      <c r="P19" t="s">
        <v>30</v>
      </c>
      <c r="Q19" t="s">
        <v>44</v>
      </c>
      <c r="R19" s="3">
        <v>5015.62949999999</v>
      </c>
    </row>
    <row r="20" spans="1:18" x14ac:dyDescent="0.3">
      <c r="A20" t="s">
        <v>180</v>
      </c>
      <c r="B20" t="str">
        <f>TEXT(Raw_Data[[#This Row],[Order Date]],"mmm")</f>
        <v>Jun</v>
      </c>
      <c r="C20" t="s">
        <v>181</v>
      </c>
      <c r="D20" t="s">
        <v>182</v>
      </c>
      <c r="E20" t="s">
        <v>48</v>
      </c>
      <c r="F20" t="s">
        <v>106</v>
      </c>
      <c r="G20" t="s">
        <v>163</v>
      </c>
      <c r="H20" t="s">
        <v>23</v>
      </c>
      <c r="I20" t="s">
        <v>183</v>
      </c>
      <c r="J20" t="s">
        <v>50</v>
      </c>
      <c r="K20" t="s">
        <v>184</v>
      </c>
      <c r="L20">
        <v>0</v>
      </c>
      <c r="M20" t="s">
        <v>185</v>
      </c>
      <c r="N20" t="s">
        <v>186</v>
      </c>
      <c r="O20" t="s">
        <v>29</v>
      </c>
      <c r="P20" t="s">
        <v>30</v>
      </c>
      <c r="Q20" t="s">
        <v>65</v>
      </c>
      <c r="R20" s="3">
        <v>41310.06</v>
      </c>
    </row>
    <row r="21" spans="1:18" x14ac:dyDescent="0.3">
      <c r="A21" t="s">
        <v>187</v>
      </c>
      <c r="B21" t="str">
        <f>TEXT(Raw_Data[[#This Row],[Order Date]],"mmm")</f>
        <v>Sep</v>
      </c>
      <c r="C21" t="s">
        <v>188</v>
      </c>
      <c r="D21" t="s">
        <v>189</v>
      </c>
      <c r="E21" t="s">
        <v>20</v>
      </c>
      <c r="F21" t="s">
        <v>89</v>
      </c>
      <c r="G21" t="s">
        <v>90</v>
      </c>
      <c r="H21" t="s">
        <v>80</v>
      </c>
      <c r="I21" t="s">
        <v>81</v>
      </c>
      <c r="J21" t="s">
        <v>25</v>
      </c>
      <c r="K21" t="s">
        <v>190</v>
      </c>
      <c r="L21">
        <v>0.15</v>
      </c>
      <c r="M21" t="s">
        <v>191</v>
      </c>
      <c r="N21" t="s">
        <v>192</v>
      </c>
      <c r="O21" t="s">
        <v>43</v>
      </c>
      <c r="P21" t="s">
        <v>30</v>
      </c>
      <c r="Q21" t="s">
        <v>65</v>
      </c>
      <c r="R21" s="3">
        <v>1744.3529999999901</v>
      </c>
    </row>
    <row r="22" spans="1:18" x14ac:dyDescent="0.3">
      <c r="A22" t="s">
        <v>193</v>
      </c>
      <c r="B22" t="str">
        <f>TEXT(Raw_Data[[#This Row],[Order Date]],"mmm")</f>
        <v>Mar</v>
      </c>
      <c r="C22" t="s">
        <v>194</v>
      </c>
      <c r="D22" t="s">
        <v>195</v>
      </c>
      <c r="E22" t="s">
        <v>35</v>
      </c>
      <c r="F22" t="s">
        <v>36</v>
      </c>
      <c r="G22" t="s">
        <v>196</v>
      </c>
      <c r="H22" t="s">
        <v>80</v>
      </c>
      <c r="I22" t="s">
        <v>131</v>
      </c>
      <c r="J22" t="s">
        <v>50</v>
      </c>
      <c r="K22" t="s">
        <v>197</v>
      </c>
      <c r="L22">
        <v>0.15</v>
      </c>
      <c r="M22" t="s">
        <v>198</v>
      </c>
      <c r="N22" t="s">
        <v>199</v>
      </c>
      <c r="O22" t="s">
        <v>173</v>
      </c>
      <c r="P22" t="s">
        <v>30</v>
      </c>
      <c r="Q22" t="s">
        <v>31</v>
      </c>
      <c r="R22" s="3">
        <v>3455.335</v>
      </c>
    </row>
    <row r="23" spans="1:18" x14ac:dyDescent="0.3">
      <c r="A23" t="s">
        <v>200</v>
      </c>
      <c r="B23" t="str">
        <f>TEXT(Raw_Data[[#This Row],[Order Date]],"mmm")</f>
        <v>Feb</v>
      </c>
      <c r="C23" t="s">
        <v>201</v>
      </c>
      <c r="D23" t="s">
        <v>202</v>
      </c>
      <c r="E23" t="s">
        <v>35</v>
      </c>
      <c r="F23" t="s">
        <v>89</v>
      </c>
      <c r="G23" t="s">
        <v>90</v>
      </c>
      <c r="H23" t="s">
        <v>38</v>
      </c>
      <c r="I23" t="s">
        <v>39</v>
      </c>
      <c r="J23" t="s">
        <v>25</v>
      </c>
      <c r="K23" t="s">
        <v>203</v>
      </c>
      <c r="L23">
        <v>0.15</v>
      </c>
      <c r="M23" t="s">
        <v>204</v>
      </c>
      <c r="N23" t="s">
        <v>205</v>
      </c>
      <c r="O23" t="s">
        <v>173</v>
      </c>
      <c r="P23" t="s">
        <v>30</v>
      </c>
      <c r="Q23" t="s">
        <v>65</v>
      </c>
      <c r="R23" s="3">
        <v>2449.0115000000001</v>
      </c>
    </row>
    <row r="24" spans="1:18" x14ac:dyDescent="0.3">
      <c r="A24" t="s">
        <v>206</v>
      </c>
      <c r="B24" t="str">
        <f>TEXT(Raw_Data[[#This Row],[Order Date]],"mmm")</f>
        <v>Jan</v>
      </c>
      <c r="C24" t="s">
        <v>207</v>
      </c>
      <c r="D24" t="s">
        <v>208</v>
      </c>
      <c r="E24" t="s">
        <v>35</v>
      </c>
      <c r="F24" t="s">
        <v>21</v>
      </c>
      <c r="G24" t="s">
        <v>130</v>
      </c>
      <c r="H24" t="s">
        <v>80</v>
      </c>
      <c r="I24" t="s">
        <v>131</v>
      </c>
      <c r="J24" t="s">
        <v>50</v>
      </c>
      <c r="K24" t="s">
        <v>209</v>
      </c>
      <c r="L24">
        <v>0.1</v>
      </c>
      <c r="M24" t="s">
        <v>210</v>
      </c>
      <c r="N24" t="s">
        <v>211</v>
      </c>
      <c r="O24" t="s">
        <v>64</v>
      </c>
      <c r="P24" t="s">
        <v>30</v>
      </c>
      <c r="Q24" t="s">
        <v>31</v>
      </c>
      <c r="R24" s="3">
        <v>3473.5680000000002</v>
      </c>
    </row>
    <row r="25" spans="1:18" x14ac:dyDescent="0.3">
      <c r="A25" t="s">
        <v>212</v>
      </c>
      <c r="B25" t="str">
        <f>TEXT(Raw_Data[[#This Row],[Order Date]],"mmm")</f>
        <v>Jun</v>
      </c>
      <c r="C25" t="s">
        <v>213</v>
      </c>
      <c r="D25" t="s">
        <v>214</v>
      </c>
      <c r="E25" t="s">
        <v>35</v>
      </c>
      <c r="F25" t="s">
        <v>215</v>
      </c>
      <c r="G25" t="s">
        <v>216</v>
      </c>
      <c r="H25" t="s">
        <v>80</v>
      </c>
      <c r="I25" t="s">
        <v>81</v>
      </c>
      <c r="J25" t="s">
        <v>25</v>
      </c>
      <c r="K25" t="s">
        <v>217</v>
      </c>
      <c r="L25">
        <v>0.05</v>
      </c>
      <c r="M25" t="s">
        <v>218</v>
      </c>
      <c r="N25" t="s">
        <v>219</v>
      </c>
      <c r="O25" t="s">
        <v>54</v>
      </c>
      <c r="P25" t="s">
        <v>159</v>
      </c>
      <c r="Q25" t="s">
        <v>44</v>
      </c>
      <c r="R25" s="3">
        <v>663.92649999999901</v>
      </c>
    </row>
    <row r="26" spans="1:18" x14ac:dyDescent="0.3">
      <c r="A26" t="s">
        <v>220</v>
      </c>
      <c r="B26" t="str">
        <f>TEXT(Raw_Data[[#This Row],[Order Date]],"mmm")</f>
        <v>Nov</v>
      </c>
      <c r="C26" t="s">
        <v>221</v>
      </c>
      <c r="D26" t="s">
        <v>222</v>
      </c>
      <c r="E26" t="s">
        <v>35</v>
      </c>
      <c r="F26" t="s">
        <v>21</v>
      </c>
      <c r="G26" t="s">
        <v>22</v>
      </c>
      <c r="H26" t="s">
        <v>38</v>
      </c>
      <c r="I26" t="s">
        <v>223</v>
      </c>
      <c r="J26" t="s">
        <v>25</v>
      </c>
      <c r="K26" t="s">
        <v>224</v>
      </c>
      <c r="L26">
        <v>0.1</v>
      </c>
      <c r="M26" t="s">
        <v>225</v>
      </c>
      <c r="N26" t="s">
        <v>226</v>
      </c>
      <c r="O26" t="s">
        <v>173</v>
      </c>
      <c r="P26" t="s">
        <v>30</v>
      </c>
      <c r="Q26" t="s">
        <v>31</v>
      </c>
      <c r="R26" s="3">
        <v>5200.2089999999998</v>
      </c>
    </row>
    <row r="27" spans="1:18" x14ac:dyDescent="0.3">
      <c r="A27" t="s">
        <v>227</v>
      </c>
      <c r="B27" t="str">
        <f>TEXT(Raw_Data[[#This Row],[Order Date]],"mmm")</f>
        <v>Feb</v>
      </c>
      <c r="C27" t="s">
        <v>228</v>
      </c>
      <c r="D27" t="s">
        <v>229</v>
      </c>
      <c r="E27" t="s">
        <v>48</v>
      </c>
      <c r="F27" t="s">
        <v>89</v>
      </c>
      <c r="G27" t="s">
        <v>230</v>
      </c>
      <c r="H27" t="s">
        <v>154</v>
      </c>
      <c r="I27" t="s">
        <v>155</v>
      </c>
      <c r="J27" t="s">
        <v>50</v>
      </c>
      <c r="K27" t="s">
        <v>231</v>
      </c>
      <c r="L27">
        <v>0</v>
      </c>
      <c r="M27" t="s">
        <v>232</v>
      </c>
      <c r="N27" t="s">
        <v>233</v>
      </c>
      <c r="O27" t="s">
        <v>173</v>
      </c>
      <c r="P27" t="s">
        <v>30</v>
      </c>
      <c r="Q27" t="s">
        <v>31</v>
      </c>
      <c r="R27" s="3">
        <v>5365.88</v>
      </c>
    </row>
    <row r="28" spans="1:18" x14ac:dyDescent="0.3">
      <c r="A28" t="s">
        <v>234</v>
      </c>
      <c r="B28" t="str">
        <f>TEXT(Raw_Data[[#This Row],[Order Date]],"mmm")</f>
        <v>Oct</v>
      </c>
      <c r="C28" t="s">
        <v>235</v>
      </c>
      <c r="D28" t="s">
        <v>236</v>
      </c>
      <c r="E28" t="s">
        <v>20</v>
      </c>
      <c r="F28" t="s">
        <v>21</v>
      </c>
      <c r="G28" t="s">
        <v>130</v>
      </c>
      <c r="H28" t="s">
        <v>154</v>
      </c>
      <c r="I28" t="s">
        <v>237</v>
      </c>
      <c r="J28" t="s">
        <v>25</v>
      </c>
      <c r="K28" t="s">
        <v>238</v>
      </c>
      <c r="L28">
        <v>0.1</v>
      </c>
      <c r="M28" t="s">
        <v>239</v>
      </c>
      <c r="N28" t="s">
        <v>240</v>
      </c>
      <c r="O28" t="s">
        <v>54</v>
      </c>
      <c r="P28" t="s">
        <v>30</v>
      </c>
      <c r="Q28" t="s">
        <v>31</v>
      </c>
      <c r="R28" s="3">
        <v>4425.84</v>
      </c>
    </row>
    <row r="29" spans="1:18" x14ac:dyDescent="0.3">
      <c r="A29" t="s">
        <v>241</v>
      </c>
      <c r="B29" t="str">
        <f>TEXT(Raw_Data[[#This Row],[Order Date]],"mmm")</f>
        <v>Dec</v>
      </c>
      <c r="C29" t="s">
        <v>242</v>
      </c>
      <c r="D29" t="s">
        <v>243</v>
      </c>
      <c r="E29" t="s">
        <v>20</v>
      </c>
      <c r="F29" t="s">
        <v>78</v>
      </c>
      <c r="G29" t="s">
        <v>79</v>
      </c>
      <c r="H29" t="s">
        <v>80</v>
      </c>
      <c r="I29" t="s">
        <v>146</v>
      </c>
      <c r="J29" t="s">
        <v>100</v>
      </c>
      <c r="K29" t="s">
        <v>244</v>
      </c>
      <c r="L29">
        <v>0.1</v>
      </c>
      <c r="M29" t="s">
        <v>245</v>
      </c>
      <c r="N29" t="s">
        <v>246</v>
      </c>
      <c r="O29" t="s">
        <v>173</v>
      </c>
      <c r="P29" t="s">
        <v>30</v>
      </c>
      <c r="Q29" t="s">
        <v>44</v>
      </c>
      <c r="R29" s="3">
        <v>3267.8910000000001</v>
      </c>
    </row>
    <row r="30" spans="1:18" x14ac:dyDescent="0.3">
      <c r="A30" t="s">
        <v>247</v>
      </c>
      <c r="B30" t="str">
        <f>TEXT(Raw_Data[[#This Row],[Order Date]],"mmm")</f>
        <v>Oct</v>
      </c>
      <c r="C30" t="s">
        <v>248</v>
      </c>
      <c r="D30" t="s">
        <v>249</v>
      </c>
      <c r="E30" t="s">
        <v>35</v>
      </c>
      <c r="F30" t="s">
        <v>36</v>
      </c>
      <c r="G30" t="s">
        <v>37</v>
      </c>
      <c r="H30" t="s">
        <v>80</v>
      </c>
      <c r="I30" t="s">
        <v>81</v>
      </c>
      <c r="J30" t="s">
        <v>25</v>
      </c>
      <c r="K30" t="s">
        <v>250</v>
      </c>
      <c r="L30">
        <v>0.1</v>
      </c>
      <c r="M30" t="s">
        <v>251</v>
      </c>
      <c r="N30" t="s">
        <v>252</v>
      </c>
      <c r="O30" t="s">
        <v>43</v>
      </c>
      <c r="P30" t="s">
        <v>30</v>
      </c>
      <c r="Q30" t="s">
        <v>31</v>
      </c>
      <c r="R30" s="3">
        <v>2508.8310000000001</v>
      </c>
    </row>
    <row r="31" spans="1:18" x14ac:dyDescent="0.3">
      <c r="A31" t="s">
        <v>253</v>
      </c>
      <c r="B31" t="str">
        <f>TEXT(Raw_Data[[#This Row],[Order Date]],"mmm")</f>
        <v>Jan</v>
      </c>
      <c r="C31" t="s">
        <v>254</v>
      </c>
      <c r="D31" t="s">
        <v>255</v>
      </c>
      <c r="E31" t="s">
        <v>35</v>
      </c>
      <c r="F31" t="s">
        <v>21</v>
      </c>
      <c r="G31" t="s">
        <v>130</v>
      </c>
      <c r="H31" t="s">
        <v>38</v>
      </c>
      <c r="I31" t="s">
        <v>256</v>
      </c>
      <c r="J31" t="s">
        <v>25</v>
      </c>
      <c r="K31" t="s">
        <v>257</v>
      </c>
      <c r="L31">
        <v>0</v>
      </c>
      <c r="M31" t="s">
        <v>258</v>
      </c>
      <c r="N31" t="s">
        <v>259</v>
      </c>
      <c r="O31" t="s">
        <v>54</v>
      </c>
      <c r="P31" t="s">
        <v>112</v>
      </c>
      <c r="Q31" t="s">
        <v>31</v>
      </c>
      <c r="R31" s="3">
        <v>4126.1400000000003</v>
      </c>
    </row>
    <row r="32" spans="1:18" x14ac:dyDescent="0.3">
      <c r="A32" t="s">
        <v>260</v>
      </c>
      <c r="B32" t="str">
        <f>TEXT(Raw_Data[[#This Row],[Order Date]],"mmm")</f>
        <v>Jan</v>
      </c>
      <c r="C32" t="s">
        <v>261</v>
      </c>
      <c r="D32" t="s">
        <v>262</v>
      </c>
      <c r="E32" t="s">
        <v>48</v>
      </c>
      <c r="F32" t="s">
        <v>21</v>
      </c>
      <c r="G32" t="s">
        <v>22</v>
      </c>
      <c r="H32" t="s">
        <v>23</v>
      </c>
      <c r="I32" t="s">
        <v>263</v>
      </c>
      <c r="J32" t="s">
        <v>25</v>
      </c>
      <c r="K32" t="s">
        <v>264</v>
      </c>
      <c r="L32">
        <v>0.1</v>
      </c>
      <c r="M32" t="s">
        <v>265</v>
      </c>
      <c r="N32" t="s">
        <v>266</v>
      </c>
      <c r="O32" t="s">
        <v>173</v>
      </c>
      <c r="P32" t="s">
        <v>112</v>
      </c>
      <c r="Q32" t="s">
        <v>44</v>
      </c>
      <c r="R32" s="3">
        <v>19652.472000000002</v>
      </c>
    </row>
    <row r="33" spans="1:18" x14ac:dyDescent="0.3">
      <c r="A33" t="s">
        <v>267</v>
      </c>
      <c r="B33" t="str">
        <f>TEXT(Raw_Data[[#This Row],[Order Date]],"mmm")</f>
        <v>Dec</v>
      </c>
      <c r="C33" t="s">
        <v>268</v>
      </c>
      <c r="D33" t="s">
        <v>269</v>
      </c>
      <c r="E33" t="s">
        <v>48</v>
      </c>
      <c r="F33" t="s">
        <v>21</v>
      </c>
      <c r="G33" t="s">
        <v>130</v>
      </c>
      <c r="H33" t="s">
        <v>38</v>
      </c>
      <c r="I33" t="s">
        <v>256</v>
      </c>
      <c r="J33" t="s">
        <v>25</v>
      </c>
      <c r="K33" t="s">
        <v>270</v>
      </c>
      <c r="L33">
        <v>0.1</v>
      </c>
      <c r="M33" t="s">
        <v>271</v>
      </c>
      <c r="N33" t="s">
        <v>272</v>
      </c>
      <c r="O33" t="s">
        <v>29</v>
      </c>
      <c r="P33" t="s">
        <v>30</v>
      </c>
      <c r="Q33" t="s">
        <v>44</v>
      </c>
      <c r="R33" s="3">
        <v>1057.2750000000001</v>
      </c>
    </row>
    <row r="34" spans="1:18" x14ac:dyDescent="0.3">
      <c r="A34" t="s">
        <v>273</v>
      </c>
      <c r="B34" t="str">
        <f>TEXT(Raw_Data[[#This Row],[Order Date]],"mmm")</f>
        <v>Jan</v>
      </c>
      <c r="C34" t="s">
        <v>274</v>
      </c>
      <c r="D34" t="s">
        <v>275</v>
      </c>
      <c r="E34" t="s">
        <v>20</v>
      </c>
      <c r="F34" t="s">
        <v>215</v>
      </c>
      <c r="G34" t="s">
        <v>276</v>
      </c>
      <c r="H34" t="s">
        <v>107</v>
      </c>
      <c r="I34" t="s">
        <v>277</v>
      </c>
      <c r="J34" t="s">
        <v>50</v>
      </c>
      <c r="K34" t="s">
        <v>278</v>
      </c>
      <c r="L34">
        <v>0</v>
      </c>
      <c r="M34" t="s">
        <v>279</v>
      </c>
      <c r="N34" t="s">
        <v>280</v>
      </c>
      <c r="O34" t="s">
        <v>64</v>
      </c>
      <c r="P34" t="s">
        <v>30</v>
      </c>
      <c r="Q34" t="s">
        <v>65</v>
      </c>
      <c r="R34" s="3">
        <v>26375.74</v>
      </c>
    </row>
    <row r="35" spans="1:18" x14ac:dyDescent="0.3">
      <c r="A35" t="s">
        <v>281</v>
      </c>
      <c r="B35" t="str">
        <f>TEXT(Raw_Data[[#This Row],[Order Date]],"mmm")</f>
        <v>Mar</v>
      </c>
      <c r="C35" t="s">
        <v>282</v>
      </c>
      <c r="D35" t="s">
        <v>283</v>
      </c>
      <c r="E35" t="s">
        <v>20</v>
      </c>
      <c r="F35" t="s">
        <v>106</v>
      </c>
      <c r="G35" t="s">
        <v>163</v>
      </c>
      <c r="H35" t="s">
        <v>23</v>
      </c>
      <c r="I35" t="s">
        <v>24</v>
      </c>
      <c r="J35" t="s">
        <v>82</v>
      </c>
      <c r="K35" t="s">
        <v>284</v>
      </c>
      <c r="L35">
        <v>0.1</v>
      </c>
      <c r="M35" t="s">
        <v>285</v>
      </c>
      <c r="N35" t="s">
        <v>286</v>
      </c>
      <c r="O35" t="s">
        <v>43</v>
      </c>
      <c r="P35" t="s">
        <v>30</v>
      </c>
      <c r="Q35" t="s">
        <v>31</v>
      </c>
      <c r="R35" s="3">
        <v>19827.972000000002</v>
      </c>
    </row>
    <row r="36" spans="1:18" x14ac:dyDescent="0.3">
      <c r="A36" t="s">
        <v>287</v>
      </c>
      <c r="B36" t="str">
        <f>TEXT(Raw_Data[[#This Row],[Order Date]],"mmm")</f>
        <v>Sep</v>
      </c>
      <c r="C36" t="s">
        <v>288</v>
      </c>
      <c r="D36" t="s">
        <v>289</v>
      </c>
      <c r="E36" t="s">
        <v>35</v>
      </c>
      <c r="F36" t="s">
        <v>58</v>
      </c>
      <c r="G36" t="s">
        <v>290</v>
      </c>
      <c r="H36" t="s">
        <v>80</v>
      </c>
      <c r="I36" t="s">
        <v>91</v>
      </c>
      <c r="J36" t="s">
        <v>50</v>
      </c>
      <c r="K36" t="s">
        <v>291</v>
      </c>
      <c r="L36">
        <v>0.1</v>
      </c>
      <c r="M36" t="s">
        <v>292</v>
      </c>
      <c r="N36" t="s">
        <v>293</v>
      </c>
      <c r="O36" t="s">
        <v>29</v>
      </c>
      <c r="P36" t="s">
        <v>30</v>
      </c>
      <c r="Q36" t="s">
        <v>65</v>
      </c>
      <c r="R36" s="3">
        <v>4565.0519999999997</v>
      </c>
    </row>
    <row r="37" spans="1:18" x14ac:dyDescent="0.3">
      <c r="A37" t="s">
        <v>294</v>
      </c>
      <c r="B37" t="str">
        <f>TEXT(Raw_Data[[#This Row],[Order Date]],"mmm")</f>
        <v>Jul</v>
      </c>
      <c r="C37" t="s">
        <v>295</v>
      </c>
      <c r="D37" t="s">
        <v>296</v>
      </c>
      <c r="E37" t="s">
        <v>20</v>
      </c>
      <c r="F37" t="s">
        <v>215</v>
      </c>
      <c r="G37" t="s">
        <v>276</v>
      </c>
      <c r="H37" t="s">
        <v>107</v>
      </c>
      <c r="I37" t="s">
        <v>108</v>
      </c>
      <c r="J37" t="s">
        <v>82</v>
      </c>
      <c r="K37" t="s">
        <v>297</v>
      </c>
      <c r="L37">
        <v>0.15</v>
      </c>
      <c r="M37" t="s">
        <v>298</v>
      </c>
      <c r="N37" t="s">
        <v>299</v>
      </c>
      <c r="O37" t="s">
        <v>54</v>
      </c>
      <c r="P37" t="s">
        <v>95</v>
      </c>
      <c r="Q37" t="s">
        <v>44</v>
      </c>
      <c r="R37" s="3">
        <v>8376.6479999999992</v>
      </c>
    </row>
    <row r="38" spans="1:18" x14ac:dyDescent="0.3">
      <c r="A38" t="s">
        <v>300</v>
      </c>
      <c r="B38" t="str">
        <f>TEXT(Raw_Data[[#This Row],[Order Date]],"mmm")</f>
        <v>May</v>
      </c>
      <c r="C38" t="s">
        <v>301</v>
      </c>
      <c r="D38" t="s">
        <v>302</v>
      </c>
      <c r="E38" t="s">
        <v>35</v>
      </c>
      <c r="F38" t="s">
        <v>89</v>
      </c>
      <c r="G38" t="s">
        <v>90</v>
      </c>
      <c r="H38" t="s">
        <v>23</v>
      </c>
      <c r="I38" t="s">
        <v>263</v>
      </c>
      <c r="J38" t="s">
        <v>25</v>
      </c>
      <c r="K38" t="s">
        <v>303</v>
      </c>
      <c r="L38">
        <v>0.1</v>
      </c>
      <c r="M38" t="s">
        <v>304</v>
      </c>
      <c r="N38" t="s">
        <v>305</v>
      </c>
      <c r="O38" t="s">
        <v>64</v>
      </c>
      <c r="P38" t="s">
        <v>159</v>
      </c>
      <c r="Q38" t="s">
        <v>65</v>
      </c>
      <c r="R38" s="3">
        <v>37954.116000000002</v>
      </c>
    </row>
    <row r="39" spans="1:18" x14ac:dyDescent="0.3">
      <c r="A39" t="s">
        <v>306</v>
      </c>
      <c r="B39" t="str">
        <f>TEXT(Raw_Data[[#This Row],[Order Date]],"mmm")</f>
        <v>Feb</v>
      </c>
      <c r="C39" t="s">
        <v>307</v>
      </c>
      <c r="D39" t="s">
        <v>308</v>
      </c>
      <c r="E39" t="s">
        <v>20</v>
      </c>
      <c r="F39" t="s">
        <v>89</v>
      </c>
      <c r="G39" t="s">
        <v>230</v>
      </c>
      <c r="H39" t="s">
        <v>154</v>
      </c>
      <c r="I39" t="s">
        <v>309</v>
      </c>
      <c r="J39" t="s">
        <v>25</v>
      </c>
      <c r="K39" t="s">
        <v>310</v>
      </c>
      <c r="L39">
        <v>0.05</v>
      </c>
      <c r="M39" t="s">
        <v>311</v>
      </c>
      <c r="N39" t="s">
        <v>312</v>
      </c>
      <c r="O39" t="s">
        <v>173</v>
      </c>
      <c r="P39" t="s">
        <v>30</v>
      </c>
      <c r="Q39" t="s">
        <v>65</v>
      </c>
      <c r="R39" s="3">
        <v>10474.5194999999</v>
      </c>
    </row>
    <row r="40" spans="1:18" x14ac:dyDescent="0.3">
      <c r="A40" t="s">
        <v>313</v>
      </c>
      <c r="B40" t="str">
        <f>TEXT(Raw_Data[[#This Row],[Order Date]],"mmm")</f>
        <v>Oct</v>
      </c>
      <c r="C40" t="s">
        <v>314</v>
      </c>
      <c r="D40" t="s">
        <v>315</v>
      </c>
      <c r="E40" t="s">
        <v>20</v>
      </c>
      <c r="F40" t="s">
        <v>36</v>
      </c>
      <c r="G40" t="s">
        <v>123</v>
      </c>
      <c r="H40" t="s">
        <v>154</v>
      </c>
      <c r="I40" t="s">
        <v>309</v>
      </c>
      <c r="J40" t="s">
        <v>50</v>
      </c>
      <c r="K40" t="s">
        <v>316</v>
      </c>
      <c r="L40">
        <v>0.05</v>
      </c>
      <c r="M40" t="s">
        <v>317</v>
      </c>
      <c r="N40" t="s">
        <v>318</v>
      </c>
      <c r="O40" t="s">
        <v>54</v>
      </c>
      <c r="P40" t="s">
        <v>30</v>
      </c>
      <c r="Q40" t="s">
        <v>31</v>
      </c>
      <c r="R40" s="3">
        <v>3791.3359999999998</v>
      </c>
    </row>
    <row r="41" spans="1:18" x14ac:dyDescent="0.3">
      <c r="A41" t="s">
        <v>319</v>
      </c>
      <c r="B41" t="str">
        <f>TEXT(Raw_Data[[#This Row],[Order Date]],"mmm")</f>
        <v>Jan</v>
      </c>
      <c r="C41" t="s">
        <v>320</v>
      </c>
      <c r="D41" t="s">
        <v>321</v>
      </c>
      <c r="E41" t="s">
        <v>35</v>
      </c>
      <c r="F41" t="s">
        <v>78</v>
      </c>
      <c r="G41" t="s">
        <v>79</v>
      </c>
      <c r="H41" t="s">
        <v>80</v>
      </c>
      <c r="I41" t="s">
        <v>146</v>
      </c>
      <c r="J41" t="s">
        <v>25</v>
      </c>
      <c r="K41" t="s">
        <v>322</v>
      </c>
      <c r="L41">
        <v>0.05</v>
      </c>
      <c r="M41" t="s">
        <v>323</v>
      </c>
      <c r="N41" t="s">
        <v>324</v>
      </c>
      <c r="O41" t="s">
        <v>29</v>
      </c>
      <c r="P41" t="s">
        <v>30</v>
      </c>
      <c r="Q41" t="s">
        <v>44</v>
      </c>
      <c r="R41" s="3">
        <v>1886.50999999999</v>
      </c>
    </row>
    <row r="42" spans="1:18" x14ac:dyDescent="0.3">
      <c r="A42" t="s">
        <v>325</v>
      </c>
      <c r="B42" t="str">
        <f>TEXT(Raw_Data[[#This Row],[Order Date]],"mmm")</f>
        <v>Mar</v>
      </c>
      <c r="C42" t="s">
        <v>326</v>
      </c>
      <c r="D42" t="s">
        <v>327</v>
      </c>
      <c r="E42" t="s">
        <v>48</v>
      </c>
      <c r="F42" t="s">
        <v>69</v>
      </c>
      <c r="G42" t="s">
        <v>328</v>
      </c>
      <c r="H42" t="s">
        <v>154</v>
      </c>
      <c r="I42" t="s">
        <v>237</v>
      </c>
      <c r="J42" t="s">
        <v>50</v>
      </c>
      <c r="K42" t="s">
        <v>329</v>
      </c>
      <c r="L42">
        <v>0</v>
      </c>
      <c r="M42" t="s">
        <v>330</v>
      </c>
      <c r="N42" t="s">
        <v>331</v>
      </c>
      <c r="O42" t="s">
        <v>64</v>
      </c>
      <c r="P42" t="s">
        <v>30</v>
      </c>
      <c r="Q42" t="s">
        <v>44</v>
      </c>
      <c r="R42" s="3">
        <v>20002.64</v>
      </c>
    </row>
    <row r="43" spans="1:18" x14ac:dyDescent="0.3">
      <c r="A43" t="s">
        <v>332</v>
      </c>
      <c r="B43" t="str">
        <f>TEXT(Raw_Data[[#This Row],[Order Date]],"mmm")</f>
        <v>Jul</v>
      </c>
      <c r="C43" t="s">
        <v>333</v>
      </c>
      <c r="D43" t="s">
        <v>334</v>
      </c>
      <c r="E43" t="s">
        <v>35</v>
      </c>
      <c r="F43" t="s">
        <v>78</v>
      </c>
      <c r="G43" t="s">
        <v>79</v>
      </c>
      <c r="H43" t="s">
        <v>80</v>
      </c>
      <c r="I43" t="s">
        <v>131</v>
      </c>
      <c r="J43" t="s">
        <v>25</v>
      </c>
      <c r="K43" t="s">
        <v>335</v>
      </c>
      <c r="L43">
        <v>0</v>
      </c>
      <c r="M43" t="s">
        <v>336</v>
      </c>
      <c r="N43" t="s">
        <v>337</v>
      </c>
      <c r="O43" t="s">
        <v>64</v>
      </c>
      <c r="P43" t="s">
        <v>30</v>
      </c>
      <c r="Q43" t="s">
        <v>65</v>
      </c>
      <c r="R43" s="3">
        <v>1398.68</v>
      </c>
    </row>
    <row r="44" spans="1:18" x14ac:dyDescent="0.3">
      <c r="A44" t="s">
        <v>338</v>
      </c>
      <c r="B44" t="str">
        <f>TEXT(Raw_Data[[#This Row],[Order Date]],"mmm")</f>
        <v>Sep</v>
      </c>
      <c r="C44" t="s">
        <v>339</v>
      </c>
      <c r="D44" t="s">
        <v>340</v>
      </c>
      <c r="E44" t="s">
        <v>48</v>
      </c>
      <c r="F44" t="s">
        <v>106</v>
      </c>
      <c r="G44" t="s">
        <v>163</v>
      </c>
      <c r="H44" t="s">
        <v>23</v>
      </c>
      <c r="I44" t="s">
        <v>341</v>
      </c>
      <c r="J44" t="s">
        <v>25</v>
      </c>
      <c r="K44" t="s">
        <v>342</v>
      </c>
      <c r="L44">
        <v>0.15</v>
      </c>
      <c r="M44" t="s">
        <v>343</v>
      </c>
      <c r="N44" t="s">
        <v>344</v>
      </c>
      <c r="O44" t="s">
        <v>29</v>
      </c>
      <c r="P44" t="s">
        <v>30</v>
      </c>
      <c r="Q44" t="s">
        <v>31</v>
      </c>
      <c r="R44" s="3">
        <v>51965.914499999999</v>
      </c>
    </row>
    <row r="45" spans="1:18" x14ac:dyDescent="0.3">
      <c r="A45" t="s">
        <v>345</v>
      </c>
      <c r="B45" t="str">
        <f>TEXT(Raw_Data[[#This Row],[Order Date]],"mmm")</f>
        <v>Sep</v>
      </c>
      <c r="C45" t="s">
        <v>346</v>
      </c>
      <c r="D45" t="s">
        <v>347</v>
      </c>
      <c r="E45" t="s">
        <v>35</v>
      </c>
      <c r="F45" t="s">
        <v>69</v>
      </c>
      <c r="G45" t="s">
        <v>70</v>
      </c>
      <c r="H45" t="s">
        <v>107</v>
      </c>
      <c r="I45" t="s">
        <v>277</v>
      </c>
      <c r="J45" t="s">
        <v>25</v>
      </c>
      <c r="K45" t="s">
        <v>348</v>
      </c>
      <c r="L45">
        <v>0</v>
      </c>
      <c r="M45" t="s">
        <v>349</v>
      </c>
      <c r="N45" t="s">
        <v>350</v>
      </c>
      <c r="O45" t="s">
        <v>173</v>
      </c>
      <c r="P45" t="s">
        <v>30</v>
      </c>
      <c r="Q45" t="s">
        <v>44</v>
      </c>
      <c r="R45" s="3">
        <v>8839.7800000000007</v>
      </c>
    </row>
    <row r="46" spans="1:18" x14ac:dyDescent="0.3">
      <c r="A46" t="s">
        <v>351</v>
      </c>
      <c r="B46" t="str">
        <f>TEXT(Raw_Data[[#This Row],[Order Date]],"mmm")</f>
        <v>Apr</v>
      </c>
      <c r="C46" t="s">
        <v>352</v>
      </c>
      <c r="D46" t="s">
        <v>353</v>
      </c>
      <c r="E46" t="s">
        <v>20</v>
      </c>
      <c r="F46" t="s">
        <v>58</v>
      </c>
      <c r="G46" t="s">
        <v>290</v>
      </c>
      <c r="H46" t="s">
        <v>107</v>
      </c>
      <c r="I46" t="s">
        <v>277</v>
      </c>
      <c r="J46" t="s">
        <v>25</v>
      </c>
      <c r="K46" t="s">
        <v>354</v>
      </c>
      <c r="L46">
        <v>0</v>
      </c>
      <c r="M46" t="s">
        <v>355</v>
      </c>
      <c r="N46" t="s">
        <v>356</v>
      </c>
      <c r="O46" t="s">
        <v>173</v>
      </c>
      <c r="P46" t="s">
        <v>30</v>
      </c>
      <c r="Q46" t="s">
        <v>65</v>
      </c>
      <c r="R46" s="3">
        <v>2747.59</v>
      </c>
    </row>
    <row r="47" spans="1:18" x14ac:dyDescent="0.3">
      <c r="A47" t="s">
        <v>357</v>
      </c>
      <c r="B47" t="str">
        <f>TEXT(Raw_Data[[#This Row],[Order Date]],"mmm")</f>
        <v>Jul</v>
      </c>
      <c r="C47" t="s">
        <v>358</v>
      </c>
      <c r="D47" t="s">
        <v>359</v>
      </c>
      <c r="E47" t="s">
        <v>48</v>
      </c>
      <c r="F47" t="s">
        <v>215</v>
      </c>
      <c r="G47" t="s">
        <v>276</v>
      </c>
      <c r="H47" t="s">
        <v>80</v>
      </c>
      <c r="I47" t="s">
        <v>116</v>
      </c>
      <c r="J47" t="s">
        <v>25</v>
      </c>
      <c r="K47" t="s">
        <v>360</v>
      </c>
      <c r="L47">
        <v>0.05</v>
      </c>
      <c r="M47" t="s">
        <v>361</v>
      </c>
      <c r="N47" t="s">
        <v>362</v>
      </c>
      <c r="O47" t="s">
        <v>64</v>
      </c>
      <c r="P47" t="s">
        <v>30</v>
      </c>
      <c r="Q47" t="s">
        <v>31</v>
      </c>
      <c r="R47" s="3">
        <v>6636.2249999999904</v>
      </c>
    </row>
    <row r="48" spans="1:18" x14ac:dyDescent="0.3">
      <c r="A48" t="s">
        <v>363</v>
      </c>
      <c r="B48" t="str">
        <f>TEXT(Raw_Data[[#This Row],[Order Date]],"mmm")</f>
        <v>Sep</v>
      </c>
      <c r="C48" t="s">
        <v>339</v>
      </c>
      <c r="D48" t="s">
        <v>364</v>
      </c>
      <c r="E48" t="s">
        <v>48</v>
      </c>
      <c r="F48" t="s">
        <v>21</v>
      </c>
      <c r="G48" t="s">
        <v>22</v>
      </c>
      <c r="H48" t="s">
        <v>154</v>
      </c>
      <c r="I48" t="s">
        <v>365</v>
      </c>
      <c r="J48" t="s">
        <v>25</v>
      </c>
      <c r="K48" t="s">
        <v>366</v>
      </c>
      <c r="L48">
        <v>0.15</v>
      </c>
      <c r="M48" t="s">
        <v>367</v>
      </c>
      <c r="N48" t="s">
        <v>368</v>
      </c>
      <c r="O48" t="s">
        <v>173</v>
      </c>
      <c r="P48" t="s">
        <v>30</v>
      </c>
      <c r="Q48" t="s">
        <v>44</v>
      </c>
      <c r="R48" s="3">
        <v>4780.1875</v>
      </c>
    </row>
    <row r="49" spans="1:18" x14ac:dyDescent="0.3">
      <c r="A49" t="s">
        <v>369</v>
      </c>
      <c r="B49" t="str">
        <f>TEXT(Raw_Data[[#This Row],[Order Date]],"mmm")</f>
        <v>Jun</v>
      </c>
      <c r="C49" t="s">
        <v>370</v>
      </c>
      <c r="D49" t="s">
        <v>371</v>
      </c>
      <c r="E49" t="s">
        <v>48</v>
      </c>
      <c r="F49" t="s">
        <v>58</v>
      </c>
      <c r="G49" t="s">
        <v>290</v>
      </c>
      <c r="H49" t="s">
        <v>23</v>
      </c>
      <c r="I49" t="s">
        <v>49</v>
      </c>
      <c r="J49" t="s">
        <v>25</v>
      </c>
      <c r="K49" t="s">
        <v>372</v>
      </c>
      <c r="L49">
        <v>0.15</v>
      </c>
      <c r="M49" t="s">
        <v>373</v>
      </c>
      <c r="N49" t="s">
        <v>374</v>
      </c>
      <c r="O49" t="s">
        <v>173</v>
      </c>
      <c r="P49" t="s">
        <v>30</v>
      </c>
      <c r="Q49" t="s">
        <v>65</v>
      </c>
      <c r="R49" s="3">
        <v>25168.092000000001</v>
      </c>
    </row>
    <row r="50" spans="1:18" x14ac:dyDescent="0.3">
      <c r="A50" t="s">
        <v>375</v>
      </c>
      <c r="B50" t="str">
        <f>TEXT(Raw_Data[[#This Row],[Order Date]],"mmm")</f>
        <v>Apr</v>
      </c>
      <c r="C50" t="s">
        <v>376</v>
      </c>
      <c r="D50" t="s">
        <v>377</v>
      </c>
      <c r="E50" t="s">
        <v>48</v>
      </c>
      <c r="F50" t="s">
        <v>69</v>
      </c>
      <c r="G50" t="s">
        <v>139</v>
      </c>
      <c r="H50" t="s">
        <v>107</v>
      </c>
      <c r="I50" t="s">
        <v>378</v>
      </c>
      <c r="J50" t="s">
        <v>25</v>
      </c>
      <c r="K50" t="s">
        <v>379</v>
      </c>
      <c r="L50">
        <v>0.05</v>
      </c>
      <c r="M50" t="s">
        <v>380</v>
      </c>
      <c r="N50" t="s">
        <v>381</v>
      </c>
      <c r="O50" t="s">
        <v>29</v>
      </c>
      <c r="P50" t="s">
        <v>30</v>
      </c>
      <c r="Q50" t="s">
        <v>65</v>
      </c>
      <c r="R50" s="3">
        <v>11427.9109999999</v>
      </c>
    </row>
    <row r="51" spans="1:18" x14ac:dyDescent="0.3">
      <c r="A51" t="s">
        <v>382</v>
      </c>
      <c r="B51" t="str">
        <f>TEXT(Raw_Data[[#This Row],[Order Date]],"mmm")</f>
        <v>Oct</v>
      </c>
      <c r="C51" t="s">
        <v>383</v>
      </c>
      <c r="D51" t="s">
        <v>384</v>
      </c>
      <c r="E51" t="s">
        <v>48</v>
      </c>
      <c r="F51" t="s">
        <v>21</v>
      </c>
      <c r="G51" t="s">
        <v>130</v>
      </c>
      <c r="H51" t="s">
        <v>107</v>
      </c>
      <c r="I51" t="s">
        <v>378</v>
      </c>
      <c r="J51" t="s">
        <v>25</v>
      </c>
      <c r="K51" t="s">
        <v>385</v>
      </c>
      <c r="L51">
        <v>0.1</v>
      </c>
      <c r="M51" t="s">
        <v>386</v>
      </c>
      <c r="N51" t="s">
        <v>387</v>
      </c>
      <c r="O51" t="s">
        <v>29</v>
      </c>
      <c r="P51" t="s">
        <v>30</v>
      </c>
      <c r="Q51" t="s">
        <v>44</v>
      </c>
      <c r="R51" s="3">
        <v>11557.107</v>
      </c>
    </row>
    <row r="52" spans="1:18" x14ac:dyDescent="0.3">
      <c r="A52" t="s">
        <v>388</v>
      </c>
      <c r="B52" t="str">
        <f>TEXT(Raw_Data[[#This Row],[Order Date]],"mmm")</f>
        <v>Jul</v>
      </c>
      <c r="C52" t="s">
        <v>389</v>
      </c>
      <c r="D52" t="s">
        <v>390</v>
      </c>
      <c r="E52" t="s">
        <v>35</v>
      </c>
      <c r="F52" t="s">
        <v>36</v>
      </c>
      <c r="G52" t="s">
        <v>153</v>
      </c>
      <c r="H52" t="s">
        <v>23</v>
      </c>
      <c r="I52" t="s">
        <v>24</v>
      </c>
      <c r="J52" t="s">
        <v>100</v>
      </c>
      <c r="K52" t="s">
        <v>391</v>
      </c>
      <c r="L52">
        <v>0.15</v>
      </c>
      <c r="M52" t="s">
        <v>392</v>
      </c>
      <c r="N52" t="s">
        <v>393</v>
      </c>
      <c r="O52" t="s">
        <v>29</v>
      </c>
      <c r="P52" t="s">
        <v>30</v>
      </c>
      <c r="Q52" t="s">
        <v>65</v>
      </c>
      <c r="R52" s="3">
        <v>134334.5355</v>
      </c>
    </row>
    <row r="53" spans="1:18" x14ac:dyDescent="0.3">
      <c r="A53" t="s">
        <v>394</v>
      </c>
      <c r="B53" t="str">
        <f>TEXT(Raw_Data[[#This Row],[Order Date]],"mmm")</f>
        <v>Mar</v>
      </c>
      <c r="C53" t="s">
        <v>395</v>
      </c>
      <c r="D53" t="s">
        <v>396</v>
      </c>
      <c r="E53" t="s">
        <v>35</v>
      </c>
      <c r="F53" t="s">
        <v>106</v>
      </c>
      <c r="G53" t="s">
        <v>106</v>
      </c>
      <c r="H53" t="s">
        <v>23</v>
      </c>
      <c r="I53" t="s">
        <v>24</v>
      </c>
      <c r="J53" t="s">
        <v>25</v>
      </c>
      <c r="K53" t="s">
        <v>397</v>
      </c>
      <c r="L53">
        <v>0.05</v>
      </c>
      <c r="M53" t="s">
        <v>398</v>
      </c>
      <c r="N53" t="s">
        <v>399</v>
      </c>
      <c r="O53" t="s">
        <v>43</v>
      </c>
      <c r="P53" t="s">
        <v>30</v>
      </c>
      <c r="Q53" t="s">
        <v>65</v>
      </c>
      <c r="R53" s="3">
        <v>56635.3995</v>
      </c>
    </row>
    <row r="54" spans="1:18" x14ac:dyDescent="0.3">
      <c r="A54" t="s">
        <v>400</v>
      </c>
      <c r="B54" t="str">
        <f>TEXT(Raw_Data[[#This Row],[Order Date]],"mmm")</f>
        <v>Sep</v>
      </c>
      <c r="C54" t="s">
        <v>401</v>
      </c>
      <c r="D54" t="s">
        <v>402</v>
      </c>
      <c r="E54" t="s">
        <v>20</v>
      </c>
      <c r="F54" t="s">
        <v>69</v>
      </c>
      <c r="G54" t="s">
        <v>139</v>
      </c>
      <c r="H54" t="s">
        <v>80</v>
      </c>
      <c r="I54" t="s">
        <v>116</v>
      </c>
      <c r="J54" t="s">
        <v>82</v>
      </c>
      <c r="K54" t="s">
        <v>403</v>
      </c>
      <c r="L54">
        <v>0</v>
      </c>
      <c r="M54" t="s">
        <v>404</v>
      </c>
      <c r="N54" t="s">
        <v>405</v>
      </c>
      <c r="O54" t="s">
        <v>173</v>
      </c>
      <c r="P54" t="s">
        <v>30</v>
      </c>
      <c r="Q54" t="s">
        <v>65</v>
      </c>
      <c r="R54" s="3">
        <v>18134.36</v>
      </c>
    </row>
    <row r="55" spans="1:18" x14ac:dyDescent="0.3">
      <c r="A55" t="s">
        <v>406</v>
      </c>
      <c r="B55" t="str">
        <f>TEXT(Raw_Data[[#This Row],[Order Date]],"mmm")</f>
        <v>Dec</v>
      </c>
      <c r="C55" t="s">
        <v>46</v>
      </c>
      <c r="D55" t="s">
        <v>407</v>
      </c>
      <c r="E55" t="s">
        <v>35</v>
      </c>
      <c r="F55" t="s">
        <v>21</v>
      </c>
      <c r="G55" t="s">
        <v>22</v>
      </c>
      <c r="H55" t="s">
        <v>23</v>
      </c>
      <c r="I55" t="s">
        <v>263</v>
      </c>
      <c r="J55" t="s">
        <v>25</v>
      </c>
      <c r="K55" t="s">
        <v>408</v>
      </c>
      <c r="L55">
        <v>0.05</v>
      </c>
      <c r="M55" t="s">
        <v>409</v>
      </c>
      <c r="N55" t="s">
        <v>410</v>
      </c>
      <c r="O55" t="s">
        <v>64</v>
      </c>
      <c r="P55" t="s">
        <v>30</v>
      </c>
      <c r="Q55" t="s">
        <v>44</v>
      </c>
      <c r="R55" s="3">
        <v>11839.4984999999</v>
      </c>
    </row>
    <row r="56" spans="1:18" x14ac:dyDescent="0.3">
      <c r="A56" t="s">
        <v>411</v>
      </c>
      <c r="B56" t="str">
        <f>TEXT(Raw_Data[[#This Row],[Order Date]],"mmm")</f>
        <v>Jul</v>
      </c>
      <c r="C56" t="s">
        <v>412</v>
      </c>
      <c r="D56" t="s">
        <v>413</v>
      </c>
      <c r="E56" t="s">
        <v>20</v>
      </c>
      <c r="F56" t="s">
        <v>36</v>
      </c>
      <c r="G56" t="s">
        <v>414</v>
      </c>
      <c r="H56" t="s">
        <v>23</v>
      </c>
      <c r="I56" t="s">
        <v>263</v>
      </c>
      <c r="J56" t="s">
        <v>25</v>
      </c>
      <c r="K56" t="s">
        <v>415</v>
      </c>
      <c r="L56">
        <v>0</v>
      </c>
      <c r="M56" t="s">
        <v>416</v>
      </c>
      <c r="N56" t="s">
        <v>417</v>
      </c>
      <c r="O56" t="s">
        <v>64</v>
      </c>
      <c r="P56" t="s">
        <v>30</v>
      </c>
      <c r="Q56" t="s">
        <v>44</v>
      </c>
      <c r="R56" s="3">
        <v>43205.19</v>
      </c>
    </row>
    <row r="57" spans="1:18" x14ac:dyDescent="0.3">
      <c r="A57" t="s">
        <v>418</v>
      </c>
      <c r="B57" t="str">
        <f>TEXT(Raw_Data[[#This Row],[Order Date]],"mmm")</f>
        <v>Apr</v>
      </c>
      <c r="C57" t="s">
        <v>419</v>
      </c>
      <c r="D57" t="s">
        <v>420</v>
      </c>
      <c r="E57" t="s">
        <v>48</v>
      </c>
      <c r="F57" t="s">
        <v>215</v>
      </c>
      <c r="G57" t="s">
        <v>216</v>
      </c>
      <c r="H57" t="s">
        <v>107</v>
      </c>
      <c r="I57" t="s">
        <v>277</v>
      </c>
      <c r="J57" t="s">
        <v>25</v>
      </c>
      <c r="K57" t="s">
        <v>421</v>
      </c>
      <c r="L57">
        <v>0.1</v>
      </c>
      <c r="M57" t="s">
        <v>422</v>
      </c>
      <c r="N57" t="s">
        <v>423</v>
      </c>
      <c r="O57" t="s">
        <v>173</v>
      </c>
      <c r="P57" t="s">
        <v>112</v>
      </c>
      <c r="Q57" t="s">
        <v>44</v>
      </c>
      <c r="R57" s="3">
        <v>2831.6880000000001</v>
      </c>
    </row>
    <row r="58" spans="1:18" x14ac:dyDescent="0.3">
      <c r="A58" t="s">
        <v>424</v>
      </c>
      <c r="B58" t="str">
        <f>TEXT(Raw_Data[[#This Row],[Order Date]],"mmm")</f>
        <v>Mar</v>
      </c>
      <c r="C58" t="s">
        <v>425</v>
      </c>
      <c r="D58" t="s">
        <v>426</v>
      </c>
      <c r="E58" t="s">
        <v>20</v>
      </c>
      <c r="F58" t="s">
        <v>21</v>
      </c>
      <c r="G58" t="s">
        <v>130</v>
      </c>
      <c r="H58" t="s">
        <v>80</v>
      </c>
      <c r="I58" t="s">
        <v>131</v>
      </c>
      <c r="J58" t="s">
        <v>25</v>
      </c>
      <c r="K58" t="s">
        <v>427</v>
      </c>
      <c r="L58">
        <v>0.1</v>
      </c>
      <c r="M58" t="s">
        <v>428</v>
      </c>
      <c r="N58" t="s">
        <v>429</v>
      </c>
      <c r="O58" t="s">
        <v>54</v>
      </c>
      <c r="P58" t="s">
        <v>30</v>
      </c>
      <c r="Q58" t="s">
        <v>44</v>
      </c>
      <c r="R58" s="3">
        <v>5415.165</v>
      </c>
    </row>
    <row r="59" spans="1:18" x14ac:dyDescent="0.3">
      <c r="A59" t="s">
        <v>430</v>
      </c>
      <c r="B59" t="str">
        <f>TEXT(Raw_Data[[#This Row],[Order Date]],"mmm")</f>
        <v>Jan</v>
      </c>
      <c r="C59" t="s">
        <v>431</v>
      </c>
      <c r="D59" t="s">
        <v>432</v>
      </c>
      <c r="E59" t="s">
        <v>20</v>
      </c>
      <c r="F59" t="s">
        <v>215</v>
      </c>
      <c r="G59" t="s">
        <v>216</v>
      </c>
      <c r="H59" t="s">
        <v>23</v>
      </c>
      <c r="I59" t="s">
        <v>183</v>
      </c>
      <c r="J59" t="s">
        <v>25</v>
      </c>
      <c r="K59" t="s">
        <v>433</v>
      </c>
      <c r="L59">
        <v>0.15</v>
      </c>
      <c r="M59" t="s">
        <v>434</v>
      </c>
      <c r="N59" t="s">
        <v>435</v>
      </c>
      <c r="O59" t="s">
        <v>64</v>
      </c>
      <c r="P59" t="s">
        <v>30</v>
      </c>
      <c r="Q59" t="s">
        <v>31</v>
      </c>
      <c r="R59" s="3">
        <v>32794.955000000002</v>
      </c>
    </row>
    <row r="60" spans="1:18" x14ac:dyDescent="0.3">
      <c r="A60" t="s">
        <v>436</v>
      </c>
      <c r="B60" t="str">
        <f>TEXT(Raw_Data[[#This Row],[Order Date]],"mmm")</f>
        <v>Sep</v>
      </c>
      <c r="C60" t="s">
        <v>437</v>
      </c>
      <c r="D60" t="s">
        <v>438</v>
      </c>
      <c r="E60" t="s">
        <v>20</v>
      </c>
      <c r="F60" t="s">
        <v>215</v>
      </c>
      <c r="G60" t="s">
        <v>276</v>
      </c>
      <c r="H60" t="s">
        <v>154</v>
      </c>
      <c r="I60" t="s">
        <v>155</v>
      </c>
      <c r="J60" t="s">
        <v>100</v>
      </c>
      <c r="K60" t="s">
        <v>439</v>
      </c>
      <c r="L60">
        <v>0.05</v>
      </c>
      <c r="M60" t="s">
        <v>440</v>
      </c>
      <c r="N60" t="s">
        <v>441</v>
      </c>
      <c r="O60" t="s">
        <v>29</v>
      </c>
      <c r="P60" t="s">
        <v>30</v>
      </c>
      <c r="Q60" t="s">
        <v>44</v>
      </c>
      <c r="R60" s="3">
        <v>10893.8684999999</v>
      </c>
    </row>
    <row r="61" spans="1:18" x14ac:dyDescent="0.3">
      <c r="A61" t="s">
        <v>442</v>
      </c>
      <c r="B61" t="str">
        <f>TEXT(Raw_Data[[#This Row],[Order Date]],"mmm")</f>
        <v>Nov</v>
      </c>
      <c r="C61" t="s">
        <v>443</v>
      </c>
      <c r="D61" t="s">
        <v>444</v>
      </c>
      <c r="E61" t="s">
        <v>35</v>
      </c>
      <c r="F61" t="s">
        <v>21</v>
      </c>
      <c r="G61" t="s">
        <v>130</v>
      </c>
      <c r="H61" t="s">
        <v>80</v>
      </c>
      <c r="I61" t="s">
        <v>146</v>
      </c>
      <c r="J61" t="s">
        <v>25</v>
      </c>
      <c r="K61" t="s">
        <v>445</v>
      </c>
      <c r="L61">
        <v>0.1</v>
      </c>
      <c r="M61" t="s">
        <v>446</v>
      </c>
      <c r="N61" t="s">
        <v>447</v>
      </c>
      <c r="O61" t="s">
        <v>173</v>
      </c>
      <c r="P61" t="s">
        <v>30</v>
      </c>
      <c r="Q61" t="s">
        <v>65</v>
      </c>
      <c r="R61" s="3">
        <v>2245.6080000000002</v>
      </c>
    </row>
    <row r="62" spans="1:18" x14ac:dyDescent="0.3">
      <c r="A62" t="s">
        <v>448</v>
      </c>
      <c r="B62" t="str">
        <f>TEXT(Raw_Data[[#This Row],[Order Date]],"mmm")</f>
        <v>Mar</v>
      </c>
      <c r="C62" t="s">
        <v>326</v>
      </c>
      <c r="D62" t="s">
        <v>449</v>
      </c>
      <c r="E62" t="s">
        <v>20</v>
      </c>
      <c r="F62" t="s">
        <v>106</v>
      </c>
      <c r="G62" t="s">
        <v>163</v>
      </c>
      <c r="H62" t="s">
        <v>23</v>
      </c>
      <c r="I62" t="s">
        <v>341</v>
      </c>
      <c r="J62" t="s">
        <v>25</v>
      </c>
      <c r="K62" t="s">
        <v>450</v>
      </c>
      <c r="L62">
        <v>0.1</v>
      </c>
      <c r="M62" t="s">
        <v>451</v>
      </c>
      <c r="N62" t="s">
        <v>452</v>
      </c>
      <c r="O62" t="s">
        <v>64</v>
      </c>
      <c r="P62" t="s">
        <v>159</v>
      </c>
      <c r="Q62" t="s">
        <v>44</v>
      </c>
      <c r="R62" s="3">
        <v>35323.362000000001</v>
      </c>
    </row>
    <row r="63" spans="1:18" x14ac:dyDescent="0.3">
      <c r="A63" t="s">
        <v>453</v>
      </c>
      <c r="B63" t="str">
        <f>TEXT(Raw_Data[[#This Row],[Order Date]],"mmm")</f>
        <v>Apr</v>
      </c>
      <c r="C63" t="s">
        <v>454</v>
      </c>
      <c r="D63" t="s">
        <v>455</v>
      </c>
      <c r="E63" t="s">
        <v>20</v>
      </c>
      <c r="F63" t="s">
        <v>89</v>
      </c>
      <c r="G63" t="s">
        <v>99</v>
      </c>
      <c r="H63" t="s">
        <v>38</v>
      </c>
      <c r="I63" t="s">
        <v>223</v>
      </c>
      <c r="J63" t="s">
        <v>25</v>
      </c>
      <c r="K63" t="s">
        <v>456</v>
      </c>
      <c r="L63">
        <v>0</v>
      </c>
      <c r="M63" t="s">
        <v>457</v>
      </c>
      <c r="N63" t="s">
        <v>458</v>
      </c>
      <c r="O63" t="s">
        <v>64</v>
      </c>
      <c r="P63" t="s">
        <v>30</v>
      </c>
      <c r="Q63" t="s">
        <v>44</v>
      </c>
      <c r="R63" s="3">
        <v>1741.71</v>
      </c>
    </row>
    <row r="64" spans="1:18" x14ac:dyDescent="0.3">
      <c r="A64" t="s">
        <v>459</v>
      </c>
      <c r="B64" t="str">
        <f>TEXT(Raw_Data[[#This Row],[Order Date]],"mmm")</f>
        <v>Oct</v>
      </c>
      <c r="C64" t="s">
        <v>460</v>
      </c>
      <c r="D64" t="s">
        <v>461</v>
      </c>
      <c r="E64" t="s">
        <v>48</v>
      </c>
      <c r="F64" t="s">
        <v>106</v>
      </c>
      <c r="G64" t="s">
        <v>106</v>
      </c>
      <c r="H64" t="s">
        <v>23</v>
      </c>
      <c r="I64" t="s">
        <v>49</v>
      </c>
      <c r="J64" t="s">
        <v>25</v>
      </c>
      <c r="K64" t="s">
        <v>462</v>
      </c>
      <c r="L64">
        <v>0.15</v>
      </c>
      <c r="M64" t="s">
        <v>463</v>
      </c>
      <c r="N64" t="s">
        <v>464</v>
      </c>
      <c r="O64" t="s">
        <v>64</v>
      </c>
      <c r="P64" t="s">
        <v>30</v>
      </c>
      <c r="Q64" t="s">
        <v>44</v>
      </c>
      <c r="R64" s="3">
        <v>37009.815999999999</v>
      </c>
    </row>
    <row r="65" spans="1:18" x14ac:dyDescent="0.3">
      <c r="A65" t="s">
        <v>465</v>
      </c>
      <c r="B65" t="str">
        <f>TEXT(Raw_Data[[#This Row],[Order Date]],"mmm")</f>
        <v>Jun</v>
      </c>
      <c r="C65" t="s">
        <v>466</v>
      </c>
      <c r="D65" t="s">
        <v>467</v>
      </c>
      <c r="E65" t="s">
        <v>20</v>
      </c>
      <c r="F65" t="s">
        <v>78</v>
      </c>
      <c r="G65" t="s">
        <v>468</v>
      </c>
      <c r="H65" t="s">
        <v>107</v>
      </c>
      <c r="I65" t="s">
        <v>469</v>
      </c>
      <c r="J65" t="s">
        <v>25</v>
      </c>
      <c r="K65" t="s">
        <v>470</v>
      </c>
      <c r="L65">
        <v>0.05</v>
      </c>
      <c r="M65" t="s">
        <v>471</v>
      </c>
      <c r="N65" t="s">
        <v>472</v>
      </c>
      <c r="O65" t="s">
        <v>29</v>
      </c>
      <c r="P65" t="s">
        <v>30</v>
      </c>
      <c r="Q65" t="s">
        <v>65</v>
      </c>
      <c r="R65" s="3">
        <v>10165.7599999999</v>
      </c>
    </row>
    <row r="66" spans="1:18" x14ac:dyDescent="0.3">
      <c r="A66" t="s">
        <v>473</v>
      </c>
      <c r="B66" t="str">
        <f>TEXT(Raw_Data[[#This Row],[Order Date]],"mmm")</f>
        <v>Oct</v>
      </c>
      <c r="C66" t="s">
        <v>474</v>
      </c>
      <c r="D66" t="s">
        <v>475</v>
      </c>
      <c r="E66" t="s">
        <v>35</v>
      </c>
      <c r="F66" t="s">
        <v>58</v>
      </c>
      <c r="G66" t="s">
        <v>59</v>
      </c>
      <c r="H66" t="s">
        <v>107</v>
      </c>
      <c r="I66" t="s">
        <v>469</v>
      </c>
      <c r="J66" t="s">
        <v>50</v>
      </c>
      <c r="K66" t="s">
        <v>476</v>
      </c>
      <c r="L66">
        <v>0</v>
      </c>
      <c r="M66" t="s">
        <v>477</v>
      </c>
      <c r="N66" t="s">
        <v>478</v>
      </c>
      <c r="O66" t="s">
        <v>43</v>
      </c>
      <c r="P66" t="s">
        <v>30</v>
      </c>
      <c r="Q66" t="s">
        <v>65</v>
      </c>
      <c r="R66" s="3">
        <v>22292.36</v>
      </c>
    </row>
    <row r="67" spans="1:18" x14ac:dyDescent="0.3">
      <c r="A67" t="s">
        <v>479</v>
      </c>
      <c r="B67" t="str">
        <f>TEXT(Raw_Data[[#This Row],[Order Date]],"mmm")</f>
        <v>Jan</v>
      </c>
      <c r="C67" t="s">
        <v>431</v>
      </c>
      <c r="D67" t="s">
        <v>480</v>
      </c>
      <c r="E67" t="s">
        <v>35</v>
      </c>
      <c r="F67" t="s">
        <v>36</v>
      </c>
      <c r="G67" t="s">
        <v>123</v>
      </c>
      <c r="H67" t="s">
        <v>154</v>
      </c>
      <c r="I67" t="s">
        <v>237</v>
      </c>
      <c r="J67" t="s">
        <v>25</v>
      </c>
      <c r="K67" t="s">
        <v>481</v>
      </c>
      <c r="L67">
        <v>0.1</v>
      </c>
      <c r="M67" t="s">
        <v>482</v>
      </c>
      <c r="N67" t="s">
        <v>483</v>
      </c>
      <c r="O67" t="s">
        <v>29</v>
      </c>
      <c r="P67" t="s">
        <v>30</v>
      </c>
      <c r="Q67" t="s">
        <v>65</v>
      </c>
      <c r="R67" s="3">
        <v>837.09</v>
      </c>
    </row>
    <row r="68" spans="1:18" x14ac:dyDescent="0.3">
      <c r="A68" t="s">
        <v>484</v>
      </c>
      <c r="B68" t="str">
        <f>TEXT(Raw_Data[[#This Row],[Order Date]],"mmm")</f>
        <v>Jan</v>
      </c>
      <c r="C68" t="s">
        <v>485</v>
      </c>
      <c r="D68" t="s">
        <v>486</v>
      </c>
      <c r="E68" t="s">
        <v>48</v>
      </c>
      <c r="F68" t="s">
        <v>69</v>
      </c>
      <c r="G68" t="s">
        <v>139</v>
      </c>
      <c r="H68" t="s">
        <v>80</v>
      </c>
      <c r="I68" t="s">
        <v>131</v>
      </c>
      <c r="J68" t="s">
        <v>25</v>
      </c>
      <c r="K68" t="s">
        <v>487</v>
      </c>
      <c r="L68">
        <v>0</v>
      </c>
      <c r="M68" t="s">
        <v>488</v>
      </c>
      <c r="N68" t="s">
        <v>489</v>
      </c>
      <c r="O68" t="s">
        <v>43</v>
      </c>
      <c r="P68" t="s">
        <v>490</v>
      </c>
      <c r="Q68" t="s">
        <v>44</v>
      </c>
      <c r="R68" s="3">
        <v>2614.9</v>
      </c>
    </row>
    <row r="69" spans="1:18" x14ac:dyDescent="0.3">
      <c r="A69" t="s">
        <v>491</v>
      </c>
      <c r="B69" t="str">
        <f>TEXT(Raw_Data[[#This Row],[Order Date]],"mmm")</f>
        <v>Mar</v>
      </c>
      <c r="C69" t="s">
        <v>492</v>
      </c>
      <c r="D69" t="s">
        <v>493</v>
      </c>
      <c r="E69" t="s">
        <v>48</v>
      </c>
      <c r="F69" t="s">
        <v>215</v>
      </c>
      <c r="G69" t="s">
        <v>216</v>
      </c>
      <c r="H69" t="s">
        <v>107</v>
      </c>
      <c r="I69" t="s">
        <v>378</v>
      </c>
      <c r="J69" t="s">
        <v>50</v>
      </c>
      <c r="K69" t="s">
        <v>494</v>
      </c>
      <c r="L69">
        <v>0.15</v>
      </c>
      <c r="M69" t="s">
        <v>495</v>
      </c>
      <c r="N69" t="s">
        <v>496</v>
      </c>
      <c r="O69" t="s">
        <v>64</v>
      </c>
      <c r="P69" t="s">
        <v>30</v>
      </c>
      <c r="Q69" t="s">
        <v>31</v>
      </c>
      <c r="R69" s="3">
        <v>17060.962</v>
      </c>
    </row>
    <row r="70" spans="1:18" x14ac:dyDescent="0.3">
      <c r="A70" t="s">
        <v>497</v>
      </c>
      <c r="B70" t="str">
        <f>TEXT(Raw_Data[[#This Row],[Order Date]],"mmm")</f>
        <v>May</v>
      </c>
      <c r="C70" t="s">
        <v>498</v>
      </c>
      <c r="D70" t="s">
        <v>499</v>
      </c>
      <c r="E70" t="s">
        <v>48</v>
      </c>
      <c r="F70" t="s">
        <v>36</v>
      </c>
      <c r="G70" t="s">
        <v>196</v>
      </c>
      <c r="H70" t="s">
        <v>107</v>
      </c>
      <c r="I70" t="s">
        <v>469</v>
      </c>
      <c r="J70" t="s">
        <v>25</v>
      </c>
      <c r="K70" t="s">
        <v>500</v>
      </c>
      <c r="L70">
        <v>0.15</v>
      </c>
      <c r="M70" t="s">
        <v>501</v>
      </c>
      <c r="N70" t="s">
        <v>502</v>
      </c>
      <c r="O70" t="s">
        <v>54</v>
      </c>
      <c r="P70" t="s">
        <v>30</v>
      </c>
      <c r="Q70" t="s">
        <v>44</v>
      </c>
      <c r="R70" s="3">
        <v>2978.8759999999902</v>
      </c>
    </row>
    <row r="71" spans="1:18" x14ac:dyDescent="0.3">
      <c r="A71" t="s">
        <v>503</v>
      </c>
      <c r="B71" t="str">
        <f>TEXT(Raw_Data[[#This Row],[Order Date]],"mmm")</f>
        <v>Mar</v>
      </c>
      <c r="C71" t="s">
        <v>504</v>
      </c>
      <c r="D71" t="s">
        <v>505</v>
      </c>
      <c r="E71" t="s">
        <v>20</v>
      </c>
      <c r="F71" t="s">
        <v>69</v>
      </c>
      <c r="G71" t="s">
        <v>328</v>
      </c>
      <c r="H71" t="s">
        <v>38</v>
      </c>
      <c r="I71" t="s">
        <v>71</v>
      </c>
      <c r="J71" t="s">
        <v>25</v>
      </c>
      <c r="K71" t="s">
        <v>506</v>
      </c>
      <c r="L71">
        <v>0</v>
      </c>
      <c r="M71" t="s">
        <v>507</v>
      </c>
      <c r="N71" t="s">
        <v>508</v>
      </c>
      <c r="O71" t="s">
        <v>54</v>
      </c>
      <c r="P71" t="s">
        <v>30</v>
      </c>
      <c r="Q71" t="s">
        <v>31</v>
      </c>
      <c r="R71" s="3">
        <v>546.04999999999995</v>
      </c>
    </row>
    <row r="72" spans="1:18" x14ac:dyDescent="0.3">
      <c r="A72" t="s">
        <v>509</v>
      </c>
      <c r="B72" t="str">
        <f>TEXT(Raw_Data[[#This Row],[Order Date]],"mmm")</f>
        <v>Nov</v>
      </c>
      <c r="C72" t="s">
        <v>510</v>
      </c>
      <c r="D72" t="s">
        <v>511</v>
      </c>
      <c r="E72" t="s">
        <v>48</v>
      </c>
      <c r="F72" t="s">
        <v>106</v>
      </c>
      <c r="G72" t="s">
        <v>106</v>
      </c>
      <c r="H72" t="s">
        <v>80</v>
      </c>
      <c r="I72" t="s">
        <v>81</v>
      </c>
      <c r="J72" t="s">
        <v>50</v>
      </c>
      <c r="K72" t="s">
        <v>512</v>
      </c>
      <c r="L72">
        <v>0.05</v>
      </c>
      <c r="M72" t="s">
        <v>513</v>
      </c>
      <c r="N72" t="s">
        <v>514</v>
      </c>
      <c r="O72" t="s">
        <v>43</v>
      </c>
      <c r="P72" t="s">
        <v>95</v>
      </c>
      <c r="Q72" t="s">
        <v>31</v>
      </c>
      <c r="R72" s="3">
        <v>5291.2909999999902</v>
      </c>
    </row>
    <row r="73" spans="1:18" x14ac:dyDescent="0.3">
      <c r="A73" t="s">
        <v>515</v>
      </c>
      <c r="B73" t="str">
        <f>TEXT(Raw_Data[[#This Row],[Order Date]],"mmm")</f>
        <v>Nov</v>
      </c>
      <c r="C73" t="s">
        <v>516</v>
      </c>
      <c r="D73" t="s">
        <v>517</v>
      </c>
      <c r="E73" t="s">
        <v>35</v>
      </c>
      <c r="F73" t="s">
        <v>106</v>
      </c>
      <c r="G73" t="s">
        <v>106</v>
      </c>
      <c r="H73" t="s">
        <v>107</v>
      </c>
      <c r="I73" t="s">
        <v>108</v>
      </c>
      <c r="J73" t="s">
        <v>25</v>
      </c>
      <c r="K73" t="s">
        <v>518</v>
      </c>
      <c r="L73">
        <v>0.2</v>
      </c>
      <c r="M73" t="s">
        <v>519</v>
      </c>
      <c r="N73" t="s">
        <v>520</v>
      </c>
      <c r="O73" t="s">
        <v>173</v>
      </c>
      <c r="P73" t="s">
        <v>30</v>
      </c>
      <c r="Q73" t="s">
        <v>31</v>
      </c>
      <c r="R73" s="3">
        <v>7652.84</v>
      </c>
    </row>
    <row r="74" spans="1:18" x14ac:dyDescent="0.3">
      <c r="A74" t="s">
        <v>521</v>
      </c>
      <c r="B74" t="str">
        <f>TEXT(Raw_Data[[#This Row],[Order Date]],"mmm")</f>
        <v>Jul</v>
      </c>
      <c r="C74" t="s">
        <v>522</v>
      </c>
      <c r="D74" t="s">
        <v>523</v>
      </c>
      <c r="E74" t="s">
        <v>48</v>
      </c>
      <c r="F74" t="s">
        <v>106</v>
      </c>
      <c r="G74" t="s">
        <v>163</v>
      </c>
      <c r="H74" t="s">
        <v>38</v>
      </c>
      <c r="I74" t="s">
        <v>39</v>
      </c>
      <c r="J74" t="s">
        <v>25</v>
      </c>
      <c r="K74" t="s">
        <v>524</v>
      </c>
      <c r="L74">
        <v>0.1</v>
      </c>
      <c r="M74" t="s">
        <v>525</v>
      </c>
      <c r="N74" t="s">
        <v>526</v>
      </c>
      <c r="O74" t="s">
        <v>64</v>
      </c>
      <c r="P74" t="s">
        <v>112</v>
      </c>
      <c r="Q74" t="s">
        <v>31</v>
      </c>
      <c r="R74" s="3">
        <v>5147.6940000000004</v>
      </c>
    </row>
    <row r="75" spans="1:18" x14ac:dyDescent="0.3">
      <c r="A75" t="s">
        <v>527</v>
      </c>
      <c r="B75" t="str">
        <f>TEXT(Raw_Data[[#This Row],[Order Date]],"mmm")</f>
        <v>Aug</v>
      </c>
      <c r="C75" t="s">
        <v>528</v>
      </c>
      <c r="D75" t="s">
        <v>529</v>
      </c>
      <c r="E75" t="s">
        <v>35</v>
      </c>
      <c r="F75" t="s">
        <v>89</v>
      </c>
      <c r="G75" t="s">
        <v>99</v>
      </c>
      <c r="H75" t="s">
        <v>80</v>
      </c>
      <c r="I75" t="s">
        <v>116</v>
      </c>
      <c r="J75" t="s">
        <v>25</v>
      </c>
      <c r="K75" t="s">
        <v>530</v>
      </c>
      <c r="L75">
        <v>0.1</v>
      </c>
      <c r="M75" t="s">
        <v>531</v>
      </c>
      <c r="N75" t="s">
        <v>532</v>
      </c>
      <c r="O75" t="s">
        <v>173</v>
      </c>
      <c r="P75" t="s">
        <v>30</v>
      </c>
      <c r="Q75" t="s">
        <v>44</v>
      </c>
      <c r="R75" s="3">
        <v>5914.9170000000004</v>
      </c>
    </row>
    <row r="76" spans="1:18" x14ac:dyDescent="0.3">
      <c r="A76" t="s">
        <v>533</v>
      </c>
      <c r="B76" t="str">
        <f>TEXT(Raw_Data[[#This Row],[Order Date]],"mmm")</f>
        <v>Dec</v>
      </c>
      <c r="C76" t="s">
        <v>534</v>
      </c>
      <c r="D76" t="s">
        <v>535</v>
      </c>
      <c r="E76" t="s">
        <v>48</v>
      </c>
      <c r="F76" t="s">
        <v>106</v>
      </c>
      <c r="G76" t="s">
        <v>106</v>
      </c>
      <c r="H76" t="s">
        <v>80</v>
      </c>
      <c r="I76" t="s">
        <v>91</v>
      </c>
      <c r="J76" t="s">
        <v>50</v>
      </c>
      <c r="K76" t="s">
        <v>536</v>
      </c>
      <c r="L76">
        <v>0.05</v>
      </c>
      <c r="M76" t="s">
        <v>537</v>
      </c>
      <c r="N76" t="s">
        <v>538</v>
      </c>
      <c r="O76" t="s">
        <v>173</v>
      </c>
      <c r="P76" t="s">
        <v>30</v>
      </c>
      <c r="Q76" t="s">
        <v>31</v>
      </c>
      <c r="R76" s="3">
        <v>10658.790999999999</v>
      </c>
    </row>
    <row r="77" spans="1:18" x14ac:dyDescent="0.3">
      <c r="A77" t="s">
        <v>539</v>
      </c>
      <c r="B77" t="str">
        <f>TEXT(Raw_Data[[#This Row],[Order Date]],"mmm")</f>
        <v>Dec</v>
      </c>
      <c r="C77" t="s">
        <v>540</v>
      </c>
      <c r="D77" t="s">
        <v>541</v>
      </c>
      <c r="E77" t="s">
        <v>20</v>
      </c>
      <c r="F77" t="s">
        <v>89</v>
      </c>
      <c r="G77" t="s">
        <v>99</v>
      </c>
      <c r="H77" t="s">
        <v>80</v>
      </c>
      <c r="I77" t="s">
        <v>116</v>
      </c>
      <c r="J77" t="s">
        <v>25</v>
      </c>
      <c r="K77" t="s">
        <v>542</v>
      </c>
      <c r="L77">
        <v>0.15</v>
      </c>
      <c r="M77" t="s">
        <v>543</v>
      </c>
      <c r="N77" t="s">
        <v>544</v>
      </c>
      <c r="O77" t="s">
        <v>29</v>
      </c>
      <c r="P77" t="s">
        <v>112</v>
      </c>
      <c r="Q77" t="s">
        <v>31</v>
      </c>
      <c r="R77" s="3">
        <v>2518.1164999999901</v>
      </c>
    </row>
    <row r="78" spans="1:18" x14ac:dyDescent="0.3">
      <c r="A78" t="s">
        <v>545</v>
      </c>
      <c r="B78" t="str">
        <f>TEXT(Raw_Data[[#This Row],[Order Date]],"mmm")</f>
        <v>Apr</v>
      </c>
      <c r="C78" t="s">
        <v>67</v>
      </c>
      <c r="D78" t="s">
        <v>546</v>
      </c>
      <c r="E78" t="s">
        <v>20</v>
      </c>
      <c r="F78" t="s">
        <v>215</v>
      </c>
      <c r="G78" t="s">
        <v>276</v>
      </c>
      <c r="H78" t="s">
        <v>107</v>
      </c>
      <c r="I78" t="s">
        <v>469</v>
      </c>
      <c r="J78" t="s">
        <v>100</v>
      </c>
      <c r="K78" t="s">
        <v>547</v>
      </c>
      <c r="L78">
        <v>0.15</v>
      </c>
      <c r="M78" t="s">
        <v>548</v>
      </c>
      <c r="N78" t="s">
        <v>549</v>
      </c>
      <c r="O78" t="s">
        <v>29</v>
      </c>
      <c r="P78" t="s">
        <v>30</v>
      </c>
      <c r="Q78" t="s">
        <v>31</v>
      </c>
      <c r="R78" s="3">
        <v>29773.978499999899</v>
      </c>
    </row>
    <row r="79" spans="1:18" x14ac:dyDescent="0.3">
      <c r="A79" t="s">
        <v>550</v>
      </c>
      <c r="B79" t="str">
        <f>TEXT(Raw_Data[[#This Row],[Order Date]],"mmm")</f>
        <v>Apr</v>
      </c>
      <c r="C79" t="s">
        <v>137</v>
      </c>
      <c r="D79" t="s">
        <v>551</v>
      </c>
      <c r="E79" t="s">
        <v>48</v>
      </c>
      <c r="F79" t="s">
        <v>89</v>
      </c>
      <c r="G79" t="s">
        <v>99</v>
      </c>
      <c r="H79" t="s">
        <v>80</v>
      </c>
      <c r="I79" t="s">
        <v>116</v>
      </c>
      <c r="J79" t="s">
        <v>50</v>
      </c>
      <c r="K79" t="s">
        <v>552</v>
      </c>
      <c r="L79">
        <v>0</v>
      </c>
      <c r="M79" t="s">
        <v>553</v>
      </c>
      <c r="N79" t="s">
        <v>554</v>
      </c>
      <c r="O79" t="s">
        <v>29</v>
      </c>
      <c r="P79" t="s">
        <v>95</v>
      </c>
      <c r="Q79" t="s">
        <v>65</v>
      </c>
      <c r="R79" s="3">
        <v>3799.38</v>
      </c>
    </row>
    <row r="80" spans="1:18" x14ac:dyDescent="0.3">
      <c r="A80" t="s">
        <v>555</v>
      </c>
      <c r="B80" t="str">
        <f>TEXT(Raw_Data[[#This Row],[Order Date]],"mmm")</f>
        <v>Mar</v>
      </c>
      <c r="C80" t="s">
        <v>556</v>
      </c>
      <c r="D80" t="s">
        <v>557</v>
      </c>
      <c r="E80" t="s">
        <v>20</v>
      </c>
      <c r="F80" t="s">
        <v>69</v>
      </c>
      <c r="G80" t="s">
        <v>70</v>
      </c>
      <c r="H80" t="s">
        <v>107</v>
      </c>
      <c r="I80" t="s">
        <v>277</v>
      </c>
      <c r="J80" t="s">
        <v>25</v>
      </c>
      <c r="K80" t="s">
        <v>558</v>
      </c>
      <c r="L80">
        <v>0.05</v>
      </c>
      <c r="M80" t="s">
        <v>559</v>
      </c>
      <c r="N80" t="s">
        <v>560</v>
      </c>
      <c r="O80" t="s">
        <v>43</v>
      </c>
      <c r="P80" t="s">
        <v>159</v>
      </c>
      <c r="Q80" t="s">
        <v>44</v>
      </c>
      <c r="R80" s="3">
        <v>6020.8434999999899</v>
      </c>
    </row>
    <row r="81" spans="1:18" x14ac:dyDescent="0.3">
      <c r="A81" t="s">
        <v>561</v>
      </c>
      <c r="B81" t="str">
        <f>TEXT(Raw_Data[[#This Row],[Order Date]],"mmm")</f>
        <v>Jul</v>
      </c>
      <c r="C81" t="s">
        <v>562</v>
      </c>
      <c r="D81" t="s">
        <v>563</v>
      </c>
      <c r="E81" t="s">
        <v>35</v>
      </c>
      <c r="F81" t="s">
        <v>69</v>
      </c>
      <c r="G81" t="s">
        <v>139</v>
      </c>
      <c r="H81" t="s">
        <v>80</v>
      </c>
      <c r="I81" t="s">
        <v>146</v>
      </c>
      <c r="J81" t="s">
        <v>100</v>
      </c>
      <c r="K81" t="s">
        <v>564</v>
      </c>
      <c r="L81">
        <v>0.1</v>
      </c>
      <c r="M81" t="s">
        <v>565</v>
      </c>
      <c r="N81" t="s">
        <v>566</v>
      </c>
      <c r="O81" t="s">
        <v>29</v>
      </c>
      <c r="P81" t="s">
        <v>30</v>
      </c>
      <c r="Q81" t="s">
        <v>31</v>
      </c>
      <c r="R81" s="3">
        <v>9214.83</v>
      </c>
    </row>
    <row r="82" spans="1:18" x14ac:dyDescent="0.3">
      <c r="A82" t="s">
        <v>567</v>
      </c>
      <c r="B82" t="str">
        <f>TEXT(Raw_Data[[#This Row],[Order Date]],"mmm")</f>
        <v>Jul</v>
      </c>
      <c r="C82" t="s">
        <v>295</v>
      </c>
      <c r="D82" t="s">
        <v>568</v>
      </c>
      <c r="E82" t="s">
        <v>48</v>
      </c>
      <c r="F82" t="s">
        <v>78</v>
      </c>
      <c r="G82" t="s">
        <v>79</v>
      </c>
      <c r="H82" t="s">
        <v>107</v>
      </c>
      <c r="I82" t="s">
        <v>277</v>
      </c>
      <c r="J82" t="s">
        <v>50</v>
      </c>
      <c r="K82" t="s">
        <v>569</v>
      </c>
      <c r="L82">
        <v>0.15</v>
      </c>
      <c r="M82" t="s">
        <v>570</v>
      </c>
      <c r="N82" t="s">
        <v>571</v>
      </c>
      <c r="O82" t="s">
        <v>54</v>
      </c>
      <c r="P82" t="s">
        <v>30</v>
      </c>
      <c r="Q82" t="s">
        <v>31</v>
      </c>
      <c r="R82" s="3">
        <v>24611.5799999999</v>
      </c>
    </row>
    <row r="83" spans="1:18" x14ac:dyDescent="0.3">
      <c r="A83" t="s">
        <v>572</v>
      </c>
      <c r="B83" t="str">
        <f>TEXT(Raw_Data[[#This Row],[Order Date]],"mmm")</f>
        <v>Dec</v>
      </c>
      <c r="C83" t="s">
        <v>573</v>
      </c>
      <c r="D83" t="s">
        <v>574</v>
      </c>
      <c r="E83" t="s">
        <v>35</v>
      </c>
      <c r="F83" t="s">
        <v>36</v>
      </c>
      <c r="G83" t="s">
        <v>196</v>
      </c>
      <c r="H83" t="s">
        <v>154</v>
      </c>
      <c r="I83" t="s">
        <v>365</v>
      </c>
      <c r="J83" t="s">
        <v>25</v>
      </c>
      <c r="K83" t="s">
        <v>575</v>
      </c>
      <c r="L83">
        <v>0.1</v>
      </c>
      <c r="M83" t="s">
        <v>576</v>
      </c>
      <c r="N83" t="s">
        <v>577</v>
      </c>
      <c r="O83" t="s">
        <v>54</v>
      </c>
      <c r="P83" t="s">
        <v>30</v>
      </c>
      <c r="Q83" t="s">
        <v>31</v>
      </c>
      <c r="R83" s="3">
        <v>3769.4069999999901</v>
      </c>
    </row>
    <row r="84" spans="1:18" x14ac:dyDescent="0.3">
      <c r="A84" t="s">
        <v>578</v>
      </c>
      <c r="B84" t="str">
        <f>TEXT(Raw_Data[[#This Row],[Order Date]],"mmm")</f>
        <v>Mar</v>
      </c>
      <c r="C84" t="s">
        <v>282</v>
      </c>
      <c r="D84" t="s">
        <v>579</v>
      </c>
      <c r="E84" t="s">
        <v>48</v>
      </c>
      <c r="F84" t="s">
        <v>69</v>
      </c>
      <c r="G84" t="s">
        <v>70</v>
      </c>
      <c r="H84" t="s">
        <v>23</v>
      </c>
      <c r="I84" t="s">
        <v>263</v>
      </c>
      <c r="J84" t="s">
        <v>100</v>
      </c>
      <c r="K84" t="s">
        <v>580</v>
      </c>
      <c r="L84">
        <v>0.1</v>
      </c>
      <c r="M84" t="s">
        <v>581</v>
      </c>
      <c r="N84" t="s">
        <v>582</v>
      </c>
      <c r="O84" t="s">
        <v>29</v>
      </c>
      <c r="P84" t="s">
        <v>30</v>
      </c>
      <c r="Q84" t="s">
        <v>44</v>
      </c>
      <c r="R84" s="3">
        <v>121699.367999999</v>
      </c>
    </row>
    <row r="85" spans="1:18" x14ac:dyDescent="0.3">
      <c r="A85" t="s">
        <v>583</v>
      </c>
      <c r="B85" t="str">
        <f>TEXT(Raw_Data[[#This Row],[Order Date]],"mmm")</f>
        <v>Oct</v>
      </c>
      <c r="C85" t="s">
        <v>584</v>
      </c>
      <c r="D85" t="s">
        <v>585</v>
      </c>
      <c r="E85" t="s">
        <v>48</v>
      </c>
      <c r="F85" t="s">
        <v>106</v>
      </c>
      <c r="G85" t="s">
        <v>163</v>
      </c>
      <c r="H85" t="s">
        <v>23</v>
      </c>
      <c r="I85" t="s">
        <v>263</v>
      </c>
      <c r="J85" t="s">
        <v>25</v>
      </c>
      <c r="K85" t="s">
        <v>586</v>
      </c>
      <c r="L85">
        <v>0.05</v>
      </c>
      <c r="M85" t="s">
        <v>587</v>
      </c>
      <c r="N85" t="s">
        <v>588</v>
      </c>
      <c r="O85" t="s">
        <v>64</v>
      </c>
      <c r="P85" t="s">
        <v>30</v>
      </c>
      <c r="Q85" t="s">
        <v>31</v>
      </c>
      <c r="R85" s="3">
        <v>68079.47</v>
      </c>
    </row>
    <row r="86" spans="1:18" x14ac:dyDescent="0.3">
      <c r="A86" t="s">
        <v>589</v>
      </c>
      <c r="B86" t="str">
        <f>TEXT(Raw_Data[[#This Row],[Order Date]],"mmm")</f>
        <v>Oct</v>
      </c>
      <c r="C86" t="s">
        <v>314</v>
      </c>
      <c r="D86" t="s">
        <v>590</v>
      </c>
      <c r="E86" t="s">
        <v>20</v>
      </c>
      <c r="F86" t="s">
        <v>106</v>
      </c>
      <c r="G86" t="s">
        <v>106</v>
      </c>
      <c r="H86" t="s">
        <v>107</v>
      </c>
      <c r="I86" t="s">
        <v>591</v>
      </c>
      <c r="J86" t="s">
        <v>25</v>
      </c>
      <c r="K86" t="s">
        <v>592</v>
      </c>
      <c r="L86">
        <v>0</v>
      </c>
      <c r="M86" t="s">
        <v>593</v>
      </c>
      <c r="N86" t="s">
        <v>594</v>
      </c>
      <c r="O86" t="s">
        <v>173</v>
      </c>
      <c r="P86" t="s">
        <v>30</v>
      </c>
      <c r="Q86" t="s">
        <v>44</v>
      </c>
      <c r="R86" s="3">
        <v>11603.7</v>
      </c>
    </row>
    <row r="87" spans="1:18" x14ac:dyDescent="0.3">
      <c r="A87" t="s">
        <v>595</v>
      </c>
      <c r="B87" t="str">
        <f>TEXT(Raw_Data[[#This Row],[Order Date]],"mmm")</f>
        <v>Apr</v>
      </c>
      <c r="C87" t="s">
        <v>596</v>
      </c>
      <c r="D87" t="s">
        <v>597</v>
      </c>
      <c r="E87" t="s">
        <v>20</v>
      </c>
      <c r="F87" t="s">
        <v>21</v>
      </c>
      <c r="G87" t="s">
        <v>130</v>
      </c>
      <c r="H87" t="s">
        <v>154</v>
      </c>
      <c r="I87" t="s">
        <v>237</v>
      </c>
      <c r="J87" t="s">
        <v>25</v>
      </c>
      <c r="K87" t="s">
        <v>598</v>
      </c>
      <c r="L87">
        <v>0.15</v>
      </c>
      <c r="M87" t="s">
        <v>599</v>
      </c>
      <c r="N87" t="s">
        <v>600</v>
      </c>
      <c r="O87" t="s">
        <v>43</v>
      </c>
      <c r="P87" t="s">
        <v>30</v>
      </c>
      <c r="Q87" t="s">
        <v>65</v>
      </c>
      <c r="R87" s="3">
        <v>3443.9535000000001</v>
      </c>
    </row>
    <row r="88" spans="1:18" x14ac:dyDescent="0.3">
      <c r="A88" t="s">
        <v>601</v>
      </c>
      <c r="B88" t="str">
        <f>TEXT(Raw_Data[[#This Row],[Order Date]],"mmm")</f>
        <v>Mar</v>
      </c>
      <c r="C88" t="s">
        <v>602</v>
      </c>
      <c r="D88" t="s">
        <v>603</v>
      </c>
      <c r="E88" t="s">
        <v>20</v>
      </c>
      <c r="F88" t="s">
        <v>69</v>
      </c>
      <c r="G88" t="s">
        <v>328</v>
      </c>
      <c r="H88" t="s">
        <v>38</v>
      </c>
      <c r="I88" t="s">
        <v>60</v>
      </c>
      <c r="J88" t="s">
        <v>25</v>
      </c>
      <c r="K88" t="s">
        <v>604</v>
      </c>
      <c r="L88">
        <v>0</v>
      </c>
      <c r="M88" t="s">
        <v>605</v>
      </c>
      <c r="N88" t="s">
        <v>606</v>
      </c>
      <c r="O88" t="s">
        <v>54</v>
      </c>
      <c r="P88" t="s">
        <v>30</v>
      </c>
      <c r="Q88" t="s">
        <v>44</v>
      </c>
      <c r="R88" s="3">
        <v>5520.45</v>
      </c>
    </row>
    <row r="89" spans="1:18" x14ac:dyDescent="0.3">
      <c r="A89" t="s">
        <v>607</v>
      </c>
      <c r="B89" t="str">
        <f>TEXT(Raw_Data[[#This Row],[Order Date]],"mmm")</f>
        <v>Jan</v>
      </c>
      <c r="C89" t="s">
        <v>175</v>
      </c>
      <c r="D89" t="s">
        <v>608</v>
      </c>
      <c r="E89" t="s">
        <v>48</v>
      </c>
      <c r="F89" t="s">
        <v>36</v>
      </c>
      <c r="G89" t="s">
        <v>196</v>
      </c>
      <c r="H89" t="s">
        <v>23</v>
      </c>
      <c r="I89" t="s">
        <v>24</v>
      </c>
      <c r="J89" t="s">
        <v>25</v>
      </c>
      <c r="K89" t="s">
        <v>609</v>
      </c>
      <c r="L89">
        <v>0.1</v>
      </c>
      <c r="M89" t="s">
        <v>610</v>
      </c>
      <c r="N89" t="s">
        <v>611</v>
      </c>
      <c r="O89" t="s">
        <v>173</v>
      </c>
      <c r="P89" t="s">
        <v>30</v>
      </c>
      <c r="Q89" t="s">
        <v>44</v>
      </c>
      <c r="R89" s="3">
        <v>29448.891</v>
      </c>
    </row>
    <row r="90" spans="1:18" x14ac:dyDescent="0.3">
      <c r="A90" t="s">
        <v>612</v>
      </c>
      <c r="B90" t="str">
        <f>TEXT(Raw_Data[[#This Row],[Order Date]],"mmm")</f>
        <v>Oct</v>
      </c>
      <c r="C90" t="s">
        <v>584</v>
      </c>
      <c r="D90" t="s">
        <v>613</v>
      </c>
      <c r="E90" t="s">
        <v>48</v>
      </c>
      <c r="F90" t="s">
        <v>58</v>
      </c>
      <c r="G90" t="s">
        <v>59</v>
      </c>
      <c r="H90" t="s">
        <v>80</v>
      </c>
      <c r="I90" t="s">
        <v>146</v>
      </c>
      <c r="J90" t="s">
        <v>50</v>
      </c>
      <c r="K90" t="s">
        <v>614</v>
      </c>
      <c r="L90">
        <v>0.05</v>
      </c>
      <c r="M90" t="s">
        <v>615</v>
      </c>
      <c r="N90" t="s">
        <v>616</v>
      </c>
      <c r="O90" t="s">
        <v>29</v>
      </c>
      <c r="P90" t="s">
        <v>30</v>
      </c>
      <c r="Q90" t="s">
        <v>31</v>
      </c>
      <c r="R90" s="3">
        <v>12945.478999999999</v>
      </c>
    </row>
    <row r="91" spans="1:18" x14ac:dyDescent="0.3">
      <c r="A91" t="s">
        <v>617</v>
      </c>
      <c r="B91" t="str">
        <f>TEXT(Raw_Data[[#This Row],[Order Date]],"mmm")</f>
        <v>Sep</v>
      </c>
      <c r="C91" t="s">
        <v>618</v>
      </c>
      <c r="D91" t="s">
        <v>619</v>
      </c>
      <c r="E91" t="s">
        <v>48</v>
      </c>
      <c r="F91" t="s">
        <v>69</v>
      </c>
      <c r="G91" t="s">
        <v>328</v>
      </c>
      <c r="H91" t="s">
        <v>80</v>
      </c>
      <c r="I91" t="s">
        <v>146</v>
      </c>
      <c r="J91" t="s">
        <v>25</v>
      </c>
      <c r="K91" t="s">
        <v>620</v>
      </c>
      <c r="L91">
        <v>0</v>
      </c>
      <c r="M91" t="s">
        <v>621</v>
      </c>
      <c r="N91" t="s">
        <v>622</v>
      </c>
      <c r="O91" t="s">
        <v>64</v>
      </c>
      <c r="P91" t="s">
        <v>30</v>
      </c>
      <c r="Q91" t="s">
        <v>65</v>
      </c>
      <c r="R91" s="3">
        <v>4961.9799999999996</v>
      </c>
    </row>
    <row r="92" spans="1:18" x14ac:dyDescent="0.3">
      <c r="A92" t="s">
        <v>623</v>
      </c>
      <c r="B92" t="str">
        <f>TEXT(Raw_Data[[#This Row],[Order Date]],"mmm")</f>
        <v>Apr</v>
      </c>
      <c r="C92" t="s">
        <v>352</v>
      </c>
      <c r="D92" t="s">
        <v>624</v>
      </c>
      <c r="E92" t="s">
        <v>35</v>
      </c>
      <c r="F92" t="s">
        <v>89</v>
      </c>
      <c r="G92" t="s">
        <v>230</v>
      </c>
      <c r="H92" t="s">
        <v>107</v>
      </c>
      <c r="I92" t="s">
        <v>469</v>
      </c>
      <c r="J92" t="s">
        <v>25</v>
      </c>
      <c r="K92" t="s">
        <v>625</v>
      </c>
      <c r="L92">
        <v>0.15</v>
      </c>
      <c r="M92" t="s">
        <v>626</v>
      </c>
      <c r="N92" t="s">
        <v>627</v>
      </c>
      <c r="O92" t="s">
        <v>64</v>
      </c>
      <c r="P92" t="s">
        <v>95</v>
      </c>
      <c r="Q92" t="s">
        <v>44</v>
      </c>
      <c r="R92" s="3">
        <v>9965.4424999999992</v>
      </c>
    </row>
    <row r="93" spans="1:18" x14ac:dyDescent="0.3">
      <c r="A93" t="s">
        <v>628</v>
      </c>
      <c r="B93" t="str">
        <f>TEXT(Raw_Data[[#This Row],[Order Date]],"mmm")</f>
        <v>Oct</v>
      </c>
      <c r="C93" t="s">
        <v>629</v>
      </c>
      <c r="D93" t="s">
        <v>630</v>
      </c>
      <c r="E93" t="s">
        <v>48</v>
      </c>
      <c r="F93" t="s">
        <v>215</v>
      </c>
      <c r="G93" t="s">
        <v>276</v>
      </c>
      <c r="H93" t="s">
        <v>80</v>
      </c>
      <c r="I93" t="s">
        <v>116</v>
      </c>
      <c r="J93" t="s">
        <v>25</v>
      </c>
      <c r="K93" t="s">
        <v>631</v>
      </c>
      <c r="L93">
        <v>0</v>
      </c>
      <c r="M93" t="s">
        <v>632</v>
      </c>
      <c r="N93" t="s">
        <v>633</v>
      </c>
      <c r="O93" t="s">
        <v>43</v>
      </c>
      <c r="P93" t="s">
        <v>30</v>
      </c>
      <c r="Q93" t="s">
        <v>65</v>
      </c>
      <c r="R93" s="3">
        <v>6824.99</v>
      </c>
    </row>
    <row r="94" spans="1:18" x14ac:dyDescent="0.3">
      <c r="A94" t="s">
        <v>634</v>
      </c>
      <c r="B94" t="str">
        <f>TEXT(Raw_Data[[#This Row],[Order Date]],"mmm")</f>
        <v>Jul</v>
      </c>
      <c r="C94" t="s">
        <v>333</v>
      </c>
      <c r="D94" t="s">
        <v>635</v>
      </c>
      <c r="E94" t="s">
        <v>20</v>
      </c>
      <c r="F94" t="s">
        <v>69</v>
      </c>
      <c r="G94" t="s">
        <v>70</v>
      </c>
      <c r="H94" t="s">
        <v>154</v>
      </c>
      <c r="I94" t="s">
        <v>237</v>
      </c>
      <c r="J94" t="s">
        <v>25</v>
      </c>
      <c r="K94" t="s">
        <v>636</v>
      </c>
      <c r="L94">
        <v>0.15</v>
      </c>
      <c r="M94" t="s">
        <v>637</v>
      </c>
      <c r="N94" t="s">
        <v>638</v>
      </c>
      <c r="O94" t="s">
        <v>43</v>
      </c>
      <c r="P94" t="s">
        <v>112</v>
      </c>
      <c r="Q94" t="s">
        <v>44</v>
      </c>
      <c r="R94" s="3">
        <v>2595.3305</v>
      </c>
    </row>
    <row r="95" spans="1:18" x14ac:dyDescent="0.3">
      <c r="A95" t="s">
        <v>639</v>
      </c>
      <c r="B95" t="str">
        <f>TEXT(Raw_Data[[#This Row],[Order Date]],"mmm")</f>
        <v>Dec</v>
      </c>
      <c r="C95" t="s">
        <v>640</v>
      </c>
      <c r="D95" t="s">
        <v>641</v>
      </c>
      <c r="E95" t="s">
        <v>20</v>
      </c>
      <c r="F95" t="s">
        <v>58</v>
      </c>
      <c r="G95" t="s">
        <v>290</v>
      </c>
      <c r="H95" t="s">
        <v>80</v>
      </c>
      <c r="I95" t="s">
        <v>91</v>
      </c>
      <c r="J95" t="s">
        <v>25</v>
      </c>
      <c r="K95" t="s">
        <v>642</v>
      </c>
      <c r="L95">
        <v>0.05</v>
      </c>
      <c r="M95" t="s">
        <v>643</v>
      </c>
      <c r="N95" t="s">
        <v>644</v>
      </c>
      <c r="O95" t="s">
        <v>64</v>
      </c>
      <c r="P95" t="s">
        <v>30</v>
      </c>
      <c r="Q95" t="s">
        <v>31</v>
      </c>
      <c r="R95" s="3">
        <v>1078.3924999999999</v>
      </c>
    </row>
    <row r="96" spans="1:18" x14ac:dyDescent="0.3">
      <c r="A96" t="s">
        <v>645</v>
      </c>
      <c r="B96" t="str">
        <f>TEXT(Raw_Data[[#This Row],[Order Date]],"mmm")</f>
        <v>Dec</v>
      </c>
      <c r="C96" t="s">
        <v>646</v>
      </c>
      <c r="D96" t="s">
        <v>647</v>
      </c>
      <c r="E96" t="s">
        <v>20</v>
      </c>
      <c r="F96" t="s">
        <v>58</v>
      </c>
      <c r="G96" t="s">
        <v>290</v>
      </c>
      <c r="H96" t="s">
        <v>107</v>
      </c>
      <c r="I96" t="s">
        <v>378</v>
      </c>
      <c r="J96" t="s">
        <v>82</v>
      </c>
      <c r="K96" t="s">
        <v>648</v>
      </c>
      <c r="L96">
        <v>0</v>
      </c>
      <c r="M96" t="s">
        <v>649</v>
      </c>
      <c r="N96" t="s">
        <v>650</v>
      </c>
      <c r="O96" t="s">
        <v>54</v>
      </c>
      <c r="P96" t="s">
        <v>30</v>
      </c>
      <c r="Q96" t="s">
        <v>65</v>
      </c>
      <c r="R96" s="3">
        <v>61088.52</v>
      </c>
    </row>
    <row r="97" spans="1:18" x14ac:dyDescent="0.3">
      <c r="A97" t="s">
        <v>651</v>
      </c>
      <c r="B97" t="str">
        <f>TEXT(Raw_Data[[#This Row],[Order Date]],"mmm")</f>
        <v>Oct</v>
      </c>
      <c r="C97" t="s">
        <v>460</v>
      </c>
      <c r="D97" t="s">
        <v>652</v>
      </c>
      <c r="E97" t="s">
        <v>48</v>
      </c>
      <c r="F97" t="s">
        <v>106</v>
      </c>
      <c r="G97" t="s">
        <v>106</v>
      </c>
      <c r="H97" t="s">
        <v>80</v>
      </c>
      <c r="I97" t="s">
        <v>81</v>
      </c>
      <c r="J97" t="s">
        <v>25</v>
      </c>
      <c r="K97" t="s">
        <v>653</v>
      </c>
      <c r="L97">
        <v>0.1</v>
      </c>
      <c r="M97" t="s">
        <v>654</v>
      </c>
      <c r="N97" t="s">
        <v>655</v>
      </c>
      <c r="O97" t="s">
        <v>54</v>
      </c>
      <c r="P97" t="s">
        <v>30</v>
      </c>
      <c r="Q97" t="s">
        <v>44</v>
      </c>
      <c r="R97" s="3">
        <v>4017.6089999999999</v>
      </c>
    </row>
    <row r="98" spans="1:18" x14ac:dyDescent="0.3">
      <c r="A98" t="s">
        <v>656</v>
      </c>
      <c r="B98" t="str">
        <f>TEXT(Raw_Data[[#This Row],[Order Date]],"mmm")</f>
        <v>Nov</v>
      </c>
      <c r="C98" t="s">
        <v>657</v>
      </c>
      <c r="D98" t="s">
        <v>658</v>
      </c>
      <c r="E98" t="s">
        <v>20</v>
      </c>
      <c r="F98" t="s">
        <v>58</v>
      </c>
      <c r="G98" t="s">
        <v>290</v>
      </c>
      <c r="H98" t="s">
        <v>38</v>
      </c>
      <c r="I98" t="s">
        <v>39</v>
      </c>
      <c r="J98" t="s">
        <v>25</v>
      </c>
      <c r="K98" t="s">
        <v>659</v>
      </c>
      <c r="L98">
        <v>0.1</v>
      </c>
      <c r="M98" t="s">
        <v>660</v>
      </c>
      <c r="N98" t="s">
        <v>661</v>
      </c>
      <c r="O98" t="s">
        <v>173</v>
      </c>
      <c r="P98" t="s">
        <v>30</v>
      </c>
      <c r="Q98" t="s">
        <v>65</v>
      </c>
      <c r="R98" s="3">
        <v>892.87199999999996</v>
      </c>
    </row>
    <row r="99" spans="1:18" x14ac:dyDescent="0.3">
      <c r="A99" t="s">
        <v>662</v>
      </c>
      <c r="B99" t="str">
        <f>TEXT(Raw_Data[[#This Row],[Order Date]],"mmm")</f>
        <v>Sep</v>
      </c>
      <c r="C99" t="s">
        <v>663</v>
      </c>
      <c r="D99" t="s">
        <v>664</v>
      </c>
      <c r="E99" t="s">
        <v>48</v>
      </c>
      <c r="F99" t="s">
        <v>215</v>
      </c>
      <c r="G99" t="s">
        <v>216</v>
      </c>
      <c r="H99" t="s">
        <v>23</v>
      </c>
      <c r="I99" t="s">
        <v>263</v>
      </c>
      <c r="J99" t="s">
        <v>100</v>
      </c>
      <c r="K99" t="s">
        <v>665</v>
      </c>
      <c r="L99">
        <v>0</v>
      </c>
      <c r="M99" t="s">
        <v>666</v>
      </c>
      <c r="N99" t="s">
        <v>667</v>
      </c>
      <c r="O99" t="s">
        <v>64</v>
      </c>
      <c r="P99" t="s">
        <v>30</v>
      </c>
      <c r="Q99" t="s">
        <v>65</v>
      </c>
      <c r="R99" s="3">
        <v>35139.24</v>
      </c>
    </row>
    <row r="100" spans="1:18" x14ac:dyDescent="0.3">
      <c r="A100" t="s">
        <v>668</v>
      </c>
      <c r="B100" t="str">
        <f>TEXT(Raw_Data[[#This Row],[Order Date]],"mmm")</f>
        <v>Jan</v>
      </c>
      <c r="C100" t="s">
        <v>669</v>
      </c>
      <c r="D100" t="s">
        <v>670</v>
      </c>
      <c r="E100" t="s">
        <v>35</v>
      </c>
      <c r="F100" t="s">
        <v>36</v>
      </c>
      <c r="G100" t="s">
        <v>37</v>
      </c>
      <c r="H100" t="s">
        <v>154</v>
      </c>
      <c r="I100" t="s">
        <v>155</v>
      </c>
      <c r="J100" t="s">
        <v>25</v>
      </c>
      <c r="K100" t="s">
        <v>671</v>
      </c>
      <c r="L100">
        <v>0</v>
      </c>
      <c r="M100" t="s">
        <v>672</v>
      </c>
      <c r="N100" t="s">
        <v>673</v>
      </c>
      <c r="O100" t="s">
        <v>29</v>
      </c>
      <c r="P100" t="s">
        <v>30</v>
      </c>
      <c r="Q100" t="s">
        <v>65</v>
      </c>
      <c r="R100" s="3">
        <v>11913.02</v>
      </c>
    </row>
    <row r="101" spans="1:18" x14ac:dyDescent="0.3">
      <c r="A101" t="s">
        <v>674</v>
      </c>
      <c r="B101" t="str">
        <f>TEXT(Raw_Data[[#This Row],[Order Date]],"mmm")</f>
        <v>Apr</v>
      </c>
      <c r="C101" t="s">
        <v>675</v>
      </c>
      <c r="D101" t="s">
        <v>676</v>
      </c>
      <c r="E101" t="s">
        <v>20</v>
      </c>
      <c r="F101" t="s">
        <v>89</v>
      </c>
      <c r="G101" t="s">
        <v>230</v>
      </c>
      <c r="H101" t="s">
        <v>23</v>
      </c>
      <c r="I101" t="s">
        <v>183</v>
      </c>
      <c r="J101" t="s">
        <v>25</v>
      </c>
      <c r="K101" t="s">
        <v>677</v>
      </c>
      <c r="L101">
        <v>0.05</v>
      </c>
      <c r="M101" t="s">
        <v>678</v>
      </c>
      <c r="N101" t="s">
        <v>679</v>
      </c>
      <c r="O101" t="s">
        <v>29</v>
      </c>
      <c r="P101" t="s">
        <v>30</v>
      </c>
      <c r="Q101" t="s">
        <v>65</v>
      </c>
      <c r="R101" s="3">
        <v>14253.9994999999</v>
      </c>
    </row>
    <row r="102" spans="1:18" x14ac:dyDescent="0.3">
      <c r="A102" t="s">
        <v>680</v>
      </c>
      <c r="B102" t="str">
        <f>TEXT(Raw_Data[[#This Row],[Order Date]],"mmm")</f>
        <v>Aug</v>
      </c>
      <c r="C102" t="s">
        <v>681</v>
      </c>
      <c r="D102" t="s">
        <v>682</v>
      </c>
      <c r="E102" t="s">
        <v>35</v>
      </c>
      <c r="F102" t="s">
        <v>106</v>
      </c>
      <c r="G102" t="s">
        <v>106</v>
      </c>
      <c r="H102" t="s">
        <v>23</v>
      </c>
      <c r="I102" t="s">
        <v>341</v>
      </c>
      <c r="J102" t="s">
        <v>50</v>
      </c>
      <c r="K102" t="s">
        <v>683</v>
      </c>
      <c r="L102">
        <v>0.15</v>
      </c>
      <c r="M102" t="s">
        <v>684</v>
      </c>
      <c r="N102" t="s">
        <v>685</v>
      </c>
      <c r="O102" t="s">
        <v>173</v>
      </c>
      <c r="P102" t="s">
        <v>159</v>
      </c>
      <c r="Q102" t="s">
        <v>65</v>
      </c>
      <c r="R102" s="3">
        <v>98983.995999999999</v>
      </c>
    </row>
    <row r="103" spans="1:18" x14ac:dyDescent="0.3">
      <c r="A103" t="s">
        <v>686</v>
      </c>
      <c r="B103" t="str">
        <f>TEXT(Raw_Data[[#This Row],[Order Date]],"mmm")</f>
        <v>Apr</v>
      </c>
      <c r="C103" t="s">
        <v>121</v>
      </c>
      <c r="D103" t="s">
        <v>687</v>
      </c>
      <c r="E103" t="s">
        <v>48</v>
      </c>
      <c r="F103" t="s">
        <v>106</v>
      </c>
      <c r="G103" t="s">
        <v>163</v>
      </c>
      <c r="H103" t="s">
        <v>38</v>
      </c>
      <c r="I103" t="s">
        <v>60</v>
      </c>
      <c r="J103" t="s">
        <v>25</v>
      </c>
      <c r="K103" t="s">
        <v>688</v>
      </c>
      <c r="L103">
        <v>0.1</v>
      </c>
      <c r="M103" t="s">
        <v>689</v>
      </c>
      <c r="N103" t="s">
        <v>690</v>
      </c>
      <c r="O103" t="s">
        <v>54</v>
      </c>
      <c r="P103" t="s">
        <v>30</v>
      </c>
      <c r="Q103" t="s">
        <v>65</v>
      </c>
      <c r="R103" s="3">
        <v>437.4</v>
      </c>
    </row>
    <row r="104" spans="1:18" x14ac:dyDescent="0.3">
      <c r="A104" t="s">
        <v>691</v>
      </c>
      <c r="B104" t="str">
        <f>TEXT(Raw_Data[[#This Row],[Order Date]],"mmm")</f>
        <v>Dec</v>
      </c>
      <c r="C104" t="s">
        <v>268</v>
      </c>
      <c r="D104" t="s">
        <v>692</v>
      </c>
      <c r="E104" t="s">
        <v>20</v>
      </c>
      <c r="F104" t="s">
        <v>78</v>
      </c>
      <c r="G104" t="s">
        <v>79</v>
      </c>
      <c r="H104" t="s">
        <v>154</v>
      </c>
      <c r="I104" t="s">
        <v>237</v>
      </c>
      <c r="J104" t="s">
        <v>25</v>
      </c>
      <c r="K104" t="s">
        <v>693</v>
      </c>
      <c r="L104">
        <v>0.1</v>
      </c>
      <c r="M104" t="s">
        <v>694</v>
      </c>
      <c r="N104" t="s">
        <v>695</v>
      </c>
      <c r="O104" t="s">
        <v>54</v>
      </c>
      <c r="P104" t="s">
        <v>30</v>
      </c>
      <c r="Q104" t="s">
        <v>65</v>
      </c>
      <c r="R104" s="3">
        <v>4045.1849999999999</v>
      </c>
    </row>
    <row r="105" spans="1:18" x14ac:dyDescent="0.3">
      <c r="A105" t="s">
        <v>696</v>
      </c>
      <c r="B105" t="str">
        <f>TEXT(Raw_Data[[#This Row],[Order Date]],"mmm")</f>
        <v>Jan</v>
      </c>
      <c r="C105" t="s">
        <v>431</v>
      </c>
      <c r="D105" t="s">
        <v>697</v>
      </c>
      <c r="E105" t="s">
        <v>48</v>
      </c>
      <c r="F105" t="s">
        <v>21</v>
      </c>
      <c r="G105" t="s">
        <v>22</v>
      </c>
      <c r="H105" t="s">
        <v>23</v>
      </c>
      <c r="I105" t="s">
        <v>24</v>
      </c>
      <c r="J105" t="s">
        <v>100</v>
      </c>
      <c r="K105" t="s">
        <v>698</v>
      </c>
      <c r="L105">
        <v>0.1</v>
      </c>
      <c r="M105" t="s">
        <v>699</v>
      </c>
      <c r="N105" t="s">
        <v>700</v>
      </c>
      <c r="O105" t="s">
        <v>29</v>
      </c>
      <c r="P105" t="s">
        <v>30</v>
      </c>
      <c r="Q105" t="s">
        <v>44</v>
      </c>
      <c r="R105" s="3">
        <v>126739.674</v>
      </c>
    </row>
    <row r="106" spans="1:18" x14ac:dyDescent="0.3">
      <c r="A106" t="s">
        <v>701</v>
      </c>
      <c r="B106" t="str">
        <f>TEXT(Raw_Data[[#This Row],[Order Date]],"mmm")</f>
        <v>Feb</v>
      </c>
      <c r="C106" t="s">
        <v>702</v>
      </c>
      <c r="D106" t="s">
        <v>703</v>
      </c>
      <c r="E106" t="s">
        <v>48</v>
      </c>
      <c r="F106" t="s">
        <v>69</v>
      </c>
      <c r="G106" t="s">
        <v>139</v>
      </c>
      <c r="H106" t="s">
        <v>154</v>
      </c>
      <c r="I106" t="s">
        <v>237</v>
      </c>
      <c r="J106" t="s">
        <v>50</v>
      </c>
      <c r="K106" t="s">
        <v>704</v>
      </c>
      <c r="L106">
        <v>0</v>
      </c>
      <c r="M106" t="s">
        <v>705</v>
      </c>
      <c r="N106" t="s">
        <v>706</v>
      </c>
      <c r="O106" t="s">
        <v>173</v>
      </c>
      <c r="P106" t="s">
        <v>30</v>
      </c>
      <c r="Q106" t="s">
        <v>44</v>
      </c>
      <c r="R106" s="3">
        <v>2279.2800000000002</v>
      </c>
    </row>
    <row r="107" spans="1:18" x14ac:dyDescent="0.3">
      <c r="A107" t="s">
        <v>707</v>
      </c>
      <c r="B107" t="str">
        <f>TEXT(Raw_Data[[#This Row],[Order Date]],"mmm")</f>
        <v>Apr</v>
      </c>
      <c r="C107" t="s">
        <v>419</v>
      </c>
      <c r="D107" t="s">
        <v>708</v>
      </c>
      <c r="E107" t="s">
        <v>20</v>
      </c>
      <c r="F107" t="s">
        <v>69</v>
      </c>
      <c r="G107" t="s">
        <v>70</v>
      </c>
      <c r="H107" t="s">
        <v>154</v>
      </c>
      <c r="I107" t="s">
        <v>365</v>
      </c>
      <c r="J107" t="s">
        <v>25</v>
      </c>
      <c r="K107" t="s">
        <v>709</v>
      </c>
      <c r="L107">
        <v>0.15</v>
      </c>
      <c r="M107" t="s">
        <v>710</v>
      </c>
      <c r="N107" t="s">
        <v>711</v>
      </c>
      <c r="O107" t="s">
        <v>64</v>
      </c>
      <c r="P107" t="s">
        <v>30</v>
      </c>
      <c r="Q107" t="s">
        <v>65</v>
      </c>
      <c r="R107" s="3">
        <v>848.32549999999901</v>
      </c>
    </row>
    <row r="108" spans="1:18" x14ac:dyDescent="0.3">
      <c r="A108" t="s">
        <v>712</v>
      </c>
      <c r="B108" t="str">
        <f>TEXT(Raw_Data[[#This Row],[Order Date]],"mmm")</f>
        <v>Mar</v>
      </c>
      <c r="C108" t="s">
        <v>713</v>
      </c>
      <c r="D108" t="s">
        <v>714</v>
      </c>
      <c r="E108" t="s">
        <v>48</v>
      </c>
      <c r="F108" t="s">
        <v>69</v>
      </c>
      <c r="G108" t="s">
        <v>139</v>
      </c>
      <c r="H108" t="s">
        <v>154</v>
      </c>
      <c r="I108" t="s">
        <v>155</v>
      </c>
      <c r="J108" t="s">
        <v>25</v>
      </c>
      <c r="K108" t="s">
        <v>715</v>
      </c>
      <c r="L108">
        <v>0.1</v>
      </c>
      <c r="M108" t="s">
        <v>716</v>
      </c>
      <c r="N108" t="s">
        <v>717</v>
      </c>
      <c r="O108" t="s">
        <v>64</v>
      </c>
      <c r="P108" t="s">
        <v>30</v>
      </c>
      <c r="Q108" t="s">
        <v>44</v>
      </c>
      <c r="R108" s="3">
        <v>2047.77</v>
      </c>
    </row>
    <row r="109" spans="1:18" x14ac:dyDescent="0.3">
      <c r="A109" t="s">
        <v>718</v>
      </c>
      <c r="B109" t="str">
        <f>TEXT(Raw_Data[[#This Row],[Order Date]],"mmm")</f>
        <v>Sep</v>
      </c>
      <c r="C109" t="s">
        <v>719</v>
      </c>
      <c r="D109" t="s">
        <v>720</v>
      </c>
      <c r="E109" t="s">
        <v>20</v>
      </c>
      <c r="F109" t="s">
        <v>215</v>
      </c>
      <c r="G109" t="s">
        <v>276</v>
      </c>
      <c r="H109" t="s">
        <v>23</v>
      </c>
      <c r="I109" t="s">
        <v>24</v>
      </c>
      <c r="J109" t="s">
        <v>25</v>
      </c>
      <c r="K109" t="s">
        <v>721</v>
      </c>
      <c r="L109">
        <v>0</v>
      </c>
      <c r="M109" t="s">
        <v>722</v>
      </c>
      <c r="N109" t="s">
        <v>723</v>
      </c>
      <c r="O109" t="s">
        <v>173</v>
      </c>
      <c r="P109" t="s">
        <v>30</v>
      </c>
      <c r="Q109" t="s">
        <v>65</v>
      </c>
      <c r="R109" s="3">
        <v>50681.58</v>
      </c>
    </row>
    <row r="110" spans="1:18" x14ac:dyDescent="0.3">
      <c r="A110" t="s">
        <v>724</v>
      </c>
      <c r="B110" t="str">
        <f>TEXT(Raw_Data[[#This Row],[Order Date]],"mmm")</f>
        <v>Oct</v>
      </c>
      <c r="C110" t="s">
        <v>314</v>
      </c>
      <c r="D110" t="s">
        <v>725</v>
      </c>
      <c r="E110" t="s">
        <v>20</v>
      </c>
      <c r="F110" t="s">
        <v>106</v>
      </c>
      <c r="G110" t="s">
        <v>106</v>
      </c>
      <c r="H110" t="s">
        <v>38</v>
      </c>
      <c r="I110" t="s">
        <v>39</v>
      </c>
      <c r="J110" t="s">
        <v>100</v>
      </c>
      <c r="K110" t="s">
        <v>726</v>
      </c>
      <c r="L110">
        <v>0.1</v>
      </c>
      <c r="M110" t="s">
        <v>727</v>
      </c>
      <c r="N110" t="s">
        <v>728</v>
      </c>
      <c r="O110" t="s">
        <v>29</v>
      </c>
      <c r="P110" t="s">
        <v>30</v>
      </c>
      <c r="Q110" t="s">
        <v>31</v>
      </c>
      <c r="R110" s="3">
        <v>9441.3870000000006</v>
      </c>
    </row>
    <row r="111" spans="1:18" x14ac:dyDescent="0.3">
      <c r="A111" t="s">
        <v>729</v>
      </c>
      <c r="B111" t="str">
        <f>TEXT(Raw_Data[[#This Row],[Order Date]],"mmm")</f>
        <v>Dec</v>
      </c>
      <c r="C111" t="s">
        <v>242</v>
      </c>
      <c r="D111" t="s">
        <v>730</v>
      </c>
      <c r="E111" t="s">
        <v>20</v>
      </c>
      <c r="F111" t="s">
        <v>78</v>
      </c>
      <c r="G111" t="s">
        <v>731</v>
      </c>
      <c r="H111" t="s">
        <v>154</v>
      </c>
      <c r="I111" t="s">
        <v>237</v>
      </c>
      <c r="J111" t="s">
        <v>25</v>
      </c>
      <c r="K111" t="s">
        <v>732</v>
      </c>
      <c r="L111">
        <v>0.1</v>
      </c>
      <c r="M111" t="s">
        <v>733</v>
      </c>
      <c r="N111" t="s">
        <v>734</v>
      </c>
      <c r="O111" t="s">
        <v>173</v>
      </c>
      <c r="P111" t="s">
        <v>30</v>
      </c>
      <c r="Q111" t="s">
        <v>44</v>
      </c>
      <c r="R111" s="3">
        <v>9247.527</v>
      </c>
    </row>
    <row r="112" spans="1:18" x14ac:dyDescent="0.3">
      <c r="A112" t="s">
        <v>735</v>
      </c>
      <c r="B112" t="str">
        <f>TEXT(Raw_Data[[#This Row],[Order Date]],"mmm")</f>
        <v>Oct</v>
      </c>
      <c r="C112" t="s">
        <v>736</v>
      </c>
      <c r="D112" t="s">
        <v>737</v>
      </c>
      <c r="E112" t="s">
        <v>35</v>
      </c>
      <c r="F112" t="s">
        <v>106</v>
      </c>
      <c r="G112" t="s">
        <v>106</v>
      </c>
      <c r="H112" t="s">
        <v>154</v>
      </c>
      <c r="I112" t="s">
        <v>155</v>
      </c>
      <c r="J112" t="s">
        <v>25</v>
      </c>
      <c r="K112" t="s">
        <v>738</v>
      </c>
      <c r="L112">
        <v>0</v>
      </c>
      <c r="M112" t="s">
        <v>739</v>
      </c>
      <c r="N112" t="s">
        <v>740</v>
      </c>
      <c r="O112" t="s">
        <v>29</v>
      </c>
      <c r="P112" t="s">
        <v>112</v>
      </c>
      <c r="Q112" t="s">
        <v>31</v>
      </c>
      <c r="R112" s="3">
        <v>6848.89</v>
      </c>
    </row>
    <row r="113" spans="1:18" x14ac:dyDescent="0.3">
      <c r="A113" t="s">
        <v>741</v>
      </c>
      <c r="B113" t="str">
        <f>TEXT(Raw_Data[[#This Row],[Order Date]],"mmm")</f>
        <v>Sep</v>
      </c>
      <c r="C113" t="s">
        <v>742</v>
      </c>
      <c r="D113" t="s">
        <v>743</v>
      </c>
      <c r="E113" t="s">
        <v>20</v>
      </c>
      <c r="F113" t="s">
        <v>69</v>
      </c>
      <c r="G113" t="s">
        <v>328</v>
      </c>
      <c r="H113" t="s">
        <v>23</v>
      </c>
      <c r="I113" t="s">
        <v>49</v>
      </c>
      <c r="J113" t="s">
        <v>25</v>
      </c>
      <c r="K113" t="s">
        <v>744</v>
      </c>
      <c r="L113">
        <v>0.05</v>
      </c>
      <c r="M113" t="s">
        <v>745</v>
      </c>
      <c r="N113" t="s">
        <v>746</v>
      </c>
      <c r="O113" t="s">
        <v>29</v>
      </c>
      <c r="P113" t="s">
        <v>95</v>
      </c>
      <c r="Q113" t="s">
        <v>44</v>
      </c>
      <c r="R113" s="3">
        <v>39992.406499999997</v>
      </c>
    </row>
    <row r="114" spans="1:18" x14ac:dyDescent="0.3">
      <c r="A114" t="s">
        <v>747</v>
      </c>
      <c r="B114" t="str">
        <f>TEXT(Raw_Data[[#This Row],[Order Date]],"mmm")</f>
        <v>Dec</v>
      </c>
      <c r="C114" t="s">
        <v>646</v>
      </c>
      <c r="D114" t="s">
        <v>748</v>
      </c>
      <c r="E114" t="s">
        <v>35</v>
      </c>
      <c r="F114" t="s">
        <v>89</v>
      </c>
      <c r="G114" t="s">
        <v>230</v>
      </c>
      <c r="H114" t="s">
        <v>38</v>
      </c>
      <c r="I114" t="s">
        <v>39</v>
      </c>
      <c r="J114" t="s">
        <v>25</v>
      </c>
      <c r="K114" t="s">
        <v>749</v>
      </c>
      <c r="L114">
        <v>0.1</v>
      </c>
      <c r="M114" t="s">
        <v>750</v>
      </c>
      <c r="N114" t="s">
        <v>751</v>
      </c>
      <c r="O114" t="s">
        <v>173</v>
      </c>
      <c r="P114" t="s">
        <v>30</v>
      </c>
      <c r="Q114" t="s">
        <v>44</v>
      </c>
      <c r="R114" s="3">
        <v>4929.2460000000001</v>
      </c>
    </row>
    <row r="115" spans="1:18" x14ac:dyDescent="0.3">
      <c r="A115" t="s">
        <v>752</v>
      </c>
      <c r="B115" t="str">
        <f>TEXT(Raw_Data[[#This Row],[Order Date]],"mmm")</f>
        <v>Jun</v>
      </c>
      <c r="C115" t="s">
        <v>753</v>
      </c>
      <c r="D115" t="s">
        <v>754</v>
      </c>
      <c r="E115" t="s">
        <v>20</v>
      </c>
      <c r="F115" t="s">
        <v>89</v>
      </c>
      <c r="G115" t="s">
        <v>90</v>
      </c>
      <c r="H115" t="s">
        <v>23</v>
      </c>
      <c r="I115" t="s">
        <v>183</v>
      </c>
      <c r="J115" t="s">
        <v>25</v>
      </c>
      <c r="K115" t="s">
        <v>755</v>
      </c>
      <c r="L115">
        <v>0.15</v>
      </c>
      <c r="M115" t="s">
        <v>756</v>
      </c>
      <c r="N115" t="s">
        <v>757</v>
      </c>
      <c r="O115" t="s">
        <v>64</v>
      </c>
      <c r="P115" t="s">
        <v>30</v>
      </c>
      <c r="Q115" t="s">
        <v>65</v>
      </c>
      <c r="R115" s="3">
        <v>43277.044499999902</v>
      </c>
    </row>
    <row r="116" spans="1:18" x14ac:dyDescent="0.3">
      <c r="A116" t="s">
        <v>758</v>
      </c>
      <c r="B116" t="str">
        <f>TEXT(Raw_Data[[#This Row],[Order Date]],"mmm")</f>
        <v>Jun</v>
      </c>
      <c r="C116" t="s">
        <v>466</v>
      </c>
      <c r="D116" t="s">
        <v>759</v>
      </c>
      <c r="E116" t="s">
        <v>20</v>
      </c>
      <c r="F116" t="s">
        <v>78</v>
      </c>
      <c r="G116" t="s">
        <v>468</v>
      </c>
      <c r="H116" t="s">
        <v>80</v>
      </c>
      <c r="I116" t="s">
        <v>131</v>
      </c>
      <c r="J116" t="s">
        <v>25</v>
      </c>
      <c r="K116" t="s">
        <v>760</v>
      </c>
      <c r="L116">
        <v>0.1</v>
      </c>
      <c r="M116" t="s">
        <v>761</v>
      </c>
      <c r="N116" t="s">
        <v>762</v>
      </c>
      <c r="O116" t="s">
        <v>64</v>
      </c>
      <c r="P116" t="s">
        <v>30</v>
      </c>
      <c r="Q116" t="s">
        <v>65</v>
      </c>
      <c r="R116" s="3">
        <v>4535.2979999999998</v>
      </c>
    </row>
    <row r="117" spans="1:18" x14ac:dyDescent="0.3">
      <c r="A117" t="s">
        <v>763</v>
      </c>
      <c r="B117" t="str">
        <f>TEXT(Raw_Data[[#This Row],[Order Date]],"mmm")</f>
        <v>Jun</v>
      </c>
      <c r="C117" t="s">
        <v>764</v>
      </c>
      <c r="D117" t="s">
        <v>765</v>
      </c>
      <c r="E117" t="s">
        <v>48</v>
      </c>
      <c r="F117" t="s">
        <v>36</v>
      </c>
      <c r="G117" t="s">
        <v>37</v>
      </c>
      <c r="H117" t="s">
        <v>23</v>
      </c>
      <c r="I117" t="s">
        <v>49</v>
      </c>
      <c r="J117" t="s">
        <v>25</v>
      </c>
      <c r="K117" t="s">
        <v>766</v>
      </c>
      <c r="L117">
        <v>0</v>
      </c>
      <c r="M117" t="s">
        <v>767</v>
      </c>
      <c r="N117" t="s">
        <v>768</v>
      </c>
      <c r="O117" t="s">
        <v>64</v>
      </c>
      <c r="P117" t="s">
        <v>30</v>
      </c>
      <c r="Q117" t="s">
        <v>44</v>
      </c>
      <c r="R117" s="3">
        <v>21227.75</v>
      </c>
    </row>
    <row r="118" spans="1:18" x14ac:dyDescent="0.3">
      <c r="A118" t="s">
        <v>769</v>
      </c>
      <c r="B118" t="str">
        <f>TEXT(Raw_Data[[#This Row],[Order Date]],"mmm")</f>
        <v>Mar</v>
      </c>
      <c r="C118" t="s">
        <v>492</v>
      </c>
      <c r="D118" t="s">
        <v>770</v>
      </c>
      <c r="E118" t="s">
        <v>48</v>
      </c>
      <c r="F118" t="s">
        <v>89</v>
      </c>
      <c r="G118" t="s">
        <v>99</v>
      </c>
      <c r="H118" t="s">
        <v>80</v>
      </c>
      <c r="I118" t="s">
        <v>146</v>
      </c>
      <c r="J118" t="s">
        <v>100</v>
      </c>
      <c r="K118" t="s">
        <v>771</v>
      </c>
      <c r="L118">
        <v>0.15</v>
      </c>
      <c r="M118" t="s">
        <v>772</v>
      </c>
      <c r="N118" t="s">
        <v>773</v>
      </c>
      <c r="O118" t="s">
        <v>64</v>
      </c>
      <c r="P118" t="s">
        <v>159</v>
      </c>
      <c r="Q118" t="s">
        <v>31</v>
      </c>
      <c r="R118" s="3">
        <v>2159.0340000000001</v>
      </c>
    </row>
    <row r="119" spans="1:18" x14ac:dyDescent="0.3">
      <c r="A119" t="s">
        <v>774</v>
      </c>
      <c r="B119" t="str">
        <f>TEXT(Raw_Data[[#This Row],[Order Date]],"mmm")</f>
        <v>Jan</v>
      </c>
      <c r="C119" t="s">
        <v>18</v>
      </c>
      <c r="D119" t="s">
        <v>775</v>
      </c>
      <c r="E119" t="s">
        <v>35</v>
      </c>
      <c r="F119" t="s">
        <v>89</v>
      </c>
      <c r="G119" t="s">
        <v>99</v>
      </c>
      <c r="H119" t="s">
        <v>23</v>
      </c>
      <c r="I119" t="s">
        <v>24</v>
      </c>
      <c r="J119" t="s">
        <v>25</v>
      </c>
      <c r="K119" t="s">
        <v>776</v>
      </c>
      <c r="L119">
        <v>0.15</v>
      </c>
      <c r="M119" t="s">
        <v>777</v>
      </c>
      <c r="N119" t="s">
        <v>778</v>
      </c>
      <c r="O119" t="s">
        <v>54</v>
      </c>
      <c r="P119" t="s">
        <v>30</v>
      </c>
      <c r="Q119" t="s">
        <v>44</v>
      </c>
      <c r="R119" s="3">
        <v>49451.784500000002</v>
      </c>
    </row>
    <row r="120" spans="1:18" x14ac:dyDescent="0.3">
      <c r="A120" t="s">
        <v>779</v>
      </c>
      <c r="B120" t="str">
        <f>TEXT(Raw_Data[[#This Row],[Order Date]],"mmm")</f>
        <v>Jan</v>
      </c>
      <c r="C120" t="s">
        <v>780</v>
      </c>
      <c r="D120" t="s">
        <v>781</v>
      </c>
      <c r="E120" t="s">
        <v>35</v>
      </c>
      <c r="F120" t="s">
        <v>78</v>
      </c>
      <c r="G120" t="s">
        <v>79</v>
      </c>
      <c r="H120" t="s">
        <v>154</v>
      </c>
      <c r="I120" t="s">
        <v>155</v>
      </c>
      <c r="J120" t="s">
        <v>25</v>
      </c>
      <c r="K120" t="s">
        <v>782</v>
      </c>
      <c r="L120">
        <v>0.05</v>
      </c>
      <c r="M120" t="s">
        <v>783</v>
      </c>
      <c r="N120" t="s">
        <v>784</v>
      </c>
      <c r="O120" t="s">
        <v>64</v>
      </c>
      <c r="P120" t="s">
        <v>30</v>
      </c>
      <c r="Q120" t="s">
        <v>44</v>
      </c>
      <c r="R120" s="3">
        <v>914.49849999999901</v>
      </c>
    </row>
    <row r="121" spans="1:18" x14ac:dyDescent="0.3">
      <c r="A121" t="s">
        <v>785</v>
      </c>
      <c r="B121" t="str">
        <f>TEXT(Raw_Data[[#This Row],[Order Date]],"mmm")</f>
        <v>Dec</v>
      </c>
      <c r="C121" t="s">
        <v>786</v>
      </c>
      <c r="D121" t="s">
        <v>787</v>
      </c>
      <c r="E121" t="s">
        <v>35</v>
      </c>
      <c r="F121" t="s">
        <v>106</v>
      </c>
      <c r="G121" t="s">
        <v>106</v>
      </c>
      <c r="H121" t="s">
        <v>80</v>
      </c>
      <c r="I121" t="s">
        <v>131</v>
      </c>
      <c r="J121" t="s">
        <v>25</v>
      </c>
      <c r="K121" t="s">
        <v>788</v>
      </c>
      <c r="L121">
        <v>0.15</v>
      </c>
      <c r="M121" t="s">
        <v>789</v>
      </c>
      <c r="N121" t="s">
        <v>790</v>
      </c>
      <c r="O121" t="s">
        <v>29</v>
      </c>
      <c r="P121" t="s">
        <v>30</v>
      </c>
      <c r="Q121" t="s">
        <v>31</v>
      </c>
      <c r="R121" s="3">
        <v>2304.5880000000002</v>
      </c>
    </row>
    <row r="122" spans="1:18" x14ac:dyDescent="0.3">
      <c r="A122" t="s">
        <v>791</v>
      </c>
      <c r="B122" t="str">
        <f>TEXT(Raw_Data[[#This Row],[Order Date]],"mmm")</f>
        <v>Jul</v>
      </c>
      <c r="C122" t="s">
        <v>792</v>
      </c>
      <c r="D122" t="s">
        <v>793</v>
      </c>
      <c r="E122" t="s">
        <v>35</v>
      </c>
      <c r="F122" t="s">
        <v>21</v>
      </c>
      <c r="G122" t="s">
        <v>22</v>
      </c>
      <c r="H122" t="s">
        <v>107</v>
      </c>
      <c r="I122" t="s">
        <v>277</v>
      </c>
      <c r="J122" t="s">
        <v>25</v>
      </c>
      <c r="K122" t="s">
        <v>794</v>
      </c>
      <c r="L122">
        <v>0.2</v>
      </c>
      <c r="M122" t="s">
        <v>795</v>
      </c>
      <c r="N122" t="s">
        <v>796</v>
      </c>
      <c r="O122" t="s">
        <v>43</v>
      </c>
      <c r="P122" t="s">
        <v>30</v>
      </c>
      <c r="Q122" t="s">
        <v>44</v>
      </c>
      <c r="R122" s="3">
        <v>5584.1040000000003</v>
      </c>
    </row>
    <row r="123" spans="1:18" x14ac:dyDescent="0.3">
      <c r="A123" t="s">
        <v>797</v>
      </c>
      <c r="B123" t="str">
        <f>TEXT(Raw_Data[[#This Row],[Order Date]],"mmm")</f>
        <v>Apr</v>
      </c>
      <c r="C123" t="s">
        <v>798</v>
      </c>
      <c r="D123" t="s">
        <v>799</v>
      </c>
      <c r="E123" t="s">
        <v>48</v>
      </c>
      <c r="F123" t="s">
        <v>215</v>
      </c>
      <c r="G123" t="s">
        <v>216</v>
      </c>
      <c r="H123" t="s">
        <v>23</v>
      </c>
      <c r="I123" t="s">
        <v>24</v>
      </c>
      <c r="J123" t="s">
        <v>25</v>
      </c>
      <c r="K123" t="s">
        <v>800</v>
      </c>
      <c r="L123">
        <v>0.1</v>
      </c>
      <c r="M123" t="s">
        <v>801</v>
      </c>
      <c r="N123" t="s">
        <v>802</v>
      </c>
      <c r="O123" t="s">
        <v>54</v>
      </c>
      <c r="P123" t="s">
        <v>112</v>
      </c>
      <c r="Q123" t="s">
        <v>44</v>
      </c>
      <c r="R123" s="3">
        <v>763.26300000000003</v>
      </c>
    </row>
    <row r="124" spans="1:18" x14ac:dyDescent="0.3">
      <c r="A124" t="s">
        <v>803</v>
      </c>
      <c r="B124" t="str">
        <f>TEXT(Raw_Data[[#This Row],[Order Date]],"mmm")</f>
        <v>Apr</v>
      </c>
      <c r="C124" t="s">
        <v>804</v>
      </c>
      <c r="D124" t="s">
        <v>805</v>
      </c>
      <c r="E124" t="s">
        <v>35</v>
      </c>
      <c r="F124" t="s">
        <v>58</v>
      </c>
      <c r="G124" t="s">
        <v>59</v>
      </c>
      <c r="H124" t="s">
        <v>80</v>
      </c>
      <c r="I124" t="s">
        <v>91</v>
      </c>
      <c r="J124" t="s">
        <v>50</v>
      </c>
      <c r="K124" t="s">
        <v>806</v>
      </c>
      <c r="L124">
        <v>0</v>
      </c>
      <c r="M124" t="s">
        <v>807</v>
      </c>
      <c r="N124" t="s">
        <v>808</v>
      </c>
      <c r="O124" t="s">
        <v>54</v>
      </c>
      <c r="P124" t="s">
        <v>112</v>
      </c>
      <c r="Q124" t="s">
        <v>31</v>
      </c>
      <c r="R124" s="3">
        <v>9884.86</v>
      </c>
    </row>
    <row r="125" spans="1:18" x14ac:dyDescent="0.3">
      <c r="A125" t="s">
        <v>809</v>
      </c>
      <c r="B125" t="str">
        <f>TEXT(Raw_Data[[#This Row],[Order Date]],"mmm")</f>
        <v>May</v>
      </c>
      <c r="C125" t="s">
        <v>810</v>
      </c>
      <c r="D125" t="s">
        <v>811</v>
      </c>
      <c r="E125" t="s">
        <v>20</v>
      </c>
      <c r="F125" t="s">
        <v>58</v>
      </c>
      <c r="G125" t="s">
        <v>812</v>
      </c>
      <c r="H125" t="s">
        <v>23</v>
      </c>
      <c r="I125" t="s">
        <v>263</v>
      </c>
      <c r="J125" t="s">
        <v>25</v>
      </c>
      <c r="K125" t="s">
        <v>813</v>
      </c>
      <c r="L125">
        <v>0.15</v>
      </c>
      <c r="M125" t="s">
        <v>814</v>
      </c>
      <c r="N125" t="s">
        <v>815</v>
      </c>
      <c r="O125" t="s">
        <v>54</v>
      </c>
      <c r="P125" t="s">
        <v>30</v>
      </c>
      <c r="Q125" t="s">
        <v>65</v>
      </c>
      <c r="R125" s="3">
        <v>55557.555500000002</v>
      </c>
    </row>
    <row r="126" spans="1:18" x14ac:dyDescent="0.3">
      <c r="A126" t="s">
        <v>816</v>
      </c>
      <c r="B126" t="str">
        <f>TEXT(Raw_Data[[#This Row],[Order Date]],"mmm")</f>
        <v>May</v>
      </c>
      <c r="C126" t="s">
        <v>817</v>
      </c>
      <c r="D126" t="s">
        <v>818</v>
      </c>
      <c r="E126" t="s">
        <v>20</v>
      </c>
      <c r="F126" t="s">
        <v>89</v>
      </c>
      <c r="G126" t="s">
        <v>230</v>
      </c>
      <c r="H126" t="s">
        <v>38</v>
      </c>
      <c r="I126" t="s">
        <v>39</v>
      </c>
      <c r="J126" t="s">
        <v>25</v>
      </c>
      <c r="K126" t="s">
        <v>819</v>
      </c>
      <c r="L126">
        <v>0.15</v>
      </c>
      <c r="M126" t="s">
        <v>820</v>
      </c>
      <c r="N126" t="s">
        <v>821</v>
      </c>
      <c r="O126" t="s">
        <v>54</v>
      </c>
      <c r="P126" t="s">
        <v>30</v>
      </c>
      <c r="Q126" t="s">
        <v>65</v>
      </c>
      <c r="R126" s="3">
        <v>4150.04</v>
      </c>
    </row>
    <row r="127" spans="1:18" x14ac:dyDescent="0.3">
      <c r="A127" t="s">
        <v>822</v>
      </c>
      <c r="B127" t="str">
        <f>TEXT(Raw_Data[[#This Row],[Order Date]],"mmm")</f>
        <v>Mar</v>
      </c>
      <c r="C127" t="s">
        <v>56</v>
      </c>
      <c r="D127" t="s">
        <v>823</v>
      </c>
      <c r="E127" t="s">
        <v>20</v>
      </c>
      <c r="F127" t="s">
        <v>21</v>
      </c>
      <c r="G127" t="s">
        <v>130</v>
      </c>
      <c r="H127" t="s">
        <v>80</v>
      </c>
      <c r="I127" t="s">
        <v>116</v>
      </c>
      <c r="J127" t="s">
        <v>25</v>
      </c>
      <c r="K127" t="s">
        <v>824</v>
      </c>
      <c r="L127">
        <v>0.05</v>
      </c>
      <c r="M127" t="s">
        <v>825</v>
      </c>
      <c r="N127" t="s">
        <v>826</v>
      </c>
      <c r="O127" t="s">
        <v>64</v>
      </c>
      <c r="P127" t="s">
        <v>30</v>
      </c>
      <c r="Q127" t="s">
        <v>31</v>
      </c>
      <c r="R127" s="3">
        <v>2902.8865000000001</v>
      </c>
    </row>
    <row r="128" spans="1:18" x14ac:dyDescent="0.3">
      <c r="A128" t="s">
        <v>827</v>
      </c>
      <c r="B128" t="str">
        <f>TEXT(Raw_Data[[#This Row],[Order Date]],"mmm")</f>
        <v>Oct</v>
      </c>
      <c r="C128" t="s">
        <v>828</v>
      </c>
      <c r="D128" t="s">
        <v>829</v>
      </c>
      <c r="E128" t="s">
        <v>35</v>
      </c>
      <c r="F128" t="s">
        <v>78</v>
      </c>
      <c r="G128" t="s">
        <v>468</v>
      </c>
      <c r="H128" t="s">
        <v>154</v>
      </c>
      <c r="I128" t="s">
        <v>155</v>
      </c>
      <c r="J128" t="s">
        <v>50</v>
      </c>
      <c r="K128" t="s">
        <v>830</v>
      </c>
      <c r="L128">
        <v>0.1</v>
      </c>
      <c r="M128" t="s">
        <v>831</v>
      </c>
      <c r="N128" t="s">
        <v>832</v>
      </c>
      <c r="O128" t="s">
        <v>43</v>
      </c>
      <c r="P128" t="s">
        <v>30</v>
      </c>
      <c r="Q128" t="s">
        <v>31</v>
      </c>
      <c r="R128" s="3">
        <v>7320.1679999999997</v>
      </c>
    </row>
    <row r="129" spans="1:18" x14ac:dyDescent="0.3">
      <c r="A129" t="s">
        <v>833</v>
      </c>
      <c r="B129" t="str">
        <f>TEXT(Raw_Data[[#This Row],[Order Date]],"mmm")</f>
        <v>Sep</v>
      </c>
      <c r="C129" t="s">
        <v>834</v>
      </c>
      <c r="D129" t="s">
        <v>835</v>
      </c>
      <c r="E129" t="s">
        <v>48</v>
      </c>
      <c r="F129" t="s">
        <v>69</v>
      </c>
      <c r="G129" t="s">
        <v>139</v>
      </c>
      <c r="H129" t="s">
        <v>23</v>
      </c>
      <c r="I129" t="s">
        <v>263</v>
      </c>
      <c r="J129" t="s">
        <v>25</v>
      </c>
      <c r="K129" t="s">
        <v>836</v>
      </c>
      <c r="L129">
        <v>0.1</v>
      </c>
      <c r="M129" t="s">
        <v>837</v>
      </c>
      <c r="N129" t="s">
        <v>838</v>
      </c>
      <c r="O129" t="s">
        <v>173</v>
      </c>
      <c r="P129" t="s">
        <v>30</v>
      </c>
      <c r="Q129" t="s">
        <v>31</v>
      </c>
      <c r="R129" s="3">
        <v>5333.85</v>
      </c>
    </row>
    <row r="130" spans="1:18" x14ac:dyDescent="0.3">
      <c r="A130" t="s">
        <v>839</v>
      </c>
      <c r="B130" t="str">
        <f>TEXT(Raw_Data[[#This Row],[Order Date]],"mmm")</f>
        <v>Oct</v>
      </c>
      <c r="C130" t="s">
        <v>828</v>
      </c>
      <c r="D130" t="s">
        <v>840</v>
      </c>
      <c r="E130" t="s">
        <v>48</v>
      </c>
      <c r="F130" t="s">
        <v>69</v>
      </c>
      <c r="G130" t="s">
        <v>70</v>
      </c>
      <c r="H130" t="s">
        <v>107</v>
      </c>
      <c r="I130" t="s">
        <v>108</v>
      </c>
      <c r="J130" t="s">
        <v>25</v>
      </c>
      <c r="K130" t="s">
        <v>841</v>
      </c>
      <c r="L130">
        <v>0.1</v>
      </c>
      <c r="M130" t="s">
        <v>842</v>
      </c>
      <c r="N130" t="s">
        <v>843</v>
      </c>
      <c r="O130" t="s">
        <v>64</v>
      </c>
      <c r="P130" t="s">
        <v>30</v>
      </c>
      <c r="Q130" t="s">
        <v>44</v>
      </c>
      <c r="R130" s="3">
        <v>13629.897000000001</v>
      </c>
    </row>
    <row r="131" spans="1:18" x14ac:dyDescent="0.3">
      <c r="A131" t="s">
        <v>844</v>
      </c>
      <c r="B131" t="str">
        <f>TEXT(Raw_Data[[#This Row],[Order Date]],"mmm")</f>
        <v>Feb</v>
      </c>
      <c r="C131" t="s">
        <v>845</v>
      </c>
      <c r="D131" t="s">
        <v>846</v>
      </c>
      <c r="E131" t="s">
        <v>35</v>
      </c>
      <c r="F131" t="s">
        <v>36</v>
      </c>
      <c r="G131" t="s">
        <v>123</v>
      </c>
      <c r="H131" t="s">
        <v>80</v>
      </c>
      <c r="I131" t="s">
        <v>146</v>
      </c>
      <c r="J131" t="s">
        <v>25</v>
      </c>
      <c r="K131" t="s">
        <v>847</v>
      </c>
      <c r="L131">
        <v>0.05</v>
      </c>
      <c r="M131" t="s">
        <v>848</v>
      </c>
      <c r="N131" t="s">
        <v>849</v>
      </c>
      <c r="O131" t="s">
        <v>29</v>
      </c>
      <c r="P131" t="s">
        <v>30</v>
      </c>
      <c r="Q131" t="s">
        <v>65</v>
      </c>
      <c r="R131" s="3">
        <v>3027.3744999999999</v>
      </c>
    </row>
    <row r="132" spans="1:18" x14ac:dyDescent="0.3">
      <c r="A132" t="s">
        <v>850</v>
      </c>
      <c r="B132" t="str">
        <f>TEXT(Raw_Data[[#This Row],[Order Date]],"mmm")</f>
        <v>Nov</v>
      </c>
      <c r="C132" t="s">
        <v>851</v>
      </c>
      <c r="D132" t="s">
        <v>852</v>
      </c>
      <c r="E132" t="s">
        <v>20</v>
      </c>
      <c r="F132" t="s">
        <v>21</v>
      </c>
      <c r="G132" t="s">
        <v>22</v>
      </c>
      <c r="H132" t="s">
        <v>23</v>
      </c>
      <c r="I132" t="s">
        <v>263</v>
      </c>
      <c r="J132" t="s">
        <v>50</v>
      </c>
      <c r="K132" t="s">
        <v>853</v>
      </c>
      <c r="L132">
        <v>0</v>
      </c>
      <c r="M132" t="s">
        <v>854</v>
      </c>
      <c r="N132" t="s">
        <v>855</v>
      </c>
      <c r="O132" t="s">
        <v>43</v>
      </c>
      <c r="P132" t="s">
        <v>30</v>
      </c>
      <c r="Q132" t="s">
        <v>65</v>
      </c>
      <c r="R132" s="3">
        <v>3432.92</v>
      </c>
    </row>
    <row r="133" spans="1:18" x14ac:dyDescent="0.3">
      <c r="A133" t="s">
        <v>856</v>
      </c>
      <c r="B133" t="str">
        <f>TEXT(Raw_Data[[#This Row],[Order Date]],"mmm")</f>
        <v>May</v>
      </c>
      <c r="C133" t="s">
        <v>144</v>
      </c>
      <c r="D133" t="s">
        <v>857</v>
      </c>
      <c r="E133" t="s">
        <v>20</v>
      </c>
      <c r="F133" t="s">
        <v>36</v>
      </c>
      <c r="G133" t="s">
        <v>153</v>
      </c>
      <c r="H133" t="s">
        <v>23</v>
      </c>
      <c r="I133" t="s">
        <v>341</v>
      </c>
      <c r="J133" t="s">
        <v>100</v>
      </c>
      <c r="K133" t="s">
        <v>858</v>
      </c>
      <c r="L133">
        <v>0</v>
      </c>
      <c r="M133" t="s">
        <v>859</v>
      </c>
      <c r="N133" t="s">
        <v>860</v>
      </c>
      <c r="O133" t="s">
        <v>29</v>
      </c>
      <c r="P133" t="s">
        <v>30</v>
      </c>
      <c r="Q133" t="s">
        <v>44</v>
      </c>
      <c r="R133" s="3">
        <v>219471.12</v>
      </c>
    </row>
    <row r="134" spans="1:18" x14ac:dyDescent="0.3">
      <c r="A134" t="s">
        <v>861</v>
      </c>
      <c r="B134" t="str">
        <f>TEXT(Raw_Data[[#This Row],[Order Date]],"mmm")</f>
        <v>Feb</v>
      </c>
      <c r="C134" t="s">
        <v>862</v>
      </c>
      <c r="D134" t="s">
        <v>863</v>
      </c>
      <c r="E134" t="s">
        <v>48</v>
      </c>
      <c r="F134" t="s">
        <v>36</v>
      </c>
      <c r="G134" t="s">
        <v>196</v>
      </c>
      <c r="H134" t="s">
        <v>107</v>
      </c>
      <c r="I134" t="s">
        <v>108</v>
      </c>
      <c r="J134" t="s">
        <v>25</v>
      </c>
      <c r="K134" t="s">
        <v>864</v>
      </c>
      <c r="L134">
        <v>0.2</v>
      </c>
      <c r="M134" t="s">
        <v>865</v>
      </c>
      <c r="N134" t="s">
        <v>866</v>
      </c>
      <c r="O134" t="s">
        <v>64</v>
      </c>
      <c r="P134" t="s">
        <v>30</v>
      </c>
      <c r="Q134" t="s">
        <v>31</v>
      </c>
      <c r="R134" s="3">
        <v>12547.072</v>
      </c>
    </row>
    <row r="135" spans="1:18" x14ac:dyDescent="0.3">
      <c r="A135" t="s">
        <v>867</v>
      </c>
      <c r="B135" t="str">
        <f>TEXT(Raw_Data[[#This Row],[Order Date]],"mmm")</f>
        <v>Dec</v>
      </c>
      <c r="C135" t="s">
        <v>868</v>
      </c>
      <c r="D135" t="s">
        <v>869</v>
      </c>
      <c r="E135" t="s">
        <v>48</v>
      </c>
      <c r="F135" t="s">
        <v>21</v>
      </c>
      <c r="G135" t="s">
        <v>130</v>
      </c>
      <c r="H135" t="s">
        <v>23</v>
      </c>
      <c r="I135" t="s">
        <v>263</v>
      </c>
      <c r="J135" t="s">
        <v>25</v>
      </c>
      <c r="K135" t="s">
        <v>870</v>
      </c>
      <c r="L135">
        <v>0.1</v>
      </c>
      <c r="M135" t="s">
        <v>871</v>
      </c>
      <c r="N135" t="s">
        <v>872</v>
      </c>
      <c r="O135" t="s">
        <v>54</v>
      </c>
      <c r="P135" t="s">
        <v>30</v>
      </c>
      <c r="Q135" t="s">
        <v>65</v>
      </c>
      <c r="R135" s="3">
        <v>61537.7069999999</v>
      </c>
    </row>
    <row r="136" spans="1:18" x14ac:dyDescent="0.3">
      <c r="A136" t="s">
        <v>873</v>
      </c>
      <c r="B136" t="str">
        <f>TEXT(Raw_Data[[#This Row],[Order Date]],"mmm")</f>
        <v>May</v>
      </c>
      <c r="C136" t="s">
        <v>874</v>
      </c>
      <c r="D136" t="s">
        <v>875</v>
      </c>
      <c r="E136" t="s">
        <v>20</v>
      </c>
      <c r="F136" t="s">
        <v>215</v>
      </c>
      <c r="G136" t="s">
        <v>216</v>
      </c>
      <c r="H136" t="s">
        <v>23</v>
      </c>
      <c r="I136" t="s">
        <v>183</v>
      </c>
      <c r="J136" t="s">
        <v>50</v>
      </c>
      <c r="K136" t="s">
        <v>876</v>
      </c>
      <c r="L136">
        <v>0</v>
      </c>
      <c r="M136" t="s">
        <v>877</v>
      </c>
      <c r="N136" t="s">
        <v>878</v>
      </c>
      <c r="O136" t="s">
        <v>29</v>
      </c>
      <c r="P136" t="s">
        <v>30</v>
      </c>
      <c r="Q136" t="s">
        <v>31</v>
      </c>
      <c r="R136" s="3">
        <v>20124.34</v>
      </c>
    </row>
    <row r="137" spans="1:18" x14ac:dyDescent="0.3">
      <c r="A137" t="s">
        <v>879</v>
      </c>
      <c r="B137" t="str">
        <f>TEXT(Raw_Data[[#This Row],[Order Date]],"mmm")</f>
        <v>Mar</v>
      </c>
      <c r="C137" t="s">
        <v>713</v>
      </c>
      <c r="D137" t="s">
        <v>880</v>
      </c>
      <c r="E137" t="s">
        <v>20</v>
      </c>
      <c r="F137" t="s">
        <v>106</v>
      </c>
      <c r="G137" t="s">
        <v>163</v>
      </c>
      <c r="H137" t="s">
        <v>154</v>
      </c>
      <c r="I137" t="s">
        <v>365</v>
      </c>
      <c r="J137" t="s">
        <v>25</v>
      </c>
      <c r="K137" t="s">
        <v>881</v>
      </c>
      <c r="L137">
        <v>0.15</v>
      </c>
      <c r="M137" t="s">
        <v>882</v>
      </c>
      <c r="N137" t="s">
        <v>883</v>
      </c>
      <c r="O137" t="s">
        <v>64</v>
      </c>
      <c r="P137" t="s">
        <v>159</v>
      </c>
      <c r="Q137" t="s">
        <v>31</v>
      </c>
      <c r="R137" s="3">
        <v>8509.5030000000006</v>
      </c>
    </row>
    <row r="138" spans="1:18" x14ac:dyDescent="0.3">
      <c r="A138" t="s">
        <v>884</v>
      </c>
      <c r="B138" t="str">
        <f>TEXT(Raw_Data[[#This Row],[Order Date]],"mmm")</f>
        <v>May</v>
      </c>
      <c r="C138" t="s">
        <v>885</v>
      </c>
      <c r="D138" t="s">
        <v>886</v>
      </c>
      <c r="E138" t="s">
        <v>35</v>
      </c>
      <c r="F138" t="s">
        <v>21</v>
      </c>
      <c r="G138" t="s">
        <v>130</v>
      </c>
      <c r="H138" t="s">
        <v>80</v>
      </c>
      <c r="I138" t="s">
        <v>146</v>
      </c>
      <c r="J138" t="s">
        <v>25</v>
      </c>
      <c r="K138" t="s">
        <v>887</v>
      </c>
      <c r="L138">
        <v>0.1</v>
      </c>
      <c r="M138" t="s">
        <v>888</v>
      </c>
      <c r="N138" t="s">
        <v>889</v>
      </c>
      <c r="O138" t="s">
        <v>64</v>
      </c>
      <c r="P138" t="s">
        <v>30</v>
      </c>
      <c r="Q138" t="s">
        <v>31</v>
      </c>
      <c r="R138" s="3">
        <v>4823.6849999999904</v>
      </c>
    </row>
    <row r="139" spans="1:18" x14ac:dyDescent="0.3">
      <c r="A139" t="s">
        <v>890</v>
      </c>
      <c r="B139" t="str">
        <f>TEXT(Raw_Data[[#This Row],[Order Date]],"mmm")</f>
        <v>Jan</v>
      </c>
      <c r="C139" t="s">
        <v>891</v>
      </c>
      <c r="D139" t="s">
        <v>892</v>
      </c>
      <c r="E139" t="s">
        <v>20</v>
      </c>
      <c r="F139" t="s">
        <v>89</v>
      </c>
      <c r="G139" t="s">
        <v>99</v>
      </c>
      <c r="H139" t="s">
        <v>154</v>
      </c>
      <c r="I139" t="s">
        <v>365</v>
      </c>
      <c r="J139" t="s">
        <v>25</v>
      </c>
      <c r="K139" t="s">
        <v>893</v>
      </c>
      <c r="L139">
        <v>0.1</v>
      </c>
      <c r="M139" t="s">
        <v>894</v>
      </c>
      <c r="N139" t="s">
        <v>895</v>
      </c>
      <c r="O139" t="s">
        <v>29</v>
      </c>
      <c r="P139" t="s">
        <v>30</v>
      </c>
      <c r="Q139" t="s">
        <v>65</v>
      </c>
      <c r="R139" s="3">
        <v>1556.424</v>
      </c>
    </row>
    <row r="140" spans="1:18" x14ac:dyDescent="0.3">
      <c r="A140" t="s">
        <v>896</v>
      </c>
      <c r="B140" t="str">
        <f>TEXT(Raw_Data[[#This Row],[Order Date]],"mmm")</f>
        <v>Nov</v>
      </c>
      <c r="C140" t="s">
        <v>510</v>
      </c>
      <c r="D140" t="s">
        <v>897</v>
      </c>
      <c r="E140" t="s">
        <v>35</v>
      </c>
      <c r="F140" t="s">
        <v>21</v>
      </c>
      <c r="G140" t="s">
        <v>22</v>
      </c>
      <c r="H140" t="s">
        <v>23</v>
      </c>
      <c r="I140" t="s">
        <v>263</v>
      </c>
      <c r="J140" t="s">
        <v>50</v>
      </c>
      <c r="K140" t="s">
        <v>898</v>
      </c>
      <c r="L140">
        <v>0.05</v>
      </c>
      <c r="M140" t="s">
        <v>899</v>
      </c>
      <c r="N140" t="s">
        <v>900</v>
      </c>
      <c r="O140" t="s">
        <v>29</v>
      </c>
      <c r="P140" t="s">
        <v>30</v>
      </c>
      <c r="Q140" t="s">
        <v>44</v>
      </c>
      <c r="R140" s="3">
        <v>86030.574999999997</v>
      </c>
    </row>
    <row r="141" spans="1:18" x14ac:dyDescent="0.3">
      <c r="A141" t="s">
        <v>901</v>
      </c>
      <c r="B141" t="str">
        <f>TEXT(Raw_Data[[#This Row],[Order Date]],"mmm")</f>
        <v>Apr</v>
      </c>
      <c r="C141" t="s">
        <v>902</v>
      </c>
      <c r="D141" t="s">
        <v>903</v>
      </c>
      <c r="E141" t="s">
        <v>48</v>
      </c>
      <c r="F141" t="s">
        <v>36</v>
      </c>
      <c r="G141" t="s">
        <v>196</v>
      </c>
      <c r="H141" t="s">
        <v>23</v>
      </c>
      <c r="I141" t="s">
        <v>341</v>
      </c>
      <c r="J141" t="s">
        <v>25</v>
      </c>
      <c r="K141" t="s">
        <v>904</v>
      </c>
      <c r="L141">
        <v>0.05</v>
      </c>
      <c r="M141" t="s">
        <v>905</v>
      </c>
      <c r="N141" t="s">
        <v>906</v>
      </c>
      <c r="O141" t="s">
        <v>29</v>
      </c>
      <c r="P141" t="s">
        <v>30</v>
      </c>
      <c r="Q141" t="s">
        <v>31</v>
      </c>
      <c r="R141" s="3">
        <v>42485.3109999999</v>
      </c>
    </row>
    <row r="142" spans="1:18" x14ac:dyDescent="0.3">
      <c r="A142" t="s">
        <v>907</v>
      </c>
      <c r="B142" t="str">
        <f>TEXT(Raw_Data[[#This Row],[Order Date]],"mmm")</f>
        <v>Jan</v>
      </c>
      <c r="C142" t="s">
        <v>175</v>
      </c>
      <c r="D142" t="s">
        <v>908</v>
      </c>
      <c r="E142" t="s">
        <v>48</v>
      </c>
      <c r="F142" t="s">
        <v>89</v>
      </c>
      <c r="G142" t="s">
        <v>99</v>
      </c>
      <c r="H142" t="s">
        <v>107</v>
      </c>
      <c r="I142" t="s">
        <v>591</v>
      </c>
      <c r="J142" t="s">
        <v>25</v>
      </c>
      <c r="K142" t="s">
        <v>909</v>
      </c>
      <c r="L142">
        <v>0.05</v>
      </c>
      <c r="M142" t="s">
        <v>910</v>
      </c>
      <c r="N142" t="s">
        <v>911</v>
      </c>
      <c r="O142" t="s">
        <v>43</v>
      </c>
      <c r="P142" t="s">
        <v>30</v>
      </c>
      <c r="Q142" t="s">
        <v>65</v>
      </c>
      <c r="R142" s="3">
        <v>14005.888000000001</v>
      </c>
    </row>
    <row r="143" spans="1:18" x14ac:dyDescent="0.3">
      <c r="A143" t="s">
        <v>912</v>
      </c>
      <c r="B143" t="str">
        <f>TEXT(Raw_Data[[#This Row],[Order Date]],"mmm")</f>
        <v>Mar</v>
      </c>
      <c r="C143" t="s">
        <v>504</v>
      </c>
      <c r="D143" t="s">
        <v>913</v>
      </c>
      <c r="E143" t="s">
        <v>35</v>
      </c>
      <c r="F143" t="s">
        <v>69</v>
      </c>
      <c r="G143" t="s">
        <v>139</v>
      </c>
      <c r="H143" t="s">
        <v>23</v>
      </c>
      <c r="I143" t="s">
        <v>183</v>
      </c>
      <c r="J143" t="s">
        <v>25</v>
      </c>
      <c r="K143" t="s">
        <v>914</v>
      </c>
      <c r="L143">
        <v>0.15</v>
      </c>
      <c r="M143" t="s">
        <v>915</v>
      </c>
      <c r="N143" t="s">
        <v>916</v>
      </c>
      <c r="O143" t="s">
        <v>29</v>
      </c>
      <c r="P143" t="s">
        <v>30</v>
      </c>
      <c r="Q143" t="s">
        <v>44</v>
      </c>
      <c r="R143" s="3">
        <v>49716.457499999997</v>
      </c>
    </row>
    <row r="144" spans="1:18" x14ac:dyDescent="0.3">
      <c r="A144" t="s">
        <v>917</v>
      </c>
      <c r="B144" t="str">
        <f>TEXT(Raw_Data[[#This Row],[Order Date]],"mmm")</f>
        <v>Nov</v>
      </c>
      <c r="C144" t="s">
        <v>918</v>
      </c>
      <c r="D144" t="s">
        <v>919</v>
      </c>
      <c r="E144" t="s">
        <v>48</v>
      </c>
      <c r="F144" t="s">
        <v>78</v>
      </c>
      <c r="G144" t="s">
        <v>468</v>
      </c>
      <c r="H144" t="s">
        <v>80</v>
      </c>
      <c r="I144" t="s">
        <v>146</v>
      </c>
      <c r="J144" t="s">
        <v>25</v>
      </c>
      <c r="K144" t="s">
        <v>920</v>
      </c>
      <c r="L144">
        <v>0.1</v>
      </c>
      <c r="M144" t="s">
        <v>921</v>
      </c>
      <c r="N144" t="s">
        <v>922</v>
      </c>
      <c r="O144" t="s">
        <v>29</v>
      </c>
      <c r="P144" t="s">
        <v>30</v>
      </c>
      <c r="Q144" t="s">
        <v>44</v>
      </c>
      <c r="R144" s="3">
        <v>4801.9679999999998</v>
      </c>
    </row>
    <row r="145" spans="1:18" x14ac:dyDescent="0.3">
      <c r="A145" t="s">
        <v>923</v>
      </c>
      <c r="B145" t="str">
        <f>TEXT(Raw_Data[[#This Row],[Order Date]],"mmm")</f>
        <v>Jan</v>
      </c>
      <c r="C145" t="s">
        <v>924</v>
      </c>
      <c r="D145" t="s">
        <v>925</v>
      </c>
      <c r="E145" t="s">
        <v>48</v>
      </c>
      <c r="F145" t="s">
        <v>69</v>
      </c>
      <c r="G145" t="s">
        <v>328</v>
      </c>
      <c r="H145" t="s">
        <v>80</v>
      </c>
      <c r="I145" t="s">
        <v>91</v>
      </c>
      <c r="J145" t="s">
        <v>50</v>
      </c>
      <c r="K145" t="s">
        <v>926</v>
      </c>
      <c r="L145">
        <v>0.15</v>
      </c>
      <c r="M145" t="s">
        <v>927</v>
      </c>
      <c r="N145" t="s">
        <v>928</v>
      </c>
      <c r="O145" t="s">
        <v>43</v>
      </c>
      <c r="P145" t="s">
        <v>159</v>
      </c>
      <c r="Q145" t="s">
        <v>31</v>
      </c>
      <c r="R145" s="3">
        <v>3239.5539999999901</v>
      </c>
    </row>
    <row r="146" spans="1:18" x14ac:dyDescent="0.3">
      <c r="A146" t="s">
        <v>929</v>
      </c>
      <c r="B146" t="str">
        <f>TEXT(Raw_Data[[#This Row],[Order Date]],"mmm")</f>
        <v>Aug</v>
      </c>
      <c r="C146" t="s">
        <v>930</v>
      </c>
      <c r="D146" t="s">
        <v>931</v>
      </c>
      <c r="E146" t="s">
        <v>35</v>
      </c>
      <c r="F146" t="s">
        <v>106</v>
      </c>
      <c r="G146" t="s">
        <v>163</v>
      </c>
      <c r="H146" t="s">
        <v>23</v>
      </c>
      <c r="I146" t="s">
        <v>24</v>
      </c>
      <c r="J146" t="s">
        <v>25</v>
      </c>
      <c r="K146" t="s">
        <v>932</v>
      </c>
      <c r="L146">
        <v>0</v>
      </c>
      <c r="M146" t="s">
        <v>933</v>
      </c>
      <c r="N146" t="s">
        <v>934</v>
      </c>
      <c r="O146" t="s">
        <v>64</v>
      </c>
      <c r="P146" t="s">
        <v>30</v>
      </c>
      <c r="Q146" t="s">
        <v>31</v>
      </c>
      <c r="R146" s="3">
        <v>8225.51</v>
      </c>
    </row>
    <row r="147" spans="1:18" x14ac:dyDescent="0.3">
      <c r="A147" t="s">
        <v>935</v>
      </c>
      <c r="B147" t="str">
        <f>TEXT(Raw_Data[[#This Row],[Order Date]],"mmm")</f>
        <v>Feb</v>
      </c>
      <c r="C147" t="s">
        <v>936</v>
      </c>
      <c r="D147" t="s">
        <v>937</v>
      </c>
      <c r="E147" t="s">
        <v>35</v>
      </c>
      <c r="F147" t="s">
        <v>69</v>
      </c>
      <c r="G147" t="s">
        <v>328</v>
      </c>
      <c r="H147" t="s">
        <v>23</v>
      </c>
      <c r="I147" t="s">
        <v>341</v>
      </c>
      <c r="J147" t="s">
        <v>25</v>
      </c>
      <c r="K147" t="s">
        <v>938</v>
      </c>
      <c r="L147">
        <v>0.1</v>
      </c>
      <c r="M147" t="s">
        <v>939</v>
      </c>
      <c r="N147" t="s">
        <v>940</v>
      </c>
      <c r="O147" t="s">
        <v>173</v>
      </c>
      <c r="P147" t="s">
        <v>112</v>
      </c>
      <c r="Q147" t="s">
        <v>31</v>
      </c>
      <c r="R147" s="3">
        <v>2515.3919999999998</v>
      </c>
    </row>
    <row r="148" spans="1:18" x14ac:dyDescent="0.3">
      <c r="A148" t="s">
        <v>941</v>
      </c>
      <c r="B148" t="str">
        <f>TEXT(Raw_Data[[#This Row],[Order Date]],"mmm")</f>
        <v>Feb</v>
      </c>
      <c r="C148" t="s">
        <v>942</v>
      </c>
      <c r="D148" t="s">
        <v>943</v>
      </c>
      <c r="E148" t="s">
        <v>48</v>
      </c>
      <c r="F148" t="s">
        <v>21</v>
      </c>
      <c r="G148" t="s">
        <v>22</v>
      </c>
      <c r="H148" t="s">
        <v>154</v>
      </c>
      <c r="I148" t="s">
        <v>309</v>
      </c>
      <c r="J148" t="s">
        <v>25</v>
      </c>
      <c r="K148" t="s">
        <v>944</v>
      </c>
      <c r="L148">
        <v>0.1</v>
      </c>
      <c r="M148" t="s">
        <v>945</v>
      </c>
      <c r="N148" t="s">
        <v>946</v>
      </c>
      <c r="O148" t="s">
        <v>54</v>
      </c>
      <c r="P148" t="s">
        <v>30</v>
      </c>
      <c r="Q148" t="s">
        <v>31</v>
      </c>
      <c r="R148" s="3">
        <v>2092.9859999999999</v>
      </c>
    </row>
    <row r="149" spans="1:18" x14ac:dyDescent="0.3">
      <c r="A149" t="s">
        <v>947</v>
      </c>
      <c r="B149" t="str">
        <f>TEXT(Raw_Data[[#This Row],[Order Date]],"mmm")</f>
        <v>May</v>
      </c>
      <c r="C149" t="s">
        <v>948</v>
      </c>
      <c r="D149" t="s">
        <v>949</v>
      </c>
      <c r="E149" t="s">
        <v>20</v>
      </c>
      <c r="F149" t="s">
        <v>69</v>
      </c>
      <c r="G149" t="s">
        <v>328</v>
      </c>
      <c r="H149" t="s">
        <v>154</v>
      </c>
      <c r="I149" t="s">
        <v>237</v>
      </c>
      <c r="J149" t="s">
        <v>25</v>
      </c>
      <c r="K149" t="s">
        <v>950</v>
      </c>
      <c r="L149">
        <v>0</v>
      </c>
      <c r="M149" t="s">
        <v>951</v>
      </c>
      <c r="N149" t="s">
        <v>952</v>
      </c>
      <c r="O149" t="s">
        <v>29</v>
      </c>
      <c r="P149" t="s">
        <v>30</v>
      </c>
      <c r="Q149" t="s">
        <v>31</v>
      </c>
      <c r="R149" s="3">
        <v>11275.28</v>
      </c>
    </row>
    <row r="150" spans="1:18" x14ac:dyDescent="0.3">
      <c r="A150" t="s">
        <v>953</v>
      </c>
      <c r="B150" t="str">
        <f>TEXT(Raw_Data[[#This Row],[Order Date]],"mmm")</f>
        <v>Aug</v>
      </c>
      <c r="C150" t="s">
        <v>954</v>
      </c>
      <c r="D150" t="s">
        <v>955</v>
      </c>
      <c r="E150" t="s">
        <v>35</v>
      </c>
      <c r="F150" t="s">
        <v>78</v>
      </c>
      <c r="G150" t="s">
        <v>731</v>
      </c>
      <c r="H150" t="s">
        <v>80</v>
      </c>
      <c r="I150" t="s">
        <v>116</v>
      </c>
      <c r="J150" t="s">
        <v>50</v>
      </c>
      <c r="K150" t="s">
        <v>956</v>
      </c>
      <c r="L150">
        <v>0.1</v>
      </c>
      <c r="M150" t="s">
        <v>957</v>
      </c>
      <c r="N150" t="s">
        <v>958</v>
      </c>
      <c r="O150" t="s">
        <v>54</v>
      </c>
      <c r="P150" t="s">
        <v>30</v>
      </c>
      <c r="Q150" t="s">
        <v>65</v>
      </c>
      <c r="R150" s="3">
        <v>4072.248</v>
      </c>
    </row>
    <row r="151" spans="1:18" x14ac:dyDescent="0.3">
      <c r="A151" t="s">
        <v>959</v>
      </c>
      <c r="B151" t="str">
        <f>TEXT(Raw_Data[[#This Row],[Order Date]],"mmm")</f>
        <v>Dec</v>
      </c>
      <c r="C151" t="s">
        <v>868</v>
      </c>
      <c r="D151" t="s">
        <v>960</v>
      </c>
      <c r="E151" t="s">
        <v>20</v>
      </c>
      <c r="F151" t="s">
        <v>78</v>
      </c>
      <c r="G151" t="s">
        <v>79</v>
      </c>
      <c r="H151" t="s">
        <v>23</v>
      </c>
      <c r="I151" t="s">
        <v>183</v>
      </c>
      <c r="J151" t="s">
        <v>25</v>
      </c>
      <c r="K151" t="s">
        <v>961</v>
      </c>
      <c r="L151">
        <v>0</v>
      </c>
      <c r="M151" t="s">
        <v>962</v>
      </c>
      <c r="N151" t="s">
        <v>963</v>
      </c>
      <c r="O151" t="s">
        <v>64</v>
      </c>
      <c r="P151" t="s">
        <v>159</v>
      </c>
      <c r="Q151" t="s">
        <v>65</v>
      </c>
      <c r="R151" s="3">
        <v>50442.44</v>
      </c>
    </row>
    <row r="152" spans="1:18" x14ac:dyDescent="0.3">
      <c r="A152" t="s">
        <v>964</v>
      </c>
      <c r="B152" t="str">
        <f>TEXT(Raw_Data[[#This Row],[Order Date]],"mmm")</f>
        <v>Dec</v>
      </c>
      <c r="C152" t="s">
        <v>965</v>
      </c>
      <c r="D152" t="s">
        <v>966</v>
      </c>
      <c r="E152" t="s">
        <v>48</v>
      </c>
      <c r="F152" t="s">
        <v>58</v>
      </c>
      <c r="G152" t="s">
        <v>290</v>
      </c>
      <c r="H152" t="s">
        <v>107</v>
      </c>
      <c r="I152" t="s">
        <v>469</v>
      </c>
      <c r="J152" t="s">
        <v>100</v>
      </c>
      <c r="K152" t="s">
        <v>967</v>
      </c>
      <c r="L152">
        <v>0.1</v>
      </c>
      <c r="M152" t="s">
        <v>968</v>
      </c>
      <c r="N152" t="s">
        <v>969</v>
      </c>
      <c r="O152" t="s">
        <v>29</v>
      </c>
      <c r="P152" t="s">
        <v>30</v>
      </c>
      <c r="Q152" t="s">
        <v>31</v>
      </c>
      <c r="R152" s="3">
        <v>25278.830999999998</v>
      </c>
    </row>
    <row r="153" spans="1:18" x14ac:dyDescent="0.3">
      <c r="A153" t="s">
        <v>970</v>
      </c>
      <c r="B153" t="str">
        <f>TEXT(Raw_Data[[#This Row],[Order Date]],"mmm")</f>
        <v>Aug</v>
      </c>
      <c r="C153" t="s">
        <v>971</v>
      </c>
      <c r="D153" t="s">
        <v>972</v>
      </c>
      <c r="E153" t="s">
        <v>48</v>
      </c>
      <c r="F153" t="s">
        <v>215</v>
      </c>
      <c r="G153" t="s">
        <v>276</v>
      </c>
      <c r="H153" t="s">
        <v>154</v>
      </c>
      <c r="I153" t="s">
        <v>155</v>
      </c>
      <c r="J153" t="s">
        <v>25</v>
      </c>
      <c r="K153" t="s">
        <v>973</v>
      </c>
      <c r="L153">
        <v>0</v>
      </c>
      <c r="M153" t="s">
        <v>974</v>
      </c>
      <c r="N153" t="s">
        <v>975</v>
      </c>
      <c r="O153" t="s">
        <v>173</v>
      </c>
      <c r="P153" t="s">
        <v>112</v>
      </c>
      <c r="Q153" t="s">
        <v>31</v>
      </c>
      <c r="R153" s="3">
        <v>4858.05</v>
      </c>
    </row>
    <row r="154" spans="1:18" x14ac:dyDescent="0.3">
      <c r="A154" t="s">
        <v>976</v>
      </c>
      <c r="B154" t="str">
        <f>TEXT(Raw_Data[[#This Row],[Order Date]],"mmm")</f>
        <v>Oct</v>
      </c>
      <c r="C154" t="s">
        <v>383</v>
      </c>
      <c r="D154" t="s">
        <v>977</v>
      </c>
      <c r="E154" t="s">
        <v>48</v>
      </c>
      <c r="F154" t="s">
        <v>58</v>
      </c>
      <c r="G154" t="s">
        <v>290</v>
      </c>
      <c r="H154" t="s">
        <v>23</v>
      </c>
      <c r="I154" t="s">
        <v>24</v>
      </c>
      <c r="J154" t="s">
        <v>25</v>
      </c>
      <c r="K154" t="s">
        <v>978</v>
      </c>
      <c r="L154">
        <v>0.05</v>
      </c>
      <c r="M154" t="s">
        <v>979</v>
      </c>
      <c r="N154" t="s">
        <v>980</v>
      </c>
      <c r="O154" t="s">
        <v>29</v>
      </c>
      <c r="P154" t="s">
        <v>95</v>
      </c>
      <c r="Q154" t="s">
        <v>31</v>
      </c>
      <c r="R154" s="3">
        <v>48099.335999999901</v>
      </c>
    </row>
    <row r="155" spans="1:18" x14ac:dyDescent="0.3">
      <c r="A155" t="s">
        <v>981</v>
      </c>
      <c r="B155" t="str">
        <f>TEXT(Raw_Data[[#This Row],[Order Date]],"mmm")</f>
        <v>Dec</v>
      </c>
      <c r="C155" t="s">
        <v>982</v>
      </c>
      <c r="D155" t="s">
        <v>983</v>
      </c>
      <c r="E155" t="s">
        <v>20</v>
      </c>
      <c r="F155" t="s">
        <v>21</v>
      </c>
      <c r="G155" t="s">
        <v>130</v>
      </c>
      <c r="H155" t="s">
        <v>23</v>
      </c>
      <c r="I155" t="s">
        <v>24</v>
      </c>
      <c r="J155" t="s">
        <v>50</v>
      </c>
      <c r="K155" t="s">
        <v>984</v>
      </c>
      <c r="L155">
        <v>0</v>
      </c>
      <c r="M155" t="s">
        <v>985</v>
      </c>
      <c r="N155" t="s">
        <v>986</v>
      </c>
      <c r="O155" t="s">
        <v>29</v>
      </c>
      <c r="P155" t="s">
        <v>95</v>
      </c>
      <c r="Q155" t="s">
        <v>31</v>
      </c>
      <c r="R155" s="3">
        <v>58855.96</v>
      </c>
    </row>
    <row r="156" spans="1:18" x14ac:dyDescent="0.3">
      <c r="A156" t="s">
        <v>987</v>
      </c>
      <c r="B156" t="str">
        <f>TEXT(Raw_Data[[#This Row],[Order Date]],"mmm")</f>
        <v>Oct</v>
      </c>
      <c r="C156" t="s">
        <v>235</v>
      </c>
      <c r="D156" t="s">
        <v>988</v>
      </c>
      <c r="E156" t="s">
        <v>35</v>
      </c>
      <c r="F156" t="s">
        <v>21</v>
      </c>
      <c r="G156" t="s">
        <v>130</v>
      </c>
      <c r="H156" t="s">
        <v>154</v>
      </c>
      <c r="I156" t="s">
        <v>365</v>
      </c>
      <c r="J156" t="s">
        <v>25</v>
      </c>
      <c r="K156" t="s">
        <v>989</v>
      </c>
      <c r="L156">
        <v>0.15</v>
      </c>
      <c r="M156" t="s">
        <v>990</v>
      </c>
      <c r="N156" t="s">
        <v>991</v>
      </c>
      <c r="O156" t="s">
        <v>173</v>
      </c>
      <c r="P156" t="s">
        <v>30</v>
      </c>
      <c r="Q156" t="s">
        <v>44</v>
      </c>
      <c r="R156" s="3">
        <v>8915.6244999999999</v>
      </c>
    </row>
    <row r="157" spans="1:18" x14ac:dyDescent="0.3">
      <c r="A157" t="s">
        <v>992</v>
      </c>
      <c r="B157" t="str">
        <f>TEXT(Raw_Data[[#This Row],[Order Date]],"mmm")</f>
        <v>Sep</v>
      </c>
      <c r="C157" t="s">
        <v>437</v>
      </c>
      <c r="D157" t="s">
        <v>993</v>
      </c>
      <c r="E157" t="s">
        <v>35</v>
      </c>
      <c r="F157" t="s">
        <v>106</v>
      </c>
      <c r="G157" t="s">
        <v>163</v>
      </c>
      <c r="H157" t="s">
        <v>107</v>
      </c>
      <c r="I157" t="s">
        <v>591</v>
      </c>
      <c r="J157" t="s">
        <v>25</v>
      </c>
      <c r="K157" t="s">
        <v>994</v>
      </c>
      <c r="L157">
        <v>0.1</v>
      </c>
      <c r="M157" t="s">
        <v>995</v>
      </c>
      <c r="N157" t="s">
        <v>996</v>
      </c>
      <c r="O157" t="s">
        <v>54</v>
      </c>
      <c r="P157" t="s">
        <v>30</v>
      </c>
      <c r="Q157" t="s">
        <v>31</v>
      </c>
      <c r="R157" s="3">
        <v>4850.0910000000003</v>
      </c>
    </row>
    <row r="158" spans="1:18" x14ac:dyDescent="0.3">
      <c r="A158" t="s">
        <v>997</v>
      </c>
      <c r="B158" t="str">
        <f>TEXT(Raw_Data[[#This Row],[Order Date]],"mmm")</f>
        <v>Sep</v>
      </c>
      <c r="C158" t="s">
        <v>719</v>
      </c>
      <c r="D158" t="s">
        <v>998</v>
      </c>
      <c r="E158" t="s">
        <v>20</v>
      </c>
      <c r="F158" t="s">
        <v>36</v>
      </c>
      <c r="G158" t="s">
        <v>153</v>
      </c>
      <c r="H158" t="s">
        <v>38</v>
      </c>
      <c r="I158" t="s">
        <v>60</v>
      </c>
      <c r="J158" t="s">
        <v>25</v>
      </c>
      <c r="K158" t="s">
        <v>999</v>
      </c>
      <c r="L158">
        <v>0.2</v>
      </c>
      <c r="M158" t="s">
        <v>1000</v>
      </c>
      <c r="N158" t="s">
        <v>1001</v>
      </c>
      <c r="O158" t="s">
        <v>43</v>
      </c>
      <c r="P158" t="s">
        <v>112</v>
      </c>
      <c r="Q158" t="s">
        <v>44</v>
      </c>
      <c r="R158" s="3">
        <v>4776.5199999999904</v>
      </c>
    </row>
    <row r="159" spans="1:18" x14ac:dyDescent="0.3">
      <c r="A159" t="s">
        <v>1002</v>
      </c>
      <c r="B159" t="str">
        <f>TEXT(Raw_Data[[#This Row],[Order Date]],"mmm")</f>
        <v>Dec</v>
      </c>
      <c r="C159" t="s">
        <v>1003</v>
      </c>
      <c r="D159" t="s">
        <v>1004</v>
      </c>
      <c r="E159" t="s">
        <v>20</v>
      </c>
      <c r="F159" t="s">
        <v>78</v>
      </c>
      <c r="G159" t="s">
        <v>79</v>
      </c>
      <c r="H159" t="s">
        <v>23</v>
      </c>
      <c r="I159" t="s">
        <v>49</v>
      </c>
      <c r="J159" t="s">
        <v>25</v>
      </c>
      <c r="K159" t="s">
        <v>1005</v>
      </c>
      <c r="L159">
        <v>0.05</v>
      </c>
      <c r="M159" t="s">
        <v>1006</v>
      </c>
      <c r="N159" t="s">
        <v>1007</v>
      </c>
      <c r="O159" t="s">
        <v>29</v>
      </c>
      <c r="P159" t="s">
        <v>30</v>
      </c>
      <c r="Q159" t="s">
        <v>44</v>
      </c>
      <c r="R159" s="3">
        <v>43780.3034999999</v>
      </c>
    </row>
    <row r="160" spans="1:18" x14ac:dyDescent="0.3">
      <c r="A160" t="s">
        <v>1008</v>
      </c>
      <c r="B160" t="str">
        <f>TEXT(Raw_Data[[#This Row],[Order Date]],"mmm")</f>
        <v>Nov</v>
      </c>
      <c r="C160" t="s">
        <v>1009</v>
      </c>
      <c r="D160" t="s">
        <v>1010</v>
      </c>
      <c r="E160" t="s">
        <v>48</v>
      </c>
      <c r="F160" t="s">
        <v>21</v>
      </c>
      <c r="G160" t="s">
        <v>22</v>
      </c>
      <c r="H160" t="s">
        <v>107</v>
      </c>
      <c r="I160" t="s">
        <v>378</v>
      </c>
      <c r="J160" t="s">
        <v>25</v>
      </c>
      <c r="K160" t="s">
        <v>1011</v>
      </c>
      <c r="L160">
        <v>0.05</v>
      </c>
      <c r="M160" t="s">
        <v>1012</v>
      </c>
      <c r="N160" t="s">
        <v>1013</v>
      </c>
      <c r="O160" t="s">
        <v>54</v>
      </c>
      <c r="P160" t="s">
        <v>30</v>
      </c>
      <c r="Q160" t="s">
        <v>31</v>
      </c>
      <c r="R160" s="3">
        <v>7323.6924999999901</v>
      </c>
    </row>
    <row r="161" spans="1:18" x14ac:dyDescent="0.3">
      <c r="A161" t="s">
        <v>1014</v>
      </c>
      <c r="B161" t="str">
        <f>TEXT(Raw_Data[[#This Row],[Order Date]],"mmm")</f>
        <v>Jan</v>
      </c>
      <c r="C161" t="s">
        <v>1015</v>
      </c>
      <c r="D161" t="s">
        <v>1016</v>
      </c>
      <c r="E161" t="s">
        <v>35</v>
      </c>
      <c r="F161" t="s">
        <v>215</v>
      </c>
      <c r="G161" t="s">
        <v>276</v>
      </c>
      <c r="H161" t="s">
        <v>23</v>
      </c>
      <c r="I161" t="s">
        <v>24</v>
      </c>
      <c r="J161" t="s">
        <v>25</v>
      </c>
      <c r="K161" t="s">
        <v>1017</v>
      </c>
      <c r="L161">
        <v>0</v>
      </c>
      <c r="M161" t="s">
        <v>1018</v>
      </c>
      <c r="N161" t="s">
        <v>1019</v>
      </c>
      <c r="O161" t="s">
        <v>43</v>
      </c>
      <c r="P161" t="s">
        <v>30</v>
      </c>
      <c r="Q161" t="s">
        <v>65</v>
      </c>
      <c r="R161" s="3">
        <v>23759.17</v>
      </c>
    </row>
    <row r="162" spans="1:18" x14ac:dyDescent="0.3">
      <c r="A162" t="s">
        <v>1020</v>
      </c>
      <c r="B162" t="str">
        <f>TEXT(Raw_Data[[#This Row],[Order Date]],"mmm")</f>
        <v>Mar</v>
      </c>
      <c r="C162" t="s">
        <v>1021</v>
      </c>
      <c r="D162" t="s">
        <v>1022</v>
      </c>
      <c r="E162" t="s">
        <v>35</v>
      </c>
      <c r="F162" t="s">
        <v>36</v>
      </c>
      <c r="G162" t="s">
        <v>123</v>
      </c>
      <c r="H162" t="s">
        <v>80</v>
      </c>
      <c r="I162" t="s">
        <v>116</v>
      </c>
      <c r="J162" t="s">
        <v>25</v>
      </c>
      <c r="K162" t="s">
        <v>1023</v>
      </c>
      <c r="L162">
        <v>0.15</v>
      </c>
      <c r="M162" t="s">
        <v>1024</v>
      </c>
      <c r="N162" t="s">
        <v>1025</v>
      </c>
      <c r="O162" t="s">
        <v>43</v>
      </c>
      <c r="P162" t="s">
        <v>30</v>
      </c>
      <c r="Q162" t="s">
        <v>44</v>
      </c>
      <c r="R162" s="3">
        <v>5000.5754999999999</v>
      </c>
    </row>
    <row r="163" spans="1:18" x14ac:dyDescent="0.3">
      <c r="A163" t="s">
        <v>1026</v>
      </c>
      <c r="B163" t="str">
        <f>TEXT(Raw_Data[[#This Row],[Order Date]],"mmm")</f>
        <v>Jan</v>
      </c>
      <c r="C163" t="s">
        <v>18</v>
      </c>
      <c r="D163" t="s">
        <v>1027</v>
      </c>
      <c r="E163" t="s">
        <v>48</v>
      </c>
      <c r="F163" t="s">
        <v>58</v>
      </c>
      <c r="G163" t="s">
        <v>812</v>
      </c>
      <c r="H163" t="s">
        <v>23</v>
      </c>
      <c r="I163" t="s">
        <v>24</v>
      </c>
      <c r="J163" t="s">
        <v>82</v>
      </c>
      <c r="K163" t="s">
        <v>1028</v>
      </c>
      <c r="L163">
        <v>0.05</v>
      </c>
      <c r="M163" t="s">
        <v>1029</v>
      </c>
      <c r="N163" t="s">
        <v>1030</v>
      </c>
      <c r="O163" t="s">
        <v>64</v>
      </c>
      <c r="P163" t="s">
        <v>30</v>
      </c>
      <c r="Q163" t="s">
        <v>31</v>
      </c>
      <c r="R163" s="3">
        <v>7235.6179999999904</v>
      </c>
    </row>
    <row r="164" spans="1:18" x14ac:dyDescent="0.3">
      <c r="A164" t="s">
        <v>1031</v>
      </c>
      <c r="B164" t="str">
        <f>TEXT(Raw_Data[[#This Row],[Order Date]],"mmm")</f>
        <v>Mar</v>
      </c>
      <c r="C164" t="s">
        <v>713</v>
      </c>
      <c r="D164" t="s">
        <v>1032</v>
      </c>
      <c r="E164" t="s">
        <v>48</v>
      </c>
      <c r="F164" t="s">
        <v>21</v>
      </c>
      <c r="G164" t="s">
        <v>22</v>
      </c>
      <c r="H164" t="s">
        <v>154</v>
      </c>
      <c r="I164" t="s">
        <v>365</v>
      </c>
      <c r="J164" t="s">
        <v>50</v>
      </c>
      <c r="K164" t="s">
        <v>1033</v>
      </c>
      <c r="L164">
        <v>0</v>
      </c>
      <c r="M164" t="s">
        <v>1034</v>
      </c>
      <c r="N164" t="s">
        <v>1035</v>
      </c>
      <c r="O164" t="s">
        <v>173</v>
      </c>
      <c r="P164" t="s">
        <v>30</v>
      </c>
      <c r="Q164" t="s">
        <v>65</v>
      </c>
      <c r="R164" s="3">
        <v>8182.66</v>
      </c>
    </row>
    <row r="165" spans="1:18" x14ac:dyDescent="0.3">
      <c r="A165" t="s">
        <v>1036</v>
      </c>
      <c r="B165" t="str">
        <f>TEXT(Raw_Data[[#This Row],[Order Date]],"mmm")</f>
        <v>Oct</v>
      </c>
      <c r="C165" t="s">
        <v>629</v>
      </c>
      <c r="D165" t="s">
        <v>1037</v>
      </c>
      <c r="E165" t="s">
        <v>35</v>
      </c>
      <c r="F165" t="s">
        <v>21</v>
      </c>
      <c r="G165" t="s">
        <v>22</v>
      </c>
      <c r="H165" t="s">
        <v>80</v>
      </c>
      <c r="I165" t="s">
        <v>81</v>
      </c>
      <c r="J165" t="s">
        <v>25</v>
      </c>
      <c r="K165" t="s">
        <v>1038</v>
      </c>
      <c r="L165">
        <v>0.1</v>
      </c>
      <c r="M165" t="s">
        <v>1039</v>
      </c>
      <c r="N165" t="s">
        <v>1040</v>
      </c>
      <c r="O165" t="s">
        <v>64</v>
      </c>
      <c r="P165" t="s">
        <v>95</v>
      </c>
      <c r="Q165" t="s">
        <v>31</v>
      </c>
      <c r="R165" s="3">
        <v>3009.06</v>
      </c>
    </row>
    <row r="166" spans="1:18" x14ac:dyDescent="0.3">
      <c r="A166" t="s">
        <v>1041</v>
      </c>
      <c r="B166" t="str">
        <f>TEXT(Raw_Data[[#This Row],[Order Date]],"mmm")</f>
        <v>Oct</v>
      </c>
      <c r="C166" t="s">
        <v>235</v>
      </c>
      <c r="D166" t="s">
        <v>1042</v>
      </c>
      <c r="E166" t="s">
        <v>35</v>
      </c>
      <c r="F166" t="s">
        <v>58</v>
      </c>
      <c r="G166" t="s">
        <v>812</v>
      </c>
      <c r="H166" t="s">
        <v>154</v>
      </c>
      <c r="I166" t="s">
        <v>155</v>
      </c>
      <c r="J166" t="s">
        <v>25</v>
      </c>
      <c r="K166" t="s">
        <v>1043</v>
      </c>
      <c r="L166">
        <v>0</v>
      </c>
      <c r="M166" t="s">
        <v>1044</v>
      </c>
      <c r="N166" t="s">
        <v>1045</v>
      </c>
      <c r="O166" t="s">
        <v>29</v>
      </c>
      <c r="P166" t="s">
        <v>30</v>
      </c>
      <c r="Q166" t="s">
        <v>65</v>
      </c>
      <c r="R166" s="3">
        <v>4069.45</v>
      </c>
    </row>
    <row r="167" spans="1:18" x14ac:dyDescent="0.3">
      <c r="A167" t="s">
        <v>1046</v>
      </c>
      <c r="B167" t="str">
        <f>TEXT(Raw_Data[[#This Row],[Order Date]],"mmm")</f>
        <v>Jun</v>
      </c>
      <c r="C167" t="s">
        <v>1047</v>
      </c>
      <c r="D167" t="s">
        <v>1048</v>
      </c>
      <c r="E167" t="s">
        <v>48</v>
      </c>
      <c r="F167" t="s">
        <v>89</v>
      </c>
      <c r="G167" t="s">
        <v>99</v>
      </c>
      <c r="H167" t="s">
        <v>23</v>
      </c>
      <c r="I167" t="s">
        <v>263</v>
      </c>
      <c r="J167" t="s">
        <v>50</v>
      </c>
      <c r="K167" t="s">
        <v>1049</v>
      </c>
      <c r="L167">
        <v>0.1</v>
      </c>
      <c r="M167" t="s">
        <v>1050</v>
      </c>
      <c r="N167" t="s">
        <v>1051</v>
      </c>
      <c r="O167" t="s">
        <v>54</v>
      </c>
      <c r="P167" t="s">
        <v>30</v>
      </c>
      <c r="Q167" t="s">
        <v>65</v>
      </c>
      <c r="R167" s="3">
        <v>130786.686</v>
      </c>
    </row>
    <row r="168" spans="1:18" x14ac:dyDescent="0.3">
      <c r="A168" t="s">
        <v>1052</v>
      </c>
      <c r="B168" t="str">
        <f>TEXT(Raw_Data[[#This Row],[Order Date]],"mmm")</f>
        <v>Aug</v>
      </c>
      <c r="C168" t="s">
        <v>1053</v>
      </c>
      <c r="D168" t="s">
        <v>1054</v>
      </c>
      <c r="E168" t="s">
        <v>35</v>
      </c>
      <c r="F168" t="s">
        <v>58</v>
      </c>
      <c r="G168" t="s">
        <v>812</v>
      </c>
      <c r="H168" t="s">
        <v>80</v>
      </c>
      <c r="I168" t="s">
        <v>116</v>
      </c>
      <c r="J168" t="s">
        <v>82</v>
      </c>
      <c r="K168" t="s">
        <v>1055</v>
      </c>
      <c r="L168">
        <v>0.05</v>
      </c>
      <c r="M168" t="s">
        <v>1056</v>
      </c>
      <c r="N168" t="s">
        <v>1057</v>
      </c>
      <c r="O168" t="s">
        <v>173</v>
      </c>
      <c r="P168" t="s">
        <v>30</v>
      </c>
      <c r="Q168" t="s">
        <v>65</v>
      </c>
      <c r="R168" s="3">
        <v>15697.4199999999</v>
      </c>
    </row>
    <row r="169" spans="1:18" x14ac:dyDescent="0.3">
      <c r="A169" t="s">
        <v>1058</v>
      </c>
      <c r="B169" t="str">
        <f>TEXT(Raw_Data[[#This Row],[Order Date]],"mmm")</f>
        <v>Oct</v>
      </c>
      <c r="C169" t="s">
        <v>1059</v>
      </c>
      <c r="D169" t="s">
        <v>1060</v>
      </c>
      <c r="E169" t="s">
        <v>20</v>
      </c>
      <c r="F169" t="s">
        <v>78</v>
      </c>
      <c r="G169" t="s">
        <v>731</v>
      </c>
      <c r="H169" t="s">
        <v>154</v>
      </c>
      <c r="I169" t="s">
        <v>1061</v>
      </c>
      <c r="J169" t="s">
        <v>50</v>
      </c>
      <c r="K169" t="s">
        <v>1062</v>
      </c>
      <c r="L169">
        <v>0.2</v>
      </c>
      <c r="M169" t="s">
        <v>1063</v>
      </c>
      <c r="N169" t="s">
        <v>1064</v>
      </c>
      <c r="O169" t="s">
        <v>29</v>
      </c>
      <c r="P169" t="s">
        <v>30</v>
      </c>
      <c r="Q169" t="s">
        <v>31</v>
      </c>
      <c r="R169" s="3">
        <v>11150.335999999999</v>
      </c>
    </row>
    <row r="170" spans="1:18" x14ac:dyDescent="0.3">
      <c r="A170" t="s">
        <v>1065</v>
      </c>
      <c r="B170" t="str">
        <f>TEXT(Raw_Data[[#This Row],[Order Date]],"mmm")</f>
        <v>Sep</v>
      </c>
      <c r="C170" t="s">
        <v>437</v>
      </c>
      <c r="D170" t="s">
        <v>1066</v>
      </c>
      <c r="E170" t="s">
        <v>20</v>
      </c>
      <c r="F170" t="s">
        <v>78</v>
      </c>
      <c r="G170" t="s">
        <v>731</v>
      </c>
      <c r="H170" t="s">
        <v>80</v>
      </c>
      <c r="I170" t="s">
        <v>81</v>
      </c>
      <c r="J170" t="s">
        <v>25</v>
      </c>
      <c r="K170" t="s">
        <v>1067</v>
      </c>
      <c r="L170">
        <v>0.1</v>
      </c>
      <c r="M170" t="s">
        <v>1068</v>
      </c>
      <c r="N170" t="s">
        <v>1069</v>
      </c>
      <c r="O170" t="s">
        <v>64</v>
      </c>
      <c r="P170" t="s">
        <v>30</v>
      </c>
      <c r="Q170" t="s">
        <v>44</v>
      </c>
      <c r="R170" s="3">
        <v>396.423</v>
      </c>
    </row>
    <row r="171" spans="1:18" x14ac:dyDescent="0.3">
      <c r="A171" t="s">
        <v>1070</v>
      </c>
      <c r="B171" t="str">
        <f>TEXT(Raw_Data[[#This Row],[Order Date]],"mmm")</f>
        <v>Feb</v>
      </c>
      <c r="C171" t="s">
        <v>936</v>
      </c>
      <c r="D171" t="s">
        <v>1071</v>
      </c>
      <c r="E171" t="s">
        <v>35</v>
      </c>
      <c r="F171" t="s">
        <v>36</v>
      </c>
      <c r="G171" t="s">
        <v>153</v>
      </c>
      <c r="H171" t="s">
        <v>23</v>
      </c>
      <c r="I171" t="s">
        <v>341</v>
      </c>
      <c r="J171" t="s">
        <v>50</v>
      </c>
      <c r="K171" t="s">
        <v>1072</v>
      </c>
      <c r="L171">
        <v>0.1</v>
      </c>
      <c r="M171" t="s">
        <v>1073</v>
      </c>
      <c r="N171" t="s">
        <v>1074</v>
      </c>
      <c r="O171" t="s">
        <v>54</v>
      </c>
      <c r="P171" t="s">
        <v>30</v>
      </c>
      <c r="Q171" t="s">
        <v>65</v>
      </c>
      <c r="R171" s="3">
        <v>31453.505999999899</v>
      </c>
    </row>
    <row r="172" spans="1:18" x14ac:dyDescent="0.3">
      <c r="A172" t="s">
        <v>1075</v>
      </c>
      <c r="B172" t="str">
        <f>TEXT(Raw_Data[[#This Row],[Order Date]],"mmm")</f>
        <v>Oct</v>
      </c>
      <c r="C172" t="s">
        <v>1076</v>
      </c>
      <c r="D172" t="s">
        <v>1077</v>
      </c>
      <c r="E172" t="s">
        <v>35</v>
      </c>
      <c r="F172" t="s">
        <v>106</v>
      </c>
      <c r="G172" t="s">
        <v>163</v>
      </c>
      <c r="H172" t="s">
        <v>38</v>
      </c>
      <c r="I172" t="s">
        <v>223</v>
      </c>
      <c r="J172" t="s">
        <v>25</v>
      </c>
      <c r="K172" t="s">
        <v>1078</v>
      </c>
      <c r="L172">
        <v>0.1</v>
      </c>
      <c r="M172" t="s">
        <v>1079</v>
      </c>
      <c r="N172" t="s">
        <v>1080</v>
      </c>
      <c r="O172" t="s">
        <v>173</v>
      </c>
      <c r="P172" t="s">
        <v>30</v>
      </c>
      <c r="Q172" t="s">
        <v>65</v>
      </c>
      <c r="R172" s="3">
        <v>2728.9169999999999</v>
      </c>
    </row>
    <row r="173" spans="1:18" x14ac:dyDescent="0.3">
      <c r="A173" t="s">
        <v>1081</v>
      </c>
      <c r="B173" t="str">
        <f>TEXT(Raw_Data[[#This Row],[Order Date]],"mmm")</f>
        <v>Dec</v>
      </c>
      <c r="C173" t="s">
        <v>982</v>
      </c>
      <c r="D173" t="s">
        <v>1082</v>
      </c>
      <c r="E173" t="s">
        <v>48</v>
      </c>
      <c r="F173" t="s">
        <v>36</v>
      </c>
      <c r="G173" t="s">
        <v>37</v>
      </c>
      <c r="H173" t="s">
        <v>23</v>
      </c>
      <c r="I173" t="s">
        <v>49</v>
      </c>
      <c r="J173" t="s">
        <v>82</v>
      </c>
      <c r="K173" t="s">
        <v>1083</v>
      </c>
      <c r="L173">
        <v>0.1</v>
      </c>
      <c r="M173" t="s">
        <v>1084</v>
      </c>
      <c r="N173" t="s">
        <v>1085</v>
      </c>
      <c r="O173" t="s">
        <v>43</v>
      </c>
      <c r="P173" t="s">
        <v>30</v>
      </c>
      <c r="Q173" t="s">
        <v>31</v>
      </c>
      <c r="R173" s="3">
        <v>139161.492</v>
      </c>
    </row>
    <row r="174" spans="1:18" x14ac:dyDescent="0.3">
      <c r="A174" t="s">
        <v>1086</v>
      </c>
      <c r="B174" t="str">
        <f>TEXT(Raw_Data[[#This Row],[Order Date]],"mmm")</f>
        <v>Feb</v>
      </c>
      <c r="C174" t="s">
        <v>1087</v>
      </c>
      <c r="D174" t="s">
        <v>1088</v>
      </c>
      <c r="E174" t="s">
        <v>20</v>
      </c>
      <c r="F174" t="s">
        <v>69</v>
      </c>
      <c r="G174" t="s">
        <v>70</v>
      </c>
      <c r="H174" t="s">
        <v>38</v>
      </c>
      <c r="I174" t="s">
        <v>223</v>
      </c>
      <c r="J174" t="s">
        <v>25</v>
      </c>
      <c r="K174" t="s">
        <v>1089</v>
      </c>
      <c r="L174">
        <v>0.05</v>
      </c>
      <c r="M174" t="s">
        <v>1090</v>
      </c>
      <c r="N174" t="s">
        <v>1091</v>
      </c>
      <c r="O174" t="s">
        <v>54</v>
      </c>
      <c r="P174" t="s">
        <v>30</v>
      </c>
      <c r="Q174" t="s">
        <v>44</v>
      </c>
      <c r="R174" s="3">
        <v>4460.7534999999998</v>
      </c>
    </row>
    <row r="175" spans="1:18" x14ac:dyDescent="0.3">
      <c r="A175" t="s">
        <v>1092</v>
      </c>
      <c r="B175" t="str">
        <f>TEXT(Raw_Data[[#This Row],[Order Date]],"mmm")</f>
        <v>Dec</v>
      </c>
      <c r="C175" t="s">
        <v>1093</v>
      </c>
      <c r="D175" t="s">
        <v>1094</v>
      </c>
      <c r="E175" t="s">
        <v>20</v>
      </c>
      <c r="F175" t="s">
        <v>78</v>
      </c>
      <c r="G175" t="s">
        <v>79</v>
      </c>
      <c r="H175" t="s">
        <v>23</v>
      </c>
      <c r="I175" t="s">
        <v>341</v>
      </c>
      <c r="J175" t="s">
        <v>50</v>
      </c>
      <c r="K175" t="s">
        <v>1095</v>
      </c>
      <c r="L175">
        <v>0</v>
      </c>
      <c r="M175" t="s">
        <v>1096</v>
      </c>
      <c r="N175" t="s">
        <v>1097</v>
      </c>
      <c r="O175" t="s">
        <v>173</v>
      </c>
      <c r="P175" t="s">
        <v>30</v>
      </c>
      <c r="Q175" t="s">
        <v>44</v>
      </c>
      <c r="R175" s="3">
        <v>59447.46</v>
      </c>
    </row>
    <row r="176" spans="1:18" x14ac:dyDescent="0.3">
      <c r="A176" t="s">
        <v>1098</v>
      </c>
      <c r="B176" t="str">
        <f>TEXT(Raw_Data[[#This Row],[Order Date]],"mmm")</f>
        <v>Nov</v>
      </c>
      <c r="C176" t="s">
        <v>516</v>
      </c>
      <c r="D176" t="s">
        <v>1099</v>
      </c>
      <c r="E176" t="s">
        <v>48</v>
      </c>
      <c r="F176" t="s">
        <v>106</v>
      </c>
      <c r="G176" t="s">
        <v>163</v>
      </c>
      <c r="H176" t="s">
        <v>154</v>
      </c>
      <c r="I176" t="s">
        <v>365</v>
      </c>
      <c r="J176" t="s">
        <v>50</v>
      </c>
      <c r="K176" t="s">
        <v>1100</v>
      </c>
      <c r="L176">
        <v>0.15</v>
      </c>
      <c r="M176" t="s">
        <v>1101</v>
      </c>
      <c r="N176" t="s">
        <v>1102</v>
      </c>
      <c r="O176" t="s">
        <v>64</v>
      </c>
      <c r="P176" t="s">
        <v>30</v>
      </c>
      <c r="Q176" t="s">
        <v>65</v>
      </c>
      <c r="R176" s="3">
        <v>13406.234</v>
      </c>
    </row>
    <row r="177" spans="1:18" x14ac:dyDescent="0.3">
      <c r="A177" t="s">
        <v>1103</v>
      </c>
      <c r="B177" t="str">
        <f>TEXT(Raw_Data[[#This Row],[Order Date]],"mmm")</f>
        <v>Aug</v>
      </c>
      <c r="C177" t="s">
        <v>1104</v>
      </c>
      <c r="D177" t="s">
        <v>1105</v>
      </c>
      <c r="E177" t="s">
        <v>35</v>
      </c>
      <c r="F177" t="s">
        <v>36</v>
      </c>
      <c r="G177" t="s">
        <v>153</v>
      </c>
      <c r="H177" t="s">
        <v>38</v>
      </c>
      <c r="I177" t="s">
        <v>223</v>
      </c>
      <c r="J177" t="s">
        <v>100</v>
      </c>
      <c r="K177" t="s">
        <v>1106</v>
      </c>
      <c r="L177">
        <v>0.1</v>
      </c>
      <c r="M177" t="s">
        <v>1107</v>
      </c>
      <c r="N177" t="s">
        <v>1108</v>
      </c>
      <c r="O177" t="s">
        <v>43</v>
      </c>
      <c r="P177" t="s">
        <v>30</v>
      </c>
      <c r="Q177" t="s">
        <v>44</v>
      </c>
      <c r="R177" s="3">
        <v>2491.7759999999998</v>
      </c>
    </row>
    <row r="178" spans="1:18" x14ac:dyDescent="0.3">
      <c r="A178" t="s">
        <v>1109</v>
      </c>
      <c r="B178" t="str">
        <f>TEXT(Raw_Data[[#This Row],[Order Date]],"mmm")</f>
        <v>Feb</v>
      </c>
      <c r="C178" t="s">
        <v>228</v>
      </c>
      <c r="D178" t="s">
        <v>1110</v>
      </c>
      <c r="E178" t="s">
        <v>48</v>
      </c>
      <c r="F178" t="s">
        <v>215</v>
      </c>
      <c r="G178" t="s">
        <v>216</v>
      </c>
      <c r="H178" t="s">
        <v>1111</v>
      </c>
      <c r="I178" t="s">
        <v>277</v>
      </c>
      <c r="J178" t="s">
        <v>50</v>
      </c>
      <c r="K178" t="s">
        <v>1112</v>
      </c>
      <c r="L178">
        <v>0.1</v>
      </c>
      <c r="M178" t="s">
        <v>1113</v>
      </c>
      <c r="N178" t="s">
        <v>1114</v>
      </c>
      <c r="O178" t="s">
        <v>173</v>
      </c>
      <c r="P178" t="s">
        <v>30</v>
      </c>
      <c r="Q178" t="s">
        <v>31</v>
      </c>
      <c r="R178" s="3">
        <v>17490.671999999999</v>
      </c>
    </row>
    <row r="179" spans="1:18" x14ac:dyDescent="0.3">
      <c r="A179" t="s">
        <v>1115</v>
      </c>
      <c r="B179" t="str">
        <f>TEXT(Raw_Data[[#This Row],[Order Date]],"mmm")</f>
        <v>Nov</v>
      </c>
      <c r="C179" t="s">
        <v>1116</v>
      </c>
      <c r="D179" t="s">
        <v>1117</v>
      </c>
      <c r="E179" t="s">
        <v>35</v>
      </c>
      <c r="F179" t="s">
        <v>69</v>
      </c>
      <c r="G179" t="s">
        <v>328</v>
      </c>
      <c r="H179" t="s">
        <v>38</v>
      </c>
      <c r="I179" t="s">
        <v>223</v>
      </c>
      <c r="J179" t="s">
        <v>25</v>
      </c>
      <c r="K179" t="s">
        <v>1118</v>
      </c>
      <c r="L179">
        <v>0.1</v>
      </c>
      <c r="M179" t="s">
        <v>1119</v>
      </c>
      <c r="N179" t="s">
        <v>1120</v>
      </c>
      <c r="O179" t="s">
        <v>29</v>
      </c>
      <c r="P179" t="s">
        <v>95</v>
      </c>
      <c r="Q179" t="s">
        <v>65</v>
      </c>
      <c r="R179" s="3">
        <v>3183.5970000000002</v>
      </c>
    </row>
    <row r="180" spans="1:18" x14ac:dyDescent="0.3">
      <c r="A180" t="s">
        <v>1121</v>
      </c>
      <c r="B180" t="str">
        <f>TEXT(Raw_Data[[#This Row],[Order Date]],"mmm")</f>
        <v>Nov</v>
      </c>
      <c r="C180" t="s">
        <v>1122</v>
      </c>
      <c r="D180" t="s">
        <v>1123</v>
      </c>
      <c r="E180" t="s">
        <v>48</v>
      </c>
      <c r="F180" t="s">
        <v>215</v>
      </c>
      <c r="G180" t="s">
        <v>216</v>
      </c>
      <c r="H180" t="s">
        <v>23</v>
      </c>
      <c r="I180" t="s">
        <v>263</v>
      </c>
      <c r="J180" t="s">
        <v>25</v>
      </c>
      <c r="K180" t="s">
        <v>1124</v>
      </c>
      <c r="L180">
        <v>0.15</v>
      </c>
      <c r="M180" t="s">
        <v>1125</v>
      </c>
      <c r="N180" t="s">
        <v>1126</v>
      </c>
      <c r="O180" t="s">
        <v>43</v>
      </c>
      <c r="P180" t="s">
        <v>30</v>
      </c>
      <c r="Q180" t="s">
        <v>65</v>
      </c>
      <c r="R180" s="3">
        <v>17686.681</v>
      </c>
    </row>
    <row r="181" spans="1:18" x14ac:dyDescent="0.3">
      <c r="A181" t="s">
        <v>1127</v>
      </c>
      <c r="B181" t="str">
        <f>TEXT(Raw_Data[[#This Row],[Order Date]],"mmm")</f>
        <v>Mar</v>
      </c>
      <c r="C181" t="s">
        <v>1128</v>
      </c>
      <c r="D181" t="s">
        <v>1129</v>
      </c>
      <c r="E181" t="s">
        <v>48</v>
      </c>
      <c r="F181" t="s">
        <v>21</v>
      </c>
      <c r="G181" t="s">
        <v>22</v>
      </c>
      <c r="H181" t="s">
        <v>23</v>
      </c>
      <c r="I181" t="s">
        <v>183</v>
      </c>
      <c r="J181" t="s">
        <v>25</v>
      </c>
      <c r="K181" t="s">
        <v>1130</v>
      </c>
      <c r="L181">
        <v>0.1</v>
      </c>
      <c r="M181" t="s">
        <v>1131</v>
      </c>
      <c r="N181" t="s">
        <v>1132</v>
      </c>
      <c r="O181" t="s">
        <v>64</v>
      </c>
      <c r="P181" t="s">
        <v>30</v>
      </c>
      <c r="Q181" t="s">
        <v>65</v>
      </c>
      <c r="R181" s="3">
        <v>35799.525000000001</v>
      </c>
    </row>
    <row r="182" spans="1:18" x14ac:dyDescent="0.3">
      <c r="A182" t="s">
        <v>1133</v>
      </c>
      <c r="B182" t="str">
        <f>TEXT(Raw_Data[[#This Row],[Order Date]],"mmm")</f>
        <v>Jan</v>
      </c>
      <c r="C182" t="s">
        <v>924</v>
      </c>
      <c r="D182" t="s">
        <v>1134</v>
      </c>
      <c r="E182" t="s">
        <v>20</v>
      </c>
      <c r="F182" t="s">
        <v>89</v>
      </c>
      <c r="G182" t="s">
        <v>90</v>
      </c>
      <c r="H182" t="s">
        <v>107</v>
      </c>
      <c r="I182" t="s">
        <v>591</v>
      </c>
      <c r="J182" t="s">
        <v>25</v>
      </c>
      <c r="K182" t="s">
        <v>1135</v>
      </c>
      <c r="L182">
        <v>0.05</v>
      </c>
      <c r="M182" t="s">
        <v>1136</v>
      </c>
      <c r="N182" t="s">
        <v>1137</v>
      </c>
      <c r="O182" t="s">
        <v>173</v>
      </c>
      <c r="P182" t="s">
        <v>112</v>
      </c>
      <c r="Q182" t="s">
        <v>31</v>
      </c>
      <c r="R182" s="3">
        <v>10648.245999999999</v>
      </c>
    </row>
    <row r="183" spans="1:18" x14ac:dyDescent="0.3">
      <c r="A183" t="s">
        <v>1138</v>
      </c>
      <c r="B183" t="str">
        <f>TEXT(Raw_Data[[#This Row],[Order Date]],"mmm")</f>
        <v>Apr</v>
      </c>
      <c r="C183" t="s">
        <v>419</v>
      </c>
      <c r="D183" t="s">
        <v>1139</v>
      </c>
      <c r="E183" t="s">
        <v>20</v>
      </c>
      <c r="F183" t="s">
        <v>69</v>
      </c>
      <c r="G183" t="s">
        <v>70</v>
      </c>
      <c r="H183" t="s">
        <v>107</v>
      </c>
      <c r="I183" t="s">
        <v>591</v>
      </c>
      <c r="J183" t="s">
        <v>100</v>
      </c>
      <c r="K183" t="s">
        <v>1140</v>
      </c>
      <c r="L183">
        <v>0.05</v>
      </c>
      <c r="M183" t="s">
        <v>1141</v>
      </c>
      <c r="N183" t="s">
        <v>1142</v>
      </c>
      <c r="O183" t="s">
        <v>43</v>
      </c>
      <c r="P183" t="s">
        <v>30</v>
      </c>
      <c r="Q183" t="s">
        <v>65</v>
      </c>
      <c r="R183" s="3">
        <v>27973.0065</v>
      </c>
    </row>
    <row r="184" spans="1:18" x14ac:dyDescent="0.3">
      <c r="A184" t="s">
        <v>1143</v>
      </c>
      <c r="B184" t="str">
        <f>TEXT(Raw_Data[[#This Row],[Order Date]],"mmm")</f>
        <v>Nov</v>
      </c>
      <c r="C184" t="s">
        <v>1144</v>
      </c>
      <c r="D184" t="s">
        <v>1145</v>
      </c>
      <c r="E184" t="s">
        <v>48</v>
      </c>
      <c r="F184" t="s">
        <v>69</v>
      </c>
      <c r="G184" t="s">
        <v>70</v>
      </c>
      <c r="H184" t="s">
        <v>154</v>
      </c>
      <c r="I184" t="s">
        <v>155</v>
      </c>
      <c r="J184" t="s">
        <v>50</v>
      </c>
      <c r="K184" t="s">
        <v>1146</v>
      </c>
      <c r="L184">
        <v>0.15</v>
      </c>
      <c r="M184" t="s">
        <v>1147</v>
      </c>
      <c r="N184" t="s">
        <v>1148</v>
      </c>
      <c r="O184" t="s">
        <v>43</v>
      </c>
      <c r="P184" t="s">
        <v>30</v>
      </c>
      <c r="Q184" t="s">
        <v>44</v>
      </c>
      <c r="R184" s="3">
        <v>4166.3940000000002</v>
      </c>
    </row>
    <row r="185" spans="1:18" x14ac:dyDescent="0.3">
      <c r="A185" t="s">
        <v>1149</v>
      </c>
      <c r="B185" t="str">
        <f>TEXT(Raw_Data[[#This Row],[Order Date]],"mmm")</f>
        <v>Sep</v>
      </c>
      <c r="C185" t="s">
        <v>719</v>
      </c>
      <c r="D185" t="s">
        <v>1150</v>
      </c>
      <c r="E185" t="s">
        <v>20</v>
      </c>
      <c r="F185" t="s">
        <v>69</v>
      </c>
      <c r="G185" t="s">
        <v>139</v>
      </c>
      <c r="H185" t="s">
        <v>107</v>
      </c>
      <c r="I185" t="s">
        <v>469</v>
      </c>
      <c r="J185" t="s">
        <v>100</v>
      </c>
      <c r="K185" t="s">
        <v>1151</v>
      </c>
      <c r="L185">
        <v>0</v>
      </c>
      <c r="M185" t="s">
        <v>1152</v>
      </c>
      <c r="N185" t="s">
        <v>1153</v>
      </c>
      <c r="O185" t="s">
        <v>54</v>
      </c>
      <c r="P185" t="s">
        <v>95</v>
      </c>
      <c r="Q185" t="s">
        <v>44</v>
      </c>
      <c r="R185" s="3">
        <v>52239.479999999901</v>
      </c>
    </row>
    <row r="186" spans="1:18" x14ac:dyDescent="0.3">
      <c r="A186" t="s">
        <v>1154</v>
      </c>
      <c r="B186" t="str">
        <f>TEXT(Raw_Data[[#This Row],[Order Date]],"mmm")</f>
        <v>Aug</v>
      </c>
      <c r="C186" t="s">
        <v>1155</v>
      </c>
      <c r="D186" t="s">
        <v>1156</v>
      </c>
      <c r="E186" t="s">
        <v>48</v>
      </c>
      <c r="F186" t="s">
        <v>36</v>
      </c>
      <c r="G186" t="s">
        <v>414</v>
      </c>
      <c r="H186" t="s">
        <v>23</v>
      </c>
      <c r="I186" t="s">
        <v>183</v>
      </c>
      <c r="J186" t="s">
        <v>25</v>
      </c>
      <c r="K186" t="s">
        <v>1157</v>
      </c>
      <c r="L186">
        <v>0.2</v>
      </c>
      <c r="M186" t="s">
        <v>1158</v>
      </c>
      <c r="N186" t="s">
        <v>1159</v>
      </c>
      <c r="O186" t="s">
        <v>29</v>
      </c>
      <c r="P186" t="s">
        <v>30</v>
      </c>
      <c r="Q186" t="s">
        <v>65</v>
      </c>
      <c r="R186" s="3">
        <v>43312.016000000003</v>
      </c>
    </row>
    <row r="187" spans="1:18" x14ac:dyDescent="0.3">
      <c r="A187" t="s">
        <v>1160</v>
      </c>
      <c r="B187" t="str">
        <f>TEXT(Raw_Data[[#This Row],[Order Date]],"mmm")</f>
        <v>Dec</v>
      </c>
      <c r="C187" t="s">
        <v>540</v>
      </c>
      <c r="D187" t="s">
        <v>1161</v>
      </c>
      <c r="E187" t="s">
        <v>35</v>
      </c>
      <c r="F187" t="s">
        <v>89</v>
      </c>
      <c r="G187" t="s">
        <v>90</v>
      </c>
      <c r="H187" t="s">
        <v>23</v>
      </c>
      <c r="I187" t="s">
        <v>263</v>
      </c>
      <c r="J187" t="s">
        <v>25</v>
      </c>
      <c r="K187" t="s">
        <v>1162</v>
      </c>
      <c r="L187">
        <v>0</v>
      </c>
      <c r="M187" t="s">
        <v>1163</v>
      </c>
      <c r="N187" t="s">
        <v>1164</v>
      </c>
      <c r="O187" t="s">
        <v>43</v>
      </c>
      <c r="P187" t="s">
        <v>30</v>
      </c>
      <c r="Q187" t="s">
        <v>44</v>
      </c>
      <c r="R187" s="3">
        <v>58667.09</v>
      </c>
    </row>
    <row r="188" spans="1:18" x14ac:dyDescent="0.3">
      <c r="A188" t="s">
        <v>1165</v>
      </c>
      <c r="B188" t="str">
        <f>TEXT(Raw_Data[[#This Row],[Order Date]],"mmm")</f>
        <v>Feb</v>
      </c>
      <c r="C188" t="s">
        <v>862</v>
      </c>
      <c r="D188" t="s">
        <v>1166</v>
      </c>
      <c r="E188" t="s">
        <v>48</v>
      </c>
      <c r="F188" t="s">
        <v>21</v>
      </c>
      <c r="G188" t="s">
        <v>22</v>
      </c>
      <c r="H188" t="s">
        <v>107</v>
      </c>
      <c r="I188" t="s">
        <v>378</v>
      </c>
      <c r="J188" t="s">
        <v>25</v>
      </c>
      <c r="K188" t="s">
        <v>1167</v>
      </c>
      <c r="L188">
        <v>0</v>
      </c>
      <c r="M188" t="s">
        <v>1168</v>
      </c>
      <c r="N188" t="s">
        <v>1169</v>
      </c>
      <c r="O188" t="s">
        <v>43</v>
      </c>
      <c r="P188" t="s">
        <v>30</v>
      </c>
      <c r="Q188" t="s">
        <v>31</v>
      </c>
      <c r="R188" s="3">
        <v>3848.36</v>
      </c>
    </row>
    <row r="189" spans="1:18" x14ac:dyDescent="0.3">
      <c r="A189" t="s">
        <v>1170</v>
      </c>
      <c r="B189" t="str">
        <f>TEXT(Raw_Data[[#This Row],[Order Date]],"mmm")</f>
        <v>Oct</v>
      </c>
      <c r="C189" t="s">
        <v>1171</v>
      </c>
      <c r="D189" t="s">
        <v>1172</v>
      </c>
      <c r="E189" t="s">
        <v>35</v>
      </c>
      <c r="F189" t="s">
        <v>69</v>
      </c>
      <c r="G189" t="s">
        <v>139</v>
      </c>
      <c r="H189" t="s">
        <v>154</v>
      </c>
      <c r="I189" t="s">
        <v>155</v>
      </c>
      <c r="J189" t="s">
        <v>25</v>
      </c>
      <c r="K189" t="s">
        <v>1173</v>
      </c>
      <c r="L189">
        <v>0</v>
      </c>
      <c r="M189" t="s">
        <v>1174</v>
      </c>
      <c r="N189" t="s">
        <v>1175</v>
      </c>
      <c r="O189" t="s">
        <v>173</v>
      </c>
      <c r="P189" t="s">
        <v>159</v>
      </c>
      <c r="Q189" t="s">
        <v>65</v>
      </c>
      <c r="R189" s="3">
        <v>7511.17</v>
      </c>
    </row>
    <row r="190" spans="1:18" x14ac:dyDescent="0.3">
      <c r="A190" t="s">
        <v>1176</v>
      </c>
      <c r="B190" t="str">
        <f>TEXT(Raw_Data[[#This Row],[Order Date]],"mmm")</f>
        <v>Aug</v>
      </c>
      <c r="C190" t="s">
        <v>971</v>
      </c>
      <c r="D190" t="s">
        <v>1177</v>
      </c>
      <c r="E190" t="s">
        <v>48</v>
      </c>
      <c r="F190" t="s">
        <v>58</v>
      </c>
      <c r="G190" t="s">
        <v>290</v>
      </c>
      <c r="H190" t="s">
        <v>38</v>
      </c>
      <c r="I190" t="s">
        <v>39</v>
      </c>
      <c r="J190" t="s">
        <v>50</v>
      </c>
      <c r="K190" t="s">
        <v>1178</v>
      </c>
      <c r="L190">
        <v>0</v>
      </c>
      <c r="M190" t="s">
        <v>1179</v>
      </c>
      <c r="N190" t="s">
        <v>1180</v>
      </c>
      <c r="O190" t="s">
        <v>43</v>
      </c>
      <c r="P190" t="s">
        <v>159</v>
      </c>
      <c r="Q190" t="s">
        <v>44</v>
      </c>
      <c r="R190" s="3">
        <v>1761.34</v>
      </c>
    </row>
    <row r="191" spans="1:18" x14ac:dyDescent="0.3">
      <c r="A191" t="s">
        <v>1181</v>
      </c>
      <c r="B191" t="str">
        <f>TEXT(Raw_Data[[#This Row],[Order Date]],"mmm")</f>
        <v>Nov</v>
      </c>
      <c r="C191" t="s">
        <v>221</v>
      </c>
      <c r="D191" t="s">
        <v>1182</v>
      </c>
      <c r="E191" t="s">
        <v>48</v>
      </c>
      <c r="F191" t="s">
        <v>89</v>
      </c>
      <c r="G191" t="s">
        <v>99</v>
      </c>
      <c r="H191" t="s">
        <v>107</v>
      </c>
      <c r="I191" t="s">
        <v>277</v>
      </c>
      <c r="J191" t="s">
        <v>50</v>
      </c>
      <c r="K191" t="s">
        <v>1183</v>
      </c>
      <c r="L191">
        <v>0.2</v>
      </c>
      <c r="M191" t="s">
        <v>1184</v>
      </c>
      <c r="N191" t="s">
        <v>1185</v>
      </c>
      <c r="O191" t="s">
        <v>54</v>
      </c>
      <c r="P191" t="s">
        <v>30</v>
      </c>
      <c r="Q191" t="s">
        <v>44</v>
      </c>
      <c r="R191" s="3">
        <v>4089.8879999999999</v>
      </c>
    </row>
    <row r="192" spans="1:18" x14ac:dyDescent="0.3">
      <c r="A192" t="s">
        <v>1186</v>
      </c>
      <c r="B192" t="str">
        <f>TEXT(Raw_Data[[#This Row],[Order Date]],"mmm")</f>
        <v>Apr</v>
      </c>
      <c r="C192" t="s">
        <v>376</v>
      </c>
      <c r="D192" t="s">
        <v>1187</v>
      </c>
      <c r="E192" t="s">
        <v>35</v>
      </c>
      <c r="F192" t="s">
        <v>36</v>
      </c>
      <c r="G192" t="s">
        <v>37</v>
      </c>
      <c r="H192" t="s">
        <v>80</v>
      </c>
      <c r="I192" t="s">
        <v>116</v>
      </c>
      <c r="J192" t="s">
        <v>25</v>
      </c>
      <c r="K192" t="s">
        <v>1188</v>
      </c>
      <c r="L192">
        <v>0.1</v>
      </c>
      <c r="M192" t="s">
        <v>1189</v>
      </c>
      <c r="N192" t="s">
        <v>1190</v>
      </c>
      <c r="O192" t="s">
        <v>64</v>
      </c>
      <c r="P192" t="s">
        <v>30</v>
      </c>
      <c r="Q192" t="s">
        <v>31</v>
      </c>
      <c r="R192" s="3">
        <v>790.26300000000003</v>
      </c>
    </row>
    <row r="193" spans="1:18" x14ac:dyDescent="0.3">
      <c r="A193" t="s">
        <v>1191</v>
      </c>
      <c r="B193" t="str">
        <f>TEXT(Raw_Data[[#This Row],[Order Date]],"mmm")</f>
        <v>Sep</v>
      </c>
      <c r="C193" t="s">
        <v>1192</v>
      </c>
      <c r="D193" t="s">
        <v>1193</v>
      </c>
      <c r="E193" t="s">
        <v>48</v>
      </c>
      <c r="F193" t="s">
        <v>78</v>
      </c>
      <c r="G193" t="s">
        <v>731</v>
      </c>
      <c r="H193" t="s">
        <v>80</v>
      </c>
      <c r="I193" t="s">
        <v>146</v>
      </c>
      <c r="J193" t="s">
        <v>25</v>
      </c>
      <c r="K193" t="s">
        <v>1194</v>
      </c>
      <c r="L193">
        <v>0.05</v>
      </c>
      <c r="M193" t="s">
        <v>1195</v>
      </c>
      <c r="N193" t="s">
        <v>1196</v>
      </c>
      <c r="O193" t="s">
        <v>43</v>
      </c>
      <c r="P193" t="s">
        <v>112</v>
      </c>
      <c r="Q193" t="s">
        <v>65</v>
      </c>
      <c r="R193" s="3">
        <v>1281.9110000000001</v>
      </c>
    </row>
    <row r="194" spans="1:18" x14ac:dyDescent="0.3">
      <c r="A194" t="s">
        <v>1197</v>
      </c>
      <c r="B194" t="str">
        <f>TEXT(Raw_Data[[#This Row],[Order Date]],"mmm")</f>
        <v>Nov</v>
      </c>
      <c r="C194" t="s">
        <v>1198</v>
      </c>
      <c r="D194" t="s">
        <v>1199</v>
      </c>
      <c r="E194" t="s">
        <v>20</v>
      </c>
      <c r="F194" t="s">
        <v>58</v>
      </c>
      <c r="G194" t="s">
        <v>290</v>
      </c>
      <c r="H194" t="s">
        <v>80</v>
      </c>
      <c r="I194" t="s">
        <v>116</v>
      </c>
      <c r="J194" t="s">
        <v>25</v>
      </c>
      <c r="K194" t="s">
        <v>1200</v>
      </c>
      <c r="L194">
        <v>0.05</v>
      </c>
      <c r="M194" t="s">
        <v>1201</v>
      </c>
      <c r="N194" t="s">
        <v>1202</v>
      </c>
      <c r="O194" t="s">
        <v>29</v>
      </c>
      <c r="P194" t="s">
        <v>30</v>
      </c>
      <c r="Q194" t="s">
        <v>44</v>
      </c>
      <c r="R194" s="3">
        <v>3120.9874999999902</v>
      </c>
    </row>
    <row r="195" spans="1:18" x14ac:dyDescent="0.3">
      <c r="A195" t="s">
        <v>1203</v>
      </c>
      <c r="B195" t="str">
        <f>TEXT(Raw_Data[[#This Row],[Order Date]],"mmm")</f>
        <v>Nov</v>
      </c>
      <c r="C195" t="s">
        <v>1204</v>
      </c>
      <c r="D195" t="s">
        <v>1205</v>
      </c>
      <c r="E195" t="s">
        <v>20</v>
      </c>
      <c r="F195" t="s">
        <v>78</v>
      </c>
      <c r="G195" t="s">
        <v>79</v>
      </c>
      <c r="H195" t="s">
        <v>38</v>
      </c>
      <c r="I195" t="s">
        <v>256</v>
      </c>
      <c r="J195" t="s">
        <v>50</v>
      </c>
      <c r="K195" t="s">
        <v>1206</v>
      </c>
      <c r="L195">
        <v>0.05</v>
      </c>
      <c r="M195" t="s">
        <v>1207</v>
      </c>
      <c r="N195" t="s">
        <v>1208</v>
      </c>
      <c r="O195" t="s">
        <v>54</v>
      </c>
      <c r="P195" t="s">
        <v>30</v>
      </c>
      <c r="Q195" t="s">
        <v>31</v>
      </c>
      <c r="R195" s="3">
        <v>4421.1480000000001</v>
      </c>
    </row>
    <row r="196" spans="1:18" x14ac:dyDescent="0.3">
      <c r="A196" t="s">
        <v>1209</v>
      </c>
      <c r="B196" t="str">
        <f>TEXT(Raw_Data[[#This Row],[Order Date]],"mmm")</f>
        <v>Jul</v>
      </c>
      <c r="C196" t="s">
        <v>1210</v>
      </c>
      <c r="D196" t="s">
        <v>1211</v>
      </c>
      <c r="E196" t="s">
        <v>35</v>
      </c>
      <c r="F196" t="s">
        <v>89</v>
      </c>
      <c r="G196" t="s">
        <v>230</v>
      </c>
      <c r="H196" t="s">
        <v>23</v>
      </c>
      <c r="I196" t="s">
        <v>183</v>
      </c>
      <c r="J196" t="s">
        <v>25</v>
      </c>
      <c r="K196" t="s">
        <v>1212</v>
      </c>
      <c r="L196">
        <v>0.15</v>
      </c>
      <c r="M196" t="s">
        <v>1213</v>
      </c>
      <c r="N196" t="s">
        <v>1214</v>
      </c>
      <c r="O196" t="s">
        <v>29</v>
      </c>
      <c r="P196" t="s">
        <v>30</v>
      </c>
      <c r="Q196" t="s">
        <v>31</v>
      </c>
      <c r="R196" s="3">
        <v>40238.991499999996</v>
      </c>
    </row>
    <row r="197" spans="1:18" x14ac:dyDescent="0.3">
      <c r="A197" t="s">
        <v>1215</v>
      </c>
      <c r="B197" t="str">
        <f>TEXT(Raw_Data[[#This Row],[Order Date]],"mmm")</f>
        <v>Mar</v>
      </c>
      <c r="C197" t="s">
        <v>1216</v>
      </c>
      <c r="D197" t="s">
        <v>1217</v>
      </c>
      <c r="E197" t="s">
        <v>48</v>
      </c>
      <c r="F197" t="s">
        <v>106</v>
      </c>
      <c r="G197" t="s">
        <v>106</v>
      </c>
      <c r="H197" t="s">
        <v>23</v>
      </c>
      <c r="I197" t="s">
        <v>49</v>
      </c>
      <c r="J197" t="s">
        <v>100</v>
      </c>
      <c r="K197" t="s">
        <v>1218</v>
      </c>
      <c r="L197">
        <v>0.2</v>
      </c>
      <c r="M197" t="s">
        <v>1219</v>
      </c>
      <c r="N197" t="s">
        <v>1220</v>
      </c>
      <c r="O197" t="s">
        <v>43</v>
      </c>
      <c r="P197" t="s">
        <v>30</v>
      </c>
      <c r="Q197" t="s">
        <v>65</v>
      </c>
      <c r="R197" s="3">
        <v>154585.46400000001</v>
      </c>
    </row>
    <row r="198" spans="1:18" x14ac:dyDescent="0.3">
      <c r="A198" t="s">
        <v>1221</v>
      </c>
      <c r="B198" t="str">
        <f>TEXT(Raw_Data[[#This Row],[Order Date]],"mmm")</f>
        <v>Feb</v>
      </c>
      <c r="C198" t="s">
        <v>201</v>
      </c>
      <c r="D198" t="s">
        <v>1222</v>
      </c>
      <c r="E198" t="s">
        <v>35</v>
      </c>
      <c r="F198" t="s">
        <v>78</v>
      </c>
      <c r="G198" t="s">
        <v>468</v>
      </c>
      <c r="H198" t="s">
        <v>80</v>
      </c>
      <c r="I198" t="s">
        <v>81</v>
      </c>
      <c r="J198" t="s">
        <v>25</v>
      </c>
      <c r="K198" t="s">
        <v>1223</v>
      </c>
      <c r="L198">
        <v>0.05</v>
      </c>
      <c r="M198" t="s">
        <v>1224</v>
      </c>
      <c r="N198" t="s">
        <v>1225</v>
      </c>
      <c r="O198" t="s">
        <v>43</v>
      </c>
      <c r="P198" t="s">
        <v>112</v>
      </c>
      <c r="Q198" t="s">
        <v>65</v>
      </c>
      <c r="R198" s="3">
        <v>5115.1419999999998</v>
      </c>
    </row>
    <row r="199" spans="1:18" x14ac:dyDescent="0.3">
      <c r="A199" t="s">
        <v>1226</v>
      </c>
      <c r="B199" t="str">
        <f>TEXT(Raw_Data[[#This Row],[Order Date]],"mmm")</f>
        <v>Oct</v>
      </c>
      <c r="C199" t="s">
        <v>1227</v>
      </c>
      <c r="D199" t="s">
        <v>1228</v>
      </c>
      <c r="E199" t="s">
        <v>48</v>
      </c>
      <c r="F199" t="s">
        <v>69</v>
      </c>
      <c r="G199" t="s">
        <v>70</v>
      </c>
      <c r="H199" t="s">
        <v>23</v>
      </c>
      <c r="I199" t="s">
        <v>183</v>
      </c>
      <c r="J199" t="s">
        <v>25</v>
      </c>
      <c r="K199" t="s">
        <v>1229</v>
      </c>
      <c r="L199">
        <v>0.1</v>
      </c>
      <c r="M199" t="s">
        <v>1230</v>
      </c>
      <c r="N199" t="s">
        <v>1231</v>
      </c>
      <c r="O199" t="s">
        <v>29</v>
      </c>
      <c r="P199" t="s">
        <v>30</v>
      </c>
      <c r="Q199" t="s">
        <v>65</v>
      </c>
      <c r="R199" s="3">
        <v>4090.1309999999999</v>
      </c>
    </row>
    <row r="200" spans="1:18" x14ac:dyDescent="0.3">
      <c r="A200" t="s">
        <v>1232</v>
      </c>
      <c r="B200" t="str">
        <f>TEXT(Raw_Data[[#This Row],[Order Date]],"mmm")</f>
        <v>Dec</v>
      </c>
      <c r="C200" t="s">
        <v>1233</v>
      </c>
      <c r="D200" t="s">
        <v>1234</v>
      </c>
      <c r="E200" t="s">
        <v>35</v>
      </c>
      <c r="F200" t="s">
        <v>69</v>
      </c>
      <c r="G200" t="s">
        <v>70</v>
      </c>
      <c r="H200" t="s">
        <v>23</v>
      </c>
      <c r="I200" t="s">
        <v>183</v>
      </c>
      <c r="J200" t="s">
        <v>50</v>
      </c>
      <c r="K200" t="s">
        <v>1235</v>
      </c>
      <c r="L200">
        <v>0</v>
      </c>
      <c r="M200" t="s">
        <v>1236</v>
      </c>
      <c r="N200" t="s">
        <v>1237</v>
      </c>
      <c r="O200" t="s">
        <v>173</v>
      </c>
      <c r="P200" t="s">
        <v>30</v>
      </c>
      <c r="Q200" t="s">
        <v>65</v>
      </c>
      <c r="R200" s="3">
        <v>81451.960000000006</v>
      </c>
    </row>
    <row r="201" spans="1:18" x14ac:dyDescent="0.3">
      <c r="A201" t="s">
        <v>1238</v>
      </c>
      <c r="B201" t="str">
        <f>TEXT(Raw_Data[[#This Row],[Order Date]],"mmm")</f>
        <v>Oct</v>
      </c>
      <c r="C201" t="s">
        <v>1239</v>
      </c>
      <c r="D201" t="s">
        <v>1240</v>
      </c>
      <c r="E201" t="s">
        <v>35</v>
      </c>
      <c r="F201" t="s">
        <v>215</v>
      </c>
      <c r="G201" t="s">
        <v>216</v>
      </c>
      <c r="H201" t="s">
        <v>154</v>
      </c>
      <c r="I201" t="s">
        <v>155</v>
      </c>
      <c r="J201" t="s">
        <v>25</v>
      </c>
      <c r="K201" t="s">
        <v>1241</v>
      </c>
      <c r="L201">
        <v>0.05</v>
      </c>
      <c r="M201" t="s">
        <v>1242</v>
      </c>
      <c r="N201" t="s">
        <v>1243</v>
      </c>
      <c r="O201" t="s">
        <v>54</v>
      </c>
      <c r="P201" t="s">
        <v>30</v>
      </c>
      <c r="Q201" t="s">
        <v>44</v>
      </c>
      <c r="R201" s="3">
        <v>6475.7889999999998</v>
      </c>
    </row>
    <row r="202" spans="1:18" x14ac:dyDescent="0.3">
      <c r="A202" t="s">
        <v>1244</v>
      </c>
      <c r="B202" t="str">
        <f>TEXT(Raw_Data[[#This Row],[Order Date]],"mmm")</f>
        <v>Aug</v>
      </c>
      <c r="C202" t="s">
        <v>1245</v>
      </c>
      <c r="D202" t="s">
        <v>1246</v>
      </c>
      <c r="E202" t="s">
        <v>20</v>
      </c>
      <c r="F202" t="s">
        <v>215</v>
      </c>
      <c r="G202" t="s">
        <v>276</v>
      </c>
      <c r="H202" t="s">
        <v>80</v>
      </c>
      <c r="I202" t="s">
        <v>146</v>
      </c>
      <c r="J202" t="s">
        <v>100</v>
      </c>
      <c r="K202" t="s">
        <v>1247</v>
      </c>
      <c r="L202">
        <v>0.15</v>
      </c>
      <c r="M202" t="s">
        <v>1248</v>
      </c>
      <c r="N202" t="s">
        <v>1249</v>
      </c>
      <c r="O202" t="s">
        <v>29</v>
      </c>
      <c r="P202" t="s">
        <v>30</v>
      </c>
      <c r="Q202" t="s">
        <v>44</v>
      </c>
      <c r="R202" s="3">
        <v>2785.8240000000001</v>
      </c>
    </row>
    <row r="203" spans="1:18" x14ac:dyDescent="0.3">
      <c r="A203" t="s">
        <v>1250</v>
      </c>
      <c r="B203" t="str">
        <f>TEXT(Raw_Data[[#This Row],[Order Date]],"mmm")</f>
        <v>Jun</v>
      </c>
      <c r="C203" t="s">
        <v>1251</v>
      </c>
      <c r="D203" t="s">
        <v>1252</v>
      </c>
      <c r="E203" t="s">
        <v>35</v>
      </c>
      <c r="F203" t="s">
        <v>21</v>
      </c>
      <c r="G203" t="s">
        <v>22</v>
      </c>
      <c r="H203" t="s">
        <v>107</v>
      </c>
      <c r="I203" t="s">
        <v>378</v>
      </c>
      <c r="J203" t="s">
        <v>25</v>
      </c>
      <c r="K203" t="s">
        <v>1253</v>
      </c>
      <c r="L203">
        <v>0.05</v>
      </c>
      <c r="M203" t="s">
        <v>1254</v>
      </c>
      <c r="N203" t="s">
        <v>1255</v>
      </c>
      <c r="O203" t="s">
        <v>64</v>
      </c>
      <c r="P203" t="s">
        <v>30</v>
      </c>
      <c r="Q203" t="s">
        <v>65</v>
      </c>
      <c r="R203" s="3">
        <v>8876.7714999999898</v>
      </c>
    </row>
    <row r="204" spans="1:18" x14ac:dyDescent="0.3">
      <c r="A204" t="s">
        <v>1256</v>
      </c>
      <c r="B204" t="str">
        <f>TEXT(Raw_Data[[#This Row],[Order Date]],"mmm")</f>
        <v>May</v>
      </c>
      <c r="C204" t="s">
        <v>1257</v>
      </c>
      <c r="D204" t="s">
        <v>1258</v>
      </c>
      <c r="E204" t="s">
        <v>48</v>
      </c>
      <c r="F204" t="s">
        <v>21</v>
      </c>
      <c r="G204" t="s">
        <v>130</v>
      </c>
      <c r="H204" t="s">
        <v>80</v>
      </c>
      <c r="I204" t="s">
        <v>81</v>
      </c>
      <c r="J204" t="s">
        <v>50</v>
      </c>
      <c r="K204" t="s">
        <v>1259</v>
      </c>
      <c r="L204">
        <v>0</v>
      </c>
      <c r="M204" t="s">
        <v>1260</v>
      </c>
      <c r="N204" t="s">
        <v>1261</v>
      </c>
      <c r="O204" t="s">
        <v>54</v>
      </c>
      <c r="P204" t="s">
        <v>30</v>
      </c>
      <c r="Q204" t="s">
        <v>65</v>
      </c>
      <c r="R204" s="3">
        <v>7945.42</v>
      </c>
    </row>
    <row r="205" spans="1:18" x14ac:dyDescent="0.3">
      <c r="A205" t="s">
        <v>1262</v>
      </c>
      <c r="B205" t="str">
        <f>TEXT(Raw_Data[[#This Row],[Order Date]],"mmm")</f>
        <v>May</v>
      </c>
      <c r="C205" t="s">
        <v>948</v>
      </c>
      <c r="D205" t="s">
        <v>1263</v>
      </c>
      <c r="E205" t="s">
        <v>35</v>
      </c>
      <c r="F205" t="s">
        <v>21</v>
      </c>
      <c r="G205" t="s">
        <v>130</v>
      </c>
      <c r="H205" t="s">
        <v>23</v>
      </c>
      <c r="I205" t="s">
        <v>49</v>
      </c>
      <c r="J205" t="s">
        <v>25</v>
      </c>
      <c r="K205" t="s">
        <v>1264</v>
      </c>
      <c r="L205">
        <v>0.15</v>
      </c>
      <c r="M205" t="s">
        <v>1265</v>
      </c>
      <c r="N205" t="s">
        <v>1266</v>
      </c>
      <c r="O205" t="s">
        <v>29</v>
      </c>
      <c r="P205" t="s">
        <v>30</v>
      </c>
      <c r="Q205" t="s">
        <v>44</v>
      </c>
      <c r="R205" s="3">
        <v>34498.235999999997</v>
      </c>
    </row>
    <row r="206" spans="1:18" x14ac:dyDescent="0.3">
      <c r="A206" t="s">
        <v>1267</v>
      </c>
      <c r="B206" t="str">
        <f>TEXT(Raw_Data[[#This Row],[Order Date]],"mmm")</f>
        <v>Feb</v>
      </c>
      <c r="C206" t="s">
        <v>1268</v>
      </c>
      <c r="D206" t="s">
        <v>1269</v>
      </c>
      <c r="E206" t="s">
        <v>48</v>
      </c>
      <c r="F206" t="s">
        <v>69</v>
      </c>
      <c r="G206" t="s">
        <v>328</v>
      </c>
      <c r="H206" t="s">
        <v>107</v>
      </c>
      <c r="I206" t="s">
        <v>469</v>
      </c>
      <c r="J206" t="s">
        <v>25</v>
      </c>
      <c r="K206" t="s">
        <v>1270</v>
      </c>
      <c r="L206">
        <v>0</v>
      </c>
      <c r="M206" t="s">
        <v>1271</v>
      </c>
      <c r="N206" t="s">
        <v>1272</v>
      </c>
      <c r="O206" t="s">
        <v>173</v>
      </c>
      <c r="P206" t="s">
        <v>30</v>
      </c>
      <c r="Q206" t="s">
        <v>31</v>
      </c>
      <c r="R206" s="3">
        <v>17381.98</v>
      </c>
    </row>
    <row r="207" spans="1:18" x14ac:dyDescent="0.3">
      <c r="A207" t="s">
        <v>1273</v>
      </c>
      <c r="B207" t="str">
        <f>TEXT(Raw_Data[[#This Row],[Order Date]],"mmm")</f>
        <v>Jun</v>
      </c>
      <c r="C207" t="s">
        <v>1274</v>
      </c>
      <c r="D207" t="s">
        <v>1275</v>
      </c>
      <c r="E207" t="s">
        <v>35</v>
      </c>
      <c r="F207" t="s">
        <v>78</v>
      </c>
      <c r="G207" t="s">
        <v>79</v>
      </c>
      <c r="H207" t="s">
        <v>38</v>
      </c>
      <c r="I207" t="s">
        <v>60</v>
      </c>
      <c r="J207" t="s">
        <v>50</v>
      </c>
      <c r="K207" t="s">
        <v>1276</v>
      </c>
      <c r="L207">
        <v>0.05</v>
      </c>
      <c r="M207" t="s">
        <v>1277</v>
      </c>
      <c r="N207" t="s">
        <v>1278</v>
      </c>
      <c r="O207" t="s">
        <v>54</v>
      </c>
      <c r="P207" t="s">
        <v>95</v>
      </c>
      <c r="Q207" t="s">
        <v>65</v>
      </c>
      <c r="R207" s="3">
        <v>9453.6019999999899</v>
      </c>
    </row>
    <row r="208" spans="1:18" x14ac:dyDescent="0.3">
      <c r="A208" t="s">
        <v>1279</v>
      </c>
      <c r="B208" t="str">
        <f>TEXT(Raw_Data[[#This Row],[Order Date]],"mmm")</f>
        <v>Sep</v>
      </c>
      <c r="C208" t="s">
        <v>1280</v>
      </c>
      <c r="D208" t="s">
        <v>1281</v>
      </c>
      <c r="E208" t="s">
        <v>20</v>
      </c>
      <c r="F208" t="s">
        <v>69</v>
      </c>
      <c r="G208" t="s">
        <v>328</v>
      </c>
      <c r="H208" t="s">
        <v>154</v>
      </c>
      <c r="I208" t="s">
        <v>1061</v>
      </c>
      <c r="J208" t="s">
        <v>25</v>
      </c>
      <c r="K208" t="s">
        <v>1282</v>
      </c>
      <c r="L208">
        <v>0.15</v>
      </c>
      <c r="M208" t="s">
        <v>1283</v>
      </c>
      <c r="N208" t="s">
        <v>1284</v>
      </c>
      <c r="O208" t="s">
        <v>64</v>
      </c>
      <c r="P208" t="s">
        <v>112</v>
      </c>
      <c r="Q208" t="s">
        <v>65</v>
      </c>
      <c r="R208" s="3">
        <v>1201.1945000000001</v>
      </c>
    </row>
    <row r="209" spans="1:18" x14ac:dyDescent="0.3">
      <c r="A209" t="s">
        <v>1285</v>
      </c>
      <c r="B209" t="str">
        <f>TEXT(Raw_Data[[#This Row],[Order Date]],"mmm")</f>
        <v>Dec</v>
      </c>
      <c r="C209" t="s">
        <v>1233</v>
      </c>
      <c r="D209" t="s">
        <v>1286</v>
      </c>
      <c r="E209" t="s">
        <v>35</v>
      </c>
      <c r="F209" t="s">
        <v>36</v>
      </c>
      <c r="G209" t="s">
        <v>37</v>
      </c>
      <c r="H209" t="s">
        <v>107</v>
      </c>
      <c r="I209" t="s">
        <v>108</v>
      </c>
      <c r="J209" t="s">
        <v>50</v>
      </c>
      <c r="K209" t="s">
        <v>1287</v>
      </c>
      <c r="L209">
        <v>0.05</v>
      </c>
      <c r="M209" t="s">
        <v>1288</v>
      </c>
      <c r="N209" t="s">
        <v>1289</v>
      </c>
      <c r="O209" t="s">
        <v>54</v>
      </c>
      <c r="P209" t="s">
        <v>112</v>
      </c>
      <c r="Q209" t="s">
        <v>31</v>
      </c>
      <c r="R209" s="3">
        <v>7963.6979999999903</v>
      </c>
    </row>
    <row r="210" spans="1:18" x14ac:dyDescent="0.3">
      <c r="A210" t="s">
        <v>1290</v>
      </c>
      <c r="B210" t="str">
        <f>TEXT(Raw_Data[[#This Row],[Order Date]],"mmm")</f>
        <v>Feb</v>
      </c>
      <c r="C210" t="s">
        <v>1268</v>
      </c>
      <c r="D210" t="s">
        <v>1291</v>
      </c>
      <c r="E210" t="s">
        <v>48</v>
      </c>
      <c r="F210" t="s">
        <v>106</v>
      </c>
      <c r="G210" t="s">
        <v>106</v>
      </c>
      <c r="H210" t="s">
        <v>80</v>
      </c>
      <c r="I210" t="s">
        <v>131</v>
      </c>
      <c r="J210" t="s">
        <v>25</v>
      </c>
      <c r="K210" t="s">
        <v>1292</v>
      </c>
      <c r="L210">
        <v>0.15</v>
      </c>
      <c r="M210" t="s">
        <v>1293</v>
      </c>
      <c r="N210" t="s">
        <v>1294</v>
      </c>
      <c r="O210" t="s">
        <v>43</v>
      </c>
      <c r="P210" t="s">
        <v>30</v>
      </c>
      <c r="Q210" t="s">
        <v>44</v>
      </c>
      <c r="R210" s="3">
        <v>3000.2195000000002</v>
      </c>
    </row>
    <row r="211" spans="1:18" x14ac:dyDescent="0.3">
      <c r="A211" t="s">
        <v>1295</v>
      </c>
      <c r="B211" t="str">
        <f>TEXT(Raw_Data[[#This Row],[Order Date]],"mmm")</f>
        <v>Jan</v>
      </c>
      <c r="C211" t="s">
        <v>1296</v>
      </c>
      <c r="D211" t="s">
        <v>1297</v>
      </c>
      <c r="E211" t="s">
        <v>20</v>
      </c>
      <c r="F211" t="s">
        <v>78</v>
      </c>
      <c r="G211" t="s">
        <v>468</v>
      </c>
      <c r="H211" t="s">
        <v>107</v>
      </c>
      <c r="I211" t="s">
        <v>378</v>
      </c>
      <c r="J211" t="s">
        <v>25</v>
      </c>
      <c r="K211" t="s">
        <v>1298</v>
      </c>
      <c r="L211">
        <v>0</v>
      </c>
      <c r="M211" t="s">
        <v>1299</v>
      </c>
      <c r="N211" t="s">
        <v>1300</v>
      </c>
      <c r="O211" t="s">
        <v>29</v>
      </c>
      <c r="P211" t="s">
        <v>30</v>
      </c>
      <c r="Q211" t="s">
        <v>31</v>
      </c>
      <c r="R211" s="3">
        <v>13278.76</v>
      </c>
    </row>
    <row r="212" spans="1:18" x14ac:dyDescent="0.3">
      <c r="A212" t="s">
        <v>1301</v>
      </c>
      <c r="B212" t="str">
        <f>TEXT(Raw_Data[[#This Row],[Order Date]],"mmm")</f>
        <v>Apr</v>
      </c>
      <c r="C212" t="s">
        <v>67</v>
      </c>
      <c r="D212" t="s">
        <v>1302</v>
      </c>
      <c r="E212" t="s">
        <v>20</v>
      </c>
      <c r="F212" t="s">
        <v>21</v>
      </c>
      <c r="G212" t="s">
        <v>130</v>
      </c>
      <c r="H212" t="s">
        <v>107</v>
      </c>
      <c r="I212" t="s">
        <v>277</v>
      </c>
      <c r="J212" t="s">
        <v>25</v>
      </c>
      <c r="K212" t="s">
        <v>1303</v>
      </c>
      <c r="L212">
        <v>0.15</v>
      </c>
      <c r="M212" t="s">
        <v>1304</v>
      </c>
      <c r="N212" t="s">
        <v>1305</v>
      </c>
      <c r="O212" t="s">
        <v>43</v>
      </c>
      <c r="P212" t="s">
        <v>30</v>
      </c>
      <c r="Q212" t="s">
        <v>31</v>
      </c>
      <c r="R212" s="3">
        <v>2261.6545000000001</v>
      </c>
    </row>
    <row r="213" spans="1:18" x14ac:dyDescent="0.3">
      <c r="A213" t="s">
        <v>1306</v>
      </c>
      <c r="B213" t="str">
        <f>TEXT(Raw_Data[[#This Row],[Order Date]],"mmm")</f>
        <v>Apr</v>
      </c>
      <c r="C213" t="s">
        <v>1307</v>
      </c>
      <c r="D213" t="s">
        <v>1308</v>
      </c>
      <c r="E213" t="s">
        <v>35</v>
      </c>
      <c r="F213" t="s">
        <v>106</v>
      </c>
      <c r="G213" t="s">
        <v>163</v>
      </c>
      <c r="H213" t="s">
        <v>23</v>
      </c>
      <c r="I213" t="s">
        <v>341</v>
      </c>
      <c r="J213" t="s">
        <v>25</v>
      </c>
      <c r="K213" t="s">
        <v>1309</v>
      </c>
      <c r="L213">
        <v>0.1</v>
      </c>
      <c r="M213" t="s">
        <v>1310</v>
      </c>
      <c r="N213" t="s">
        <v>1311</v>
      </c>
      <c r="O213" t="s">
        <v>173</v>
      </c>
      <c r="P213" t="s">
        <v>112</v>
      </c>
      <c r="Q213" t="s">
        <v>65</v>
      </c>
      <c r="R213" s="3">
        <v>67471.587</v>
      </c>
    </row>
    <row r="214" spans="1:18" x14ac:dyDescent="0.3">
      <c r="A214" t="s">
        <v>1312</v>
      </c>
      <c r="B214" t="str">
        <f>TEXT(Raw_Data[[#This Row],[Order Date]],"mmm")</f>
        <v>Aug</v>
      </c>
      <c r="C214" t="s">
        <v>1313</v>
      </c>
      <c r="D214" t="s">
        <v>1314</v>
      </c>
      <c r="E214" t="s">
        <v>35</v>
      </c>
      <c r="F214" t="s">
        <v>69</v>
      </c>
      <c r="G214" t="s">
        <v>139</v>
      </c>
      <c r="H214" t="s">
        <v>154</v>
      </c>
      <c r="I214" t="s">
        <v>155</v>
      </c>
      <c r="J214" t="s">
        <v>25</v>
      </c>
      <c r="K214" t="s">
        <v>1315</v>
      </c>
      <c r="L214">
        <v>0.2</v>
      </c>
      <c r="M214" t="s">
        <v>1316</v>
      </c>
      <c r="N214" t="s">
        <v>1317</v>
      </c>
      <c r="O214" t="s">
        <v>29</v>
      </c>
      <c r="P214" t="s">
        <v>30</v>
      </c>
      <c r="Q214" t="s">
        <v>44</v>
      </c>
      <c r="R214" s="3">
        <v>7806.6319999999996</v>
      </c>
    </row>
    <row r="215" spans="1:18" x14ac:dyDescent="0.3">
      <c r="A215" t="s">
        <v>1318</v>
      </c>
      <c r="B215" t="str">
        <f>TEXT(Raw_Data[[#This Row],[Order Date]],"mmm")</f>
        <v>Dec</v>
      </c>
      <c r="C215" t="s">
        <v>1319</v>
      </c>
      <c r="D215" t="s">
        <v>1320</v>
      </c>
      <c r="E215" t="s">
        <v>20</v>
      </c>
      <c r="F215" t="s">
        <v>58</v>
      </c>
      <c r="G215" t="s">
        <v>812</v>
      </c>
      <c r="H215" t="s">
        <v>80</v>
      </c>
      <c r="I215" t="s">
        <v>91</v>
      </c>
      <c r="J215" t="s">
        <v>25</v>
      </c>
      <c r="K215" t="s">
        <v>1321</v>
      </c>
      <c r="L215">
        <v>0.1</v>
      </c>
      <c r="M215" t="s">
        <v>1322</v>
      </c>
      <c r="N215" t="s">
        <v>1323</v>
      </c>
      <c r="O215" t="s">
        <v>29</v>
      </c>
      <c r="P215" t="s">
        <v>30</v>
      </c>
      <c r="Q215" t="s">
        <v>44</v>
      </c>
      <c r="R215" s="3">
        <v>4699.7370000000001</v>
      </c>
    </row>
    <row r="216" spans="1:18" x14ac:dyDescent="0.3">
      <c r="A216" t="s">
        <v>1324</v>
      </c>
      <c r="B216" t="str">
        <f>TEXT(Raw_Data[[#This Row],[Order Date]],"mmm")</f>
        <v>Apr</v>
      </c>
      <c r="C216" t="s">
        <v>454</v>
      </c>
      <c r="D216" t="s">
        <v>1325</v>
      </c>
      <c r="E216" t="s">
        <v>48</v>
      </c>
      <c r="F216" t="s">
        <v>106</v>
      </c>
      <c r="G216" t="s">
        <v>106</v>
      </c>
      <c r="H216" t="s">
        <v>80</v>
      </c>
      <c r="I216" t="s">
        <v>116</v>
      </c>
      <c r="J216" t="s">
        <v>50</v>
      </c>
      <c r="K216" t="s">
        <v>1326</v>
      </c>
      <c r="L216">
        <v>0</v>
      </c>
      <c r="M216" t="s">
        <v>1327</v>
      </c>
      <c r="N216" t="s">
        <v>1328</v>
      </c>
      <c r="O216" t="s">
        <v>29</v>
      </c>
      <c r="P216" t="s">
        <v>112</v>
      </c>
      <c r="Q216" t="s">
        <v>44</v>
      </c>
      <c r="R216" s="3">
        <v>4069.14</v>
      </c>
    </row>
    <row r="217" spans="1:18" x14ac:dyDescent="0.3">
      <c r="A217" t="s">
        <v>1329</v>
      </c>
      <c r="B217" t="str">
        <f>TEXT(Raw_Data[[#This Row],[Order Date]],"mmm")</f>
        <v>Nov</v>
      </c>
      <c r="C217" t="s">
        <v>1330</v>
      </c>
      <c r="D217" t="s">
        <v>1331</v>
      </c>
      <c r="E217" t="s">
        <v>20</v>
      </c>
      <c r="F217" t="s">
        <v>89</v>
      </c>
      <c r="G217" t="s">
        <v>230</v>
      </c>
      <c r="H217" t="s">
        <v>23</v>
      </c>
      <c r="I217" t="s">
        <v>49</v>
      </c>
      <c r="J217" t="s">
        <v>25</v>
      </c>
      <c r="K217" t="s">
        <v>1332</v>
      </c>
      <c r="L217">
        <v>0.05</v>
      </c>
      <c r="M217" t="s">
        <v>1333</v>
      </c>
      <c r="N217" t="s">
        <v>1334</v>
      </c>
      <c r="O217" t="s">
        <v>29</v>
      </c>
      <c r="P217" t="s">
        <v>30</v>
      </c>
      <c r="Q217" t="s">
        <v>44</v>
      </c>
      <c r="R217" s="3">
        <v>4499.4849999999997</v>
      </c>
    </row>
    <row r="218" spans="1:18" x14ac:dyDescent="0.3">
      <c r="A218" t="s">
        <v>1335</v>
      </c>
      <c r="B218" t="str">
        <f>TEXT(Raw_Data[[#This Row],[Order Date]],"mmm")</f>
        <v>Feb</v>
      </c>
      <c r="C218" t="s">
        <v>1336</v>
      </c>
      <c r="D218" t="s">
        <v>1337</v>
      </c>
      <c r="E218" t="s">
        <v>20</v>
      </c>
      <c r="F218" t="s">
        <v>36</v>
      </c>
      <c r="G218" t="s">
        <v>414</v>
      </c>
      <c r="H218" t="s">
        <v>107</v>
      </c>
      <c r="I218" t="s">
        <v>277</v>
      </c>
      <c r="J218" t="s">
        <v>25</v>
      </c>
      <c r="K218" t="s">
        <v>1338</v>
      </c>
      <c r="L218">
        <v>0.1</v>
      </c>
      <c r="M218" t="s">
        <v>1339</v>
      </c>
      <c r="N218" t="s">
        <v>1340</v>
      </c>
      <c r="O218" t="s">
        <v>54</v>
      </c>
      <c r="P218" t="s">
        <v>30</v>
      </c>
      <c r="Q218" t="s">
        <v>31</v>
      </c>
      <c r="R218" s="3">
        <v>4405.3019999999997</v>
      </c>
    </row>
    <row r="219" spans="1:18" x14ac:dyDescent="0.3">
      <c r="A219" t="s">
        <v>1341</v>
      </c>
      <c r="B219" t="str">
        <f>TEXT(Raw_Data[[#This Row],[Order Date]],"mmm")</f>
        <v>Jun</v>
      </c>
      <c r="C219" t="s">
        <v>1342</v>
      </c>
      <c r="D219" t="s">
        <v>1343</v>
      </c>
      <c r="E219" t="s">
        <v>20</v>
      </c>
      <c r="F219" t="s">
        <v>106</v>
      </c>
      <c r="G219" t="s">
        <v>163</v>
      </c>
      <c r="H219" t="s">
        <v>23</v>
      </c>
      <c r="I219" t="s">
        <v>341</v>
      </c>
      <c r="J219" t="s">
        <v>25</v>
      </c>
      <c r="K219" t="s">
        <v>1344</v>
      </c>
      <c r="L219">
        <v>0.05</v>
      </c>
      <c r="M219" t="s">
        <v>1345</v>
      </c>
      <c r="N219" t="s">
        <v>1346</v>
      </c>
      <c r="O219" t="s">
        <v>173</v>
      </c>
      <c r="P219" t="s">
        <v>30</v>
      </c>
      <c r="Q219" t="s">
        <v>44</v>
      </c>
      <c r="R219" s="3">
        <v>8240.2714999999898</v>
      </c>
    </row>
    <row r="220" spans="1:18" x14ac:dyDescent="0.3">
      <c r="A220" t="s">
        <v>1347</v>
      </c>
      <c r="B220" t="str">
        <f>TEXT(Raw_Data[[#This Row],[Order Date]],"mmm")</f>
        <v>May</v>
      </c>
      <c r="C220" t="s">
        <v>1348</v>
      </c>
      <c r="D220" t="s">
        <v>1349</v>
      </c>
      <c r="E220" t="s">
        <v>20</v>
      </c>
      <c r="F220" t="s">
        <v>78</v>
      </c>
      <c r="G220" t="s">
        <v>731</v>
      </c>
      <c r="H220" t="s">
        <v>80</v>
      </c>
      <c r="I220" t="s">
        <v>91</v>
      </c>
      <c r="J220" t="s">
        <v>25</v>
      </c>
      <c r="K220" t="s">
        <v>1350</v>
      </c>
      <c r="L220">
        <v>0</v>
      </c>
      <c r="M220" t="s">
        <v>1351</v>
      </c>
      <c r="N220" t="s">
        <v>1352</v>
      </c>
      <c r="O220" t="s">
        <v>43</v>
      </c>
      <c r="P220" t="s">
        <v>30</v>
      </c>
      <c r="Q220" t="s">
        <v>31</v>
      </c>
      <c r="R220" s="3">
        <v>2350.56</v>
      </c>
    </row>
    <row r="221" spans="1:18" x14ac:dyDescent="0.3">
      <c r="A221" t="s">
        <v>1353</v>
      </c>
      <c r="B221" t="str">
        <f>TEXT(Raw_Data[[#This Row],[Order Date]],"mmm")</f>
        <v>Sep</v>
      </c>
      <c r="C221" t="s">
        <v>719</v>
      </c>
      <c r="D221" t="s">
        <v>1354</v>
      </c>
      <c r="E221" t="s">
        <v>48</v>
      </c>
      <c r="F221" t="s">
        <v>36</v>
      </c>
      <c r="G221" t="s">
        <v>153</v>
      </c>
      <c r="H221" t="s">
        <v>107</v>
      </c>
      <c r="I221" t="s">
        <v>378</v>
      </c>
      <c r="J221" t="s">
        <v>25</v>
      </c>
      <c r="K221" t="s">
        <v>1355</v>
      </c>
      <c r="L221">
        <v>0.05</v>
      </c>
      <c r="M221" t="s">
        <v>1356</v>
      </c>
      <c r="N221" t="s">
        <v>1357</v>
      </c>
      <c r="O221" t="s">
        <v>173</v>
      </c>
      <c r="P221" t="s">
        <v>30</v>
      </c>
      <c r="Q221" t="s">
        <v>65</v>
      </c>
      <c r="R221" s="3">
        <v>5123.6350000000002</v>
      </c>
    </row>
    <row r="222" spans="1:18" x14ac:dyDescent="0.3">
      <c r="A222" t="s">
        <v>1358</v>
      </c>
      <c r="B222" t="str">
        <f>TEXT(Raw_Data[[#This Row],[Order Date]],"mmm")</f>
        <v>Nov</v>
      </c>
      <c r="C222" t="s">
        <v>1359</v>
      </c>
      <c r="D222" t="s">
        <v>1360</v>
      </c>
      <c r="E222" t="s">
        <v>35</v>
      </c>
      <c r="F222" t="s">
        <v>89</v>
      </c>
      <c r="G222" t="s">
        <v>90</v>
      </c>
      <c r="H222" t="s">
        <v>38</v>
      </c>
      <c r="I222" t="s">
        <v>39</v>
      </c>
      <c r="J222" t="s">
        <v>50</v>
      </c>
      <c r="K222" t="s">
        <v>1361</v>
      </c>
      <c r="L222">
        <v>0.05</v>
      </c>
      <c r="M222" t="s">
        <v>1362</v>
      </c>
      <c r="N222" t="s">
        <v>1363</v>
      </c>
      <c r="O222" t="s">
        <v>54</v>
      </c>
      <c r="P222" t="s">
        <v>30</v>
      </c>
      <c r="Q222" t="s">
        <v>65</v>
      </c>
      <c r="R222" s="3">
        <v>10654.516</v>
      </c>
    </row>
    <row r="223" spans="1:18" x14ac:dyDescent="0.3">
      <c r="A223" t="s">
        <v>1364</v>
      </c>
      <c r="B223" t="str">
        <f>TEXT(Raw_Data[[#This Row],[Order Date]],"mmm")</f>
        <v>Apr</v>
      </c>
      <c r="C223" t="s">
        <v>798</v>
      </c>
      <c r="D223" t="s">
        <v>1365</v>
      </c>
      <c r="E223" t="s">
        <v>20</v>
      </c>
      <c r="F223" t="s">
        <v>58</v>
      </c>
      <c r="G223" t="s">
        <v>290</v>
      </c>
      <c r="H223" t="s">
        <v>154</v>
      </c>
      <c r="I223" t="s">
        <v>365</v>
      </c>
      <c r="J223" t="s">
        <v>25</v>
      </c>
      <c r="K223" t="s">
        <v>1366</v>
      </c>
      <c r="L223">
        <v>0.15</v>
      </c>
      <c r="M223" t="s">
        <v>1367</v>
      </c>
      <c r="N223" t="s">
        <v>1368</v>
      </c>
      <c r="O223" t="s">
        <v>29</v>
      </c>
      <c r="P223" t="s">
        <v>30</v>
      </c>
      <c r="Q223" t="s">
        <v>65</v>
      </c>
      <c r="R223" s="3">
        <v>3293.5884999999998</v>
      </c>
    </row>
    <row r="224" spans="1:18" x14ac:dyDescent="0.3">
      <c r="A224" t="s">
        <v>1369</v>
      </c>
      <c r="B224" t="str">
        <f>TEXT(Raw_Data[[#This Row],[Order Date]],"mmm")</f>
        <v>Aug</v>
      </c>
      <c r="C224" t="s">
        <v>971</v>
      </c>
      <c r="D224" t="s">
        <v>1370</v>
      </c>
      <c r="E224" t="s">
        <v>48</v>
      </c>
      <c r="F224" t="s">
        <v>36</v>
      </c>
      <c r="G224" t="s">
        <v>123</v>
      </c>
      <c r="H224" t="s">
        <v>80</v>
      </c>
      <c r="I224" t="s">
        <v>146</v>
      </c>
      <c r="J224" t="s">
        <v>25</v>
      </c>
      <c r="K224" t="s">
        <v>1371</v>
      </c>
      <c r="L224">
        <v>0.1</v>
      </c>
      <c r="M224" t="s">
        <v>1372</v>
      </c>
      <c r="N224" t="s">
        <v>1373</v>
      </c>
      <c r="O224" t="s">
        <v>29</v>
      </c>
      <c r="P224" t="s">
        <v>30</v>
      </c>
      <c r="Q224" t="s">
        <v>31</v>
      </c>
      <c r="R224" s="3">
        <v>5132.277</v>
      </c>
    </row>
    <row r="225" spans="1:18" x14ac:dyDescent="0.3">
      <c r="A225" t="s">
        <v>1374</v>
      </c>
      <c r="B225" t="str">
        <f>TEXT(Raw_Data[[#This Row],[Order Date]],"mmm")</f>
        <v>Jul</v>
      </c>
      <c r="C225" t="s">
        <v>412</v>
      </c>
      <c r="D225" t="s">
        <v>1375</v>
      </c>
      <c r="E225" t="s">
        <v>20</v>
      </c>
      <c r="F225" t="s">
        <v>215</v>
      </c>
      <c r="G225" t="s">
        <v>216</v>
      </c>
      <c r="H225" t="s">
        <v>38</v>
      </c>
      <c r="I225" t="s">
        <v>60</v>
      </c>
      <c r="J225" t="s">
        <v>50</v>
      </c>
      <c r="K225" t="s">
        <v>1376</v>
      </c>
      <c r="L225">
        <v>0.1</v>
      </c>
      <c r="M225" t="s">
        <v>1377</v>
      </c>
      <c r="N225" t="s">
        <v>1378</v>
      </c>
      <c r="O225" t="s">
        <v>64</v>
      </c>
      <c r="P225" t="s">
        <v>30</v>
      </c>
      <c r="Q225" t="s">
        <v>44</v>
      </c>
      <c r="R225" s="3">
        <v>4365.4859999999999</v>
      </c>
    </row>
    <row r="226" spans="1:18" x14ac:dyDescent="0.3">
      <c r="A226" t="s">
        <v>1379</v>
      </c>
      <c r="B226" t="str">
        <f>TEXT(Raw_Data[[#This Row],[Order Date]],"mmm")</f>
        <v>Dec</v>
      </c>
      <c r="C226" t="s">
        <v>1380</v>
      </c>
      <c r="D226" t="s">
        <v>1381</v>
      </c>
      <c r="E226" t="s">
        <v>35</v>
      </c>
      <c r="F226" t="s">
        <v>215</v>
      </c>
      <c r="G226" t="s">
        <v>276</v>
      </c>
      <c r="H226" t="s">
        <v>154</v>
      </c>
      <c r="I226" t="s">
        <v>1061</v>
      </c>
      <c r="J226" t="s">
        <v>25</v>
      </c>
      <c r="K226" t="s">
        <v>1382</v>
      </c>
      <c r="L226">
        <v>0.1</v>
      </c>
      <c r="M226" t="s">
        <v>1383</v>
      </c>
      <c r="N226" t="s">
        <v>1384</v>
      </c>
      <c r="O226" t="s">
        <v>173</v>
      </c>
      <c r="P226" t="s">
        <v>112</v>
      </c>
      <c r="Q226" t="s">
        <v>65</v>
      </c>
      <c r="R226" s="3">
        <v>1016.38799999999</v>
      </c>
    </row>
    <row r="227" spans="1:18" x14ac:dyDescent="0.3">
      <c r="A227" t="s">
        <v>1385</v>
      </c>
      <c r="B227" t="str">
        <f>TEXT(Raw_Data[[#This Row],[Order Date]],"mmm")</f>
        <v>Oct</v>
      </c>
      <c r="C227" t="s">
        <v>1386</v>
      </c>
      <c r="D227" t="s">
        <v>1387</v>
      </c>
      <c r="E227" t="s">
        <v>48</v>
      </c>
      <c r="F227" t="s">
        <v>21</v>
      </c>
      <c r="G227" t="s">
        <v>22</v>
      </c>
      <c r="H227" t="s">
        <v>107</v>
      </c>
      <c r="I227" t="s">
        <v>277</v>
      </c>
      <c r="J227" t="s">
        <v>25</v>
      </c>
      <c r="K227" t="s">
        <v>1388</v>
      </c>
      <c r="L227">
        <v>0.15</v>
      </c>
      <c r="M227" t="s">
        <v>1389</v>
      </c>
      <c r="N227" t="s">
        <v>1390</v>
      </c>
      <c r="O227" t="s">
        <v>54</v>
      </c>
      <c r="P227" t="s">
        <v>30</v>
      </c>
      <c r="Q227" t="s">
        <v>44</v>
      </c>
      <c r="R227" s="3">
        <v>10838.451999999999</v>
      </c>
    </row>
    <row r="228" spans="1:18" x14ac:dyDescent="0.3">
      <c r="A228" t="s">
        <v>1391</v>
      </c>
      <c r="B228" t="str">
        <f>TEXT(Raw_Data[[#This Row],[Order Date]],"mmm")</f>
        <v>Dec</v>
      </c>
      <c r="C228" t="s">
        <v>640</v>
      </c>
      <c r="D228" t="s">
        <v>1392</v>
      </c>
      <c r="E228" t="s">
        <v>35</v>
      </c>
      <c r="F228" t="s">
        <v>215</v>
      </c>
      <c r="G228" t="s">
        <v>216</v>
      </c>
      <c r="H228" t="s">
        <v>80</v>
      </c>
      <c r="I228" t="s">
        <v>91</v>
      </c>
      <c r="J228" t="s">
        <v>50</v>
      </c>
      <c r="K228" t="s">
        <v>1393</v>
      </c>
      <c r="L228">
        <v>0.05</v>
      </c>
      <c r="M228" t="s">
        <v>1394</v>
      </c>
      <c r="N228" t="s">
        <v>1395</v>
      </c>
      <c r="O228" t="s">
        <v>29</v>
      </c>
      <c r="P228" t="s">
        <v>30</v>
      </c>
      <c r="Q228" t="s">
        <v>65</v>
      </c>
      <c r="R228" s="3">
        <v>11432.109999999901</v>
      </c>
    </row>
    <row r="229" spans="1:18" x14ac:dyDescent="0.3">
      <c r="A229" t="s">
        <v>1396</v>
      </c>
      <c r="B229" t="str">
        <f>TEXT(Raw_Data[[#This Row],[Order Date]],"mmm")</f>
        <v>Sep</v>
      </c>
      <c r="C229" t="s">
        <v>1397</v>
      </c>
      <c r="D229" t="s">
        <v>1398</v>
      </c>
      <c r="E229" t="s">
        <v>35</v>
      </c>
      <c r="F229" t="s">
        <v>78</v>
      </c>
      <c r="G229" t="s">
        <v>468</v>
      </c>
      <c r="H229" t="s">
        <v>23</v>
      </c>
      <c r="I229" t="s">
        <v>341</v>
      </c>
      <c r="J229" t="s">
        <v>50</v>
      </c>
      <c r="K229" t="s">
        <v>1399</v>
      </c>
      <c r="L229">
        <v>0.1</v>
      </c>
      <c r="M229" t="s">
        <v>1400</v>
      </c>
      <c r="N229" t="s">
        <v>1401</v>
      </c>
      <c r="O229" t="s">
        <v>173</v>
      </c>
      <c r="P229" t="s">
        <v>30</v>
      </c>
      <c r="Q229" t="s">
        <v>65</v>
      </c>
      <c r="R229" s="3">
        <v>70158.168000000005</v>
      </c>
    </row>
    <row r="230" spans="1:18" x14ac:dyDescent="0.3">
      <c r="A230" t="s">
        <v>1402</v>
      </c>
      <c r="B230" t="str">
        <f>TEXT(Raw_Data[[#This Row],[Order Date]],"mmm")</f>
        <v>Aug</v>
      </c>
      <c r="C230" t="s">
        <v>1403</v>
      </c>
      <c r="D230" t="s">
        <v>1404</v>
      </c>
      <c r="E230" t="s">
        <v>48</v>
      </c>
      <c r="F230" t="s">
        <v>89</v>
      </c>
      <c r="G230" t="s">
        <v>230</v>
      </c>
      <c r="H230" t="s">
        <v>107</v>
      </c>
      <c r="I230" t="s">
        <v>469</v>
      </c>
      <c r="J230" t="s">
        <v>25</v>
      </c>
      <c r="K230" t="s">
        <v>1405</v>
      </c>
      <c r="L230">
        <v>0</v>
      </c>
      <c r="M230" t="s">
        <v>1406</v>
      </c>
      <c r="N230" t="s">
        <v>1407</v>
      </c>
      <c r="O230" t="s">
        <v>54</v>
      </c>
      <c r="P230" t="s">
        <v>30</v>
      </c>
      <c r="Q230" t="s">
        <v>31</v>
      </c>
      <c r="R230" s="3">
        <v>16317.71</v>
      </c>
    </row>
    <row r="231" spans="1:18" x14ac:dyDescent="0.3">
      <c r="A231" t="s">
        <v>1408</v>
      </c>
      <c r="B231" t="str">
        <f>TEXT(Raw_Data[[#This Row],[Order Date]],"mmm")</f>
        <v>Feb</v>
      </c>
      <c r="C231" t="s">
        <v>942</v>
      </c>
      <c r="D231" t="s">
        <v>1409</v>
      </c>
      <c r="E231" t="s">
        <v>35</v>
      </c>
      <c r="F231" t="s">
        <v>58</v>
      </c>
      <c r="G231" t="s">
        <v>812</v>
      </c>
      <c r="H231" t="s">
        <v>107</v>
      </c>
      <c r="I231" t="s">
        <v>591</v>
      </c>
      <c r="J231" t="s">
        <v>25</v>
      </c>
      <c r="K231" t="s">
        <v>1410</v>
      </c>
      <c r="L231">
        <v>0.05</v>
      </c>
      <c r="M231" t="s">
        <v>1411</v>
      </c>
      <c r="N231" t="s">
        <v>1412</v>
      </c>
      <c r="O231" t="s">
        <v>43</v>
      </c>
      <c r="P231" t="s">
        <v>30</v>
      </c>
      <c r="Q231" t="s">
        <v>31</v>
      </c>
      <c r="R231" s="3">
        <v>15022.1505</v>
      </c>
    </row>
    <row r="232" spans="1:18" x14ac:dyDescent="0.3">
      <c r="A232" t="s">
        <v>1413</v>
      </c>
      <c r="B232" t="str">
        <f>TEXT(Raw_Data[[#This Row],[Order Date]],"mmm")</f>
        <v>Jan</v>
      </c>
      <c r="C232" t="s">
        <v>1414</v>
      </c>
      <c r="D232" t="s">
        <v>1415</v>
      </c>
      <c r="E232" t="s">
        <v>35</v>
      </c>
      <c r="F232" t="s">
        <v>106</v>
      </c>
      <c r="G232" t="s">
        <v>163</v>
      </c>
      <c r="H232" t="s">
        <v>80</v>
      </c>
      <c r="I232" t="s">
        <v>131</v>
      </c>
      <c r="J232" t="s">
        <v>25</v>
      </c>
      <c r="K232" t="s">
        <v>1416</v>
      </c>
      <c r="L232">
        <v>0.1</v>
      </c>
      <c r="M232" t="s">
        <v>1417</v>
      </c>
      <c r="N232" t="s">
        <v>1418</v>
      </c>
      <c r="O232" t="s">
        <v>54</v>
      </c>
      <c r="P232" t="s">
        <v>30</v>
      </c>
      <c r="Q232" t="s">
        <v>65</v>
      </c>
      <c r="R232" s="3">
        <v>3829.6889999999999</v>
      </c>
    </row>
    <row r="233" spans="1:18" x14ac:dyDescent="0.3">
      <c r="A233" t="s">
        <v>1419</v>
      </c>
      <c r="B233" t="str">
        <f>TEXT(Raw_Data[[#This Row],[Order Date]],"mmm")</f>
        <v>May</v>
      </c>
      <c r="C233" t="s">
        <v>1420</v>
      </c>
      <c r="D233" t="s">
        <v>1421</v>
      </c>
      <c r="E233" t="s">
        <v>35</v>
      </c>
      <c r="F233" t="s">
        <v>89</v>
      </c>
      <c r="G233" t="s">
        <v>90</v>
      </c>
      <c r="H233" t="s">
        <v>80</v>
      </c>
      <c r="I233" t="s">
        <v>81</v>
      </c>
      <c r="J233" t="s">
        <v>50</v>
      </c>
      <c r="K233" t="s">
        <v>1422</v>
      </c>
      <c r="L233">
        <v>0.1</v>
      </c>
      <c r="M233" t="s">
        <v>1423</v>
      </c>
      <c r="N233" t="s">
        <v>1424</v>
      </c>
      <c r="O233" t="s">
        <v>64</v>
      </c>
      <c r="P233" t="s">
        <v>30</v>
      </c>
      <c r="Q233" t="s">
        <v>65</v>
      </c>
      <c r="R233" s="3">
        <v>4976.4780000000001</v>
      </c>
    </row>
    <row r="234" spans="1:18" x14ac:dyDescent="0.3">
      <c r="A234" t="s">
        <v>1425</v>
      </c>
      <c r="B234" t="str">
        <f>TEXT(Raw_Data[[#This Row],[Order Date]],"mmm")</f>
        <v>Aug</v>
      </c>
      <c r="C234" t="s">
        <v>1426</v>
      </c>
      <c r="D234" t="s">
        <v>1427</v>
      </c>
      <c r="E234" t="s">
        <v>48</v>
      </c>
      <c r="F234" t="s">
        <v>58</v>
      </c>
      <c r="G234" t="s">
        <v>59</v>
      </c>
      <c r="H234" t="s">
        <v>80</v>
      </c>
      <c r="I234" t="s">
        <v>131</v>
      </c>
      <c r="J234" t="s">
        <v>25</v>
      </c>
      <c r="K234" t="s">
        <v>1428</v>
      </c>
      <c r="L234">
        <v>0.1</v>
      </c>
      <c r="M234" t="s">
        <v>1429</v>
      </c>
      <c r="N234" t="s">
        <v>1430</v>
      </c>
      <c r="O234" t="s">
        <v>43</v>
      </c>
      <c r="P234" t="s">
        <v>30</v>
      </c>
      <c r="Q234" t="s">
        <v>65</v>
      </c>
      <c r="R234" s="3">
        <v>709.37099999999998</v>
      </c>
    </row>
    <row r="235" spans="1:18" x14ac:dyDescent="0.3">
      <c r="A235" t="s">
        <v>1431</v>
      </c>
      <c r="B235" t="str">
        <f>TEXT(Raw_Data[[#This Row],[Order Date]],"mmm")</f>
        <v>Dec</v>
      </c>
      <c r="C235" t="s">
        <v>786</v>
      </c>
      <c r="D235" t="s">
        <v>1432</v>
      </c>
      <c r="E235" t="s">
        <v>48</v>
      </c>
      <c r="F235" t="s">
        <v>89</v>
      </c>
      <c r="G235" t="s">
        <v>230</v>
      </c>
      <c r="H235" t="s">
        <v>23</v>
      </c>
      <c r="I235" t="s">
        <v>49</v>
      </c>
      <c r="J235" t="s">
        <v>50</v>
      </c>
      <c r="K235" t="s">
        <v>1433</v>
      </c>
      <c r="L235">
        <v>0.1</v>
      </c>
      <c r="M235" t="s">
        <v>1434</v>
      </c>
      <c r="N235" t="s">
        <v>1435</v>
      </c>
      <c r="O235" t="s">
        <v>43</v>
      </c>
      <c r="P235" t="s">
        <v>112</v>
      </c>
      <c r="Q235" t="s">
        <v>65</v>
      </c>
      <c r="R235" s="3">
        <v>10592.55</v>
      </c>
    </row>
    <row r="236" spans="1:18" x14ac:dyDescent="0.3">
      <c r="A236" t="s">
        <v>1436</v>
      </c>
      <c r="B236" t="str">
        <f>TEXT(Raw_Data[[#This Row],[Order Date]],"mmm")</f>
        <v>Mar</v>
      </c>
      <c r="C236" t="s">
        <v>395</v>
      </c>
      <c r="D236" t="s">
        <v>1437</v>
      </c>
      <c r="E236" t="s">
        <v>20</v>
      </c>
      <c r="F236" t="s">
        <v>58</v>
      </c>
      <c r="G236" t="s">
        <v>59</v>
      </c>
      <c r="H236" t="s">
        <v>154</v>
      </c>
      <c r="I236" t="s">
        <v>237</v>
      </c>
      <c r="J236" t="s">
        <v>25</v>
      </c>
      <c r="K236" t="s">
        <v>1438</v>
      </c>
      <c r="L236">
        <v>0.05</v>
      </c>
      <c r="M236" t="s">
        <v>1439</v>
      </c>
      <c r="N236" t="s">
        <v>1440</v>
      </c>
      <c r="O236" t="s">
        <v>54</v>
      </c>
      <c r="P236" t="s">
        <v>30</v>
      </c>
      <c r="Q236" t="s">
        <v>65</v>
      </c>
      <c r="R236" s="3">
        <v>4761.0294999999996</v>
      </c>
    </row>
    <row r="237" spans="1:18" x14ac:dyDescent="0.3">
      <c r="A237" t="s">
        <v>1441</v>
      </c>
      <c r="B237" t="str">
        <f>TEXT(Raw_Data[[#This Row],[Order Date]],"mmm")</f>
        <v>Aug</v>
      </c>
      <c r="C237" t="s">
        <v>1442</v>
      </c>
      <c r="D237" t="s">
        <v>1443</v>
      </c>
      <c r="E237" t="s">
        <v>35</v>
      </c>
      <c r="F237" t="s">
        <v>36</v>
      </c>
      <c r="G237" t="s">
        <v>123</v>
      </c>
      <c r="H237" t="s">
        <v>154</v>
      </c>
      <c r="I237" t="s">
        <v>237</v>
      </c>
      <c r="J237" t="s">
        <v>50</v>
      </c>
      <c r="K237" t="s">
        <v>1444</v>
      </c>
      <c r="L237">
        <v>0.1</v>
      </c>
      <c r="M237" t="s">
        <v>1445</v>
      </c>
      <c r="N237" t="s">
        <v>1446</v>
      </c>
      <c r="O237" t="s">
        <v>43</v>
      </c>
      <c r="P237" t="s">
        <v>30</v>
      </c>
      <c r="Q237" t="s">
        <v>31</v>
      </c>
      <c r="R237" s="3">
        <v>14138.495999999999</v>
      </c>
    </row>
    <row r="238" spans="1:18" x14ac:dyDescent="0.3">
      <c r="A238" t="s">
        <v>1447</v>
      </c>
      <c r="B238" t="str">
        <f>TEXT(Raw_Data[[#This Row],[Order Date]],"mmm")</f>
        <v>Apr</v>
      </c>
      <c r="C238" t="s">
        <v>1448</v>
      </c>
      <c r="D238" t="s">
        <v>1449</v>
      </c>
      <c r="E238" t="s">
        <v>35</v>
      </c>
      <c r="F238" t="s">
        <v>78</v>
      </c>
      <c r="G238" t="s">
        <v>79</v>
      </c>
      <c r="H238" t="s">
        <v>154</v>
      </c>
      <c r="I238" t="s">
        <v>365</v>
      </c>
      <c r="J238" t="s">
        <v>82</v>
      </c>
      <c r="K238" t="s">
        <v>1450</v>
      </c>
      <c r="L238">
        <v>0.1</v>
      </c>
      <c r="M238" t="s">
        <v>1451</v>
      </c>
      <c r="N238" t="s">
        <v>1452</v>
      </c>
      <c r="O238" t="s">
        <v>29</v>
      </c>
      <c r="P238" t="s">
        <v>30</v>
      </c>
      <c r="Q238" t="s">
        <v>44</v>
      </c>
      <c r="R238" s="3">
        <v>38849.508000000002</v>
      </c>
    </row>
    <row r="239" spans="1:18" x14ac:dyDescent="0.3">
      <c r="A239" t="s">
        <v>1453</v>
      </c>
      <c r="B239" t="str">
        <f>TEXT(Raw_Data[[#This Row],[Order Date]],"mmm")</f>
        <v>Aug</v>
      </c>
      <c r="C239" t="s">
        <v>1454</v>
      </c>
      <c r="D239" t="s">
        <v>1455</v>
      </c>
      <c r="E239" t="s">
        <v>20</v>
      </c>
      <c r="F239" t="s">
        <v>21</v>
      </c>
      <c r="G239" t="s">
        <v>22</v>
      </c>
      <c r="H239" t="s">
        <v>23</v>
      </c>
      <c r="I239" t="s">
        <v>49</v>
      </c>
      <c r="J239" t="s">
        <v>25</v>
      </c>
      <c r="K239" t="s">
        <v>1456</v>
      </c>
      <c r="L239">
        <v>0.15</v>
      </c>
      <c r="M239" t="s">
        <v>1457</v>
      </c>
      <c r="N239" t="s">
        <v>1458</v>
      </c>
      <c r="O239" t="s">
        <v>64</v>
      </c>
      <c r="P239" t="s">
        <v>30</v>
      </c>
      <c r="Q239" t="s">
        <v>44</v>
      </c>
      <c r="R239" s="3">
        <v>13300.4175</v>
      </c>
    </row>
    <row r="240" spans="1:18" x14ac:dyDescent="0.3">
      <c r="A240" t="s">
        <v>1459</v>
      </c>
      <c r="B240" t="str">
        <f>TEXT(Raw_Data[[#This Row],[Order Date]],"mmm")</f>
        <v>Mar</v>
      </c>
      <c r="C240" t="s">
        <v>1460</v>
      </c>
      <c r="D240" t="s">
        <v>1461</v>
      </c>
      <c r="E240" t="s">
        <v>48</v>
      </c>
      <c r="F240" t="s">
        <v>36</v>
      </c>
      <c r="G240" t="s">
        <v>123</v>
      </c>
      <c r="H240" t="s">
        <v>80</v>
      </c>
      <c r="I240" t="s">
        <v>146</v>
      </c>
      <c r="J240" t="s">
        <v>25</v>
      </c>
      <c r="K240" t="s">
        <v>1462</v>
      </c>
      <c r="L240">
        <v>0</v>
      </c>
      <c r="M240" t="s">
        <v>1463</v>
      </c>
      <c r="N240" t="s">
        <v>1464</v>
      </c>
      <c r="O240" t="s">
        <v>173</v>
      </c>
      <c r="P240" t="s">
        <v>30</v>
      </c>
      <c r="Q240" t="s">
        <v>65</v>
      </c>
      <c r="R240" s="3">
        <v>6815.14</v>
      </c>
    </row>
    <row r="241" spans="1:18" x14ac:dyDescent="0.3">
      <c r="A241" t="s">
        <v>1465</v>
      </c>
      <c r="B241" t="str">
        <f>TEXT(Raw_Data[[#This Row],[Order Date]],"mmm")</f>
        <v>Apr</v>
      </c>
      <c r="C241" t="s">
        <v>1466</v>
      </c>
      <c r="D241" t="s">
        <v>1467</v>
      </c>
      <c r="E241" t="s">
        <v>48</v>
      </c>
      <c r="F241" t="s">
        <v>36</v>
      </c>
      <c r="G241" t="s">
        <v>414</v>
      </c>
      <c r="H241" t="s">
        <v>80</v>
      </c>
      <c r="I241" t="s">
        <v>131</v>
      </c>
      <c r="J241" t="s">
        <v>25</v>
      </c>
      <c r="K241" t="s">
        <v>1468</v>
      </c>
      <c r="L241">
        <v>0.15</v>
      </c>
      <c r="M241" t="s">
        <v>1469</v>
      </c>
      <c r="N241" t="s">
        <v>1470</v>
      </c>
      <c r="O241" t="s">
        <v>64</v>
      </c>
      <c r="P241" t="s">
        <v>30</v>
      </c>
      <c r="Q241" t="s">
        <v>44</v>
      </c>
      <c r="R241" s="3">
        <v>4058.1804999999999</v>
      </c>
    </row>
    <row r="242" spans="1:18" x14ac:dyDescent="0.3">
      <c r="A242" t="s">
        <v>1471</v>
      </c>
      <c r="B242" t="str">
        <f>TEXT(Raw_Data[[#This Row],[Order Date]],"mmm")</f>
        <v>May</v>
      </c>
      <c r="C242" t="s">
        <v>1472</v>
      </c>
      <c r="D242" t="s">
        <v>1473</v>
      </c>
      <c r="E242" t="s">
        <v>20</v>
      </c>
      <c r="F242" t="s">
        <v>69</v>
      </c>
      <c r="G242" t="s">
        <v>328</v>
      </c>
      <c r="H242" t="s">
        <v>38</v>
      </c>
      <c r="I242" t="s">
        <v>223</v>
      </c>
      <c r="J242" t="s">
        <v>25</v>
      </c>
      <c r="K242" t="s">
        <v>1474</v>
      </c>
      <c r="L242">
        <v>0.1</v>
      </c>
      <c r="M242" t="s">
        <v>1475</v>
      </c>
      <c r="N242" t="s">
        <v>1476</v>
      </c>
      <c r="O242" t="s">
        <v>173</v>
      </c>
      <c r="P242" t="s">
        <v>30</v>
      </c>
      <c r="Q242" t="s">
        <v>65</v>
      </c>
      <c r="R242" s="3">
        <v>1971.1799999999901</v>
      </c>
    </row>
    <row r="243" spans="1:18" x14ac:dyDescent="0.3">
      <c r="A243" t="s">
        <v>1477</v>
      </c>
      <c r="B243" t="str">
        <f>TEXT(Raw_Data[[#This Row],[Order Date]],"mmm")</f>
        <v>Jan</v>
      </c>
      <c r="C243" t="s">
        <v>1015</v>
      </c>
      <c r="D243" t="s">
        <v>1478</v>
      </c>
      <c r="E243" t="s">
        <v>48</v>
      </c>
      <c r="F243" t="s">
        <v>78</v>
      </c>
      <c r="G243" t="s">
        <v>731</v>
      </c>
      <c r="H243" t="s">
        <v>80</v>
      </c>
      <c r="I243" t="s">
        <v>81</v>
      </c>
      <c r="J243" t="s">
        <v>50</v>
      </c>
      <c r="K243" t="s">
        <v>1479</v>
      </c>
      <c r="L243">
        <v>0.15</v>
      </c>
      <c r="M243" t="s">
        <v>1480</v>
      </c>
      <c r="N243" t="s">
        <v>1481</v>
      </c>
      <c r="O243" t="s">
        <v>173</v>
      </c>
      <c r="P243" t="s">
        <v>30</v>
      </c>
      <c r="Q243" t="s">
        <v>31</v>
      </c>
      <c r="R243" s="3">
        <v>4815.2329999999902</v>
      </c>
    </row>
    <row r="244" spans="1:18" x14ac:dyDescent="0.3">
      <c r="A244" t="s">
        <v>1482</v>
      </c>
      <c r="B244" t="str">
        <f>TEXT(Raw_Data[[#This Row],[Order Date]],"mmm")</f>
        <v>Sep</v>
      </c>
      <c r="C244" t="s">
        <v>719</v>
      </c>
      <c r="D244" t="s">
        <v>1483</v>
      </c>
      <c r="E244" t="s">
        <v>20</v>
      </c>
      <c r="F244" t="s">
        <v>215</v>
      </c>
      <c r="G244" t="s">
        <v>276</v>
      </c>
      <c r="H244" t="s">
        <v>23</v>
      </c>
      <c r="I244" t="s">
        <v>24</v>
      </c>
      <c r="J244" t="s">
        <v>100</v>
      </c>
      <c r="K244" t="s">
        <v>1484</v>
      </c>
      <c r="L244">
        <v>0</v>
      </c>
      <c r="M244" t="s">
        <v>1485</v>
      </c>
      <c r="N244" t="s">
        <v>1486</v>
      </c>
      <c r="O244" t="s">
        <v>173</v>
      </c>
      <c r="P244" t="s">
        <v>30</v>
      </c>
      <c r="Q244" t="s">
        <v>65</v>
      </c>
      <c r="R244" s="3">
        <v>86694.99</v>
      </c>
    </row>
    <row r="245" spans="1:18" x14ac:dyDescent="0.3">
      <c r="A245" t="s">
        <v>1487</v>
      </c>
      <c r="B245" t="str">
        <f>TEXT(Raw_Data[[#This Row],[Order Date]],"mmm")</f>
        <v>Nov</v>
      </c>
      <c r="C245" t="s">
        <v>851</v>
      </c>
      <c r="D245" t="s">
        <v>1488</v>
      </c>
      <c r="E245" t="s">
        <v>48</v>
      </c>
      <c r="F245" t="s">
        <v>89</v>
      </c>
      <c r="G245" t="s">
        <v>99</v>
      </c>
      <c r="H245" t="s">
        <v>80</v>
      </c>
      <c r="I245" t="s">
        <v>81</v>
      </c>
      <c r="J245" t="s">
        <v>25</v>
      </c>
      <c r="K245" t="s">
        <v>1489</v>
      </c>
      <c r="L245">
        <v>0.1</v>
      </c>
      <c r="M245" t="s">
        <v>1490</v>
      </c>
      <c r="N245" t="s">
        <v>1491</v>
      </c>
      <c r="O245" t="s">
        <v>173</v>
      </c>
      <c r="P245" t="s">
        <v>30</v>
      </c>
      <c r="Q245" t="s">
        <v>31</v>
      </c>
      <c r="R245" s="3">
        <v>5997.0510000000004</v>
      </c>
    </row>
    <row r="246" spans="1:18" x14ac:dyDescent="0.3">
      <c r="A246" t="s">
        <v>1492</v>
      </c>
      <c r="B246" t="str">
        <f>TEXT(Raw_Data[[#This Row],[Order Date]],"mmm")</f>
        <v>Aug</v>
      </c>
      <c r="C246" t="s">
        <v>1245</v>
      </c>
      <c r="D246" t="s">
        <v>1493</v>
      </c>
      <c r="E246" t="s">
        <v>20</v>
      </c>
      <c r="F246" t="s">
        <v>21</v>
      </c>
      <c r="G246" t="s">
        <v>130</v>
      </c>
      <c r="H246" t="s">
        <v>38</v>
      </c>
      <c r="I246" t="s">
        <v>223</v>
      </c>
      <c r="J246" t="s">
        <v>50</v>
      </c>
      <c r="K246" t="s">
        <v>1494</v>
      </c>
      <c r="L246">
        <v>0.05</v>
      </c>
      <c r="M246" t="s">
        <v>1495</v>
      </c>
      <c r="N246" t="s">
        <v>1496</v>
      </c>
      <c r="O246" t="s">
        <v>54</v>
      </c>
      <c r="P246" t="s">
        <v>112</v>
      </c>
      <c r="Q246" t="s">
        <v>31</v>
      </c>
      <c r="R246" s="3">
        <v>5481.3289999999997</v>
      </c>
    </row>
    <row r="247" spans="1:18" x14ac:dyDescent="0.3">
      <c r="A247" t="s">
        <v>1497</v>
      </c>
      <c r="B247" t="str">
        <f>TEXT(Raw_Data[[#This Row],[Order Date]],"mmm")</f>
        <v>May</v>
      </c>
      <c r="C247" t="s">
        <v>1498</v>
      </c>
      <c r="D247" t="s">
        <v>1499</v>
      </c>
      <c r="E247" t="s">
        <v>48</v>
      </c>
      <c r="F247" t="s">
        <v>106</v>
      </c>
      <c r="G247" t="s">
        <v>163</v>
      </c>
      <c r="H247" t="s">
        <v>154</v>
      </c>
      <c r="I247" t="s">
        <v>155</v>
      </c>
      <c r="J247" t="s">
        <v>50</v>
      </c>
      <c r="K247" t="s">
        <v>1500</v>
      </c>
      <c r="L247">
        <v>0.15</v>
      </c>
      <c r="M247" t="s">
        <v>1501</v>
      </c>
      <c r="N247" t="s">
        <v>1502</v>
      </c>
      <c r="O247" t="s">
        <v>135</v>
      </c>
      <c r="P247" t="s">
        <v>30</v>
      </c>
      <c r="Q247" t="s">
        <v>31</v>
      </c>
      <c r="R247" s="3">
        <v>4845.0680000000002</v>
      </c>
    </row>
    <row r="248" spans="1:18" x14ac:dyDescent="0.3">
      <c r="A248" t="s">
        <v>1503</v>
      </c>
      <c r="B248" t="str">
        <f>TEXT(Raw_Data[[#This Row],[Order Date]],"mmm")</f>
        <v>Dec</v>
      </c>
      <c r="C248" t="s">
        <v>242</v>
      </c>
      <c r="D248" t="s">
        <v>1504</v>
      </c>
      <c r="E248" t="s">
        <v>20</v>
      </c>
      <c r="F248" t="s">
        <v>106</v>
      </c>
      <c r="G248" t="s">
        <v>106</v>
      </c>
      <c r="H248" t="s">
        <v>154</v>
      </c>
      <c r="I248" t="s">
        <v>1061</v>
      </c>
      <c r="J248" t="s">
        <v>25</v>
      </c>
      <c r="K248" t="s">
        <v>1505</v>
      </c>
      <c r="L248">
        <v>0.15</v>
      </c>
      <c r="M248" t="s">
        <v>1506</v>
      </c>
      <c r="N248" t="s">
        <v>1507</v>
      </c>
      <c r="O248" t="s">
        <v>64</v>
      </c>
      <c r="P248" t="s">
        <v>30</v>
      </c>
      <c r="Q248" t="s">
        <v>31</v>
      </c>
      <c r="R248" s="3">
        <v>5649.4994999999999</v>
      </c>
    </row>
    <row r="249" spans="1:18" x14ac:dyDescent="0.3">
      <c r="A249" t="s">
        <v>1508</v>
      </c>
      <c r="B249" t="str">
        <f>TEXT(Raw_Data[[#This Row],[Order Date]],"mmm")</f>
        <v>May</v>
      </c>
      <c r="C249" t="s">
        <v>1509</v>
      </c>
      <c r="D249" t="s">
        <v>1510</v>
      </c>
      <c r="E249" t="s">
        <v>35</v>
      </c>
      <c r="F249" t="s">
        <v>215</v>
      </c>
      <c r="G249" t="s">
        <v>216</v>
      </c>
      <c r="H249" t="s">
        <v>23</v>
      </c>
      <c r="I249" t="s">
        <v>341</v>
      </c>
      <c r="J249" t="s">
        <v>25</v>
      </c>
      <c r="K249" t="s">
        <v>1511</v>
      </c>
      <c r="L249">
        <v>0.1</v>
      </c>
      <c r="M249" t="s">
        <v>1512</v>
      </c>
      <c r="N249" t="s">
        <v>1513</v>
      </c>
      <c r="O249" t="s">
        <v>54</v>
      </c>
      <c r="P249" t="s">
        <v>30</v>
      </c>
      <c r="Q249" t="s">
        <v>65</v>
      </c>
      <c r="R249" s="3">
        <v>9573.9210000000003</v>
      </c>
    </row>
    <row r="250" spans="1:18" x14ac:dyDescent="0.3">
      <c r="A250" t="s">
        <v>1514</v>
      </c>
      <c r="B250" t="str">
        <f>TEXT(Raw_Data[[#This Row],[Order Date]],"mmm")</f>
        <v>Dec</v>
      </c>
      <c r="C250" t="s">
        <v>1515</v>
      </c>
      <c r="D250" t="s">
        <v>1516</v>
      </c>
      <c r="E250" t="s">
        <v>48</v>
      </c>
      <c r="F250" t="s">
        <v>58</v>
      </c>
      <c r="G250" t="s">
        <v>59</v>
      </c>
      <c r="H250" t="s">
        <v>107</v>
      </c>
      <c r="I250" t="s">
        <v>591</v>
      </c>
      <c r="J250" t="s">
        <v>50</v>
      </c>
      <c r="K250" t="s">
        <v>1517</v>
      </c>
      <c r="L250">
        <v>0.15</v>
      </c>
      <c r="M250" t="s">
        <v>1518</v>
      </c>
      <c r="N250" t="s">
        <v>1519</v>
      </c>
      <c r="O250" t="s">
        <v>43</v>
      </c>
      <c r="P250" t="s">
        <v>30</v>
      </c>
      <c r="Q250" t="s">
        <v>65</v>
      </c>
      <c r="R250" s="3">
        <v>27829.612000000001</v>
      </c>
    </row>
    <row r="251" spans="1:18" x14ac:dyDescent="0.3">
      <c r="A251" t="s">
        <v>1520</v>
      </c>
      <c r="B251" t="str">
        <f>TEXT(Raw_Data[[#This Row],[Order Date]],"mmm")</f>
        <v>Jun</v>
      </c>
      <c r="C251" t="s">
        <v>1521</v>
      </c>
      <c r="D251" t="s">
        <v>1522</v>
      </c>
      <c r="E251" t="s">
        <v>48</v>
      </c>
      <c r="F251" t="s">
        <v>106</v>
      </c>
      <c r="G251" t="s">
        <v>106</v>
      </c>
      <c r="H251" t="s">
        <v>38</v>
      </c>
      <c r="I251" t="s">
        <v>39</v>
      </c>
      <c r="J251" t="s">
        <v>50</v>
      </c>
      <c r="K251" t="s">
        <v>1523</v>
      </c>
      <c r="L251">
        <v>0.1</v>
      </c>
      <c r="M251" t="s">
        <v>1524</v>
      </c>
      <c r="N251" t="s">
        <v>1525</v>
      </c>
      <c r="O251" t="s">
        <v>54</v>
      </c>
      <c r="P251" t="s">
        <v>159</v>
      </c>
      <c r="Q251" t="s">
        <v>44</v>
      </c>
      <c r="R251" s="3">
        <v>1674.864</v>
      </c>
    </row>
    <row r="252" spans="1:18" x14ac:dyDescent="0.3">
      <c r="A252" t="s">
        <v>1526</v>
      </c>
      <c r="B252" t="str">
        <f>TEXT(Raw_Data[[#This Row],[Order Date]],"mmm")</f>
        <v>Mar</v>
      </c>
      <c r="C252" t="s">
        <v>1527</v>
      </c>
      <c r="D252" t="s">
        <v>1528</v>
      </c>
      <c r="E252" t="s">
        <v>20</v>
      </c>
      <c r="F252" t="s">
        <v>36</v>
      </c>
      <c r="G252" t="s">
        <v>37</v>
      </c>
      <c r="H252" t="s">
        <v>23</v>
      </c>
      <c r="I252" t="s">
        <v>263</v>
      </c>
      <c r="J252" t="s">
        <v>25</v>
      </c>
      <c r="K252" t="s">
        <v>1529</v>
      </c>
      <c r="L252">
        <v>0</v>
      </c>
      <c r="M252" t="s">
        <v>1530</v>
      </c>
      <c r="N252" t="s">
        <v>1531</v>
      </c>
      <c r="O252" t="s">
        <v>29</v>
      </c>
      <c r="P252" t="s">
        <v>30</v>
      </c>
      <c r="Q252" t="s">
        <v>44</v>
      </c>
      <c r="R252" s="3">
        <v>60550.400000000001</v>
      </c>
    </row>
    <row r="253" spans="1:18" x14ac:dyDescent="0.3">
      <c r="A253" t="s">
        <v>1532</v>
      </c>
      <c r="B253" t="str">
        <f>TEXT(Raw_Data[[#This Row],[Order Date]],"mmm")</f>
        <v>May</v>
      </c>
      <c r="C253" t="s">
        <v>1533</v>
      </c>
      <c r="D253" t="s">
        <v>1534</v>
      </c>
      <c r="E253" t="s">
        <v>20</v>
      </c>
      <c r="F253" t="s">
        <v>36</v>
      </c>
      <c r="G253" t="s">
        <v>153</v>
      </c>
      <c r="H253" t="s">
        <v>38</v>
      </c>
      <c r="I253" t="s">
        <v>39</v>
      </c>
      <c r="J253" t="s">
        <v>25</v>
      </c>
      <c r="K253" t="s">
        <v>1535</v>
      </c>
      <c r="L253">
        <v>0.05</v>
      </c>
      <c r="M253" t="s">
        <v>1536</v>
      </c>
      <c r="N253" t="s">
        <v>1537</v>
      </c>
      <c r="O253" t="s">
        <v>29</v>
      </c>
      <c r="P253" t="s">
        <v>30</v>
      </c>
      <c r="Q253" t="s">
        <v>44</v>
      </c>
      <c r="R253" s="3">
        <v>1269.1334999999999</v>
      </c>
    </row>
    <row r="254" spans="1:18" x14ac:dyDescent="0.3">
      <c r="A254" t="s">
        <v>1538</v>
      </c>
      <c r="B254" t="str">
        <f>TEXT(Raw_Data[[#This Row],[Order Date]],"mmm")</f>
        <v>Sep</v>
      </c>
      <c r="C254" t="s">
        <v>1539</v>
      </c>
      <c r="D254" t="s">
        <v>1540</v>
      </c>
      <c r="E254" t="s">
        <v>35</v>
      </c>
      <c r="F254" t="s">
        <v>36</v>
      </c>
      <c r="G254" t="s">
        <v>123</v>
      </c>
      <c r="H254" t="s">
        <v>23</v>
      </c>
      <c r="I254" t="s">
        <v>49</v>
      </c>
      <c r="J254" t="s">
        <v>25</v>
      </c>
      <c r="K254" t="s">
        <v>1541</v>
      </c>
      <c r="L254">
        <v>0.05</v>
      </c>
      <c r="M254" t="s">
        <v>1542</v>
      </c>
      <c r="N254" t="s">
        <v>1543</v>
      </c>
      <c r="O254" t="s">
        <v>64</v>
      </c>
      <c r="P254" t="s">
        <v>30</v>
      </c>
      <c r="Q254" t="s">
        <v>44</v>
      </c>
      <c r="R254" s="3">
        <v>55738.798999999999</v>
      </c>
    </row>
    <row r="255" spans="1:18" x14ac:dyDescent="0.3">
      <c r="A255" t="s">
        <v>1544</v>
      </c>
      <c r="B255" t="str">
        <f>TEXT(Raw_Data[[#This Row],[Order Date]],"mmm")</f>
        <v>Jan</v>
      </c>
      <c r="C255" t="s">
        <v>320</v>
      </c>
      <c r="D255" t="s">
        <v>1545</v>
      </c>
      <c r="E255" t="s">
        <v>35</v>
      </c>
      <c r="F255" t="s">
        <v>78</v>
      </c>
      <c r="G255" t="s">
        <v>731</v>
      </c>
      <c r="H255" t="s">
        <v>107</v>
      </c>
      <c r="I255" t="s">
        <v>469</v>
      </c>
      <c r="J255" t="s">
        <v>100</v>
      </c>
      <c r="K255" t="s">
        <v>1546</v>
      </c>
      <c r="L255">
        <v>0</v>
      </c>
      <c r="M255" t="s">
        <v>1547</v>
      </c>
      <c r="N255" t="s">
        <v>1548</v>
      </c>
      <c r="O255" t="s">
        <v>43</v>
      </c>
      <c r="P255" t="s">
        <v>30</v>
      </c>
      <c r="Q255" t="s">
        <v>31</v>
      </c>
      <c r="R255" s="3">
        <v>51325.29</v>
      </c>
    </row>
    <row r="256" spans="1:18" x14ac:dyDescent="0.3">
      <c r="A256" t="s">
        <v>1549</v>
      </c>
      <c r="B256" t="str">
        <f>TEXT(Raw_Data[[#This Row],[Order Date]],"mmm")</f>
        <v>Nov</v>
      </c>
      <c r="C256" t="s">
        <v>516</v>
      </c>
      <c r="D256" t="s">
        <v>1550</v>
      </c>
      <c r="E256" t="s">
        <v>20</v>
      </c>
      <c r="F256" t="s">
        <v>106</v>
      </c>
      <c r="G256" t="s">
        <v>163</v>
      </c>
      <c r="H256" t="s">
        <v>107</v>
      </c>
      <c r="I256" t="s">
        <v>469</v>
      </c>
      <c r="J256" t="s">
        <v>25</v>
      </c>
      <c r="K256" t="s">
        <v>1551</v>
      </c>
      <c r="L256">
        <v>0.05</v>
      </c>
      <c r="M256" t="s">
        <v>1552</v>
      </c>
      <c r="N256" t="s">
        <v>1553</v>
      </c>
      <c r="O256" t="s">
        <v>43</v>
      </c>
      <c r="P256" t="s">
        <v>30</v>
      </c>
      <c r="Q256" t="s">
        <v>31</v>
      </c>
      <c r="R256" s="3">
        <v>15395.6525</v>
      </c>
    </row>
    <row r="257" spans="1:18" x14ac:dyDescent="0.3">
      <c r="A257" t="s">
        <v>1554</v>
      </c>
      <c r="B257" t="str">
        <f>TEXT(Raw_Data[[#This Row],[Order Date]],"mmm")</f>
        <v>Aug</v>
      </c>
      <c r="C257" t="s">
        <v>1245</v>
      </c>
      <c r="D257" t="s">
        <v>1555</v>
      </c>
      <c r="E257" t="s">
        <v>35</v>
      </c>
      <c r="F257" t="s">
        <v>89</v>
      </c>
      <c r="G257" t="s">
        <v>90</v>
      </c>
      <c r="H257" t="s">
        <v>23</v>
      </c>
      <c r="I257" t="s">
        <v>183</v>
      </c>
      <c r="J257" t="s">
        <v>25</v>
      </c>
      <c r="K257" t="s">
        <v>1556</v>
      </c>
      <c r="L257">
        <v>0.05</v>
      </c>
      <c r="M257" t="s">
        <v>1557</v>
      </c>
      <c r="N257" t="s">
        <v>1558</v>
      </c>
      <c r="O257" t="s">
        <v>29</v>
      </c>
      <c r="P257" t="s">
        <v>30</v>
      </c>
      <c r="Q257" t="s">
        <v>65</v>
      </c>
      <c r="R257" s="3">
        <v>23633.852999999999</v>
      </c>
    </row>
    <row r="258" spans="1:18" x14ac:dyDescent="0.3">
      <c r="A258" t="s">
        <v>1559</v>
      </c>
      <c r="B258" t="str">
        <f>TEXT(Raw_Data[[#This Row],[Order Date]],"mmm")</f>
        <v>Aug</v>
      </c>
      <c r="C258" t="s">
        <v>1442</v>
      </c>
      <c r="D258" t="s">
        <v>1560</v>
      </c>
      <c r="E258" t="s">
        <v>48</v>
      </c>
      <c r="F258" t="s">
        <v>69</v>
      </c>
      <c r="G258" t="s">
        <v>70</v>
      </c>
      <c r="H258" t="s">
        <v>23</v>
      </c>
      <c r="I258" t="s">
        <v>341</v>
      </c>
      <c r="J258" t="s">
        <v>50</v>
      </c>
      <c r="K258" t="s">
        <v>1561</v>
      </c>
      <c r="L258">
        <v>0.15</v>
      </c>
      <c r="M258" t="s">
        <v>1562</v>
      </c>
      <c r="N258" t="s">
        <v>1563</v>
      </c>
      <c r="O258" t="s">
        <v>173</v>
      </c>
      <c r="P258" t="s">
        <v>30</v>
      </c>
      <c r="Q258" t="s">
        <v>31</v>
      </c>
      <c r="R258" s="3">
        <v>30465.802</v>
      </c>
    </row>
    <row r="259" spans="1:18" x14ac:dyDescent="0.3">
      <c r="A259" t="s">
        <v>1564</v>
      </c>
      <c r="B259" t="str">
        <f>TEXT(Raw_Data[[#This Row],[Order Date]],"mmm")</f>
        <v>Mar</v>
      </c>
      <c r="C259" t="s">
        <v>395</v>
      </c>
      <c r="D259" t="s">
        <v>1565</v>
      </c>
      <c r="E259" t="s">
        <v>48</v>
      </c>
      <c r="F259" t="s">
        <v>106</v>
      </c>
      <c r="G259" t="s">
        <v>106</v>
      </c>
      <c r="H259" t="s">
        <v>154</v>
      </c>
      <c r="I259" t="s">
        <v>1061</v>
      </c>
      <c r="J259" t="s">
        <v>50</v>
      </c>
      <c r="K259" t="s">
        <v>1566</v>
      </c>
      <c r="L259">
        <v>0.2</v>
      </c>
      <c r="M259" t="s">
        <v>1567</v>
      </c>
      <c r="N259" t="s">
        <v>1568</v>
      </c>
      <c r="O259" t="s">
        <v>64</v>
      </c>
      <c r="P259" t="s">
        <v>30</v>
      </c>
      <c r="Q259" t="s">
        <v>65</v>
      </c>
      <c r="R259" s="3">
        <v>9702.64</v>
      </c>
    </row>
    <row r="260" spans="1:18" x14ac:dyDescent="0.3">
      <c r="A260" t="s">
        <v>1569</v>
      </c>
      <c r="B260" t="str">
        <f>TEXT(Raw_Data[[#This Row],[Order Date]],"mmm")</f>
        <v>Sep</v>
      </c>
      <c r="C260" t="s">
        <v>1570</v>
      </c>
      <c r="D260" t="s">
        <v>1571</v>
      </c>
      <c r="E260" t="s">
        <v>35</v>
      </c>
      <c r="F260" t="s">
        <v>78</v>
      </c>
      <c r="G260" t="s">
        <v>79</v>
      </c>
      <c r="H260" t="s">
        <v>80</v>
      </c>
      <c r="I260" t="s">
        <v>146</v>
      </c>
      <c r="J260" t="s">
        <v>100</v>
      </c>
      <c r="K260" t="s">
        <v>1572</v>
      </c>
      <c r="L260">
        <v>0.1</v>
      </c>
      <c r="M260" t="s">
        <v>1573</v>
      </c>
      <c r="N260" t="s">
        <v>1574</v>
      </c>
      <c r="O260" t="s">
        <v>29</v>
      </c>
      <c r="P260" t="s">
        <v>30</v>
      </c>
      <c r="Q260" t="s">
        <v>65</v>
      </c>
      <c r="R260" s="3">
        <v>18673.929</v>
      </c>
    </row>
    <row r="261" spans="1:18" x14ac:dyDescent="0.3">
      <c r="A261" t="s">
        <v>1575</v>
      </c>
      <c r="B261" t="str">
        <f>TEXT(Raw_Data[[#This Row],[Order Date]],"mmm")</f>
        <v>May</v>
      </c>
      <c r="C261" t="s">
        <v>498</v>
      </c>
      <c r="D261" t="s">
        <v>1576</v>
      </c>
      <c r="E261" t="s">
        <v>48</v>
      </c>
      <c r="F261" t="s">
        <v>106</v>
      </c>
      <c r="G261" t="s">
        <v>106</v>
      </c>
      <c r="H261" t="s">
        <v>107</v>
      </c>
      <c r="I261" t="s">
        <v>591</v>
      </c>
      <c r="J261" t="s">
        <v>25</v>
      </c>
      <c r="K261" t="s">
        <v>1577</v>
      </c>
      <c r="L261">
        <v>0.15</v>
      </c>
      <c r="M261" t="s">
        <v>1578</v>
      </c>
      <c r="N261" t="s">
        <v>1579</v>
      </c>
      <c r="O261" t="s">
        <v>54</v>
      </c>
      <c r="P261" t="s">
        <v>30</v>
      </c>
      <c r="Q261" t="s">
        <v>44</v>
      </c>
      <c r="R261" s="3">
        <v>3163.9209999999998</v>
      </c>
    </row>
    <row r="262" spans="1:18" x14ac:dyDescent="0.3">
      <c r="A262" t="s">
        <v>1580</v>
      </c>
      <c r="B262" t="str">
        <f>TEXT(Raw_Data[[#This Row],[Order Date]],"mmm")</f>
        <v>Jan</v>
      </c>
      <c r="C262" t="s">
        <v>254</v>
      </c>
      <c r="D262" t="s">
        <v>1581</v>
      </c>
      <c r="E262" t="s">
        <v>35</v>
      </c>
      <c r="F262" t="s">
        <v>106</v>
      </c>
      <c r="G262" t="s">
        <v>163</v>
      </c>
      <c r="H262" t="s">
        <v>80</v>
      </c>
      <c r="I262" t="s">
        <v>91</v>
      </c>
      <c r="J262" t="s">
        <v>100</v>
      </c>
      <c r="K262" t="s">
        <v>1582</v>
      </c>
      <c r="L262">
        <v>0.05</v>
      </c>
      <c r="M262" t="s">
        <v>1583</v>
      </c>
      <c r="N262" t="s">
        <v>1584</v>
      </c>
      <c r="O262" t="s">
        <v>54</v>
      </c>
      <c r="P262" t="s">
        <v>30</v>
      </c>
      <c r="Q262" t="s">
        <v>31</v>
      </c>
      <c r="R262" s="3">
        <v>3244.4684999999999</v>
      </c>
    </row>
    <row r="263" spans="1:18" x14ac:dyDescent="0.3">
      <c r="A263" t="s">
        <v>1585</v>
      </c>
      <c r="B263" t="str">
        <f>TEXT(Raw_Data[[#This Row],[Order Date]],"mmm")</f>
        <v>Sep</v>
      </c>
      <c r="C263" t="s">
        <v>1586</v>
      </c>
      <c r="D263" t="s">
        <v>1587</v>
      </c>
      <c r="E263" t="s">
        <v>20</v>
      </c>
      <c r="F263" t="s">
        <v>36</v>
      </c>
      <c r="G263" t="s">
        <v>414</v>
      </c>
      <c r="H263" t="s">
        <v>154</v>
      </c>
      <c r="I263" t="s">
        <v>155</v>
      </c>
      <c r="J263" t="s">
        <v>100</v>
      </c>
      <c r="K263" t="s">
        <v>1588</v>
      </c>
      <c r="L263">
        <v>0.05</v>
      </c>
      <c r="M263" t="s">
        <v>1589</v>
      </c>
      <c r="N263" t="s">
        <v>1590</v>
      </c>
      <c r="O263" t="s">
        <v>29</v>
      </c>
      <c r="P263" t="s">
        <v>30</v>
      </c>
      <c r="Q263" t="s">
        <v>31</v>
      </c>
      <c r="R263" s="3">
        <v>31975.6319999999</v>
      </c>
    </row>
    <row r="264" spans="1:18" x14ac:dyDescent="0.3">
      <c r="A264" t="s">
        <v>1591</v>
      </c>
      <c r="B264" t="str">
        <f>TEXT(Raw_Data[[#This Row],[Order Date]],"mmm")</f>
        <v>Jun</v>
      </c>
      <c r="C264" t="s">
        <v>1521</v>
      </c>
      <c r="D264" t="s">
        <v>1592</v>
      </c>
      <c r="E264" t="s">
        <v>35</v>
      </c>
      <c r="F264" t="s">
        <v>78</v>
      </c>
      <c r="G264" t="s">
        <v>731</v>
      </c>
      <c r="H264" t="s">
        <v>38</v>
      </c>
      <c r="I264" t="s">
        <v>223</v>
      </c>
      <c r="J264" t="s">
        <v>25</v>
      </c>
      <c r="K264" t="s">
        <v>1593</v>
      </c>
      <c r="L264">
        <v>0.05</v>
      </c>
      <c r="M264" t="s">
        <v>1594</v>
      </c>
      <c r="N264" t="s">
        <v>1595</v>
      </c>
      <c r="O264" t="s">
        <v>29</v>
      </c>
      <c r="P264" t="s">
        <v>30</v>
      </c>
      <c r="Q264" t="s">
        <v>65</v>
      </c>
      <c r="R264" s="3">
        <v>1998.4865</v>
      </c>
    </row>
    <row r="265" spans="1:18" x14ac:dyDescent="0.3">
      <c r="A265" t="s">
        <v>1596</v>
      </c>
      <c r="B265" t="str">
        <f>TEXT(Raw_Data[[#This Row],[Order Date]],"mmm")</f>
        <v>Jul</v>
      </c>
      <c r="C265" t="s">
        <v>389</v>
      </c>
      <c r="D265" t="s">
        <v>1597</v>
      </c>
      <c r="E265" t="s">
        <v>20</v>
      </c>
      <c r="F265" t="s">
        <v>21</v>
      </c>
      <c r="G265" t="s">
        <v>130</v>
      </c>
      <c r="H265" t="s">
        <v>23</v>
      </c>
      <c r="I265" t="s">
        <v>24</v>
      </c>
      <c r="J265" t="s">
        <v>50</v>
      </c>
      <c r="K265" t="s">
        <v>1598</v>
      </c>
      <c r="L265">
        <v>0.1</v>
      </c>
      <c r="M265" t="s">
        <v>1599</v>
      </c>
      <c r="N265" t="s">
        <v>1600</v>
      </c>
      <c r="O265" t="s">
        <v>173</v>
      </c>
      <c r="P265" t="s">
        <v>30</v>
      </c>
      <c r="Q265" t="s">
        <v>44</v>
      </c>
      <c r="R265" s="3">
        <v>104998.698</v>
      </c>
    </row>
    <row r="266" spans="1:18" x14ac:dyDescent="0.3">
      <c r="A266" t="s">
        <v>1601</v>
      </c>
      <c r="B266" t="str">
        <f>TEXT(Raw_Data[[#This Row],[Order Date]],"mmm")</f>
        <v>Apr</v>
      </c>
      <c r="C266" t="s">
        <v>352</v>
      </c>
      <c r="D266" t="s">
        <v>1602</v>
      </c>
      <c r="E266" t="s">
        <v>35</v>
      </c>
      <c r="F266" t="s">
        <v>58</v>
      </c>
      <c r="G266" t="s">
        <v>59</v>
      </c>
      <c r="H266" t="s">
        <v>23</v>
      </c>
      <c r="I266" t="s">
        <v>183</v>
      </c>
      <c r="J266" t="s">
        <v>25</v>
      </c>
      <c r="K266" t="s">
        <v>1603</v>
      </c>
      <c r="L266">
        <v>0.05</v>
      </c>
      <c r="M266" t="s">
        <v>1604</v>
      </c>
      <c r="N266" t="s">
        <v>1605</v>
      </c>
      <c r="O266" t="s">
        <v>173</v>
      </c>
      <c r="P266" t="s">
        <v>30</v>
      </c>
      <c r="Q266" t="s">
        <v>44</v>
      </c>
      <c r="R266" s="3">
        <v>51255.701500000003</v>
      </c>
    </row>
    <row r="267" spans="1:18" x14ac:dyDescent="0.3">
      <c r="A267" t="s">
        <v>1606</v>
      </c>
      <c r="B267" t="str">
        <f>TEXT(Raw_Data[[#This Row],[Order Date]],"mmm")</f>
        <v>Dec</v>
      </c>
      <c r="C267" t="s">
        <v>573</v>
      </c>
      <c r="D267" t="s">
        <v>1607</v>
      </c>
      <c r="E267" t="s">
        <v>48</v>
      </c>
      <c r="F267" t="s">
        <v>21</v>
      </c>
      <c r="G267" t="s">
        <v>130</v>
      </c>
      <c r="H267" t="s">
        <v>107</v>
      </c>
      <c r="I267" t="s">
        <v>277</v>
      </c>
      <c r="J267" t="s">
        <v>25</v>
      </c>
      <c r="K267" t="s">
        <v>1608</v>
      </c>
      <c r="L267">
        <v>0.2</v>
      </c>
      <c r="M267" t="s">
        <v>1609</v>
      </c>
      <c r="N267" t="s">
        <v>1610</v>
      </c>
      <c r="O267" t="s">
        <v>54</v>
      </c>
      <c r="P267" t="s">
        <v>30</v>
      </c>
      <c r="Q267" t="s">
        <v>31</v>
      </c>
      <c r="R267" s="3">
        <v>14187.951999999999</v>
      </c>
    </row>
    <row r="268" spans="1:18" x14ac:dyDescent="0.3">
      <c r="A268" t="s">
        <v>1611</v>
      </c>
      <c r="B268" t="str">
        <f>TEXT(Raw_Data[[#This Row],[Order Date]],"mmm")</f>
        <v>Mar</v>
      </c>
      <c r="C268" t="s">
        <v>326</v>
      </c>
      <c r="D268" t="s">
        <v>1612</v>
      </c>
      <c r="E268" t="s">
        <v>35</v>
      </c>
      <c r="F268" t="s">
        <v>78</v>
      </c>
      <c r="G268" t="s">
        <v>731</v>
      </c>
      <c r="H268" t="s">
        <v>154</v>
      </c>
      <c r="I268" t="s">
        <v>365</v>
      </c>
      <c r="J268" t="s">
        <v>100</v>
      </c>
      <c r="K268" t="s">
        <v>1613</v>
      </c>
      <c r="L268">
        <v>0.15</v>
      </c>
      <c r="M268" t="s">
        <v>1614</v>
      </c>
      <c r="N268" t="s">
        <v>1615</v>
      </c>
      <c r="O268" t="s">
        <v>64</v>
      </c>
      <c r="P268" t="s">
        <v>30</v>
      </c>
      <c r="Q268" t="s">
        <v>44</v>
      </c>
      <c r="R268" s="3">
        <v>18323.79</v>
      </c>
    </row>
    <row r="269" spans="1:18" x14ac:dyDescent="0.3">
      <c r="A269" t="s">
        <v>1616</v>
      </c>
      <c r="B269" t="str">
        <f>TEXT(Raw_Data[[#This Row],[Order Date]],"mmm")</f>
        <v>May</v>
      </c>
      <c r="C269" t="s">
        <v>1348</v>
      </c>
      <c r="D269" t="s">
        <v>1617</v>
      </c>
      <c r="E269" t="s">
        <v>20</v>
      </c>
      <c r="F269" t="s">
        <v>21</v>
      </c>
      <c r="G269" t="s">
        <v>22</v>
      </c>
      <c r="H269" t="s">
        <v>80</v>
      </c>
      <c r="I269" t="s">
        <v>116</v>
      </c>
      <c r="J269" t="s">
        <v>25</v>
      </c>
      <c r="K269" t="s">
        <v>1618</v>
      </c>
      <c r="L269">
        <v>0.1</v>
      </c>
      <c r="M269" t="s">
        <v>1619</v>
      </c>
      <c r="N269" t="s">
        <v>1620</v>
      </c>
      <c r="O269" t="s">
        <v>54</v>
      </c>
      <c r="P269" t="s">
        <v>30</v>
      </c>
      <c r="Q269" t="s">
        <v>65</v>
      </c>
      <c r="R269" s="3">
        <v>4309.0469999999996</v>
      </c>
    </row>
    <row r="270" spans="1:18" x14ac:dyDescent="0.3">
      <c r="A270" t="s">
        <v>1621</v>
      </c>
      <c r="B270" t="str">
        <f>TEXT(Raw_Data[[#This Row],[Order Date]],"mmm")</f>
        <v>Jan</v>
      </c>
      <c r="C270" t="s">
        <v>274</v>
      </c>
      <c r="D270" t="s">
        <v>1622</v>
      </c>
      <c r="E270" t="s">
        <v>35</v>
      </c>
      <c r="F270" t="s">
        <v>36</v>
      </c>
      <c r="G270" t="s">
        <v>123</v>
      </c>
      <c r="H270" t="s">
        <v>38</v>
      </c>
      <c r="I270" t="s">
        <v>256</v>
      </c>
      <c r="J270" t="s">
        <v>50</v>
      </c>
      <c r="K270" t="s">
        <v>1623</v>
      </c>
      <c r="L270">
        <v>0.05</v>
      </c>
      <c r="M270" t="s">
        <v>1624</v>
      </c>
      <c r="N270" t="s">
        <v>1625</v>
      </c>
      <c r="O270" t="s">
        <v>29</v>
      </c>
      <c r="P270" t="s">
        <v>159</v>
      </c>
      <c r="Q270" t="s">
        <v>65</v>
      </c>
      <c r="R270" s="3">
        <v>4884.1970000000001</v>
      </c>
    </row>
    <row r="271" spans="1:18" x14ac:dyDescent="0.3">
      <c r="A271" t="s">
        <v>1626</v>
      </c>
      <c r="B271" t="str">
        <f>TEXT(Raw_Data[[#This Row],[Order Date]],"mmm")</f>
        <v>Feb</v>
      </c>
      <c r="C271" t="s">
        <v>702</v>
      </c>
      <c r="D271" t="s">
        <v>1627</v>
      </c>
      <c r="E271" t="s">
        <v>48</v>
      </c>
      <c r="F271" t="s">
        <v>215</v>
      </c>
      <c r="G271" t="s">
        <v>216</v>
      </c>
      <c r="H271" t="s">
        <v>107</v>
      </c>
      <c r="I271" t="s">
        <v>378</v>
      </c>
      <c r="J271" t="s">
        <v>25</v>
      </c>
      <c r="K271" t="s">
        <v>1628</v>
      </c>
      <c r="L271">
        <v>0.15</v>
      </c>
      <c r="M271" t="s">
        <v>1629</v>
      </c>
      <c r="N271" t="s">
        <v>1630</v>
      </c>
      <c r="O271" t="s">
        <v>64</v>
      </c>
      <c r="P271" t="s">
        <v>30</v>
      </c>
      <c r="Q271" t="s">
        <v>44</v>
      </c>
      <c r="R271" s="3">
        <v>9400.5920000000006</v>
      </c>
    </row>
    <row r="272" spans="1:18" x14ac:dyDescent="0.3">
      <c r="A272" t="s">
        <v>1631</v>
      </c>
      <c r="B272" t="str">
        <f>TEXT(Raw_Data[[#This Row],[Order Date]],"mmm")</f>
        <v>Sep</v>
      </c>
      <c r="C272" t="s">
        <v>1632</v>
      </c>
      <c r="D272" t="s">
        <v>1633</v>
      </c>
      <c r="E272" t="s">
        <v>35</v>
      </c>
      <c r="F272" t="s">
        <v>215</v>
      </c>
      <c r="G272" t="s">
        <v>276</v>
      </c>
      <c r="H272" t="s">
        <v>154</v>
      </c>
      <c r="I272" t="s">
        <v>155</v>
      </c>
      <c r="J272" t="s">
        <v>50</v>
      </c>
      <c r="K272" t="s">
        <v>1634</v>
      </c>
      <c r="L272">
        <v>0</v>
      </c>
      <c r="M272" t="s">
        <v>1635</v>
      </c>
      <c r="N272" t="s">
        <v>1636</v>
      </c>
      <c r="O272" t="s">
        <v>64</v>
      </c>
      <c r="P272" t="s">
        <v>30</v>
      </c>
      <c r="Q272" t="s">
        <v>65</v>
      </c>
      <c r="R272" s="3">
        <v>16330.96</v>
      </c>
    </row>
    <row r="273" spans="1:18" x14ac:dyDescent="0.3">
      <c r="A273" t="s">
        <v>1637</v>
      </c>
      <c r="B273" t="str">
        <f>TEXT(Raw_Data[[#This Row],[Order Date]],"mmm")</f>
        <v>Nov</v>
      </c>
      <c r="C273" t="s">
        <v>1204</v>
      </c>
      <c r="D273" t="s">
        <v>1638</v>
      </c>
      <c r="E273" t="s">
        <v>20</v>
      </c>
      <c r="F273" t="s">
        <v>21</v>
      </c>
      <c r="G273" t="s">
        <v>22</v>
      </c>
      <c r="H273" t="s">
        <v>154</v>
      </c>
      <c r="I273" t="s">
        <v>1061</v>
      </c>
      <c r="J273" t="s">
        <v>25</v>
      </c>
      <c r="K273" t="s">
        <v>1639</v>
      </c>
      <c r="L273">
        <v>0.15</v>
      </c>
      <c r="M273" t="s">
        <v>1640</v>
      </c>
      <c r="N273" t="s">
        <v>1641</v>
      </c>
      <c r="O273" t="s">
        <v>29</v>
      </c>
      <c r="P273" t="s">
        <v>30</v>
      </c>
      <c r="Q273" t="s">
        <v>65</v>
      </c>
      <c r="R273" s="3">
        <v>9378.0329999999994</v>
      </c>
    </row>
    <row r="274" spans="1:18" x14ac:dyDescent="0.3">
      <c r="A274" t="s">
        <v>1642</v>
      </c>
      <c r="B274" t="str">
        <f>TEXT(Raw_Data[[#This Row],[Order Date]],"mmm")</f>
        <v>Nov</v>
      </c>
      <c r="C274" t="s">
        <v>1643</v>
      </c>
      <c r="D274" t="s">
        <v>1644</v>
      </c>
      <c r="E274" t="s">
        <v>20</v>
      </c>
      <c r="F274" t="s">
        <v>69</v>
      </c>
      <c r="G274" t="s">
        <v>139</v>
      </c>
      <c r="H274" t="s">
        <v>38</v>
      </c>
      <c r="I274" t="s">
        <v>39</v>
      </c>
      <c r="J274" t="s">
        <v>50</v>
      </c>
      <c r="K274" t="s">
        <v>1645</v>
      </c>
      <c r="L274">
        <v>0.05</v>
      </c>
      <c r="M274" t="s">
        <v>1646</v>
      </c>
      <c r="N274" t="s">
        <v>1647</v>
      </c>
      <c r="O274" t="s">
        <v>54</v>
      </c>
      <c r="P274" t="s">
        <v>30</v>
      </c>
      <c r="Q274" t="s">
        <v>31</v>
      </c>
      <c r="R274" s="3">
        <v>4852.3529999999901</v>
      </c>
    </row>
    <row r="275" spans="1:18" x14ac:dyDescent="0.3">
      <c r="A275" t="s">
        <v>1648</v>
      </c>
      <c r="B275" t="str">
        <f>TEXT(Raw_Data[[#This Row],[Order Date]],"mmm")</f>
        <v>Aug</v>
      </c>
      <c r="C275" t="s">
        <v>1649</v>
      </c>
      <c r="D275" t="s">
        <v>1650</v>
      </c>
      <c r="E275" t="s">
        <v>35</v>
      </c>
      <c r="F275" t="s">
        <v>69</v>
      </c>
      <c r="G275" t="s">
        <v>139</v>
      </c>
      <c r="H275" t="s">
        <v>80</v>
      </c>
      <c r="I275" t="s">
        <v>146</v>
      </c>
      <c r="J275" t="s">
        <v>25</v>
      </c>
      <c r="K275" t="s">
        <v>1651</v>
      </c>
      <c r="L275">
        <v>0</v>
      </c>
      <c r="M275" t="s">
        <v>1652</v>
      </c>
      <c r="N275" t="s">
        <v>1653</v>
      </c>
      <c r="O275" t="s">
        <v>43</v>
      </c>
      <c r="P275" t="s">
        <v>30</v>
      </c>
      <c r="Q275" t="s">
        <v>65</v>
      </c>
      <c r="R275" s="3">
        <v>1562.77</v>
      </c>
    </row>
    <row r="276" spans="1:18" x14ac:dyDescent="0.3">
      <c r="A276" t="s">
        <v>1654</v>
      </c>
      <c r="B276" t="str">
        <f>TEXT(Raw_Data[[#This Row],[Order Date]],"mmm")</f>
        <v>May</v>
      </c>
      <c r="C276" t="s">
        <v>874</v>
      </c>
      <c r="D276" t="s">
        <v>1655</v>
      </c>
      <c r="E276" t="s">
        <v>35</v>
      </c>
      <c r="F276" t="s">
        <v>21</v>
      </c>
      <c r="G276" t="s">
        <v>130</v>
      </c>
      <c r="H276" t="s">
        <v>23</v>
      </c>
      <c r="I276" t="s">
        <v>49</v>
      </c>
      <c r="J276" t="s">
        <v>100</v>
      </c>
      <c r="K276" t="s">
        <v>1656</v>
      </c>
      <c r="L276">
        <v>0.15</v>
      </c>
      <c r="M276" t="s">
        <v>1657</v>
      </c>
      <c r="N276" t="s">
        <v>1658</v>
      </c>
      <c r="O276" t="s">
        <v>54</v>
      </c>
      <c r="P276" t="s">
        <v>30</v>
      </c>
      <c r="Q276" t="s">
        <v>65</v>
      </c>
      <c r="R276" s="3">
        <v>132805.4025</v>
      </c>
    </row>
    <row r="277" spans="1:18" x14ac:dyDescent="0.3">
      <c r="A277" t="s">
        <v>1659</v>
      </c>
      <c r="B277" t="str">
        <f>TEXT(Raw_Data[[#This Row],[Order Date]],"mmm")</f>
        <v>Oct</v>
      </c>
      <c r="C277" t="s">
        <v>1059</v>
      </c>
      <c r="D277" t="s">
        <v>1660</v>
      </c>
      <c r="E277" t="s">
        <v>20</v>
      </c>
      <c r="F277" t="s">
        <v>78</v>
      </c>
      <c r="G277" t="s">
        <v>731</v>
      </c>
      <c r="H277" t="s">
        <v>80</v>
      </c>
      <c r="I277" t="s">
        <v>81</v>
      </c>
      <c r="J277" t="s">
        <v>50</v>
      </c>
      <c r="K277" t="s">
        <v>1661</v>
      </c>
      <c r="L277">
        <v>0</v>
      </c>
      <c r="M277" t="s">
        <v>1662</v>
      </c>
      <c r="N277" t="s">
        <v>1663</v>
      </c>
      <c r="O277" t="s">
        <v>29</v>
      </c>
      <c r="P277" t="s">
        <v>30</v>
      </c>
      <c r="Q277" t="s">
        <v>65</v>
      </c>
      <c r="R277" s="3">
        <v>839.52</v>
      </c>
    </row>
    <row r="278" spans="1:18" x14ac:dyDescent="0.3">
      <c r="A278" t="s">
        <v>1664</v>
      </c>
      <c r="B278" t="str">
        <f>TEXT(Raw_Data[[#This Row],[Order Date]],"mmm")</f>
        <v>Jan</v>
      </c>
      <c r="C278" t="s">
        <v>207</v>
      </c>
      <c r="D278" t="s">
        <v>1665</v>
      </c>
      <c r="E278" t="s">
        <v>35</v>
      </c>
      <c r="F278" t="s">
        <v>21</v>
      </c>
      <c r="G278" t="s">
        <v>22</v>
      </c>
      <c r="H278" t="s">
        <v>38</v>
      </c>
      <c r="I278" t="s">
        <v>60</v>
      </c>
      <c r="J278" t="s">
        <v>25</v>
      </c>
      <c r="K278" t="s">
        <v>1666</v>
      </c>
      <c r="L278">
        <v>0.1</v>
      </c>
      <c r="M278" t="s">
        <v>1667</v>
      </c>
      <c r="N278" t="s">
        <v>1668</v>
      </c>
      <c r="O278" t="s">
        <v>64</v>
      </c>
      <c r="P278" t="s">
        <v>30</v>
      </c>
      <c r="Q278" t="s">
        <v>44</v>
      </c>
      <c r="R278" s="3">
        <v>2993.2109999999998</v>
      </c>
    </row>
    <row r="279" spans="1:18" x14ac:dyDescent="0.3">
      <c r="A279" t="s">
        <v>1669</v>
      </c>
      <c r="B279" t="str">
        <f>TEXT(Raw_Data[[#This Row],[Order Date]],"mmm")</f>
        <v>Oct</v>
      </c>
      <c r="C279" t="s">
        <v>1171</v>
      </c>
      <c r="D279" t="s">
        <v>1670</v>
      </c>
      <c r="E279" t="s">
        <v>20</v>
      </c>
      <c r="F279" t="s">
        <v>21</v>
      </c>
      <c r="G279" t="s">
        <v>22</v>
      </c>
      <c r="H279" t="s">
        <v>107</v>
      </c>
      <c r="I279" t="s">
        <v>108</v>
      </c>
      <c r="J279" t="s">
        <v>50</v>
      </c>
      <c r="K279" t="s">
        <v>1671</v>
      </c>
      <c r="L279">
        <v>0.15</v>
      </c>
      <c r="M279" t="s">
        <v>1672</v>
      </c>
      <c r="N279" t="s">
        <v>1673</v>
      </c>
      <c r="O279" t="s">
        <v>43</v>
      </c>
      <c r="P279" t="s">
        <v>30</v>
      </c>
      <c r="Q279" t="s">
        <v>65</v>
      </c>
      <c r="R279" s="3">
        <v>25253.823</v>
      </c>
    </row>
    <row r="280" spans="1:18" x14ac:dyDescent="0.3">
      <c r="A280" t="s">
        <v>1674</v>
      </c>
      <c r="B280" t="str">
        <f>TEXT(Raw_Data[[#This Row],[Order Date]],"mmm")</f>
        <v>Sep</v>
      </c>
      <c r="C280" t="s">
        <v>1397</v>
      </c>
      <c r="D280" t="s">
        <v>1675</v>
      </c>
      <c r="E280" t="s">
        <v>35</v>
      </c>
      <c r="F280" t="s">
        <v>89</v>
      </c>
      <c r="G280" t="s">
        <v>90</v>
      </c>
      <c r="H280" t="s">
        <v>80</v>
      </c>
      <c r="I280" t="s">
        <v>146</v>
      </c>
      <c r="J280" t="s">
        <v>100</v>
      </c>
      <c r="K280" t="s">
        <v>1676</v>
      </c>
      <c r="L280">
        <v>0.05</v>
      </c>
      <c r="M280" t="s">
        <v>1677</v>
      </c>
      <c r="N280" t="s">
        <v>1678</v>
      </c>
      <c r="O280" t="s">
        <v>173</v>
      </c>
      <c r="P280" t="s">
        <v>30</v>
      </c>
      <c r="Q280" t="s">
        <v>65</v>
      </c>
      <c r="R280" s="3">
        <v>10344.502500000001</v>
      </c>
    </row>
    <row r="281" spans="1:18" x14ac:dyDescent="0.3">
      <c r="A281" t="s">
        <v>1679</v>
      </c>
      <c r="B281" t="str">
        <f>TEXT(Raw_Data[[#This Row],[Order Date]],"mmm")</f>
        <v>Aug</v>
      </c>
      <c r="C281" t="s">
        <v>1680</v>
      </c>
      <c r="D281" t="s">
        <v>1681</v>
      </c>
      <c r="E281" t="s">
        <v>48</v>
      </c>
      <c r="F281" t="s">
        <v>69</v>
      </c>
      <c r="G281" t="s">
        <v>328</v>
      </c>
      <c r="H281" t="s">
        <v>154</v>
      </c>
      <c r="I281" t="s">
        <v>1061</v>
      </c>
      <c r="J281" t="s">
        <v>25</v>
      </c>
      <c r="K281" t="s">
        <v>1682</v>
      </c>
      <c r="L281">
        <v>0.1</v>
      </c>
      <c r="M281" t="s">
        <v>1683</v>
      </c>
      <c r="N281" t="s">
        <v>1684</v>
      </c>
      <c r="O281" t="s">
        <v>173</v>
      </c>
      <c r="P281" t="s">
        <v>30</v>
      </c>
      <c r="Q281" t="s">
        <v>65</v>
      </c>
      <c r="R281" s="3">
        <v>10181.043</v>
      </c>
    </row>
    <row r="282" spans="1:18" x14ac:dyDescent="0.3">
      <c r="A282" t="s">
        <v>1685</v>
      </c>
      <c r="B282" t="str">
        <f>TEXT(Raw_Data[[#This Row],[Order Date]],"mmm")</f>
        <v>Apr</v>
      </c>
      <c r="C282" t="s">
        <v>1686</v>
      </c>
      <c r="D282" t="s">
        <v>1687</v>
      </c>
      <c r="E282" t="s">
        <v>48</v>
      </c>
      <c r="F282" t="s">
        <v>36</v>
      </c>
      <c r="G282" t="s">
        <v>196</v>
      </c>
      <c r="H282" t="s">
        <v>154</v>
      </c>
      <c r="I282" t="s">
        <v>309</v>
      </c>
      <c r="J282" t="s">
        <v>50</v>
      </c>
      <c r="K282" t="s">
        <v>1688</v>
      </c>
      <c r="L282">
        <v>0.1</v>
      </c>
      <c r="M282" t="s">
        <v>1689</v>
      </c>
      <c r="N282" t="s">
        <v>1690</v>
      </c>
      <c r="O282" t="s">
        <v>173</v>
      </c>
      <c r="P282" t="s">
        <v>112</v>
      </c>
      <c r="Q282" t="s">
        <v>65</v>
      </c>
      <c r="R282" s="3">
        <v>10418.022000000001</v>
      </c>
    </row>
    <row r="283" spans="1:18" x14ac:dyDescent="0.3">
      <c r="A283" t="s">
        <v>1691</v>
      </c>
      <c r="B283" t="str">
        <f>TEXT(Raw_Data[[#This Row],[Order Date]],"mmm")</f>
        <v>Feb</v>
      </c>
      <c r="C283" t="s">
        <v>1087</v>
      </c>
      <c r="D283" t="s">
        <v>1692</v>
      </c>
      <c r="E283" t="s">
        <v>20</v>
      </c>
      <c r="F283" t="s">
        <v>21</v>
      </c>
      <c r="G283" t="s">
        <v>22</v>
      </c>
      <c r="H283" t="s">
        <v>23</v>
      </c>
      <c r="I283" t="s">
        <v>183</v>
      </c>
      <c r="J283" t="s">
        <v>100</v>
      </c>
      <c r="K283" t="s">
        <v>1693</v>
      </c>
      <c r="L283">
        <v>0</v>
      </c>
      <c r="M283" t="s">
        <v>1694</v>
      </c>
      <c r="N283" t="s">
        <v>1695</v>
      </c>
      <c r="O283" t="s">
        <v>54</v>
      </c>
      <c r="P283" t="s">
        <v>30</v>
      </c>
      <c r="Q283" t="s">
        <v>31</v>
      </c>
      <c r="R283" s="3">
        <v>97334.76</v>
      </c>
    </row>
    <row r="284" spans="1:18" x14ac:dyDescent="0.3">
      <c r="A284" t="s">
        <v>1696</v>
      </c>
      <c r="B284" t="str">
        <f>TEXT(Raw_Data[[#This Row],[Order Date]],"mmm")</f>
        <v>Nov</v>
      </c>
      <c r="C284" t="s">
        <v>1697</v>
      </c>
      <c r="D284" t="s">
        <v>1698</v>
      </c>
      <c r="E284" t="s">
        <v>20</v>
      </c>
      <c r="F284" t="s">
        <v>106</v>
      </c>
      <c r="G284" t="s">
        <v>106</v>
      </c>
      <c r="H284" t="s">
        <v>23</v>
      </c>
      <c r="I284" t="s">
        <v>49</v>
      </c>
      <c r="J284" t="s">
        <v>50</v>
      </c>
      <c r="K284" t="s">
        <v>1699</v>
      </c>
      <c r="L284">
        <v>0.1</v>
      </c>
      <c r="M284" t="s">
        <v>1700</v>
      </c>
      <c r="N284" t="s">
        <v>1701</v>
      </c>
      <c r="O284" t="s">
        <v>43</v>
      </c>
      <c r="P284" t="s">
        <v>30</v>
      </c>
      <c r="Q284" t="s">
        <v>65</v>
      </c>
      <c r="R284" s="3">
        <v>70315.343999999997</v>
      </c>
    </row>
    <row r="285" spans="1:18" x14ac:dyDescent="0.3">
      <c r="A285" t="s">
        <v>1702</v>
      </c>
      <c r="B285" t="str">
        <f>TEXT(Raw_Data[[#This Row],[Order Date]],"mmm")</f>
        <v>Aug</v>
      </c>
      <c r="C285" t="s">
        <v>1703</v>
      </c>
      <c r="D285" t="s">
        <v>1704</v>
      </c>
      <c r="E285" t="s">
        <v>20</v>
      </c>
      <c r="F285" t="s">
        <v>36</v>
      </c>
      <c r="G285" t="s">
        <v>196</v>
      </c>
      <c r="H285" t="s">
        <v>23</v>
      </c>
      <c r="I285" t="s">
        <v>183</v>
      </c>
      <c r="J285" t="s">
        <v>25</v>
      </c>
      <c r="K285" t="s">
        <v>1705</v>
      </c>
      <c r="L285">
        <v>0.1</v>
      </c>
      <c r="M285" t="s">
        <v>1706</v>
      </c>
      <c r="N285" t="s">
        <v>1707</v>
      </c>
      <c r="O285" t="s">
        <v>64</v>
      </c>
      <c r="P285" t="s">
        <v>30</v>
      </c>
      <c r="Q285" t="s">
        <v>44</v>
      </c>
      <c r="R285" s="3">
        <v>37558.080000000002</v>
      </c>
    </row>
    <row r="286" spans="1:18" x14ac:dyDescent="0.3">
      <c r="A286" t="s">
        <v>1708</v>
      </c>
      <c r="B286" t="str">
        <f>TEXT(Raw_Data[[#This Row],[Order Date]],"mmm")</f>
        <v>Feb</v>
      </c>
      <c r="C286" t="s">
        <v>201</v>
      </c>
      <c r="D286" t="s">
        <v>1709</v>
      </c>
      <c r="E286" t="s">
        <v>35</v>
      </c>
      <c r="F286" t="s">
        <v>36</v>
      </c>
      <c r="G286" t="s">
        <v>37</v>
      </c>
      <c r="H286" t="s">
        <v>154</v>
      </c>
      <c r="I286" t="s">
        <v>309</v>
      </c>
      <c r="J286" t="s">
        <v>25</v>
      </c>
      <c r="K286" t="s">
        <v>1710</v>
      </c>
      <c r="L286">
        <v>0</v>
      </c>
      <c r="M286" t="s">
        <v>1711</v>
      </c>
      <c r="N286" t="s">
        <v>1712</v>
      </c>
      <c r="O286" t="s">
        <v>29</v>
      </c>
      <c r="P286" t="s">
        <v>30</v>
      </c>
      <c r="Q286" t="s">
        <v>44</v>
      </c>
      <c r="R286" s="3">
        <v>4757.13</v>
      </c>
    </row>
    <row r="287" spans="1:18" x14ac:dyDescent="0.3">
      <c r="A287" t="s">
        <v>1713</v>
      </c>
      <c r="B287" t="str">
        <f>TEXT(Raw_Data[[#This Row],[Order Date]],"mmm")</f>
        <v>Sep</v>
      </c>
      <c r="C287" t="s">
        <v>1714</v>
      </c>
      <c r="D287" t="s">
        <v>1715</v>
      </c>
      <c r="E287" t="s">
        <v>20</v>
      </c>
      <c r="F287" t="s">
        <v>89</v>
      </c>
      <c r="G287" t="s">
        <v>90</v>
      </c>
      <c r="H287" t="s">
        <v>80</v>
      </c>
      <c r="I287" t="s">
        <v>81</v>
      </c>
      <c r="J287" t="s">
        <v>25</v>
      </c>
      <c r="K287" t="s">
        <v>1716</v>
      </c>
      <c r="L287">
        <v>0.1</v>
      </c>
      <c r="M287" t="s">
        <v>1717</v>
      </c>
      <c r="N287" t="s">
        <v>1718</v>
      </c>
      <c r="O287" t="s">
        <v>54</v>
      </c>
      <c r="P287" t="s">
        <v>30</v>
      </c>
      <c r="Q287" t="s">
        <v>44</v>
      </c>
      <c r="R287" s="3">
        <v>2692.431</v>
      </c>
    </row>
    <row r="288" spans="1:18" x14ac:dyDescent="0.3">
      <c r="A288" t="s">
        <v>1719</v>
      </c>
      <c r="B288" t="str">
        <f>TEXT(Raw_Data[[#This Row],[Order Date]],"mmm")</f>
        <v>May</v>
      </c>
      <c r="C288" t="s">
        <v>1472</v>
      </c>
      <c r="D288" t="s">
        <v>1720</v>
      </c>
      <c r="E288" t="s">
        <v>48</v>
      </c>
      <c r="F288" t="s">
        <v>36</v>
      </c>
      <c r="G288" t="s">
        <v>37</v>
      </c>
      <c r="H288" t="s">
        <v>23</v>
      </c>
      <c r="I288" t="s">
        <v>263</v>
      </c>
      <c r="J288" t="s">
        <v>25</v>
      </c>
      <c r="K288" t="s">
        <v>1721</v>
      </c>
      <c r="L288">
        <v>0.2</v>
      </c>
      <c r="M288" t="s">
        <v>1722</v>
      </c>
      <c r="N288" t="s">
        <v>1723</v>
      </c>
      <c r="O288" t="s">
        <v>173</v>
      </c>
      <c r="P288" t="s">
        <v>30</v>
      </c>
      <c r="Q288" t="s">
        <v>31</v>
      </c>
      <c r="R288" s="3">
        <v>29991.544000000002</v>
      </c>
    </row>
    <row r="289" spans="1:18" x14ac:dyDescent="0.3">
      <c r="A289" t="s">
        <v>1724</v>
      </c>
      <c r="B289" t="str">
        <f>TEXT(Raw_Data[[#This Row],[Order Date]],"mmm")</f>
        <v>Jun</v>
      </c>
      <c r="C289" t="s">
        <v>1725</v>
      </c>
      <c r="D289" t="s">
        <v>1726</v>
      </c>
      <c r="E289" t="s">
        <v>48</v>
      </c>
      <c r="F289" t="s">
        <v>106</v>
      </c>
      <c r="G289" t="s">
        <v>106</v>
      </c>
      <c r="H289" t="s">
        <v>154</v>
      </c>
      <c r="I289" t="s">
        <v>155</v>
      </c>
      <c r="J289" t="s">
        <v>25</v>
      </c>
      <c r="K289" t="s">
        <v>1727</v>
      </c>
      <c r="L289">
        <v>0.05</v>
      </c>
      <c r="M289" t="s">
        <v>1728</v>
      </c>
      <c r="N289" t="s">
        <v>1729</v>
      </c>
      <c r="O289" t="s">
        <v>173</v>
      </c>
      <c r="P289" t="s">
        <v>112</v>
      </c>
      <c r="Q289" t="s">
        <v>44</v>
      </c>
      <c r="R289" s="3">
        <v>9892.4259999999995</v>
      </c>
    </row>
    <row r="290" spans="1:18" x14ac:dyDescent="0.3">
      <c r="A290" t="s">
        <v>1730</v>
      </c>
      <c r="B290" t="str">
        <f>TEXT(Raw_Data[[#This Row],[Order Date]],"mmm")</f>
        <v>Nov</v>
      </c>
      <c r="C290" t="s">
        <v>1731</v>
      </c>
      <c r="D290" t="s">
        <v>1732</v>
      </c>
      <c r="E290" t="s">
        <v>20</v>
      </c>
      <c r="F290" t="s">
        <v>21</v>
      </c>
      <c r="G290" t="s">
        <v>22</v>
      </c>
      <c r="H290" t="s">
        <v>38</v>
      </c>
      <c r="I290" t="s">
        <v>60</v>
      </c>
      <c r="J290" t="s">
        <v>25</v>
      </c>
      <c r="K290" t="s">
        <v>1733</v>
      </c>
      <c r="L290">
        <v>0.05</v>
      </c>
      <c r="M290" t="s">
        <v>1734</v>
      </c>
      <c r="N290" t="s">
        <v>1735</v>
      </c>
      <c r="O290" t="s">
        <v>173</v>
      </c>
      <c r="P290" t="s">
        <v>30</v>
      </c>
      <c r="Q290" t="s">
        <v>44</v>
      </c>
      <c r="R290" s="3">
        <v>787.46449999999902</v>
      </c>
    </row>
    <row r="291" spans="1:18" x14ac:dyDescent="0.3">
      <c r="A291" t="s">
        <v>1736</v>
      </c>
      <c r="B291" t="str">
        <f>TEXT(Raw_Data[[#This Row],[Order Date]],"mmm")</f>
        <v>Dec</v>
      </c>
      <c r="C291" t="s">
        <v>534</v>
      </c>
      <c r="D291" t="s">
        <v>1737</v>
      </c>
      <c r="E291" t="s">
        <v>35</v>
      </c>
      <c r="F291" t="s">
        <v>36</v>
      </c>
      <c r="G291" t="s">
        <v>414</v>
      </c>
      <c r="H291" t="s">
        <v>107</v>
      </c>
      <c r="I291" t="s">
        <v>469</v>
      </c>
      <c r="J291" t="s">
        <v>25</v>
      </c>
      <c r="K291" t="s">
        <v>1738</v>
      </c>
      <c r="L291">
        <v>0.1</v>
      </c>
      <c r="M291" t="s">
        <v>1739</v>
      </c>
      <c r="N291" t="s">
        <v>1740</v>
      </c>
      <c r="O291" t="s">
        <v>29</v>
      </c>
      <c r="P291" t="s">
        <v>112</v>
      </c>
      <c r="Q291" t="s">
        <v>31</v>
      </c>
      <c r="R291" s="3">
        <v>4516.5690000000004</v>
      </c>
    </row>
    <row r="292" spans="1:18" x14ac:dyDescent="0.3">
      <c r="A292" t="s">
        <v>1741</v>
      </c>
      <c r="B292" t="str">
        <f>TEXT(Raw_Data[[#This Row],[Order Date]],"mmm")</f>
        <v>Aug</v>
      </c>
      <c r="C292" t="s">
        <v>681</v>
      </c>
      <c r="D292" t="s">
        <v>1742</v>
      </c>
      <c r="E292" t="s">
        <v>35</v>
      </c>
      <c r="F292" t="s">
        <v>106</v>
      </c>
      <c r="G292" t="s">
        <v>106</v>
      </c>
      <c r="H292" t="s">
        <v>23</v>
      </c>
      <c r="I292" t="s">
        <v>341</v>
      </c>
      <c r="J292" t="s">
        <v>50</v>
      </c>
      <c r="K292" t="s">
        <v>1743</v>
      </c>
      <c r="L292">
        <v>0.05</v>
      </c>
      <c r="M292" t="s">
        <v>1744</v>
      </c>
      <c r="N292" t="s">
        <v>1745</v>
      </c>
      <c r="O292" t="s">
        <v>54</v>
      </c>
      <c r="P292" t="s">
        <v>30</v>
      </c>
      <c r="Q292" t="s">
        <v>31</v>
      </c>
      <c r="R292" s="3">
        <v>94651.54</v>
      </c>
    </row>
    <row r="293" spans="1:18" x14ac:dyDescent="0.3">
      <c r="A293" t="s">
        <v>1746</v>
      </c>
      <c r="B293" t="str">
        <f>TEXT(Raw_Data[[#This Row],[Order Date]],"mmm")</f>
        <v>Feb</v>
      </c>
      <c r="C293" t="s">
        <v>702</v>
      </c>
      <c r="D293" t="s">
        <v>1747</v>
      </c>
      <c r="E293" t="s">
        <v>20</v>
      </c>
      <c r="F293" t="s">
        <v>21</v>
      </c>
      <c r="G293" t="s">
        <v>130</v>
      </c>
      <c r="H293" t="s">
        <v>80</v>
      </c>
      <c r="I293" t="s">
        <v>116</v>
      </c>
      <c r="J293" t="s">
        <v>25</v>
      </c>
      <c r="K293" t="s">
        <v>1748</v>
      </c>
      <c r="L293">
        <v>0</v>
      </c>
      <c r="M293" t="s">
        <v>1749</v>
      </c>
      <c r="N293" t="s">
        <v>1750</v>
      </c>
      <c r="O293" t="s">
        <v>29</v>
      </c>
      <c r="P293" t="s">
        <v>30</v>
      </c>
      <c r="Q293" t="s">
        <v>31</v>
      </c>
      <c r="R293" s="3">
        <v>5311.35</v>
      </c>
    </row>
    <row r="294" spans="1:18" x14ac:dyDescent="0.3">
      <c r="A294" t="s">
        <v>1751</v>
      </c>
      <c r="B294" t="str">
        <f>TEXT(Raw_Data[[#This Row],[Order Date]],"mmm")</f>
        <v>Jan</v>
      </c>
      <c r="C294" t="s">
        <v>175</v>
      </c>
      <c r="D294" t="s">
        <v>1752</v>
      </c>
      <c r="E294" t="s">
        <v>48</v>
      </c>
      <c r="F294" t="s">
        <v>106</v>
      </c>
      <c r="G294" t="s">
        <v>163</v>
      </c>
      <c r="H294" t="s">
        <v>23</v>
      </c>
      <c r="I294" t="s">
        <v>24</v>
      </c>
      <c r="J294" t="s">
        <v>100</v>
      </c>
      <c r="K294" t="s">
        <v>1753</v>
      </c>
      <c r="L294">
        <v>0.1</v>
      </c>
      <c r="M294" t="s">
        <v>1754</v>
      </c>
      <c r="N294" t="s">
        <v>1755</v>
      </c>
      <c r="O294" t="s">
        <v>29</v>
      </c>
      <c r="P294" t="s">
        <v>112</v>
      </c>
      <c r="Q294" t="s">
        <v>44</v>
      </c>
      <c r="R294" s="3">
        <v>98451.369000000006</v>
      </c>
    </row>
    <row r="295" spans="1:18" x14ac:dyDescent="0.3">
      <c r="A295" t="s">
        <v>1756</v>
      </c>
      <c r="B295" t="str">
        <f>TEXT(Raw_Data[[#This Row],[Order Date]],"mmm")</f>
        <v>Aug</v>
      </c>
      <c r="C295" t="s">
        <v>1757</v>
      </c>
      <c r="D295" t="s">
        <v>1758</v>
      </c>
      <c r="E295" t="s">
        <v>20</v>
      </c>
      <c r="F295" t="s">
        <v>36</v>
      </c>
      <c r="G295" t="s">
        <v>414</v>
      </c>
      <c r="H295" t="s">
        <v>23</v>
      </c>
      <c r="I295" t="s">
        <v>183</v>
      </c>
      <c r="J295" t="s">
        <v>25</v>
      </c>
      <c r="K295" t="s">
        <v>1759</v>
      </c>
      <c r="L295">
        <v>0.15</v>
      </c>
      <c r="M295" t="s">
        <v>1760</v>
      </c>
      <c r="N295" t="s">
        <v>1761</v>
      </c>
      <c r="O295" t="s">
        <v>29</v>
      </c>
      <c r="P295" t="s">
        <v>1762</v>
      </c>
      <c r="Q295" t="s">
        <v>44</v>
      </c>
      <c r="R295" s="3">
        <v>12012.4805</v>
      </c>
    </row>
    <row r="296" spans="1:18" x14ac:dyDescent="0.3">
      <c r="A296" t="s">
        <v>1763</v>
      </c>
      <c r="B296" t="str">
        <f>TEXT(Raw_Data[[#This Row],[Order Date]],"mmm")</f>
        <v>Oct</v>
      </c>
      <c r="C296" t="s">
        <v>1076</v>
      </c>
      <c r="D296" t="s">
        <v>1764</v>
      </c>
      <c r="E296" t="s">
        <v>20</v>
      </c>
      <c r="F296" t="s">
        <v>89</v>
      </c>
      <c r="G296" t="s">
        <v>99</v>
      </c>
      <c r="H296" t="s">
        <v>23</v>
      </c>
      <c r="I296" t="s">
        <v>263</v>
      </c>
      <c r="J296" t="s">
        <v>100</v>
      </c>
      <c r="K296" t="s">
        <v>1765</v>
      </c>
      <c r="L296">
        <v>0.1</v>
      </c>
      <c r="M296" t="s">
        <v>1766</v>
      </c>
      <c r="N296" t="s">
        <v>1767</v>
      </c>
      <c r="O296" t="s">
        <v>64</v>
      </c>
      <c r="P296" t="s">
        <v>30</v>
      </c>
      <c r="Q296" t="s">
        <v>44</v>
      </c>
      <c r="R296" s="3">
        <v>106865.946</v>
      </c>
    </row>
    <row r="297" spans="1:18" x14ac:dyDescent="0.3">
      <c r="A297" t="s">
        <v>1768</v>
      </c>
      <c r="B297" t="str">
        <f>TEXT(Raw_Data[[#This Row],[Order Date]],"mmm")</f>
        <v>Dec</v>
      </c>
      <c r="C297" t="s">
        <v>1769</v>
      </c>
      <c r="D297" t="s">
        <v>1770</v>
      </c>
      <c r="E297" t="s">
        <v>48</v>
      </c>
      <c r="F297" t="s">
        <v>21</v>
      </c>
      <c r="G297" t="s">
        <v>22</v>
      </c>
      <c r="H297" t="s">
        <v>80</v>
      </c>
      <c r="I297" t="s">
        <v>146</v>
      </c>
      <c r="J297" t="s">
        <v>50</v>
      </c>
      <c r="K297" t="s">
        <v>1771</v>
      </c>
      <c r="L297">
        <v>0</v>
      </c>
      <c r="M297" t="s">
        <v>1772</v>
      </c>
      <c r="N297" t="s">
        <v>1773</v>
      </c>
      <c r="O297" t="s">
        <v>173</v>
      </c>
      <c r="P297" t="s">
        <v>30</v>
      </c>
      <c r="Q297" t="s">
        <v>31</v>
      </c>
      <c r="R297" s="3">
        <v>11815.46</v>
      </c>
    </row>
    <row r="298" spans="1:18" x14ac:dyDescent="0.3">
      <c r="A298" t="s">
        <v>1774</v>
      </c>
      <c r="B298" t="str">
        <f>TEXT(Raw_Data[[#This Row],[Order Date]],"mmm")</f>
        <v>Nov</v>
      </c>
      <c r="C298" t="s">
        <v>1775</v>
      </c>
      <c r="D298" t="s">
        <v>1776</v>
      </c>
      <c r="E298" t="s">
        <v>48</v>
      </c>
      <c r="F298" t="s">
        <v>215</v>
      </c>
      <c r="G298" t="s">
        <v>276</v>
      </c>
      <c r="H298" t="s">
        <v>23</v>
      </c>
      <c r="I298" t="s">
        <v>49</v>
      </c>
      <c r="J298" t="s">
        <v>25</v>
      </c>
      <c r="K298" t="s">
        <v>1777</v>
      </c>
      <c r="L298">
        <v>0.15</v>
      </c>
      <c r="M298" t="s">
        <v>1778</v>
      </c>
      <c r="N298" t="s">
        <v>1779</v>
      </c>
      <c r="O298" t="s">
        <v>54</v>
      </c>
      <c r="P298" t="s">
        <v>30</v>
      </c>
      <c r="Q298" t="s">
        <v>65</v>
      </c>
      <c r="R298" s="3">
        <v>23925.519499999999</v>
      </c>
    </row>
    <row r="299" spans="1:18" x14ac:dyDescent="0.3">
      <c r="A299" t="s">
        <v>1780</v>
      </c>
      <c r="B299" t="str">
        <f>TEXT(Raw_Data[[#This Row],[Order Date]],"mmm")</f>
        <v>May</v>
      </c>
      <c r="C299" t="s">
        <v>1781</v>
      </c>
      <c r="D299" t="s">
        <v>1782</v>
      </c>
      <c r="E299" t="s">
        <v>20</v>
      </c>
      <c r="F299" t="s">
        <v>58</v>
      </c>
      <c r="G299" t="s">
        <v>290</v>
      </c>
      <c r="H299" t="s">
        <v>154</v>
      </c>
      <c r="I299" t="s">
        <v>1061</v>
      </c>
      <c r="J299" t="s">
        <v>50</v>
      </c>
      <c r="K299" t="s">
        <v>1783</v>
      </c>
      <c r="L299">
        <v>0</v>
      </c>
      <c r="M299" t="s">
        <v>1784</v>
      </c>
      <c r="N299" t="s">
        <v>1785</v>
      </c>
      <c r="O299" t="s">
        <v>64</v>
      </c>
      <c r="P299" t="s">
        <v>30</v>
      </c>
      <c r="Q299" t="s">
        <v>31</v>
      </c>
      <c r="R299" s="3">
        <v>22396.42</v>
      </c>
    </row>
    <row r="300" spans="1:18" x14ac:dyDescent="0.3">
      <c r="A300" t="s">
        <v>1786</v>
      </c>
      <c r="B300" t="str">
        <f>TEXT(Raw_Data[[#This Row],[Order Date]],"mmm")</f>
        <v>Mar</v>
      </c>
      <c r="C300" t="s">
        <v>1460</v>
      </c>
      <c r="D300" t="s">
        <v>1787</v>
      </c>
      <c r="E300" t="s">
        <v>48</v>
      </c>
      <c r="F300" t="s">
        <v>89</v>
      </c>
      <c r="G300" t="s">
        <v>230</v>
      </c>
      <c r="H300" t="s">
        <v>80</v>
      </c>
      <c r="I300" t="s">
        <v>146</v>
      </c>
      <c r="J300" t="s">
        <v>25</v>
      </c>
      <c r="K300" t="s">
        <v>1788</v>
      </c>
      <c r="L300">
        <v>0.2</v>
      </c>
      <c r="M300" t="s">
        <v>1789</v>
      </c>
      <c r="N300" t="s">
        <v>1790</v>
      </c>
      <c r="O300" t="s">
        <v>43</v>
      </c>
      <c r="P300" t="s">
        <v>95</v>
      </c>
      <c r="Q300" t="s">
        <v>65</v>
      </c>
      <c r="R300" s="3">
        <v>4706.232</v>
      </c>
    </row>
    <row r="301" spans="1:18" x14ac:dyDescent="0.3">
      <c r="A301" t="s">
        <v>1791</v>
      </c>
      <c r="B301" t="str">
        <f>TEXT(Raw_Data[[#This Row],[Order Date]],"mmm")</f>
        <v>Nov</v>
      </c>
      <c r="C301" t="s">
        <v>851</v>
      </c>
      <c r="D301" t="s">
        <v>1792</v>
      </c>
      <c r="E301" t="s">
        <v>35</v>
      </c>
      <c r="F301" t="s">
        <v>69</v>
      </c>
      <c r="G301" t="s">
        <v>70</v>
      </c>
      <c r="H301" t="s">
        <v>23</v>
      </c>
      <c r="I301" t="s">
        <v>24</v>
      </c>
      <c r="J301" t="s">
        <v>82</v>
      </c>
      <c r="K301" t="s">
        <v>1793</v>
      </c>
      <c r="L301">
        <v>0.1</v>
      </c>
      <c r="M301" t="s">
        <v>1794</v>
      </c>
      <c r="N301" t="s">
        <v>1795</v>
      </c>
      <c r="O301" t="s">
        <v>64</v>
      </c>
      <c r="P301" t="s">
        <v>30</v>
      </c>
      <c r="Q301" t="s">
        <v>31</v>
      </c>
      <c r="R301" s="3">
        <v>269183.33999999898</v>
      </c>
    </row>
    <row r="302" spans="1:18" x14ac:dyDescent="0.3">
      <c r="A302" t="s">
        <v>1796</v>
      </c>
      <c r="B302" t="str">
        <f>TEXT(Raw_Data[[#This Row],[Order Date]],"mmm")</f>
        <v>Feb</v>
      </c>
      <c r="C302" t="s">
        <v>942</v>
      </c>
      <c r="D302" t="s">
        <v>1797</v>
      </c>
      <c r="E302" t="s">
        <v>35</v>
      </c>
      <c r="F302" t="s">
        <v>78</v>
      </c>
      <c r="G302" t="s">
        <v>79</v>
      </c>
      <c r="H302" t="s">
        <v>80</v>
      </c>
      <c r="I302" t="s">
        <v>146</v>
      </c>
      <c r="J302" t="s">
        <v>25</v>
      </c>
      <c r="K302" t="s">
        <v>1798</v>
      </c>
      <c r="L302">
        <v>0.1</v>
      </c>
      <c r="M302" t="s">
        <v>1799</v>
      </c>
      <c r="N302" t="s">
        <v>1800</v>
      </c>
      <c r="O302" t="s">
        <v>43</v>
      </c>
      <c r="P302" t="s">
        <v>95</v>
      </c>
      <c r="Q302" t="s">
        <v>44</v>
      </c>
      <c r="R302" s="3">
        <v>1309.2660000000001</v>
      </c>
    </row>
    <row r="303" spans="1:18" x14ac:dyDescent="0.3">
      <c r="A303" t="s">
        <v>1801</v>
      </c>
      <c r="B303" t="str">
        <f>TEXT(Raw_Data[[#This Row],[Order Date]],"mmm")</f>
        <v>Oct</v>
      </c>
      <c r="C303" t="s">
        <v>1802</v>
      </c>
      <c r="D303" t="s">
        <v>1803</v>
      </c>
      <c r="E303" t="s">
        <v>35</v>
      </c>
      <c r="F303" t="s">
        <v>78</v>
      </c>
      <c r="G303" t="s">
        <v>79</v>
      </c>
      <c r="H303" t="s">
        <v>23</v>
      </c>
      <c r="I303" t="s">
        <v>263</v>
      </c>
      <c r="J303" t="s">
        <v>25</v>
      </c>
      <c r="K303" t="s">
        <v>1804</v>
      </c>
      <c r="L303">
        <v>0.1</v>
      </c>
      <c r="M303" t="s">
        <v>1805</v>
      </c>
      <c r="N303" t="s">
        <v>1806</v>
      </c>
      <c r="O303" t="s">
        <v>64</v>
      </c>
      <c r="P303" t="s">
        <v>30</v>
      </c>
      <c r="Q303" t="s">
        <v>31</v>
      </c>
      <c r="R303" s="3">
        <v>8240.1119999999992</v>
      </c>
    </row>
    <row r="304" spans="1:18" x14ac:dyDescent="0.3">
      <c r="A304" t="s">
        <v>1807</v>
      </c>
      <c r="B304" t="str">
        <f>TEXT(Raw_Data[[#This Row],[Order Date]],"mmm")</f>
        <v>Mar</v>
      </c>
      <c r="C304" t="s">
        <v>1808</v>
      </c>
      <c r="D304" t="s">
        <v>1809</v>
      </c>
      <c r="E304" t="s">
        <v>48</v>
      </c>
      <c r="F304" t="s">
        <v>21</v>
      </c>
      <c r="G304" t="s">
        <v>22</v>
      </c>
      <c r="H304" t="s">
        <v>107</v>
      </c>
      <c r="I304" t="s">
        <v>469</v>
      </c>
      <c r="J304" t="s">
        <v>50</v>
      </c>
      <c r="K304" t="s">
        <v>1810</v>
      </c>
      <c r="L304">
        <v>0.1</v>
      </c>
      <c r="M304" t="s">
        <v>1811</v>
      </c>
      <c r="N304" t="s">
        <v>1812</v>
      </c>
      <c r="O304" t="s">
        <v>43</v>
      </c>
      <c r="P304" t="s">
        <v>30</v>
      </c>
      <c r="Q304" t="s">
        <v>31</v>
      </c>
      <c r="R304" s="3">
        <v>5653.0079999999998</v>
      </c>
    </row>
    <row r="305" spans="1:18" x14ac:dyDescent="0.3">
      <c r="A305" t="s">
        <v>1813</v>
      </c>
      <c r="B305" t="str">
        <f>TEXT(Raw_Data[[#This Row],[Order Date]],"mmm")</f>
        <v>Apr</v>
      </c>
      <c r="C305" t="s">
        <v>454</v>
      </c>
      <c r="D305" t="s">
        <v>1814</v>
      </c>
      <c r="E305" t="s">
        <v>48</v>
      </c>
      <c r="F305" t="s">
        <v>89</v>
      </c>
      <c r="G305" t="s">
        <v>90</v>
      </c>
      <c r="H305" t="s">
        <v>107</v>
      </c>
      <c r="I305" t="s">
        <v>108</v>
      </c>
      <c r="J305" t="s">
        <v>25</v>
      </c>
      <c r="K305" t="s">
        <v>1815</v>
      </c>
      <c r="L305">
        <v>0</v>
      </c>
      <c r="M305" t="s">
        <v>1816</v>
      </c>
      <c r="N305" t="s">
        <v>1817</v>
      </c>
      <c r="O305" t="s">
        <v>54</v>
      </c>
      <c r="P305" t="s">
        <v>30</v>
      </c>
      <c r="Q305" t="s">
        <v>31</v>
      </c>
      <c r="R305" s="3">
        <v>6529.84</v>
      </c>
    </row>
    <row r="306" spans="1:18" x14ac:dyDescent="0.3">
      <c r="A306" t="s">
        <v>1818</v>
      </c>
      <c r="B306" t="str">
        <f>TEXT(Raw_Data[[#This Row],[Order Date]],"mmm")</f>
        <v>Dec</v>
      </c>
      <c r="C306" t="s">
        <v>1819</v>
      </c>
      <c r="D306" t="s">
        <v>1820</v>
      </c>
      <c r="E306" t="s">
        <v>20</v>
      </c>
      <c r="F306" t="s">
        <v>106</v>
      </c>
      <c r="G306" t="s">
        <v>163</v>
      </c>
      <c r="H306" t="s">
        <v>107</v>
      </c>
      <c r="I306" t="s">
        <v>378</v>
      </c>
      <c r="J306" t="s">
        <v>25</v>
      </c>
      <c r="K306" t="s">
        <v>1821</v>
      </c>
      <c r="L306">
        <v>0.1</v>
      </c>
      <c r="M306" t="s">
        <v>1822</v>
      </c>
      <c r="N306" t="s">
        <v>1823</v>
      </c>
      <c r="O306" t="s">
        <v>173</v>
      </c>
      <c r="P306" t="s">
        <v>30</v>
      </c>
      <c r="Q306" t="s">
        <v>31</v>
      </c>
      <c r="R306" s="3">
        <v>9441.8189999999995</v>
      </c>
    </row>
    <row r="307" spans="1:18" x14ac:dyDescent="0.3">
      <c r="A307" t="s">
        <v>1824</v>
      </c>
      <c r="B307" t="str">
        <f>TEXT(Raw_Data[[#This Row],[Order Date]],"mmm")</f>
        <v>Dec</v>
      </c>
      <c r="C307" t="s">
        <v>534</v>
      </c>
      <c r="D307" t="s">
        <v>1825</v>
      </c>
      <c r="E307" t="s">
        <v>48</v>
      </c>
      <c r="F307" t="s">
        <v>36</v>
      </c>
      <c r="G307" t="s">
        <v>123</v>
      </c>
      <c r="H307" t="s">
        <v>23</v>
      </c>
      <c r="I307" t="s">
        <v>24</v>
      </c>
      <c r="J307" t="s">
        <v>25</v>
      </c>
      <c r="K307" t="s">
        <v>1826</v>
      </c>
      <c r="L307">
        <v>0.15</v>
      </c>
      <c r="M307" t="s">
        <v>1827</v>
      </c>
      <c r="N307" t="s">
        <v>1828</v>
      </c>
      <c r="O307" t="s">
        <v>64</v>
      </c>
      <c r="P307" t="s">
        <v>30</v>
      </c>
      <c r="Q307" t="s">
        <v>65</v>
      </c>
      <c r="R307" s="3">
        <v>48493.239500000003</v>
      </c>
    </row>
    <row r="308" spans="1:18" x14ac:dyDescent="0.3">
      <c r="A308" t="s">
        <v>1829</v>
      </c>
      <c r="B308" t="str">
        <f>TEXT(Raw_Data[[#This Row],[Order Date]],"mmm")</f>
        <v>Apr</v>
      </c>
      <c r="C308" t="s">
        <v>675</v>
      </c>
      <c r="D308" t="s">
        <v>1830</v>
      </c>
      <c r="E308" t="s">
        <v>48</v>
      </c>
      <c r="F308" t="s">
        <v>106</v>
      </c>
      <c r="G308" t="s">
        <v>106</v>
      </c>
      <c r="H308" t="s">
        <v>80</v>
      </c>
      <c r="I308" t="s">
        <v>116</v>
      </c>
      <c r="J308" t="s">
        <v>82</v>
      </c>
      <c r="K308" t="s">
        <v>1831</v>
      </c>
      <c r="L308">
        <v>0.1</v>
      </c>
      <c r="M308" t="s">
        <v>1832</v>
      </c>
      <c r="N308" t="s">
        <v>1833</v>
      </c>
      <c r="O308" t="s">
        <v>64</v>
      </c>
      <c r="P308" t="s">
        <v>30</v>
      </c>
      <c r="Q308" t="s">
        <v>31</v>
      </c>
      <c r="R308" s="3">
        <v>7418.6279999999997</v>
      </c>
    </row>
    <row r="309" spans="1:18" x14ac:dyDescent="0.3">
      <c r="A309" t="s">
        <v>1834</v>
      </c>
      <c r="B309" t="str">
        <f>TEXT(Raw_Data[[#This Row],[Order Date]],"mmm")</f>
        <v>Aug</v>
      </c>
      <c r="C309" t="s">
        <v>1649</v>
      </c>
      <c r="D309" t="s">
        <v>1835</v>
      </c>
      <c r="E309" t="s">
        <v>20</v>
      </c>
      <c r="F309" t="s">
        <v>78</v>
      </c>
      <c r="G309" t="s">
        <v>468</v>
      </c>
      <c r="H309" t="s">
        <v>38</v>
      </c>
      <c r="I309" t="s">
        <v>71</v>
      </c>
      <c r="J309" t="s">
        <v>100</v>
      </c>
      <c r="K309" t="s">
        <v>1836</v>
      </c>
      <c r="L309">
        <v>0.05</v>
      </c>
      <c r="M309" t="s">
        <v>1837</v>
      </c>
      <c r="N309" t="s">
        <v>1838</v>
      </c>
      <c r="O309" t="s">
        <v>43</v>
      </c>
      <c r="P309" t="s">
        <v>95</v>
      </c>
      <c r="Q309" t="s">
        <v>65</v>
      </c>
      <c r="R309" s="3">
        <v>12256.0545</v>
      </c>
    </row>
    <row r="310" spans="1:18" x14ac:dyDescent="0.3">
      <c r="A310" t="s">
        <v>1839</v>
      </c>
      <c r="B310" t="str">
        <f>TEXT(Raw_Data[[#This Row],[Order Date]],"mmm")</f>
        <v>Aug</v>
      </c>
      <c r="C310" t="s">
        <v>1840</v>
      </c>
      <c r="D310" t="s">
        <v>1841</v>
      </c>
      <c r="E310" t="s">
        <v>20</v>
      </c>
      <c r="F310" t="s">
        <v>215</v>
      </c>
      <c r="G310" t="s">
        <v>216</v>
      </c>
      <c r="H310" t="s">
        <v>107</v>
      </c>
      <c r="I310" t="s">
        <v>591</v>
      </c>
      <c r="J310" t="s">
        <v>50</v>
      </c>
      <c r="K310" t="s">
        <v>1842</v>
      </c>
      <c r="L310">
        <v>0.2</v>
      </c>
      <c r="M310" t="s">
        <v>1843</v>
      </c>
      <c r="N310" t="s">
        <v>1844</v>
      </c>
      <c r="O310" t="s">
        <v>29</v>
      </c>
      <c r="P310" t="s">
        <v>30</v>
      </c>
      <c r="Q310" t="s">
        <v>44</v>
      </c>
      <c r="R310" s="3">
        <v>5478.1760000000004</v>
      </c>
    </row>
    <row r="311" spans="1:18" x14ac:dyDescent="0.3">
      <c r="A311" t="s">
        <v>1845</v>
      </c>
      <c r="B311" t="str">
        <f>TEXT(Raw_Data[[#This Row],[Order Date]],"mmm")</f>
        <v>Oct</v>
      </c>
      <c r="C311" t="s">
        <v>1846</v>
      </c>
      <c r="D311" t="s">
        <v>1847</v>
      </c>
      <c r="E311" t="s">
        <v>20</v>
      </c>
      <c r="F311" t="s">
        <v>36</v>
      </c>
      <c r="G311" t="s">
        <v>196</v>
      </c>
      <c r="H311" t="s">
        <v>80</v>
      </c>
      <c r="I311" t="s">
        <v>116</v>
      </c>
      <c r="J311" t="s">
        <v>25</v>
      </c>
      <c r="K311" t="s">
        <v>1848</v>
      </c>
      <c r="L311">
        <v>0.2</v>
      </c>
      <c r="M311" t="s">
        <v>1849</v>
      </c>
      <c r="N311" t="s">
        <v>1850</v>
      </c>
      <c r="O311" t="s">
        <v>173</v>
      </c>
      <c r="P311" t="s">
        <v>30</v>
      </c>
      <c r="Q311" t="s">
        <v>44</v>
      </c>
      <c r="R311" s="3">
        <v>5444.08</v>
      </c>
    </row>
    <row r="312" spans="1:18" x14ac:dyDescent="0.3">
      <c r="A312" t="s">
        <v>1851</v>
      </c>
      <c r="B312" t="str">
        <f>TEXT(Raw_Data[[#This Row],[Order Date]],"mmm")</f>
        <v>May</v>
      </c>
      <c r="C312" t="s">
        <v>1420</v>
      </c>
      <c r="D312" t="s">
        <v>1852</v>
      </c>
      <c r="E312" t="s">
        <v>35</v>
      </c>
      <c r="F312" t="s">
        <v>69</v>
      </c>
      <c r="G312" t="s">
        <v>328</v>
      </c>
      <c r="H312" t="s">
        <v>23</v>
      </c>
      <c r="I312" t="s">
        <v>49</v>
      </c>
      <c r="J312" t="s">
        <v>82</v>
      </c>
      <c r="K312" t="s">
        <v>1853</v>
      </c>
      <c r="L312">
        <v>0.15</v>
      </c>
      <c r="M312" t="s">
        <v>1854</v>
      </c>
      <c r="N312" t="s">
        <v>1855</v>
      </c>
      <c r="O312" t="s">
        <v>54</v>
      </c>
      <c r="P312" t="s">
        <v>30</v>
      </c>
      <c r="Q312" t="s">
        <v>44</v>
      </c>
      <c r="R312" s="3">
        <v>31825.121999999999</v>
      </c>
    </row>
    <row r="313" spans="1:18" x14ac:dyDescent="0.3">
      <c r="A313" t="s">
        <v>1856</v>
      </c>
      <c r="B313" t="str">
        <f>TEXT(Raw_Data[[#This Row],[Order Date]],"mmm")</f>
        <v>Mar</v>
      </c>
      <c r="C313" t="s">
        <v>492</v>
      </c>
      <c r="D313" t="s">
        <v>1857</v>
      </c>
      <c r="E313" t="s">
        <v>48</v>
      </c>
      <c r="F313" t="s">
        <v>58</v>
      </c>
      <c r="G313" t="s">
        <v>812</v>
      </c>
      <c r="H313" t="s">
        <v>23</v>
      </c>
      <c r="I313" t="s">
        <v>341</v>
      </c>
      <c r="J313" t="s">
        <v>25</v>
      </c>
      <c r="K313" t="s">
        <v>1858</v>
      </c>
      <c r="L313">
        <v>0.05</v>
      </c>
      <c r="M313" t="s">
        <v>1859</v>
      </c>
      <c r="N313" t="s">
        <v>1860</v>
      </c>
      <c r="O313" t="s">
        <v>54</v>
      </c>
      <c r="P313" t="s">
        <v>30</v>
      </c>
      <c r="Q313" t="s">
        <v>65</v>
      </c>
      <c r="R313" s="3">
        <v>38786.628499999999</v>
      </c>
    </row>
    <row r="314" spans="1:18" x14ac:dyDescent="0.3">
      <c r="A314" t="s">
        <v>1861</v>
      </c>
      <c r="B314" t="str">
        <f>TEXT(Raw_Data[[#This Row],[Order Date]],"mmm")</f>
        <v>Jun</v>
      </c>
      <c r="C314" t="s">
        <v>1862</v>
      </c>
      <c r="D314" t="s">
        <v>1863</v>
      </c>
      <c r="E314" t="s">
        <v>20</v>
      </c>
      <c r="F314" t="s">
        <v>36</v>
      </c>
      <c r="G314" t="s">
        <v>37</v>
      </c>
      <c r="H314" t="s">
        <v>23</v>
      </c>
      <c r="I314" t="s">
        <v>263</v>
      </c>
      <c r="J314" t="s">
        <v>25</v>
      </c>
      <c r="K314" t="s">
        <v>1864</v>
      </c>
      <c r="L314">
        <v>0</v>
      </c>
      <c r="M314" t="s">
        <v>1865</v>
      </c>
      <c r="N314" t="s">
        <v>1866</v>
      </c>
      <c r="O314" t="s">
        <v>43</v>
      </c>
      <c r="P314" t="s">
        <v>30</v>
      </c>
      <c r="Q314" t="s">
        <v>65</v>
      </c>
      <c r="R314" s="3">
        <v>22987.32</v>
      </c>
    </row>
    <row r="315" spans="1:18" x14ac:dyDescent="0.3">
      <c r="A315" t="s">
        <v>1867</v>
      </c>
      <c r="B315" t="str">
        <f>TEXT(Raw_Data[[#This Row],[Order Date]],"mmm")</f>
        <v>Jan</v>
      </c>
      <c r="C315" t="s">
        <v>780</v>
      </c>
      <c r="D315" t="s">
        <v>1868</v>
      </c>
      <c r="E315" t="s">
        <v>20</v>
      </c>
      <c r="F315" t="s">
        <v>78</v>
      </c>
      <c r="G315" t="s">
        <v>79</v>
      </c>
      <c r="H315" t="s">
        <v>80</v>
      </c>
      <c r="I315" t="s">
        <v>81</v>
      </c>
      <c r="J315" t="s">
        <v>25</v>
      </c>
      <c r="K315" t="s">
        <v>1869</v>
      </c>
      <c r="L315">
        <v>0.1</v>
      </c>
      <c r="M315" t="s">
        <v>1870</v>
      </c>
      <c r="N315" t="s">
        <v>1871</v>
      </c>
      <c r="O315" t="s">
        <v>43</v>
      </c>
      <c r="P315" t="s">
        <v>30</v>
      </c>
      <c r="Q315" t="s">
        <v>44</v>
      </c>
      <c r="R315" s="3">
        <v>3402.9720000000002</v>
      </c>
    </row>
    <row r="316" spans="1:18" x14ac:dyDescent="0.3">
      <c r="A316" t="s">
        <v>1872</v>
      </c>
      <c r="B316" t="str">
        <f>TEXT(Raw_Data[[#This Row],[Order Date]],"mmm")</f>
        <v>Jun</v>
      </c>
      <c r="C316" t="s">
        <v>213</v>
      </c>
      <c r="D316" t="s">
        <v>1873</v>
      </c>
      <c r="E316" t="s">
        <v>48</v>
      </c>
      <c r="F316" t="s">
        <v>58</v>
      </c>
      <c r="G316" t="s">
        <v>59</v>
      </c>
      <c r="H316" t="s">
        <v>154</v>
      </c>
      <c r="I316" t="s">
        <v>155</v>
      </c>
      <c r="J316" t="s">
        <v>50</v>
      </c>
      <c r="K316" t="s">
        <v>1874</v>
      </c>
      <c r="L316">
        <v>0.1</v>
      </c>
      <c r="M316" t="s">
        <v>1875</v>
      </c>
      <c r="N316" t="s">
        <v>1876</v>
      </c>
      <c r="O316" t="s">
        <v>173</v>
      </c>
      <c r="P316" t="s">
        <v>30</v>
      </c>
      <c r="Q316" t="s">
        <v>44</v>
      </c>
      <c r="R316" s="3">
        <v>5507.4059999999999</v>
      </c>
    </row>
    <row r="317" spans="1:18" x14ac:dyDescent="0.3">
      <c r="A317" t="s">
        <v>1877</v>
      </c>
      <c r="B317" t="str">
        <f>TEXT(Raw_Data[[#This Row],[Order Date]],"mmm")</f>
        <v>Jan</v>
      </c>
      <c r="C317" t="s">
        <v>1878</v>
      </c>
      <c r="D317" t="s">
        <v>1879</v>
      </c>
      <c r="E317" t="s">
        <v>35</v>
      </c>
      <c r="F317" t="s">
        <v>106</v>
      </c>
      <c r="G317" t="s">
        <v>163</v>
      </c>
      <c r="H317" t="s">
        <v>23</v>
      </c>
      <c r="I317" t="s">
        <v>49</v>
      </c>
      <c r="J317" t="s">
        <v>25</v>
      </c>
      <c r="K317" t="s">
        <v>1880</v>
      </c>
      <c r="L317">
        <v>0.05</v>
      </c>
      <c r="M317" t="s">
        <v>1881</v>
      </c>
      <c r="N317" t="s">
        <v>1882</v>
      </c>
      <c r="O317" t="s">
        <v>173</v>
      </c>
      <c r="P317" t="s">
        <v>30</v>
      </c>
      <c r="Q317" t="s">
        <v>31</v>
      </c>
      <c r="R317" s="3">
        <v>17422.753000000001</v>
      </c>
    </row>
    <row r="318" spans="1:18" x14ac:dyDescent="0.3">
      <c r="A318" t="s">
        <v>1883</v>
      </c>
      <c r="B318" t="str">
        <f>TEXT(Raw_Data[[#This Row],[Order Date]],"mmm")</f>
        <v>Jun</v>
      </c>
      <c r="C318" t="s">
        <v>1725</v>
      </c>
      <c r="D318" t="s">
        <v>1884</v>
      </c>
      <c r="E318" t="s">
        <v>20</v>
      </c>
      <c r="F318" t="s">
        <v>215</v>
      </c>
      <c r="G318" t="s">
        <v>216</v>
      </c>
      <c r="H318" t="s">
        <v>80</v>
      </c>
      <c r="I318" t="s">
        <v>91</v>
      </c>
      <c r="J318" t="s">
        <v>50</v>
      </c>
      <c r="K318" t="s">
        <v>1885</v>
      </c>
      <c r="L318">
        <v>0.05</v>
      </c>
      <c r="M318" t="s">
        <v>1886</v>
      </c>
      <c r="N318" t="s">
        <v>1887</v>
      </c>
      <c r="O318" t="s">
        <v>54</v>
      </c>
      <c r="P318" t="s">
        <v>30</v>
      </c>
      <c r="Q318" t="s">
        <v>31</v>
      </c>
      <c r="R318" s="3">
        <v>8987.7029999999995</v>
      </c>
    </row>
    <row r="319" spans="1:18" x14ac:dyDescent="0.3">
      <c r="A319" t="s">
        <v>1888</v>
      </c>
      <c r="B319" t="str">
        <f>TEXT(Raw_Data[[#This Row],[Order Date]],"mmm")</f>
        <v>Mar</v>
      </c>
      <c r="C319" t="s">
        <v>1808</v>
      </c>
      <c r="D319" t="s">
        <v>1889</v>
      </c>
      <c r="E319" t="s">
        <v>20</v>
      </c>
      <c r="F319" t="s">
        <v>69</v>
      </c>
      <c r="G319" t="s">
        <v>139</v>
      </c>
      <c r="H319" t="s">
        <v>80</v>
      </c>
      <c r="I319" t="s">
        <v>91</v>
      </c>
      <c r="J319" t="s">
        <v>25</v>
      </c>
      <c r="K319" t="s">
        <v>1890</v>
      </c>
      <c r="L319">
        <v>0.2</v>
      </c>
      <c r="M319" t="s">
        <v>1891</v>
      </c>
      <c r="N319" t="s">
        <v>1892</v>
      </c>
      <c r="O319" t="s">
        <v>29</v>
      </c>
      <c r="P319" t="s">
        <v>30</v>
      </c>
      <c r="Q319" t="s">
        <v>44</v>
      </c>
      <c r="R319" s="3">
        <v>5302.1120000000001</v>
      </c>
    </row>
    <row r="320" spans="1:18" x14ac:dyDescent="0.3">
      <c r="A320" t="s">
        <v>1893</v>
      </c>
      <c r="B320" t="str">
        <f>TEXT(Raw_Data[[#This Row],[Order Date]],"mmm")</f>
        <v>Dec</v>
      </c>
      <c r="C320" t="s">
        <v>46</v>
      </c>
      <c r="D320" t="s">
        <v>1894</v>
      </c>
      <c r="E320" t="s">
        <v>20</v>
      </c>
      <c r="F320" t="s">
        <v>36</v>
      </c>
      <c r="G320" t="s">
        <v>414</v>
      </c>
      <c r="H320" t="s">
        <v>107</v>
      </c>
      <c r="I320" t="s">
        <v>378</v>
      </c>
      <c r="J320" t="s">
        <v>25</v>
      </c>
      <c r="K320" t="s">
        <v>1895</v>
      </c>
      <c r="L320">
        <v>0.1</v>
      </c>
      <c r="M320" t="s">
        <v>1896</v>
      </c>
      <c r="N320" t="s">
        <v>1897</v>
      </c>
      <c r="O320" t="s">
        <v>64</v>
      </c>
      <c r="P320" t="s">
        <v>30</v>
      </c>
      <c r="Q320" t="s">
        <v>65</v>
      </c>
      <c r="R320" s="3">
        <v>8398.7639999999992</v>
      </c>
    </row>
    <row r="321" spans="1:18" x14ac:dyDescent="0.3">
      <c r="A321" t="s">
        <v>1898</v>
      </c>
      <c r="B321" t="str">
        <f>TEXT(Raw_Data[[#This Row],[Order Date]],"mmm")</f>
        <v>Aug</v>
      </c>
      <c r="C321" t="s">
        <v>1840</v>
      </c>
      <c r="D321" t="s">
        <v>1899</v>
      </c>
      <c r="E321" t="s">
        <v>48</v>
      </c>
      <c r="F321" t="s">
        <v>78</v>
      </c>
      <c r="G321" t="s">
        <v>468</v>
      </c>
      <c r="H321" t="s">
        <v>23</v>
      </c>
      <c r="I321" t="s">
        <v>24</v>
      </c>
      <c r="J321" t="s">
        <v>25</v>
      </c>
      <c r="K321" t="s">
        <v>1900</v>
      </c>
      <c r="L321">
        <v>0.05</v>
      </c>
      <c r="M321" t="s">
        <v>1901</v>
      </c>
      <c r="N321" t="s">
        <v>1902</v>
      </c>
      <c r="O321" t="s">
        <v>64</v>
      </c>
      <c r="P321" t="s">
        <v>30</v>
      </c>
      <c r="Q321" t="s">
        <v>44</v>
      </c>
      <c r="R321" s="3">
        <v>67257.871999999901</v>
      </c>
    </row>
    <row r="322" spans="1:18" x14ac:dyDescent="0.3">
      <c r="A322" t="s">
        <v>1903</v>
      </c>
      <c r="B322" t="str">
        <f>TEXT(Raw_Data[[#This Row],[Order Date]],"mmm")</f>
        <v>Apr</v>
      </c>
      <c r="C322" t="s">
        <v>1904</v>
      </c>
      <c r="D322" t="s">
        <v>1905</v>
      </c>
      <c r="E322" t="s">
        <v>48</v>
      </c>
      <c r="F322" t="s">
        <v>78</v>
      </c>
      <c r="G322" t="s">
        <v>79</v>
      </c>
      <c r="H322" t="s">
        <v>23</v>
      </c>
      <c r="I322" t="s">
        <v>24</v>
      </c>
      <c r="J322" t="s">
        <v>25</v>
      </c>
      <c r="K322" t="s">
        <v>1906</v>
      </c>
      <c r="L322">
        <v>0</v>
      </c>
      <c r="M322" t="s">
        <v>1907</v>
      </c>
      <c r="N322" t="s">
        <v>1908</v>
      </c>
      <c r="O322" t="s">
        <v>54</v>
      </c>
      <c r="P322" t="s">
        <v>30</v>
      </c>
      <c r="Q322" t="s">
        <v>65</v>
      </c>
      <c r="R322" s="3">
        <v>14825.67</v>
      </c>
    </row>
    <row r="323" spans="1:18" x14ac:dyDescent="0.3">
      <c r="A323" t="s">
        <v>1909</v>
      </c>
      <c r="B323" t="str">
        <f>TEXT(Raw_Data[[#This Row],[Order Date]],"mmm")</f>
        <v>Jul</v>
      </c>
      <c r="C323" t="s">
        <v>358</v>
      </c>
      <c r="D323" t="s">
        <v>1910</v>
      </c>
      <c r="E323" t="s">
        <v>35</v>
      </c>
      <c r="F323" t="s">
        <v>215</v>
      </c>
      <c r="G323" t="s">
        <v>276</v>
      </c>
      <c r="H323" t="s">
        <v>23</v>
      </c>
      <c r="I323" t="s">
        <v>341</v>
      </c>
      <c r="J323" t="s">
        <v>100</v>
      </c>
      <c r="K323" t="s">
        <v>1911</v>
      </c>
      <c r="L323">
        <v>0.1</v>
      </c>
      <c r="M323" t="s">
        <v>1912</v>
      </c>
      <c r="N323" t="s">
        <v>1913</v>
      </c>
      <c r="O323" t="s">
        <v>64</v>
      </c>
      <c r="P323" t="s">
        <v>112</v>
      </c>
      <c r="Q323" t="s">
        <v>44</v>
      </c>
      <c r="R323" s="3">
        <v>51155.0099999999</v>
      </c>
    </row>
    <row r="324" spans="1:18" x14ac:dyDescent="0.3">
      <c r="A324" t="s">
        <v>1914</v>
      </c>
      <c r="B324" t="str">
        <f>TEXT(Raw_Data[[#This Row],[Order Date]],"mmm")</f>
        <v>Mar</v>
      </c>
      <c r="C324" t="s">
        <v>1915</v>
      </c>
      <c r="D324" t="s">
        <v>1916</v>
      </c>
      <c r="E324" t="s">
        <v>20</v>
      </c>
      <c r="F324" t="s">
        <v>106</v>
      </c>
      <c r="G324" t="s">
        <v>163</v>
      </c>
      <c r="H324" t="s">
        <v>154</v>
      </c>
      <c r="I324" t="s">
        <v>237</v>
      </c>
      <c r="J324" t="s">
        <v>50</v>
      </c>
      <c r="K324" t="s">
        <v>1917</v>
      </c>
      <c r="L324">
        <v>0.15</v>
      </c>
      <c r="M324" t="s">
        <v>1918</v>
      </c>
      <c r="N324" t="s">
        <v>1919</v>
      </c>
      <c r="O324" t="s">
        <v>54</v>
      </c>
      <c r="P324" t="s">
        <v>30</v>
      </c>
      <c r="Q324" t="s">
        <v>44</v>
      </c>
      <c r="R324" s="3">
        <v>12181.264999999999</v>
      </c>
    </row>
    <row r="325" spans="1:18" x14ac:dyDescent="0.3">
      <c r="A325" t="s">
        <v>1920</v>
      </c>
      <c r="B325" t="str">
        <f>TEXT(Raw_Data[[#This Row],[Order Date]],"mmm")</f>
        <v>Jul</v>
      </c>
      <c r="C325" t="s">
        <v>1921</v>
      </c>
      <c r="D325" t="s">
        <v>1922</v>
      </c>
      <c r="E325" t="s">
        <v>20</v>
      </c>
      <c r="F325" t="s">
        <v>78</v>
      </c>
      <c r="G325" t="s">
        <v>79</v>
      </c>
      <c r="H325" t="s">
        <v>80</v>
      </c>
      <c r="I325" t="s">
        <v>116</v>
      </c>
      <c r="J325" t="s">
        <v>100</v>
      </c>
      <c r="K325" t="s">
        <v>1923</v>
      </c>
      <c r="L325">
        <v>0.1</v>
      </c>
      <c r="M325" t="s">
        <v>1924</v>
      </c>
      <c r="N325" t="s">
        <v>1925</v>
      </c>
      <c r="O325" t="s">
        <v>64</v>
      </c>
      <c r="P325" t="s">
        <v>30</v>
      </c>
      <c r="Q325" t="s">
        <v>44</v>
      </c>
      <c r="R325" s="3">
        <v>18540.819</v>
      </c>
    </row>
    <row r="326" spans="1:18" x14ac:dyDescent="0.3">
      <c r="A326" t="s">
        <v>1926</v>
      </c>
      <c r="B326" t="str">
        <f>TEXT(Raw_Data[[#This Row],[Order Date]],"mmm")</f>
        <v>Feb</v>
      </c>
      <c r="C326" t="s">
        <v>1268</v>
      </c>
      <c r="D326" t="s">
        <v>1927</v>
      </c>
      <c r="E326" t="s">
        <v>35</v>
      </c>
      <c r="F326" t="s">
        <v>215</v>
      </c>
      <c r="G326" t="s">
        <v>216</v>
      </c>
      <c r="H326" t="s">
        <v>80</v>
      </c>
      <c r="I326" t="s">
        <v>91</v>
      </c>
      <c r="J326" t="s">
        <v>25</v>
      </c>
      <c r="K326" t="s">
        <v>1928</v>
      </c>
      <c r="L326">
        <v>0.05</v>
      </c>
      <c r="M326" t="s">
        <v>1929</v>
      </c>
      <c r="N326" t="s">
        <v>1930</v>
      </c>
      <c r="O326" t="s">
        <v>64</v>
      </c>
      <c r="P326" t="s">
        <v>30</v>
      </c>
      <c r="Q326" t="s">
        <v>31</v>
      </c>
      <c r="R326" s="3">
        <v>4700.8184999999903</v>
      </c>
    </row>
    <row r="327" spans="1:18" x14ac:dyDescent="0.3">
      <c r="A327" t="s">
        <v>1931</v>
      </c>
      <c r="B327" t="str">
        <f>TEXT(Raw_Data[[#This Row],[Order Date]],"mmm")</f>
        <v>Aug</v>
      </c>
      <c r="C327" t="s">
        <v>1426</v>
      </c>
      <c r="D327" t="s">
        <v>1932</v>
      </c>
      <c r="E327" t="s">
        <v>20</v>
      </c>
      <c r="F327" t="s">
        <v>21</v>
      </c>
      <c r="G327" t="s">
        <v>22</v>
      </c>
      <c r="H327" t="s">
        <v>38</v>
      </c>
      <c r="I327" t="s">
        <v>71</v>
      </c>
      <c r="J327" t="s">
        <v>25</v>
      </c>
      <c r="K327" t="s">
        <v>1933</v>
      </c>
      <c r="L327">
        <v>0</v>
      </c>
      <c r="M327" t="s">
        <v>1934</v>
      </c>
      <c r="N327" t="s">
        <v>1935</v>
      </c>
      <c r="O327" t="s">
        <v>64</v>
      </c>
      <c r="P327" t="s">
        <v>30</v>
      </c>
      <c r="Q327" t="s">
        <v>44</v>
      </c>
      <c r="R327" s="3">
        <v>3719.8</v>
      </c>
    </row>
    <row r="328" spans="1:18" x14ac:dyDescent="0.3">
      <c r="A328" t="s">
        <v>1936</v>
      </c>
      <c r="B328" t="str">
        <f>TEXT(Raw_Data[[#This Row],[Order Date]],"mmm")</f>
        <v>May</v>
      </c>
      <c r="C328" t="s">
        <v>1937</v>
      </c>
      <c r="D328" t="s">
        <v>1938</v>
      </c>
      <c r="E328" t="s">
        <v>35</v>
      </c>
      <c r="F328" t="s">
        <v>89</v>
      </c>
      <c r="G328" t="s">
        <v>99</v>
      </c>
      <c r="H328" t="s">
        <v>154</v>
      </c>
      <c r="I328" t="s">
        <v>1061</v>
      </c>
      <c r="J328" t="s">
        <v>82</v>
      </c>
      <c r="K328" t="s">
        <v>1939</v>
      </c>
      <c r="L328">
        <v>0.15</v>
      </c>
      <c r="M328" t="s">
        <v>1940</v>
      </c>
      <c r="N328" t="s">
        <v>1941</v>
      </c>
      <c r="O328" t="s">
        <v>64</v>
      </c>
      <c r="P328" t="s">
        <v>30</v>
      </c>
      <c r="Q328" t="s">
        <v>65</v>
      </c>
      <c r="R328" s="3">
        <v>29201.171999999999</v>
      </c>
    </row>
    <row r="329" spans="1:18" x14ac:dyDescent="0.3">
      <c r="A329" t="s">
        <v>1942</v>
      </c>
      <c r="B329" t="str">
        <f>TEXT(Raw_Data[[#This Row],[Order Date]],"mmm")</f>
        <v>Aug</v>
      </c>
      <c r="C329" t="s">
        <v>1943</v>
      </c>
      <c r="D329" t="s">
        <v>1944</v>
      </c>
      <c r="E329" t="s">
        <v>48</v>
      </c>
      <c r="F329" t="s">
        <v>78</v>
      </c>
      <c r="G329" t="s">
        <v>468</v>
      </c>
      <c r="H329" t="s">
        <v>23</v>
      </c>
      <c r="I329" t="s">
        <v>263</v>
      </c>
      <c r="J329" t="s">
        <v>25</v>
      </c>
      <c r="K329" t="s">
        <v>1945</v>
      </c>
      <c r="L329">
        <v>0.05</v>
      </c>
      <c r="M329" t="s">
        <v>1946</v>
      </c>
      <c r="N329" t="s">
        <v>1947</v>
      </c>
      <c r="O329" t="s">
        <v>64</v>
      </c>
      <c r="P329" t="s">
        <v>95</v>
      </c>
      <c r="Q329" t="s">
        <v>65</v>
      </c>
      <c r="R329" s="3">
        <v>17612.657999999999</v>
      </c>
    </row>
    <row r="330" spans="1:18" x14ac:dyDescent="0.3">
      <c r="A330" t="s">
        <v>1948</v>
      </c>
      <c r="B330" t="str">
        <f>TEXT(Raw_Data[[#This Row],[Order Date]],"mmm")</f>
        <v>Jan</v>
      </c>
      <c r="C330" t="s">
        <v>1949</v>
      </c>
      <c r="D330" t="s">
        <v>1950</v>
      </c>
      <c r="E330" t="s">
        <v>20</v>
      </c>
      <c r="F330" t="s">
        <v>215</v>
      </c>
      <c r="G330" t="s">
        <v>216</v>
      </c>
      <c r="H330" t="s">
        <v>154</v>
      </c>
      <c r="I330" t="s">
        <v>155</v>
      </c>
      <c r="J330" t="s">
        <v>25</v>
      </c>
      <c r="K330" t="s">
        <v>1951</v>
      </c>
      <c r="L330">
        <v>0</v>
      </c>
      <c r="M330" t="s">
        <v>1952</v>
      </c>
      <c r="N330" t="s">
        <v>1953</v>
      </c>
      <c r="O330" t="s">
        <v>54</v>
      </c>
      <c r="P330" t="s">
        <v>30</v>
      </c>
      <c r="Q330" t="s">
        <v>31</v>
      </c>
      <c r="R330" s="3">
        <v>4839.38</v>
      </c>
    </row>
    <row r="331" spans="1:18" x14ac:dyDescent="0.3">
      <c r="A331" t="s">
        <v>1954</v>
      </c>
      <c r="B331" t="str">
        <f>TEXT(Raw_Data[[#This Row],[Order Date]],"mmm")</f>
        <v>Jan</v>
      </c>
      <c r="C331" t="s">
        <v>1878</v>
      </c>
      <c r="D331" t="s">
        <v>1955</v>
      </c>
      <c r="E331" t="s">
        <v>48</v>
      </c>
      <c r="F331" t="s">
        <v>106</v>
      </c>
      <c r="G331" t="s">
        <v>106</v>
      </c>
      <c r="H331" t="s">
        <v>80</v>
      </c>
      <c r="I331" t="s">
        <v>146</v>
      </c>
      <c r="J331" t="s">
        <v>50</v>
      </c>
      <c r="K331" t="s">
        <v>1956</v>
      </c>
      <c r="L331">
        <v>0</v>
      </c>
      <c r="M331" t="s">
        <v>1957</v>
      </c>
      <c r="N331" t="s">
        <v>1958</v>
      </c>
      <c r="O331" t="s">
        <v>29</v>
      </c>
      <c r="P331" t="s">
        <v>30</v>
      </c>
      <c r="Q331" t="s">
        <v>44</v>
      </c>
      <c r="R331" s="3">
        <v>6596.66</v>
      </c>
    </row>
    <row r="332" spans="1:18" x14ac:dyDescent="0.3">
      <c r="A332" t="s">
        <v>1959</v>
      </c>
      <c r="B332" t="str">
        <f>TEXT(Raw_Data[[#This Row],[Order Date]],"mmm")</f>
        <v>May</v>
      </c>
      <c r="C332" t="s">
        <v>1509</v>
      </c>
      <c r="D332" t="s">
        <v>1960</v>
      </c>
      <c r="E332" t="s">
        <v>35</v>
      </c>
      <c r="F332" t="s">
        <v>78</v>
      </c>
      <c r="G332" t="s">
        <v>468</v>
      </c>
      <c r="H332" t="s">
        <v>107</v>
      </c>
      <c r="I332" t="s">
        <v>277</v>
      </c>
      <c r="J332" t="s">
        <v>25</v>
      </c>
      <c r="K332" t="s">
        <v>1961</v>
      </c>
      <c r="L332">
        <v>0.2</v>
      </c>
      <c r="M332" t="s">
        <v>1962</v>
      </c>
      <c r="N332" t="s">
        <v>1963</v>
      </c>
      <c r="O332" t="s">
        <v>29</v>
      </c>
      <c r="P332" t="s">
        <v>159</v>
      </c>
      <c r="Q332" t="s">
        <v>31</v>
      </c>
      <c r="R332" s="3">
        <v>12773.464</v>
      </c>
    </row>
    <row r="333" spans="1:18" x14ac:dyDescent="0.3">
      <c r="A333" t="s">
        <v>1964</v>
      </c>
      <c r="B333" t="str">
        <f>TEXT(Raw_Data[[#This Row],[Order Date]],"mmm")</f>
        <v>Aug</v>
      </c>
      <c r="C333" t="s">
        <v>151</v>
      </c>
      <c r="D333" t="s">
        <v>1965</v>
      </c>
      <c r="E333" t="s">
        <v>48</v>
      </c>
      <c r="F333" t="s">
        <v>89</v>
      </c>
      <c r="G333" t="s">
        <v>230</v>
      </c>
      <c r="H333" t="s">
        <v>38</v>
      </c>
      <c r="I333" t="s">
        <v>39</v>
      </c>
      <c r="J333" t="s">
        <v>25</v>
      </c>
      <c r="K333" t="s">
        <v>1966</v>
      </c>
      <c r="L333">
        <v>0.1</v>
      </c>
      <c r="M333" t="s">
        <v>1967</v>
      </c>
      <c r="N333" t="s">
        <v>1968</v>
      </c>
      <c r="O333" t="s">
        <v>29</v>
      </c>
      <c r="P333" t="s">
        <v>30</v>
      </c>
      <c r="Q333" t="s">
        <v>44</v>
      </c>
      <c r="R333" s="3">
        <v>1421.433</v>
      </c>
    </row>
    <row r="334" spans="1:18" x14ac:dyDescent="0.3">
      <c r="A334" t="s">
        <v>1969</v>
      </c>
      <c r="B334" t="str">
        <f>TEXT(Raw_Data[[#This Row],[Order Date]],"mmm")</f>
        <v>Jan</v>
      </c>
      <c r="C334" t="s">
        <v>175</v>
      </c>
      <c r="D334" t="s">
        <v>1970</v>
      </c>
      <c r="E334" t="s">
        <v>35</v>
      </c>
      <c r="F334" t="s">
        <v>78</v>
      </c>
      <c r="G334" t="s">
        <v>468</v>
      </c>
      <c r="H334" t="s">
        <v>23</v>
      </c>
      <c r="I334" t="s">
        <v>183</v>
      </c>
      <c r="J334" t="s">
        <v>25</v>
      </c>
      <c r="K334" t="s">
        <v>1971</v>
      </c>
      <c r="L334">
        <v>0.1</v>
      </c>
      <c r="M334" t="s">
        <v>1972</v>
      </c>
      <c r="N334" t="s">
        <v>1973</v>
      </c>
      <c r="O334" t="s">
        <v>54</v>
      </c>
      <c r="P334" t="s">
        <v>30</v>
      </c>
      <c r="Q334" t="s">
        <v>31</v>
      </c>
      <c r="R334" s="3">
        <v>67167.476999999999</v>
      </c>
    </row>
    <row r="335" spans="1:18" x14ac:dyDescent="0.3">
      <c r="A335" t="s">
        <v>1974</v>
      </c>
      <c r="B335" t="str">
        <f>TEXT(Raw_Data[[#This Row],[Order Date]],"mmm")</f>
        <v>Dec</v>
      </c>
      <c r="C335" t="s">
        <v>1769</v>
      </c>
      <c r="D335" t="s">
        <v>1975</v>
      </c>
      <c r="E335" t="s">
        <v>20</v>
      </c>
      <c r="F335" t="s">
        <v>69</v>
      </c>
      <c r="G335" t="s">
        <v>139</v>
      </c>
      <c r="H335" t="s">
        <v>154</v>
      </c>
      <c r="I335" t="s">
        <v>1061</v>
      </c>
      <c r="J335" t="s">
        <v>50</v>
      </c>
      <c r="K335" t="s">
        <v>1976</v>
      </c>
      <c r="L335">
        <v>0</v>
      </c>
      <c r="M335" t="s">
        <v>1977</v>
      </c>
      <c r="N335" t="s">
        <v>1978</v>
      </c>
      <c r="O335" t="s">
        <v>173</v>
      </c>
      <c r="P335" t="s">
        <v>30</v>
      </c>
      <c r="Q335" t="s">
        <v>65</v>
      </c>
      <c r="R335" s="3">
        <v>11106.88</v>
      </c>
    </row>
    <row r="336" spans="1:18" x14ac:dyDescent="0.3">
      <c r="A336" t="s">
        <v>1979</v>
      </c>
      <c r="B336" t="str">
        <f>TEXT(Raw_Data[[#This Row],[Order Date]],"mmm")</f>
        <v>Sep</v>
      </c>
      <c r="C336" t="s">
        <v>437</v>
      </c>
      <c r="D336" t="s">
        <v>1980</v>
      </c>
      <c r="E336" t="s">
        <v>20</v>
      </c>
      <c r="F336" t="s">
        <v>215</v>
      </c>
      <c r="G336" t="s">
        <v>276</v>
      </c>
      <c r="H336" t="s">
        <v>107</v>
      </c>
      <c r="I336" t="s">
        <v>277</v>
      </c>
      <c r="J336" t="s">
        <v>50</v>
      </c>
      <c r="K336" t="s">
        <v>1981</v>
      </c>
      <c r="L336">
        <v>0.05</v>
      </c>
      <c r="M336" t="s">
        <v>1982</v>
      </c>
      <c r="N336" t="s">
        <v>1983</v>
      </c>
      <c r="O336" t="s">
        <v>29</v>
      </c>
      <c r="P336" t="s">
        <v>30</v>
      </c>
      <c r="Q336" t="s">
        <v>31</v>
      </c>
      <c r="R336" s="3">
        <v>12222.718999999999</v>
      </c>
    </row>
    <row r="337" spans="1:18" x14ac:dyDescent="0.3">
      <c r="A337" t="s">
        <v>1984</v>
      </c>
      <c r="B337" t="str">
        <f>TEXT(Raw_Data[[#This Row],[Order Date]],"mmm")</f>
        <v>May</v>
      </c>
      <c r="C337" t="s">
        <v>1985</v>
      </c>
      <c r="D337" t="s">
        <v>1986</v>
      </c>
      <c r="E337" t="s">
        <v>48</v>
      </c>
      <c r="F337" t="s">
        <v>106</v>
      </c>
      <c r="G337" t="s">
        <v>106</v>
      </c>
      <c r="H337" t="s">
        <v>107</v>
      </c>
      <c r="I337" t="s">
        <v>108</v>
      </c>
      <c r="J337" t="s">
        <v>25</v>
      </c>
      <c r="K337" t="s">
        <v>1987</v>
      </c>
      <c r="L337">
        <v>0.05</v>
      </c>
      <c r="M337" t="s">
        <v>1988</v>
      </c>
      <c r="N337" t="s">
        <v>1989</v>
      </c>
      <c r="O337" t="s">
        <v>64</v>
      </c>
      <c r="P337" t="s">
        <v>30</v>
      </c>
      <c r="Q337" t="s">
        <v>65</v>
      </c>
      <c r="R337" s="3">
        <v>8004.7190000000001</v>
      </c>
    </row>
    <row r="338" spans="1:18" x14ac:dyDescent="0.3">
      <c r="A338" t="s">
        <v>1990</v>
      </c>
      <c r="B338" t="str">
        <f>TEXT(Raw_Data[[#This Row],[Order Date]],"mmm")</f>
        <v>Oct</v>
      </c>
      <c r="C338" t="s">
        <v>1991</v>
      </c>
      <c r="D338" t="s">
        <v>1992</v>
      </c>
      <c r="E338" t="s">
        <v>20</v>
      </c>
      <c r="F338" t="s">
        <v>36</v>
      </c>
      <c r="G338" t="s">
        <v>123</v>
      </c>
      <c r="H338" t="s">
        <v>23</v>
      </c>
      <c r="I338" t="s">
        <v>263</v>
      </c>
      <c r="J338" t="s">
        <v>100</v>
      </c>
      <c r="K338" t="s">
        <v>1993</v>
      </c>
      <c r="L338">
        <v>0</v>
      </c>
      <c r="M338" t="s">
        <v>1994</v>
      </c>
      <c r="N338" t="s">
        <v>1995</v>
      </c>
      <c r="O338" t="s">
        <v>43</v>
      </c>
      <c r="P338" t="s">
        <v>112</v>
      </c>
      <c r="Q338" t="s">
        <v>44</v>
      </c>
      <c r="R338" s="3">
        <v>170295.69</v>
      </c>
    </row>
    <row r="339" spans="1:18" x14ac:dyDescent="0.3">
      <c r="A339" t="s">
        <v>1996</v>
      </c>
      <c r="B339" t="str">
        <f>TEXT(Raw_Data[[#This Row],[Order Date]],"mmm")</f>
        <v>Aug</v>
      </c>
      <c r="C339" t="s">
        <v>1245</v>
      </c>
      <c r="D339" t="s">
        <v>1997</v>
      </c>
      <c r="E339" t="s">
        <v>48</v>
      </c>
      <c r="F339" t="s">
        <v>89</v>
      </c>
      <c r="G339" t="s">
        <v>90</v>
      </c>
      <c r="H339" t="s">
        <v>23</v>
      </c>
      <c r="I339" t="s">
        <v>263</v>
      </c>
      <c r="J339" t="s">
        <v>25</v>
      </c>
      <c r="K339" t="s">
        <v>1998</v>
      </c>
      <c r="L339">
        <v>0.05</v>
      </c>
      <c r="M339" t="s">
        <v>1999</v>
      </c>
      <c r="N339" t="s">
        <v>2000</v>
      </c>
      <c r="O339" t="s">
        <v>173</v>
      </c>
      <c r="P339" t="s">
        <v>30</v>
      </c>
      <c r="Q339" t="s">
        <v>31</v>
      </c>
      <c r="R339" s="3">
        <v>43530.852499999899</v>
      </c>
    </row>
    <row r="340" spans="1:18" x14ac:dyDescent="0.3">
      <c r="A340" t="s">
        <v>2001</v>
      </c>
      <c r="B340" t="str">
        <f>TEXT(Raw_Data[[#This Row],[Order Date]],"mmm")</f>
        <v>Oct</v>
      </c>
      <c r="C340" t="s">
        <v>629</v>
      </c>
      <c r="D340" t="s">
        <v>2002</v>
      </c>
      <c r="E340" t="s">
        <v>20</v>
      </c>
      <c r="F340" t="s">
        <v>215</v>
      </c>
      <c r="G340" t="s">
        <v>216</v>
      </c>
      <c r="H340" t="s">
        <v>23</v>
      </c>
      <c r="I340" t="s">
        <v>49</v>
      </c>
      <c r="J340" t="s">
        <v>82</v>
      </c>
      <c r="K340" t="s">
        <v>2003</v>
      </c>
      <c r="L340">
        <v>0</v>
      </c>
      <c r="M340" t="s">
        <v>2004</v>
      </c>
      <c r="N340" t="s">
        <v>2005</v>
      </c>
      <c r="O340" t="s">
        <v>64</v>
      </c>
      <c r="P340" t="s">
        <v>30</v>
      </c>
      <c r="Q340" t="s">
        <v>31</v>
      </c>
      <c r="R340" s="3">
        <v>29123.279999999999</v>
      </c>
    </row>
    <row r="341" spans="1:18" x14ac:dyDescent="0.3">
      <c r="A341" t="s">
        <v>2006</v>
      </c>
      <c r="B341" t="str">
        <f>TEXT(Raw_Data[[#This Row],[Order Date]],"mmm")</f>
        <v>Jun</v>
      </c>
      <c r="C341" t="s">
        <v>213</v>
      </c>
      <c r="D341" t="s">
        <v>2007</v>
      </c>
      <c r="E341" t="s">
        <v>20</v>
      </c>
      <c r="F341" t="s">
        <v>106</v>
      </c>
      <c r="G341" t="s">
        <v>163</v>
      </c>
      <c r="H341" t="s">
        <v>23</v>
      </c>
      <c r="I341" t="s">
        <v>263</v>
      </c>
      <c r="J341" t="s">
        <v>50</v>
      </c>
      <c r="K341" t="s">
        <v>2008</v>
      </c>
      <c r="L341">
        <v>0.15</v>
      </c>
      <c r="M341" t="s">
        <v>2009</v>
      </c>
      <c r="N341" t="s">
        <v>2010</v>
      </c>
      <c r="O341" t="s">
        <v>173</v>
      </c>
      <c r="P341" t="s">
        <v>30</v>
      </c>
      <c r="Q341" t="s">
        <v>44</v>
      </c>
      <c r="R341" s="3">
        <v>57506.987999999998</v>
      </c>
    </row>
    <row r="342" spans="1:18" x14ac:dyDescent="0.3">
      <c r="A342" t="s">
        <v>2011</v>
      </c>
      <c r="B342" t="str">
        <f>TEXT(Raw_Data[[#This Row],[Order Date]],"mmm")</f>
        <v>Aug</v>
      </c>
      <c r="C342" t="s">
        <v>151</v>
      </c>
      <c r="D342" t="s">
        <v>2012</v>
      </c>
      <c r="E342" t="s">
        <v>35</v>
      </c>
      <c r="F342" t="s">
        <v>21</v>
      </c>
      <c r="G342" t="s">
        <v>130</v>
      </c>
      <c r="H342" t="s">
        <v>154</v>
      </c>
      <c r="I342" t="s">
        <v>309</v>
      </c>
      <c r="J342" t="s">
        <v>50</v>
      </c>
      <c r="K342" t="s">
        <v>2013</v>
      </c>
      <c r="L342">
        <v>0.05</v>
      </c>
      <c r="M342" t="s">
        <v>2014</v>
      </c>
      <c r="N342" t="s">
        <v>2015</v>
      </c>
      <c r="O342" t="s">
        <v>43</v>
      </c>
      <c r="P342" t="s">
        <v>30</v>
      </c>
      <c r="Q342" t="s">
        <v>44</v>
      </c>
      <c r="R342" s="3">
        <v>4181.5389999999998</v>
      </c>
    </row>
    <row r="343" spans="1:18" x14ac:dyDescent="0.3">
      <c r="A343" t="s">
        <v>2016</v>
      </c>
      <c r="B343" t="str">
        <f>TEXT(Raw_Data[[#This Row],[Order Date]],"mmm")</f>
        <v>May</v>
      </c>
      <c r="C343" t="s">
        <v>1420</v>
      </c>
      <c r="D343" t="s">
        <v>2017</v>
      </c>
      <c r="E343" t="s">
        <v>48</v>
      </c>
      <c r="F343" t="s">
        <v>36</v>
      </c>
      <c r="G343" t="s">
        <v>123</v>
      </c>
      <c r="H343" t="s">
        <v>80</v>
      </c>
      <c r="I343" t="s">
        <v>116</v>
      </c>
      <c r="J343" t="s">
        <v>25</v>
      </c>
      <c r="K343" t="s">
        <v>2018</v>
      </c>
      <c r="L343">
        <v>0.15</v>
      </c>
      <c r="M343" t="s">
        <v>2019</v>
      </c>
      <c r="N343" t="s">
        <v>2020</v>
      </c>
      <c r="O343" t="s">
        <v>173</v>
      </c>
      <c r="P343" t="s">
        <v>30</v>
      </c>
      <c r="Q343" t="s">
        <v>31</v>
      </c>
      <c r="R343" s="3">
        <v>1713.1665</v>
      </c>
    </row>
    <row r="344" spans="1:18" x14ac:dyDescent="0.3">
      <c r="A344" t="s">
        <v>2021</v>
      </c>
      <c r="B344" t="str">
        <f>TEXT(Raw_Data[[#This Row],[Order Date]],"mmm")</f>
        <v>Sep</v>
      </c>
      <c r="C344" t="s">
        <v>401</v>
      </c>
      <c r="D344" t="s">
        <v>2022</v>
      </c>
      <c r="E344" t="s">
        <v>20</v>
      </c>
      <c r="F344" t="s">
        <v>21</v>
      </c>
      <c r="G344" t="s">
        <v>22</v>
      </c>
      <c r="H344" t="s">
        <v>107</v>
      </c>
      <c r="I344" t="s">
        <v>378</v>
      </c>
      <c r="J344" t="s">
        <v>50</v>
      </c>
      <c r="K344" t="s">
        <v>2023</v>
      </c>
      <c r="L344">
        <v>0.05</v>
      </c>
      <c r="M344" t="s">
        <v>2024</v>
      </c>
      <c r="N344" t="s">
        <v>2025</v>
      </c>
      <c r="O344" t="s">
        <v>54</v>
      </c>
      <c r="P344" t="s">
        <v>30</v>
      </c>
      <c r="Q344" t="s">
        <v>44</v>
      </c>
      <c r="R344" s="3">
        <v>31269.972000000002</v>
      </c>
    </row>
    <row r="345" spans="1:18" x14ac:dyDescent="0.3">
      <c r="A345" t="s">
        <v>2026</v>
      </c>
      <c r="B345" t="str">
        <f>TEXT(Raw_Data[[#This Row],[Order Date]],"mmm")</f>
        <v>Nov</v>
      </c>
      <c r="C345" t="s">
        <v>1116</v>
      </c>
      <c r="D345" t="s">
        <v>2027</v>
      </c>
      <c r="E345" t="s">
        <v>20</v>
      </c>
      <c r="F345" t="s">
        <v>21</v>
      </c>
      <c r="G345" t="s">
        <v>22</v>
      </c>
      <c r="H345" t="s">
        <v>154</v>
      </c>
      <c r="I345" t="s">
        <v>309</v>
      </c>
      <c r="J345" t="s">
        <v>25</v>
      </c>
      <c r="K345" t="s">
        <v>2028</v>
      </c>
      <c r="L345">
        <v>0.1</v>
      </c>
      <c r="M345" t="s">
        <v>2029</v>
      </c>
      <c r="N345" t="s">
        <v>2030</v>
      </c>
      <c r="O345" t="s">
        <v>54</v>
      </c>
      <c r="P345" t="s">
        <v>30</v>
      </c>
      <c r="Q345" t="s">
        <v>65</v>
      </c>
      <c r="R345" s="3">
        <v>2164.203</v>
      </c>
    </row>
    <row r="346" spans="1:18" x14ac:dyDescent="0.3">
      <c r="A346" t="s">
        <v>2031</v>
      </c>
      <c r="B346" t="str">
        <f>TEXT(Raw_Data[[#This Row],[Order Date]],"mmm")</f>
        <v>May</v>
      </c>
      <c r="C346" t="s">
        <v>810</v>
      </c>
      <c r="D346" t="s">
        <v>2032</v>
      </c>
      <c r="E346" t="s">
        <v>35</v>
      </c>
      <c r="F346" t="s">
        <v>215</v>
      </c>
      <c r="G346" t="s">
        <v>276</v>
      </c>
      <c r="H346" t="s">
        <v>23</v>
      </c>
      <c r="I346" t="s">
        <v>341</v>
      </c>
      <c r="J346" t="s">
        <v>25</v>
      </c>
      <c r="K346" t="s">
        <v>2033</v>
      </c>
      <c r="L346">
        <v>0.2</v>
      </c>
      <c r="M346" t="s">
        <v>2034</v>
      </c>
      <c r="N346" t="s">
        <v>2035</v>
      </c>
      <c r="O346" t="s">
        <v>29</v>
      </c>
      <c r="P346" t="s">
        <v>159</v>
      </c>
      <c r="Q346" t="s">
        <v>44</v>
      </c>
      <c r="R346" s="3">
        <v>44752.536</v>
      </c>
    </row>
    <row r="347" spans="1:18" x14ac:dyDescent="0.3">
      <c r="A347" t="s">
        <v>2036</v>
      </c>
      <c r="B347" t="str">
        <f>TEXT(Raw_Data[[#This Row],[Order Date]],"mmm")</f>
        <v>Mar</v>
      </c>
      <c r="C347" t="s">
        <v>504</v>
      </c>
      <c r="D347" t="s">
        <v>2037</v>
      </c>
      <c r="E347" t="s">
        <v>35</v>
      </c>
      <c r="F347" t="s">
        <v>78</v>
      </c>
      <c r="G347" t="s">
        <v>731</v>
      </c>
      <c r="H347" t="s">
        <v>107</v>
      </c>
      <c r="I347" t="s">
        <v>469</v>
      </c>
      <c r="J347" t="s">
        <v>25</v>
      </c>
      <c r="K347" t="s">
        <v>2038</v>
      </c>
      <c r="L347">
        <v>0.05</v>
      </c>
      <c r="M347" t="s">
        <v>2039</v>
      </c>
      <c r="N347" t="s">
        <v>2040</v>
      </c>
      <c r="O347" t="s">
        <v>29</v>
      </c>
      <c r="P347" t="s">
        <v>30</v>
      </c>
      <c r="Q347" t="s">
        <v>44</v>
      </c>
      <c r="R347" s="3">
        <v>9792.2294999999995</v>
      </c>
    </row>
    <row r="348" spans="1:18" x14ac:dyDescent="0.3">
      <c r="A348" t="s">
        <v>2041</v>
      </c>
      <c r="B348" t="str">
        <f>TEXT(Raw_Data[[#This Row],[Order Date]],"mmm")</f>
        <v>Jun</v>
      </c>
      <c r="C348" t="s">
        <v>1725</v>
      </c>
      <c r="D348" t="s">
        <v>2042</v>
      </c>
      <c r="E348" t="s">
        <v>20</v>
      </c>
      <c r="F348" t="s">
        <v>69</v>
      </c>
      <c r="G348" t="s">
        <v>70</v>
      </c>
      <c r="H348" t="s">
        <v>80</v>
      </c>
      <c r="I348" t="s">
        <v>81</v>
      </c>
      <c r="J348" t="s">
        <v>82</v>
      </c>
      <c r="K348" t="s">
        <v>2043</v>
      </c>
      <c r="L348">
        <v>0.1</v>
      </c>
      <c r="M348" t="s">
        <v>2044</v>
      </c>
      <c r="N348" t="s">
        <v>2045</v>
      </c>
      <c r="O348" t="s">
        <v>64</v>
      </c>
      <c r="P348" t="s">
        <v>30</v>
      </c>
      <c r="Q348" t="s">
        <v>31</v>
      </c>
      <c r="R348" s="3">
        <v>12528.468000000001</v>
      </c>
    </row>
    <row r="349" spans="1:18" x14ac:dyDescent="0.3">
      <c r="A349" t="s">
        <v>2046</v>
      </c>
      <c r="B349" t="str">
        <f>TEXT(Raw_Data[[#This Row],[Order Date]],"mmm")</f>
        <v>Dec</v>
      </c>
      <c r="C349" t="s">
        <v>982</v>
      </c>
      <c r="D349" t="s">
        <v>2047</v>
      </c>
      <c r="E349" t="s">
        <v>35</v>
      </c>
      <c r="F349" t="s">
        <v>78</v>
      </c>
      <c r="G349" t="s">
        <v>79</v>
      </c>
      <c r="H349" t="s">
        <v>23</v>
      </c>
      <c r="I349" t="s">
        <v>24</v>
      </c>
      <c r="J349" t="s">
        <v>50</v>
      </c>
      <c r="K349" t="s">
        <v>2048</v>
      </c>
      <c r="L349">
        <v>0.15</v>
      </c>
      <c r="M349" t="s">
        <v>2049</v>
      </c>
      <c r="N349" t="s">
        <v>2050</v>
      </c>
      <c r="O349" t="s">
        <v>29</v>
      </c>
      <c r="P349" t="s">
        <v>30</v>
      </c>
      <c r="Q349" t="s">
        <v>31</v>
      </c>
      <c r="R349" s="3">
        <v>57498.657999999901</v>
      </c>
    </row>
    <row r="350" spans="1:18" x14ac:dyDescent="0.3">
      <c r="A350" t="s">
        <v>2051</v>
      </c>
      <c r="B350" t="str">
        <f>TEXT(Raw_Data[[#This Row],[Order Date]],"mmm")</f>
        <v>Oct</v>
      </c>
      <c r="C350" t="s">
        <v>2052</v>
      </c>
      <c r="D350" t="s">
        <v>2053</v>
      </c>
      <c r="E350" t="s">
        <v>20</v>
      </c>
      <c r="F350" t="s">
        <v>69</v>
      </c>
      <c r="G350" t="s">
        <v>70</v>
      </c>
      <c r="H350" t="s">
        <v>80</v>
      </c>
      <c r="I350" t="s">
        <v>116</v>
      </c>
      <c r="J350" t="s">
        <v>25</v>
      </c>
      <c r="K350" t="s">
        <v>2054</v>
      </c>
      <c r="L350">
        <v>0.1</v>
      </c>
      <c r="M350" t="s">
        <v>2055</v>
      </c>
      <c r="N350" t="s">
        <v>2056</v>
      </c>
      <c r="O350" t="s">
        <v>64</v>
      </c>
      <c r="P350" t="s">
        <v>30</v>
      </c>
      <c r="Q350" t="s">
        <v>44</v>
      </c>
      <c r="R350" s="3">
        <v>3266.8649999999998</v>
      </c>
    </row>
    <row r="351" spans="1:18" x14ac:dyDescent="0.3">
      <c r="A351" t="s">
        <v>2057</v>
      </c>
      <c r="B351" t="str">
        <f>TEXT(Raw_Data[[#This Row],[Order Date]],"mmm")</f>
        <v>Jan</v>
      </c>
      <c r="C351" t="s">
        <v>924</v>
      </c>
      <c r="D351" t="s">
        <v>2058</v>
      </c>
      <c r="E351" t="s">
        <v>35</v>
      </c>
      <c r="F351" t="s">
        <v>106</v>
      </c>
      <c r="G351" t="s">
        <v>106</v>
      </c>
      <c r="H351" t="s">
        <v>154</v>
      </c>
      <c r="I351" t="s">
        <v>1061</v>
      </c>
      <c r="J351" t="s">
        <v>25</v>
      </c>
      <c r="K351" t="s">
        <v>2059</v>
      </c>
      <c r="L351">
        <v>0.1</v>
      </c>
      <c r="M351" t="s">
        <v>2060</v>
      </c>
      <c r="N351" t="s">
        <v>2061</v>
      </c>
      <c r="O351" t="s">
        <v>43</v>
      </c>
      <c r="P351" t="s">
        <v>30</v>
      </c>
      <c r="Q351" t="s">
        <v>65</v>
      </c>
      <c r="R351" s="3">
        <v>6236.4780000000001</v>
      </c>
    </row>
    <row r="352" spans="1:18" x14ac:dyDescent="0.3">
      <c r="A352" t="s">
        <v>2062</v>
      </c>
      <c r="B352" t="str">
        <f>TEXT(Raw_Data[[#This Row],[Order Date]],"mmm")</f>
        <v>Feb</v>
      </c>
      <c r="C352" t="s">
        <v>1087</v>
      </c>
      <c r="D352" t="s">
        <v>2063</v>
      </c>
      <c r="E352" t="s">
        <v>48</v>
      </c>
      <c r="F352" t="s">
        <v>69</v>
      </c>
      <c r="G352" t="s">
        <v>139</v>
      </c>
      <c r="H352" t="s">
        <v>154</v>
      </c>
      <c r="I352" t="s">
        <v>237</v>
      </c>
      <c r="J352" t="s">
        <v>25</v>
      </c>
      <c r="K352" t="s">
        <v>2064</v>
      </c>
      <c r="L352">
        <v>0.1</v>
      </c>
      <c r="M352" t="s">
        <v>2065</v>
      </c>
      <c r="N352" t="s">
        <v>2066</v>
      </c>
      <c r="O352" t="s">
        <v>43</v>
      </c>
      <c r="P352" t="s">
        <v>30</v>
      </c>
      <c r="Q352" t="s">
        <v>31</v>
      </c>
      <c r="R352" s="3">
        <v>2753.2979999999998</v>
      </c>
    </row>
    <row r="353" spans="1:18" x14ac:dyDescent="0.3">
      <c r="A353" t="s">
        <v>2067</v>
      </c>
      <c r="B353" t="str">
        <f>TEXT(Raw_Data[[#This Row],[Order Date]],"mmm")</f>
        <v>Jun</v>
      </c>
      <c r="C353" t="s">
        <v>2068</v>
      </c>
      <c r="D353" t="s">
        <v>2069</v>
      </c>
      <c r="E353" t="s">
        <v>35</v>
      </c>
      <c r="F353" t="s">
        <v>21</v>
      </c>
      <c r="G353" t="s">
        <v>130</v>
      </c>
      <c r="H353" t="s">
        <v>23</v>
      </c>
      <c r="I353" t="s">
        <v>49</v>
      </c>
      <c r="J353" t="s">
        <v>50</v>
      </c>
      <c r="K353" t="s">
        <v>2070</v>
      </c>
      <c r="L353">
        <v>0.05</v>
      </c>
      <c r="M353" t="s">
        <v>2071</v>
      </c>
      <c r="N353" t="s">
        <v>2072</v>
      </c>
      <c r="O353" t="s">
        <v>43</v>
      </c>
      <c r="P353" t="s">
        <v>30</v>
      </c>
      <c r="Q353" t="s">
        <v>65</v>
      </c>
      <c r="R353" s="3">
        <v>22202.678</v>
      </c>
    </row>
    <row r="354" spans="1:18" x14ac:dyDescent="0.3">
      <c r="A354" t="s">
        <v>2073</v>
      </c>
      <c r="B354" t="str">
        <f>TEXT(Raw_Data[[#This Row],[Order Date]],"mmm")</f>
        <v>Mar</v>
      </c>
      <c r="C354" t="s">
        <v>425</v>
      </c>
      <c r="D354" t="s">
        <v>2074</v>
      </c>
      <c r="E354" t="s">
        <v>48</v>
      </c>
      <c r="F354" t="s">
        <v>58</v>
      </c>
      <c r="G354" t="s">
        <v>290</v>
      </c>
      <c r="H354" t="s">
        <v>80</v>
      </c>
      <c r="I354" t="s">
        <v>116</v>
      </c>
      <c r="J354" t="s">
        <v>50</v>
      </c>
      <c r="K354" t="s">
        <v>2075</v>
      </c>
      <c r="L354">
        <v>0.05</v>
      </c>
      <c r="M354" t="s">
        <v>2076</v>
      </c>
      <c r="N354" t="s">
        <v>2077</v>
      </c>
      <c r="O354" t="s">
        <v>173</v>
      </c>
      <c r="P354" t="s">
        <v>30</v>
      </c>
      <c r="Q354" t="s">
        <v>65</v>
      </c>
      <c r="R354" s="3">
        <v>11195.75</v>
      </c>
    </row>
    <row r="355" spans="1:18" x14ac:dyDescent="0.3">
      <c r="A355" t="s">
        <v>2078</v>
      </c>
      <c r="B355" t="str">
        <f>TEXT(Raw_Data[[#This Row],[Order Date]],"mmm")</f>
        <v>Sep</v>
      </c>
      <c r="C355" t="s">
        <v>1570</v>
      </c>
      <c r="D355" t="s">
        <v>2079</v>
      </c>
      <c r="E355" t="s">
        <v>35</v>
      </c>
      <c r="F355" t="s">
        <v>58</v>
      </c>
      <c r="G355" t="s">
        <v>290</v>
      </c>
      <c r="H355" t="s">
        <v>23</v>
      </c>
      <c r="I355" t="s">
        <v>263</v>
      </c>
      <c r="J355" t="s">
        <v>25</v>
      </c>
      <c r="K355" t="s">
        <v>2080</v>
      </c>
      <c r="L355">
        <v>0.05</v>
      </c>
      <c r="M355" t="s">
        <v>2081</v>
      </c>
      <c r="N355" t="s">
        <v>2082</v>
      </c>
      <c r="O355" t="s">
        <v>29</v>
      </c>
      <c r="P355" t="s">
        <v>30</v>
      </c>
      <c r="Q355" t="s">
        <v>31</v>
      </c>
      <c r="R355" s="3">
        <v>17401.396999999899</v>
      </c>
    </row>
    <row r="356" spans="1:18" x14ac:dyDescent="0.3">
      <c r="A356" t="s">
        <v>2083</v>
      </c>
      <c r="B356" t="str">
        <f>TEXT(Raw_Data[[#This Row],[Order Date]],"mmm")</f>
        <v>Sep</v>
      </c>
      <c r="C356" t="s">
        <v>188</v>
      </c>
      <c r="D356" t="s">
        <v>2084</v>
      </c>
      <c r="E356" t="s">
        <v>35</v>
      </c>
      <c r="F356" t="s">
        <v>21</v>
      </c>
      <c r="G356" t="s">
        <v>22</v>
      </c>
      <c r="H356" t="s">
        <v>23</v>
      </c>
      <c r="I356" t="s">
        <v>183</v>
      </c>
      <c r="J356" t="s">
        <v>50</v>
      </c>
      <c r="K356" t="s">
        <v>2085</v>
      </c>
      <c r="L356">
        <v>0</v>
      </c>
      <c r="M356" t="s">
        <v>2086</v>
      </c>
      <c r="N356" t="s">
        <v>2087</v>
      </c>
      <c r="O356" t="s">
        <v>54</v>
      </c>
      <c r="P356" t="s">
        <v>30</v>
      </c>
      <c r="Q356" t="s">
        <v>44</v>
      </c>
      <c r="R356" s="3">
        <v>9412.24</v>
      </c>
    </row>
    <row r="357" spans="1:18" x14ac:dyDescent="0.3">
      <c r="A357" t="s">
        <v>2088</v>
      </c>
      <c r="B357" t="str">
        <f>TEXT(Raw_Data[[#This Row],[Order Date]],"mmm")</f>
        <v>May</v>
      </c>
      <c r="C357" t="s">
        <v>2089</v>
      </c>
      <c r="D357" t="s">
        <v>2090</v>
      </c>
      <c r="E357" t="s">
        <v>20</v>
      </c>
      <c r="F357" t="s">
        <v>89</v>
      </c>
      <c r="G357" t="s">
        <v>230</v>
      </c>
      <c r="H357" t="s">
        <v>80</v>
      </c>
      <c r="I357" t="s">
        <v>91</v>
      </c>
      <c r="J357" t="s">
        <v>82</v>
      </c>
      <c r="K357" t="s">
        <v>2091</v>
      </c>
      <c r="L357">
        <v>0</v>
      </c>
      <c r="M357" t="s">
        <v>2092</v>
      </c>
      <c r="N357" t="s">
        <v>2093</v>
      </c>
      <c r="O357" t="s">
        <v>173</v>
      </c>
      <c r="P357" t="s">
        <v>30</v>
      </c>
      <c r="Q357" t="s">
        <v>44</v>
      </c>
      <c r="R357" s="3">
        <v>11195</v>
      </c>
    </row>
    <row r="358" spans="1:18" x14ac:dyDescent="0.3">
      <c r="A358" t="s">
        <v>2094</v>
      </c>
      <c r="B358" t="str">
        <f>TEXT(Raw_Data[[#This Row],[Order Date]],"mmm")</f>
        <v>Apr</v>
      </c>
      <c r="C358" t="s">
        <v>2095</v>
      </c>
      <c r="D358" t="s">
        <v>2096</v>
      </c>
      <c r="E358" t="s">
        <v>35</v>
      </c>
      <c r="F358" t="s">
        <v>106</v>
      </c>
      <c r="G358" t="s">
        <v>163</v>
      </c>
      <c r="H358" t="s">
        <v>38</v>
      </c>
      <c r="I358" t="s">
        <v>60</v>
      </c>
      <c r="J358" t="s">
        <v>25</v>
      </c>
      <c r="K358" t="s">
        <v>2097</v>
      </c>
      <c r="L358">
        <v>0.1</v>
      </c>
      <c r="M358" t="s">
        <v>2098</v>
      </c>
      <c r="N358" t="s">
        <v>2099</v>
      </c>
      <c r="O358" t="s">
        <v>29</v>
      </c>
      <c r="P358" t="s">
        <v>30</v>
      </c>
      <c r="Q358" t="s">
        <v>65</v>
      </c>
      <c r="R358" s="3">
        <v>1993.22999999999</v>
      </c>
    </row>
    <row r="359" spans="1:18" x14ac:dyDescent="0.3">
      <c r="A359" t="s">
        <v>2100</v>
      </c>
      <c r="B359" t="str">
        <f>TEXT(Raw_Data[[#This Row],[Order Date]],"mmm")</f>
        <v>Apr</v>
      </c>
      <c r="C359" t="s">
        <v>2101</v>
      </c>
      <c r="D359" t="s">
        <v>2102</v>
      </c>
      <c r="E359" t="s">
        <v>35</v>
      </c>
      <c r="F359" t="s">
        <v>21</v>
      </c>
      <c r="G359" t="s">
        <v>22</v>
      </c>
      <c r="H359" t="s">
        <v>80</v>
      </c>
      <c r="I359" t="s">
        <v>116</v>
      </c>
      <c r="J359" t="s">
        <v>82</v>
      </c>
      <c r="K359" t="s">
        <v>2103</v>
      </c>
      <c r="L359">
        <v>0</v>
      </c>
      <c r="M359" t="s">
        <v>2104</v>
      </c>
      <c r="N359" t="s">
        <v>2105</v>
      </c>
      <c r="O359" t="s">
        <v>64</v>
      </c>
      <c r="P359" t="s">
        <v>30</v>
      </c>
      <c r="Q359" t="s">
        <v>44</v>
      </c>
      <c r="R359" s="3">
        <v>7931.52</v>
      </c>
    </row>
    <row r="360" spans="1:18" x14ac:dyDescent="0.3">
      <c r="A360" t="s">
        <v>2106</v>
      </c>
      <c r="B360" t="str">
        <f>TEXT(Raw_Data[[#This Row],[Order Date]],"mmm")</f>
        <v>Aug</v>
      </c>
      <c r="C360" t="s">
        <v>1053</v>
      </c>
      <c r="D360" t="s">
        <v>2107</v>
      </c>
      <c r="E360" t="s">
        <v>20</v>
      </c>
      <c r="F360" t="s">
        <v>215</v>
      </c>
      <c r="G360" t="s">
        <v>276</v>
      </c>
      <c r="H360" t="s">
        <v>107</v>
      </c>
      <c r="I360" t="s">
        <v>591</v>
      </c>
      <c r="J360" t="s">
        <v>25</v>
      </c>
      <c r="K360" t="s">
        <v>2108</v>
      </c>
      <c r="L360">
        <v>0.05</v>
      </c>
      <c r="M360" t="s">
        <v>2109</v>
      </c>
      <c r="N360" t="s">
        <v>2110</v>
      </c>
      <c r="O360" t="s">
        <v>43</v>
      </c>
      <c r="P360" t="s">
        <v>30</v>
      </c>
      <c r="Q360" t="s">
        <v>44</v>
      </c>
      <c r="R360" s="3">
        <v>2246.712</v>
      </c>
    </row>
    <row r="361" spans="1:18" x14ac:dyDescent="0.3">
      <c r="A361" t="s">
        <v>2111</v>
      </c>
      <c r="B361" t="str">
        <f>TEXT(Raw_Data[[#This Row],[Order Date]],"mmm")</f>
        <v>Aug</v>
      </c>
      <c r="C361" t="s">
        <v>2112</v>
      </c>
      <c r="D361" t="s">
        <v>2113</v>
      </c>
      <c r="E361" t="s">
        <v>48</v>
      </c>
      <c r="F361" t="s">
        <v>36</v>
      </c>
      <c r="G361" t="s">
        <v>196</v>
      </c>
      <c r="H361" t="s">
        <v>38</v>
      </c>
      <c r="I361" t="s">
        <v>71</v>
      </c>
      <c r="J361" t="s">
        <v>25</v>
      </c>
      <c r="K361" t="s">
        <v>2114</v>
      </c>
      <c r="L361">
        <v>0.1</v>
      </c>
      <c r="M361" t="s">
        <v>2115</v>
      </c>
      <c r="N361" t="s">
        <v>2116</v>
      </c>
      <c r="O361" t="s">
        <v>173</v>
      </c>
      <c r="P361" t="s">
        <v>30</v>
      </c>
      <c r="Q361" t="s">
        <v>44</v>
      </c>
      <c r="R361" s="3">
        <v>5184.4949999999999</v>
      </c>
    </row>
    <row r="362" spans="1:18" x14ac:dyDescent="0.3">
      <c r="A362" t="s">
        <v>2117</v>
      </c>
      <c r="B362" t="str">
        <f>TEXT(Raw_Data[[#This Row],[Order Date]],"mmm")</f>
        <v>Oct</v>
      </c>
      <c r="C362" t="s">
        <v>1076</v>
      </c>
      <c r="D362" t="s">
        <v>2118</v>
      </c>
      <c r="E362" t="s">
        <v>20</v>
      </c>
      <c r="F362" t="s">
        <v>69</v>
      </c>
      <c r="G362" t="s">
        <v>139</v>
      </c>
      <c r="H362" t="s">
        <v>23</v>
      </c>
      <c r="I362" t="s">
        <v>24</v>
      </c>
      <c r="J362" t="s">
        <v>50</v>
      </c>
      <c r="K362" t="s">
        <v>2119</v>
      </c>
      <c r="L362">
        <v>0.1</v>
      </c>
      <c r="M362" t="s">
        <v>2120</v>
      </c>
      <c r="N362" t="s">
        <v>2121</v>
      </c>
      <c r="O362" t="s">
        <v>43</v>
      </c>
      <c r="P362" t="s">
        <v>159</v>
      </c>
      <c r="Q362" t="s">
        <v>31</v>
      </c>
      <c r="R362" s="3">
        <v>121152.69</v>
      </c>
    </row>
    <row r="363" spans="1:18" x14ac:dyDescent="0.3">
      <c r="A363" t="s">
        <v>2122</v>
      </c>
      <c r="B363" t="str">
        <f>TEXT(Raw_Data[[#This Row],[Order Date]],"mmm")</f>
        <v>Mar</v>
      </c>
      <c r="C363" t="s">
        <v>425</v>
      </c>
      <c r="D363" t="s">
        <v>2123</v>
      </c>
      <c r="E363" t="s">
        <v>20</v>
      </c>
      <c r="F363" t="s">
        <v>78</v>
      </c>
      <c r="G363" t="s">
        <v>468</v>
      </c>
      <c r="H363" t="s">
        <v>80</v>
      </c>
      <c r="I363" t="s">
        <v>146</v>
      </c>
      <c r="J363" t="s">
        <v>25</v>
      </c>
      <c r="K363" t="s">
        <v>2124</v>
      </c>
      <c r="L363">
        <v>0.15</v>
      </c>
      <c r="M363" t="s">
        <v>2125</v>
      </c>
      <c r="N363" t="s">
        <v>2126</v>
      </c>
      <c r="O363" t="s">
        <v>43</v>
      </c>
      <c r="P363" t="s">
        <v>30</v>
      </c>
      <c r="Q363" t="s">
        <v>31</v>
      </c>
      <c r="R363" s="3">
        <v>2758.7599999999902</v>
      </c>
    </row>
    <row r="364" spans="1:18" x14ac:dyDescent="0.3">
      <c r="A364" t="s">
        <v>2127</v>
      </c>
      <c r="B364" t="str">
        <f>TEXT(Raw_Data[[#This Row],[Order Date]],"mmm")</f>
        <v>Sep</v>
      </c>
      <c r="C364" t="s">
        <v>288</v>
      </c>
      <c r="D364" t="s">
        <v>2128</v>
      </c>
      <c r="E364" t="s">
        <v>20</v>
      </c>
      <c r="F364" t="s">
        <v>215</v>
      </c>
      <c r="G364" t="s">
        <v>276</v>
      </c>
      <c r="H364" t="s">
        <v>80</v>
      </c>
      <c r="I364" t="s">
        <v>131</v>
      </c>
      <c r="J364" t="s">
        <v>25</v>
      </c>
      <c r="K364" t="s">
        <v>2129</v>
      </c>
      <c r="L364">
        <v>0</v>
      </c>
      <c r="M364" t="s">
        <v>2130</v>
      </c>
      <c r="N364" t="s">
        <v>2131</v>
      </c>
      <c r="O364" t="s">
        <v>64</v>
      </c>
      <c r="P364" t="s">
        <v>30</v>
      </c>
      <c r="Q364" t="s">
        <v>44</v>
      </c>
      <c r="R364" s="3">
        <v>1967.18</v>
      </c>
    </row>
    <row r="365" spans="1:18" x14ac:dyDescent="0.3">
      <c r="A365" t="s">
        <v>2132</v>
      </c>
      <c r="B365" t="str">
        <f>TEXT(Raw_Data[[#This Row],[Order Date]],"mmm")</f>
        <v>Feb</v>
      </c>
      <c r="C365" t="s">
        <v>2133</v>
      </c>
      <c r="D365" t="s">
        <v>2134</v>
      </c>
      <c r="E365" t="s">
        <v>20</v>
      </c>
      <c r="F365" t="s">
        <v>78</v>
      </c>
      <c r="G365" t="s">
        <v>79</v>
      </c>
      <c r="H365" t="s">
        <v>38</v>
      </c>
      <c r="I365" t="s">
        <v>39</v>
      </c>
      <c r="J365" t="s">
        <v>82</v>
      </c>
      <c r="K365" t="s">
        <v>2135</v>
      </c>
      <c r="L365">
        <v>0.15</v>
      </c>
      <c r="M365" t="s">
        <v>2136</v>
      </c>
      <c r="N365" t="s">
        <v>2137</v>
      </c>
      <c r="O365" t="s">
        <v>135</v>
      </c>
      <c r="P365" t="s">
        <v>159</v>
      </c>
      <c r="Q365" t="s">
        <v>31</v>
      </c>
      <c r="R365" s="3">
        <v>8593.84</v>
      </c>
    </row>
    <row r="366" spans="1:18" x14ac:dyDescent="0.3">
      <c r="A366" t="s">
        <v>2138</v>
      </c>
      <c r="B366" t="str">
        <f>TEXT(Raw_Data[[#This Row],[Order Date]],"mmm")</f>
        <v>Aug</v>
      </c>
      <c r="C366" t="s">
        <v>2139</v>
      </c>
      <c r="D366" t="s">
        <v>2140</v>
      </c>
      <c r="E366" t="s">
        <v>48</v>
      </c>
      <c r="F366" t="s">
        <v>78</v>
      </c>
      <c r="G366" t="s">
        <v>468</v>
      </c>
      <c r="H366" t="s">
        <v>38</v>
      </c>
      <c r="I366" t="s">
        <v>256</v>
      </c>
      <c r="J366" t="s">
        <v>25</v>
      </c>
      <c r="K366" t="s">
        <v>2141</v>
      </c>
      <c r="L366">
        <v>0.1</v>
      </c>
      <c r="M366" t="s">
        <v>2142</v>
      </c>
      <c r="N366" t="s">
        <v>2143</v>
      </c>
      <c r="O366" t="s">
        <v>64</v>
      </c>
      <c r="P366" t="s">
        <v>30</v>
      </c>
      <c r="Q366" t="s">
        <v>44</v>
      </c>
      <c r="R366" s="3">
        <v>3490.569</v>
      </c>
    </row>
    <row r="367" spans="1:18" x14ac:dyDescent="0.3">
      <c r="A367" t="s">
        <v>2144</v>
      </c>
      <c r="B367" t="str">
        <f>TEXT(Raw_Data[[#This Row],[Order Date]],"mmm")</f>
        <v>Feb</v>
      </c>
      <c r="C367" t="s">
        <v>2145</v>
      </c>
      <c r="D367" t="s">
        <v>2146</v>
      </c>
      <c r="E367" t="s">
        <v>20</v>
      </c>
      <c r="F367" t="s">
        <v>89</v>
      </c>
      <c r="G367" t="s">
        <v>99</v>
      </c>
      <c r="H367" t="s">
        <v>107</v>
      </c>
      <c r="I367" t="s">
        <v>591</v>
      </c>
      <c r="J367" t="s">
        <v>50</v>
      </c>
      <c r="K367" t="s">
        <v>2147</v>
      </c>
      <c r="L367">
        <v>0</v>
      </c>
      <c r="M367" t="s">
        <v>2148</v>
      </c>
      <c r="N367" t="s">
        <v>2149</v>
      </c>
      <c r="O367" t="s">
        <v>173</v>
      </c>
      <c r="P367" t="s">
        <v>112</v>
      </c>
      <c r="Q367" t="s">
        <v>65</v>
      </c>
      <c r="R367" s="3">
        <v>20827.439999999999</v>
      </c>
    </row>
    <row r="368" spans="1:18" x14ac:dyDescent="0.3">
      <c r="A368" t="s">
        <v>2150</v>
      </c>
      <c r="B368" t="str">
        <f>TEXT(Raw_Data[[#This Row],[Order Date]],"mmm")</f>
        <v>Sep</v>
      </c>
      <c r="C368" t="s">
        <v>2151</v>
      </c>
      <c r="D368" t="s">
        <v>2152</v>
      </c>
      <c r="E368" t="s">
        <v>48</v>
      </c>
      <c r="F368" t="s">
        <v>36</v>
      </c>
      <c r="G368" t="s">
        <v>37</v>
      </c>
      <c r="H368" t="s">
        <v>80</v>
      </c>
      <c r="I368" t="s">
        <v>146</v>
      </c>
      <c r="J368" t="s">
        <v>25</v>
      </c>
      <c r="K368" t="s">
        <v>2153</v>
      </c>
      <c r="L368">
        <v>0</v>
      </c>
      <c r="M368" t="s">
        <v>2154</v>
      </c>
      <c r="N368" t="s">
        <v>2155</v>
      </c>
      <c r="O368" t="s">
        <v>173</v>
      </c>
      <c r="P368" t="s">
        <v>30</v>
      </c>
      <c r="Q368" t="s">
        <v>44</v>
      </c>
      <c r="R368" s="3">
        <v>6741.17</v>
      </c>
    </row>
    <row r="369" spans="1:18" x14ac:dyDescent="0.3">
      <c r="A369" t="s">
        <v>2156</v>
      </c>
      <c r="B369" t="str">
        <f>TEXT(Raw_Data[[#This Row],[Order Date]],"mmm")</f>
        <v>Jun</v>
      </c>
      <c r="C369" t="s">
        <v>2157</v>
      </c>
      <c r="D369" t="s">
        <v>2158</v>
      </c>
      <c r="E369" t="s">
        <v>20</v>
      </c>
      <c r="F369" t="s">
        <v>58</v>
      </c>
      <c r="G369" t="s">
        <v>290</v>
      </c>
      <c r="H369" t="s">
        <v>80</v>
      </c>
      <c r="I369" t="s">
        <v>146</v>
      </c>
      <c r="J369" t="s">
        <v>100</v>
      </c>
      <c r="K369" t="s">
        <v>2159</v>
      </c>
      <c r="L369">
        <v>0.1</v>
      </c>
      <c r="M369" t="s">
        <v>2160</v>
      </c>
      <c r="N369" t="s">
        <v>2161</v>
      </c>
      <c r="O369" t="s">
        <v>54</v>
      </c>
      <c r="P369" t="s">
        <v>30</v>
      </c>
      <c r="Q369" t="s">
        <v>31</v>
      </c>
      <c r="R369" s="3">
        <v>11950.875</v>
      </c>
    </row>
    <row r="370" spans="1:18" x14ac:dyDescent="0.3">
      <c r="A370" t="s">
        <v>2162</v>
      </c>
      <c r="B370" t="str">
        <f>TEXT(Raw_Data[[#This Row],[Order Date]],"mmm")</f>
        <v>Jun</v>
      </c>
      <c r="C370" t="s">
        <v>2163</v>
      </c>
      <c r="D370" t="s">
        <v>2164</v>
      </c>
      <c r="E370" t="s">
        <v>48</v>
      </c>
      <c r="F370" t="s">
        <v>106</v>
      </c>
      <c r="G370" t="s">
        <v>163</v>
      </c>
      <c r="H370" t="s">
        <v>107</v>
      </c>
      <c r="I370" t="s">
        <v>469</v>
      </c>
      <c r="J370" t="s">
        <v>50</v>
      </c>
      <c r="K370" t="s">
        <v>2165</v>
      </c>
      <c r="L370">
        <v>0.15</v>
      </c>
      <c r="M370" t="s">
        <v>2166</v>
      </c>
      <c r="N370" t="s">
        <v>2167</v>
      </c>
      <c r="O370" t="s">
        <v>173</v>
      </c>
      <c r="P370" t="s">
        <v>112</v>
      </c>
      <c r="Q370" t="s">
        <v>65</v>
      </c>
      <c r="R370" s="3">
        <v>6209.6239999999998</v>
      </c>
    </row>
    <row r="371" spans="1:18" x14ac:dyDescent="0.3">
      <c r="A371" t="s">
        <v>2168</v>
      </c>
      <c r="B371" t="str">
        <f>TEXT(Raw_Data[[#This Row],[Order Date]],"mmm")</f>
        <v>Aug</v>
      </c>
      <c r="C371" t="s">
        <v>528</v>
      </c>
      <c r="D371" t="s">
        <v>2169</v>
      </c>
      <c r="E371" t="s">
        <v>35</v>
      </c>
      <c r="F371" t="s">
        <v>78</v>
      </c>
      <c r="G371" t="s">
        <v>731</v>
      </c>
      <c r="H371" t="s">
        <v>107</v>
      </c>
      <c r="I371" t="s">
        <v>277</v>
      </c>
      <c r="J371" t="s">
        <v>25</v>
      </c>
      <c r="K371" t="s">
        <v>2170</v>
      </c>
      <c r="L371">
        <v>0.1</v>
      </c>
      <c r="M371" t="s">
        <v>2171</v>
      </c>
      <c r="N371" t="s">
        <v>2172</v>
      </c>
      <c r="O371" t="s">
        <v>64</v>
      </c>
      <c r="P371" t="s">
        <v>30</v>
      </c>
      <c r="Q371" t="s">
        <v>31</v>
      </c>
      <c r="R371" s="3">
        <v>6161.2380000000003</v>
      </c>
    </row>
    <row r="372" spans="1:18" x14ac:dyDescent="0.3">
      <c r="A372" t="s">
        <v>2173</v>
      </c>
      <c r="B372" t="str">
        <f>TEXT(Raw_Data[[#This Row],[Order Date]],"mmm")</f>
        <v>May</v>
      </c>
      <c r="C372" t="s">
        <v>2174</v>
      </c>
      <c r="D372" t="s">
        <v>2175</v>
      </c>
      <c r="E372" t="s">
        <v>48</v>
      </c>
      <c r="F372" t="s">
        <v>58</v>
      </c>
      <c r="G372" t="s">
        <v>812</v>
      </c>
      <c r="H372" t="s">
        <v>107</v>
      </c>
      <c r="I372" t="s">
        <v>108</v>
      </c>
      <c r="J372" t="s">
        <v>100</v>
      </c>
      <c r="K372" t="s">
        <v>2176</v>
      </c>
      <c r="L372">
        <v>0.2</v>
      </c>
      <c r="M372" t="s">
        <v>2177</v>
      </c>
      <c r="N372" t="s">
        <v>2178</v>
      </c>
      <c r="O372" t="s">
        <v>54</v>
      </c>
      <c r="P372" t="s">
        <v>30</v>
      </c>
      <c r="Q372" t="s">
        <v>31</v>
      </c>
      <c r="R372" s="3">
        <v>22872.648000000001</v>
      </c>
    </row>
    <row r="373" spans="1:18" x14ac:dyDescent="0.3">
      <c r="A373" t="s">
        <v>2179</v>
      </c>
      <c r="B373" t="str">
        <f>TEXT(Raw_Data[[#This Row],[Order Date]],"mmm")</f>
        <v>Mar</v>
      </c>
      <c r="C373" t="s">
        <v>2180</v>
      </c>
      <c r="D373" t="s">
        <v>2181</v>
      </c>
      <c r="E373" t="s">
        <v>20</v>
      </c>
      <c r="F373" t="s">
        <v>58</v>
      </c>
      <c r="G373" t="s">
        <v>812</v>
      </c>
      <c r="H373" t="s">
        <v>107</v>
      </c>
      <c r="I373" t="s">
        <v>591</v>
      </c>
      <c r="J373" t="s">
        <v>25</v>
      </c>
      <c r="K373" t="s">
        <v>2182</v>
      </c>
      <c r="L373">
        <v>0</v>
      </c>
      <c r="M373" t="s">
        <v>2183</v>
      </c>
      <c r="N373" t="s">
        <v>2184</v>
      </c>
      <c r="O373" t="s">
        <v>54</v>
      </c>
      <c r="P373" t="s">
        <v>112</v>
      </c>
      <c r="Q373" t="s">
        <v>31</v>
      </c>
      <c r="R373" s="3">
        <v>4460.1899999999996</v>
      </c>
    </row>
    <row r="374" spans="1:18" x14ac:dyDescent="0.3">
      <c r="A374" t="s">
        <v>2185</v>
      </c>
      <c r="B374" t="str">
        <f>TEXT(Raw_Data[[#This Row],[Order Date]],"mmm")</f>
        <v>Aug</v>
      </c>
      <c r="C374" t="s">
        <v>1313</v>
      </c>
      <c r="D374" t="s">
        <v>2186</v>
      </c>
      <c r="E374" t="s">
        <v>20</v>
      </c>
      <c r="F374" t="s">
        <v>69</v>
      </c>
      <c r="G374" t="s">
        <v>328</v>
      </c>
      <c r="H374" t="s">
        <v>154</v>
      </c>
      <c r="I374" t="s">
        <v>365</v>
      </c>
      <c r="J374" t="s">
        <v>100</v>
      </c>
      <c r="K374" t="s">
        <v>2187</v>
      </c>
      <c r="L374">
        <v>0.05</v>
      </c>
      <c r="M374" t="s">
        <v>2188</v>
      </c>
      <c r="N374" t="s">
        <v>2189</v>
      </c>
      <c r="O374" t="s">
        <v>54</v>
      </c>
      <c r="P374" t="s">
        <v>112</v>
      </c>
      <c r="Q374" t="s">
        <v>44</v>
      </c>
      <c r="R374" s="3">
        <v>7252.0245000000004</v>
      </c>
    </row>
    <row r="375" spans="1:18" x14ac:dyDescent="0.3">
      <c r="A375" t="s">
        <v>2190</v>
      </c>
      <c r="B375" t="str">
        <f>TEXT(Raw_Data[[#This Row],[Order Date]],"mmm")</f>
        <v>Oct</v>
      </c>
      <c r="C375" t="s">
        <v>474</v>
      </c>
      <c r="D375" t="s">
        <v>2191</v>
      </c>
      <c r="E375" t="s">
        <v>35</v>
      </c>
      <c r="F375" t="s">
        <v>21</v>
      </c>
      <c r="G375" t="s">
        <v>130</v>
      </c>
      <c r="H375" t="s">
        <v>23</v>
      </c>
      <c r="I375" t="s">
        <v>24</v>
      </c>
      <c r="J375" t="s">
        <v>50</v>
      </c>
      <c r="K375" t="s">
        <v>2192</v>
      </c>
      <c r="L375">
        <v>0</v>
      </c>
      <c r="M375" t="s">
        <v>2193</v>
      </c>
      <c r="N375" t="s">
        <v>2194</v>
      </c>
      <c r="O375" t="s">
        <v>54</v>
      </c>
      <c r="P375" t="s">
        <v>30</v>
      </c>
      <c r="Q375" t="s">
        <v>65</v>
      </c>
      <c r="R375" s="3">
        <v>32273.08</v>
      </c>
    </row>
    <row r="376" spans="1:18" x14ac:dyDescent="0.3">
      <c r="A376" t="s">
        <v>2195</v>
      </c>
      <c r="B376" t="str">
        <f>TEXT(Raw_Data[[#This Row],[Order Date]],"mmm")</f>
        <v>Aug</v>
      </c>
      <c r="C376" t="s">
        <v>1053</v>
      </c>
      <c r="D376" t="s">
        <v>2196</v>
      </c>
      <c r="E376" t="s">
        <v>35</v>
      </c>
      <c r="F376" t="s">
        <v>106</v>
      </c>
      <c r="G376" t="s">
        <v>106</v>
      </c>
      <c r="H376" t="s">
        <v>80</v>
      </c>
      <c r="I376" t="s">
        <v>91</v>
      </c>
      <c r="J376" t="s">
        <v>25</v>
      </c>
      <c r="K376" t="s">
        <v>2197</v>
      </c>
      <c r="L376">
        <v>0.05</v>
      </c>
      <c r="M376" t="s">
        <v>2198</v>
      </c>
      <c r="N376" t="s">
        <v>2199</v>
      </c>
      <c r="O376" t="s">
        <v>173</v>
      </c>
      <c r="P376" t="s">
        <v>30</v>
      </c>
      <c r="Q376" t="s">
        <v>65</v>
      </c>
      <c r="R376" s="3">
        <v>3172.5819999999999</v>
      </c>
    </row>
    <row r="377" spans="1:18" x14ac:dyDescent="0.3">
      <c r="A377" t="s">
        <v>2200</v>
      </c>
      <c r="B377" t="str">
        <f>TEXT(Raw_Data[[#This Row],[Order Date]],"mmm")</f>
        <v>Dec</v>
      </c>
      <c r="C377" t="s">
        <v>1093</v>
      </c>
      <c r="D377" t="s">
        <v>2201</v>
      </c>
      <c r="E377" t="s">
        <v>20</v>
      </c>
      <c r="F377" t="s">
        <v>89</v>
      </c>
      <c r="G377" t="s">
        <v>230</v>
      </c>
      <c r="H377" t="s">
        <v>154</v>
      </c>
      <c r="I377" t="s">
        <v>155</v>
      </c>
      <c r="J377" t="s">
        <v>25</v>
      </c>
      <c r="K377" t="s">
        <v>2202</v>
      </c>
      <c r="L377">
        <v>0.15</v>
      </c>
      <c r="M377" t="s">
        <v>2203</v>
      </c>
      <c r="N377" t="s">
        <v>2204</v>
      </c>
      <c r="O377" t="s">
        <v>173</v>
      </c>
      <c r="P377" t="s">
        <v>30</v>
      </c>
      <c r="Q377" t="s">
        <v>31</v>
      </c>
      <c r="R377" s="3">
        <v>3880.1905000000002</v>
      </c>
    </row>
    <row r="378" spans="1:18" x14ac:dyDescent="0.3">
      <c r="A378" t="s">
        <v>2205</v>
      </c>
      <c r="B378" t="str">
        <f>TEXT(Raw_Data[[#This Row],[Order Date]],"mmm")</f>
        <v>Dec</v>
      </c>
      <c r="C378" t="s">
        <v>2206</v>
      </c>
      <c r="D378" t="s">
        <v>2207</v>
      </c>
      <c r="E378" t="s">
        <v>35</v>
      </c>
      <c r="F378" t="s">
        <v>78</v>
      </c>
      <c r="G378" t="s">
        <v>79</v>
      </c>
      <c r="H378" t="s">
        <v>38</v>
      </c>
      <c r="I378" t="s">
        <v>60</v>
      </c>
      <c r="J378" t="s">
        <v>82</v>
      </c>
      <c r="K378" t="s">
        <v>2208</v>
      </c>
      <c r="L378">
        <v>0.05</v>
      </c>
      <c r="M378" t="s">
        <v>2209</v>
      </c>
      <c r="N378" t="s">
        <v>2210</v>
      </c>
      <c r="O378" t="s">
        <v>54</v>
      </c>
      <c r="P378" t="s">
        <v>30</v>
      </c>
      <c r="Q378" t="s">
        <v>44</v>
      </c>
      <c r="R378" s="3">
        <v>3592.8240000000001</v>
      </c>
    </row>
    <row r="379" spans="1:18" x14ac:dyDescent="0.3">
      <c r="A379" t="s">
        <v>2211</v>
      </c>
      <c r="B379" t="str">
        <f>TEXT(Raw_Data[[#This Row],[Order Date]],"mmm")</f>
        <v>Jan</v>
      </c>
      <c r="C379" t="s">
        <v>1878</v>
      </c>
      <c r="D379" t="s">
        <v>2212</v>
      </c>
      <c r="E379" t="s">
        <v>35</v>
      </c>
      <c r="F379" t="s">
        <v>69</v>
      </c>
      <c r="G379" t="s">
        <v>328</v>
      </c>
      <c r="H379" t="s">
        <v>154</v>
      </c>
      <c r="I379" t="s">
        <v>365</v>
      </c>
      <c r="J379" t="s">
        <v>50</v>
      </c>
      <c r="K379" t="s">
        <v>2213</v>
      </c>
      <c r="L379">
        <v>0.15</v>
      </c>
      <c r="M379" t="s">
        <v>2214</v>
      </c>
      <c r="N379" t="s">
        <v>2215</v>
      </c>
      <c r="O379" t="s">
        <v>173</v>
      </c>
      <c r="P379" t="s">
        <v>30</v>
      </c>
      <c r="Q379" t="s">
        <v>65</v>
      </c>
      <c r="R379" s="3">
        <v>13982.959000000001</v>
      </c>
    </row>
    <row r="380" spans="1:18" x14ac:dyDescent="0.3">
      <c r="A380" t="s">
        <v>2216</v>
      </c>
      <c r="B380" t="str">
        <f>TEXT(Raw_Data[[#This Row],[Order Date]],"mmm")</f>
        <v>Oct</v>
      </c>
      <c r="C380" t="s">
        <v>2217</v>
      </c>
      <c r="D380" t="s">
        <v>2218</v>
      </c>
      <c r="E380" t="s">
        <v>20</v>
      </c>
      <c r="F380" t="s">
        <v>58</v>
      </c>
      <c r="G380" t="s">
        <v>290</v>
      </c>
      <c r="H380" t="s">
        <v>107</v>
      </c>
      <c r="I380" t="s">
        <v>591</v>
      </c>
      <c r="J380" t="s">
        <v>100</v>
      </c>
      <c r="K380" t="s">
        <v>2219</v>
      </c>
      <c r="L380">
        <v>0.1</v>
      </c>
      <c r="M380" t="s">
        <v>2220</v>
      </c>
      <c r="N380" t="s">
        <v>2221</v>
      </c>
      <c r="O380" t="s">
        <v>64</v>
      </c>
      <c r="P380" t="s">
        <v>30</v>
      </c>
      <c r="Q380" t="s">
        <v>31</v>
      </c>
      <c r="R380" s="3">
        <v>18872.811000000002</v>
      </c>
    </row>
    <row r="381" spans="1:18" x14ac:dyDescent="0.3">
      <c r="A381" t="s">
        <v>2222</v>
      </c>
      <c r="B381" t="str">
        <f>TEXT(Raw_Data[[#This Row],[Order Date]],"mmm")</f>
        <v>Jun</v>
      </c>
      <c r="C381" t="s">
        <v>2223</v>
      </c>
      <c r="D381" t="s">
        <v>2224</v>
      </c>
      <c r="E381" t="s">
        <v>48</v>
      </c>
      <c r="F381" t="s">
        <v>21</v>
      </c>
      <c r="G381" t="s">
        <v>22</v>
      </c>
      <c r="H381" t="s">
        <v>107</v>
      </c>
      <c r="I381" t="s">
        <v>108</v>
      </c>
      <c r="J381" t="s">
        <v>25</v>
      </c>
      <c r="K381" t="s">
        <v>2225</v>
      </c>
      <c r="L381">
        <v>0.05</v>
      </c>
      <c r="M381" t="s">
        <v>2226</v>
      </c>
      <c r="N381" t="s">
        <v>2227</v>
      </c>
      <c r="O381" t="s">
        <v>29</v>
      </c>
      <c r="P381" t="s">
        <v>30</v>
      </c>
      <c r="Q381" t="s">
        <v>44</v>
      </c>
      <c r="R381" s="3">
        <v>8938.6355000000003</v>
      </c>
    </row>
    <row r="382" spans="1:18" x14ac:dyDescent="0.3">
      <c r="A382" t="s">
        <v>2228</v>
      </c>
      <c r="B382" t="str">
        <f>TEXT(Raw_Data[[#This Row],[Order Date]],"mmm")</f>
        <v>May</v>
      </c>
      <c r="C382" t="s">
        <v>810</v>
      </c>
      <c r="D382" t="s">
        <v>2229</v>
      </c>
      <c r="E382" t="s">
        <v>48</v>
      </c>
      <c r="F382" t="s">
        <v>89</v>
      </c>
      <c r="G382" t="s">
        <v>90</v>
      </c>
      <c r="H382" t="s">
        <v>38</v>
      </c>
      <c r="I382" t="s">
        <v>60</v>
      </c>
      <c r="J382" t="s">
        <v>25</v>
      </c>
      <c r="K382" t="s">
        <v>2230</v>
      </c>
      <c r="L382">
        <v>0.1</v>
      </c>
      <c r="M382" t="s">
        <v>2231</v>
      </c>
      <c r="N382" t="s">
        <v>2232</v>
      </c>
      <c r="O382" t="s">
        <v>64</v>
      </c>
      <c r="P382" t="s">
        <v>30</v>
      </c>
      <c r="Q382" t="s">
        <v>65</v>
      </c>
      <c r="R382" s="3">
        <v>4598.1450000000004</v>
      </c>
    </row>
    <row r="383" spans="1:18" x14ac:dyDescent="0.3">
      <c r="A383" t="s">
        <v>2233</v>
      </c>
      <c r="B383" t="str">
        <f>TEXT(Raw_Data[[#This Row],[Order Date]],"mmm")</f>
        <v>Jan</v>
      </c>
      <c r="C383" t="s">
        <v>207</v>
      </c>
      <c r="D383" t="s">
        <v>2234</v>
      </c>
      <c r="E383" t="s">
        <v>20</v>
      </c>
      <c r="F383" t="s">
        <v>106</v>
      </c>
      <c r="G383" t="s">
        <v>163</v>
      </c>
      <c r="H383" t="s">
        <v>154</v>
      </c>
      <c r="I383" t="s">
        <v>309</v>
      </c>
      <c r="J383" t="s">
        <v>25</v>
      </c>
      <c r="K383" t="s">
        <v>2235</v>
      </c>
      <c r="L383">
        <v>0.1</v>
      </c>
      <c r="M383" t="s">
        <v>2236</v>
      </c>
      <c r="N383" t="s">
        <v>2237</v>
      </c>
      <c r="O383" t="s">
        <v>54</v>
      </c>
      <c r="P383" t="s">
        <v>30</v>
      </c>
      <c r="Q383" t="s">
        <v>44</v>
      </c>
      <c r="R383" s="3">
        <v>5455.6109999999999</v>
      </c>
    </row>
    <row r="384" spans="1:18" x14ac:dyDescent="0.3">
      <c r="A384" t="s">
        <v>2238</v>
      </c>
      <c r="B384" t="str">
        <f>TEXT(Raw_Data[[#This Row],[Order Date]],"mmm")</f>
        <v>Mar</v>
      </c>
      <c r="C384" t="s">
        <v>425</v>
      </c>
      <c r="D384" t="s">
        <v>2239</v>
      </c>
      <c r="E384" t="s">
        <v>35</v>
      </c>
      <c r="F384" t="s">
        <v>215</v>
      </c>
      <c r="G384" t="s">
        <v>216</v>
      </c>
      <c r="H384" t="s">
        <v>23</v>
      </c>
      <c r="I384" t="s">
        <v>49</v>
      </c>
      <c r="J384" t="s">
        <v>50</v>
      </c>
      <c r="K384" t="s">
        <v>2240</v>
      </c>
      <c r="L384">
        <v>0.05</v>
      </c>
      <c r="M384" t="s">
        <v>2241</v>
      </c>
      <c r="N384" t="s">
        <v>2242</v>
      </c>
      <c r="O384" t="s">
        <v>43</v>
      </c>
      <c r="P384" t="s">
        <v>30</v>
      </c>
      <c r="Q384" t="s">
        <v>44</v>
      </c>
      <c r="R384" s="3">
        <v>26642.161</v>
      </c>
    </row>
    <row r="385" spans="1:18" x14ac:dyDescent="0.3">
      <c r="A385" t="s">
        <v>2243</v>
      </c>
      <c r="B385" t="str">
        <f>TEXT(Raw_Data[[#This Row],[Order Date]],"mmm")</f>
        <v>Mar</v>
      </c>
      <c r="C385" t="s">
        <v>2244</v>
      </c>
      <c r="D385" t="s">
        <v>2245</v>
      </c>
      <c r="E385" t="s">
        <v>48</v>
      </c>
      <c r="F385" t="s">
        <v>58</v>
      </c>
      <c r="G385" t="s">
        <v>812</v>
      </c>
      <c r="H385" t="s">
        <v>154</v>
      </c>
      <c r="I385" t="s">
        <v>155</v>
      </c>
      <c r="J385" t="s">
        <v>50</v>
      </c>
      <c r="K385" t="s">
        <v>2246</v>
      </c>
      <c r="L385">
        <v>0.1</v>
      </c>
      <c r="M385" t="s">
        <v>2247</v>
      </c>
      <c r="N385" t="s">
        <v>2248</v>
      </c>
      <c r="O385" t="s">
        <v>43</v>
      </c>
      <c r="P385" t="s">
        <v>30</v>
      </c>
      <c r="Q385" t="s">
        <v>65</v>
      </c>
      <c r="R385" s="3">
        <v>10640.915999999999</v>
      </c>
    </row>
    <row r="386" spans="1:18" x14ac:dyDescent="0.3">
      <c r="A386" t="s">
        <v>2249</v>
      </c>
      <c r="B386" t="str">
        <f>TEXT(Raw_Data[[#This Row],[Order Date]],"mmm")</f>
        <v>Sep</v>
      </c>
      <c r="C386" t="s">
        <v>188</v>
      </c>
      <c r="D386" t="s">
        <v>2250</v>
      </c>
      <c r="E386" t="s">
        <v>35</v>
      </c>
      <c r="F386" t="s">
        <v>215</v>
      </c>
      <c r="G386" t="s">
        <v>276</v>
      </c>
      <c r="H386" t="s">
        <v>80</v>
      </c>
      <c r="I386" t="s">
        <v>116</v>
      </c>
      <c r="J386" t="s">
        <v>50</v>
      </c>
      <c r="K386" t="s">
        <v>2251</v>
      </c>
      <c r="L386">
        <v>0.15</v>
      </c>
      <c r="M386" t="s">
        <v>2252</v>
      </c>
      <c r="N386" t="s">
        <v>2253</v>
      </c>
      <c r="O386" t="s">
        <v>173</v>
      </c>
      <c r="P386" t="s">
        <v>30</v>
      </c>
      <c r="Q386" t="s">
        <v>44</v>
      </c>
      <c r="R386" s="3">
        <v>4052.511</v>
      </c>
    </row>
    <row r="387" spans="1:18" x14ac:dyDescent="0.3">
      <c r="A387" t="s">
        <v>2254</v>
      </c>
      <c r="B387" t="str">
        <f>TEXT(Raw_Data[[#This Row],[Order Date]],"mmm")</f>
        <v>Oct</v>
      </c>
      <c r="C387" t="s">
        <v>2255</v>
      </c>
      <c r="D387" t="s">
        <v>2256</v>
      </c>
      <c r="E387" t="s">
        <v>48</v>
      </c>
      <c r="F387" t="s">
        <v>21</v>
      </c>
      <c r="G387" t="s">
        <v>22</v>
      </c>
      <c r="H387" t="s">
        <v>107</v>
      </c>
      <c r="I387" t="s">
        <v>591</v>
      </c>
      <c r="J387" t="s">
        <v>50</v>
      </c>
      <c r="K387" t="s">
        <v>2257</v>
      </c>
      <c r="L387">
        <v>0.1</v>
      </c>
      <c r="M387" t="s">
        <v>2258</v>
      </c>
      <c r="N387" t="s">
        <v>2259</v>
      </c>
      <c r="O387" t="s">
        <v>43</v>
      </c>
      <c r="P387" t="s">
        <v>30</v>
      </c>
      <c r="Q387" t="s">
        <v>44</v>
      </c>
      <c r="R387" s="3">
        <v>3887.2620000000002</v>
      </c>
    </row>
    <row r="388" spans="1:18" x14ac:dyDescent="0.3">
      <c r="A388" t="s">
        <v>2260</v>
      </c>
      <c r="B388" t="str">
        <f>TEXT(Raw_Data[[#This Row],[Order Date]],"mmm")</f>
        <v>Jul</v>
      </c>
      <c r="C388" t="s">
        <v>2261</v>
      </c>
      <c r="D388" t="s">
        <v>2262</v>
      </c>
      <c r="E388" t="s">
        <v>35</v>
      </c>
      <c r="F388" t="s">
        <v>106</v>
      </c>
      <c r="G388" t="s">
        <v>163</v>
      </c>
      <c r="H388" t="s">
        <v>23</v>
      </c>
      <c r="I388" t="s">
        <v>24</v>
      </c>
      <c r="J388" t="s">
        <v>50</v>
      </c>
      <c r="K388" t="s">
        <v>2263</v>
      </c>
      <c r="L388">
        <v>0.15</v>
      </c>
      <c r="M388" t="s">
        <v>2264</v>
      </c>
      <c r="N388" t="s">
        <v>2265</v>
      </c>
      <c r="O388" t="s">
        <v>64</v>
      </c>
      <c r="P388" t="s">
        <v>112</v>
      </c>
      <c r="Q388" t="s">
        <v>44</v>
      </c>
      <c r="R388" s="3">
        <v>115755.617999999</v>
      </c>
    </row>
    <row r="389" spans="1:18" x14ac:dyDescent="0.3">
      <c r="A389" t="s">
        <v>2266</v>
      </c>
      <c r="B389" t="str">
        <f>TEXT(Raw_Data[[#This Row],[Order Date]],"mmm")</f>
        <v>Aug</v>
      </c>
      <c r="C389" t="s">
        <v>1442</v>
      </c>
      <c r="D389" t="s">
        <v>2267</v>
      </c>
      <c r="E389" t="s">
        <v>20</v>
      </c>
      <c r="F389" t="s">
        <v>36</v>
      </c>
      <c r="G389" t="s">
        <v>153</v>
      </c>
      <c r="H389" t="s">
        <v>80</v>
      </c>
      <c r="I389" t="s">
        <v>116</v>
      </c>
      <c r="J389" t="s">
        <v>25</v>
      </c>
      <c r="K389" t="s">
        <v>2268</v>
      </c>
      <c r="L389">
        <v>0.05</v>
      </c>
      <c r="M389" t="s">
        <v>2269</v>
      </c>
      <c r="N389" t="s">
        <v>2270</v>
      </c>
      <c r="O389" t="s">
        <v>29</v>
      </c>
      <c r="P389" t="s">
        <v>30</v>
      </c>
      <c r="Q389" t="s">
        <v>65</v>
      </c>
      <c r="R389" s="3">
        <v>3587.7415000000001</v>
      </c>
    </row>
    <row r="390" spans="1:18" x14ac:dyDescent="0.3">
      <c r="A390" t="s">
        <v>2271</v>
      </c>
      <c r="B390" t="str">
        <f>TEXT(Raw_Data[[#This Row],[Order Date]],"mmm")</f>
        <v>Jun</v>
      </c>
      <c r="C390" t="s">
        <v>2272</v>
      </c>
      <c r="D390" t="s">
        <v>2273</v>
      </c>
      <c r="E390" t="s">
        <v>20</v>
      </c>
      <c r="F390" t="s">
        <v>106</v>
      </c>
      <c r="G390" t="s">
        <v>106</v>
      </c>
      <c r="H390" t="s">
        <v>23</v>
      </c>
      <c r="I390" t="s">
        <v>24</v>
      </c>
      <c r="J390" t="s">
        <v>50</v>
      </c>
      <c r="K390" t="s">
        <v>2274</v>
      </c>
      <c r="L390">
        <v>0.05</v>
      </c>
      <c r="M390" t="s">
        <v>2275</v>
      </c>
      <c r="N390" t="s">
        <v>2276</v>
      </c>
      <c r="O390" t="s">
        <v>29</v>
      </c>
      <c r="P390" t="s">
        <v>30</v>
      </c>
      <c r="Q390" t="s">
        <v>31</v>
      </c>
      <c r="R390" s="3">
        <v>62869.422999999901</v>
      </c>
    </row>
    <row r="391" spans="1:18" x14ac:dyDescent="0.3">
      <c r="A391" t="s">
        <v>2277</v>
      </c>
      <c r="B391" t="str">
        <f>TEXT(Raw_Data[[#This Row],[Order Date]],"mmm")</f>
        <v>Aug</v>
      </c>
      <c r="C391" t="s">
        <v>2112</v>
      </c>
      <c r="D391" t="s">
        <v>2278</v>
      </c>
      <c r="E391" t="s">
        <v>20</v>
      </c>
      <c r="F391" t="s">
        <v>106</v>
      </c>
      <c r="G391" t="s">
        <v>106</v>
      </c>
      <c r="H391" t="s">
        <v>80</v>
      </c>
      <c r="I391" t="s">
        <v>81</v>
      </c>
      <c r="J391" t="s">
        <v>25</v>
      </c>
      <c r="K391" t="s">
        <v>2279</v>
      </c>
      <c r="L391">
        <v>0.1</v>
      </c>
      <c r="M391" t="s">
        <v>2280</v>
      </c>
      <c r="N391" t="s">
        <v>2281</v>
      </c>
      <c r="O391" t="s">
        <v>43</v>
      </c>
      <c r="P391" t="s">
        <v>30</v>
      </c>
      <c r="Q391" t="s">
        <v>44</v>
      </c>
      <c r="R391" s="3">
        <v>5097.3209999999999</v>
      </c>
    </row>
    <row r="392" spans="1:18" x14ac:dyDescent="0.3">
      <c r="A392" t="s">
        <v>2282</v>
      </c>
      <c r="B392" t="str">
        <f>TEXT(Raw_Data[[#This Row],[Order Date]],"mmm")</f>
        <v>Nov</v>
      </c>
      <c r="C392" t="s">
        <v>443</v>
      </c>
      <c r="D392" t="s">
        <v>2283</v>
      </c>
      <c r="E392" t="s">
        <v>35</v>
      </c>
      <c r="F392" t="s">
        <v>36</v>
      </c>
      <c r="G392" t="s">
        <v>153</v>
      </c>
      <c r="H392" t="s">
        <v>80</v>
      </c>
      <c r="I392" t="s">
        <v>146</v>
      </c>
      <c r="J392" t="s">
        <v>50</v>
      </c>
      <c r="K392" t="s">
        <v>2284</v>
      </c>
      <c r="L392">
        <v>0</v>
      </c>
      <c r="M392" t="s">
        <v>2285</v>
      </c>
      <c r="N392" t="s">
        <v>2286</v>
      </c>
      <c r="O392" t="s">
        <v>173</v>
      </c>
      <c r="P392" t="s">
        <v>30</v>
      </c>
      <c r="Q392" t="s">
        <v>65</v>
      </c>
      <c r="R392" s="3">
        <v>6082.8</v>
      </c>
    </row>
    <row r="393" spans="1:18" x14ac:dyDescent="0.3">
      <c r="A393" t="s">
        <v>2287</v>
      </c>
      <c r="B393" t="str">
        <f>TEXT(Raw_Data[[#This Row],[Order Date]],"mmm")</f>
        <v>Apr</v>
      </c>
      <c r="C393" t="s">
        <v>454</v>
      </c>
      <c r="D393" t="s">
        <v>2288</v>
      </c>
      <c r="E393" t="s">
        <v>48</v>
      </c>
      <c r="F393" t="s">
        <v>78</v>
      </c>
      <c r="G393" t="s">
        <v>468</v>
      </c>
      <c r="H393" t="s">
        <v>80</v>
      </c>
      <c r="I393" t="s">
        <v>146</v>
      </c>
      <c r="J393" t="s">
        <v>25</v>
      </c>
      <c r="K393" t="s">
        <v>2289</v>
      </c>
      <c r="L393">
        <v>0.1</v>
      </c>
      <c r="M393" t="s">
        <v>2290</v>
      </c>
      <c r="N393" t="s">
        <v>2291</v>
      </c>
      <c r="O393" t="s">
        <v>43</v>
      </c>
      <c r="P393" t="s">
        <v>30</v>
      </c>
      <c r="Q393" t="s">
        <v>44</v>
      </c>
      <c r="R393" s="3">
        <v>297.188999999999</v>
      </c>
    </row>
    <row r="394" spans="1:18" x14ac:dyDescent="0.3">
      <c r="A394" t="s">
        <v>2292</v>
      </c>
      <c r="B394" t="str">
        <f>TEXT(Raw_Data[[#This Row],[Order Date]],"mmm")</f>
        <v>Mar</v>
      </c>
      <c r="C394" t="s">
        <v>2293</v>
      </c>
      <c r="D394" t="s">
        <v>2294</v>
      </c>
      <c r="E394" t="s">
        <v>20</v>
      </c>
      <c r="F394" t="s">
        <v>36</v>
      </c>
      <c r="G394" t="s">
        <v>196</v>
      </c>
      <c r="H394" t="s">
        <v>80</v>
      </c>
      <c r="I394" t="s">
        <v>91</v>
      </c>
      <c r="J394" t="s">
        <v>25</v>
      </c>
      <c r="K394" t="s">
        <v>2295</v>
      </c>
      <c r="L394">
        <v>0.05</v>
      </c>
      <c r="M394" t="s">
        <v>2296</v>
      </c>
      <c r="N394" t="s">
        <v>2297</v>
      </c>
      <c r="O394" t="s">
        <v>173</v>
      </c>
      <c r="P394" t="s">
        <v>30</v>
      </c>
      <c r="Q394" t="s">
        <v>31</v>
      </c>
      <c r="R394" s="3">
        <v>5536.5999999999904</v>
      </c>
    </row>
    <row r="395" spans="1:18" x14ac:dyDescent="0.3">
      <c r="A395" t="s">
        <v>2298</v>
      </c>
      <c r="B395" t="str">
        <f>TEXT(Raw_Data[[#This Row],[Order Date]],"mmm")</f>
        <v>May</v>
      </c>
      <c r="C395" t="s">
        <v>2299</v>
      </c>
      <c r="D395" t="s">
        <v>2300</v>
      </c>
      <c r="E395" t="s">
        <v>20</v>
      </c>
      <c r="F395" t="s">
        <v>89</v>
      </c>
      <c r="G395" t="s">
        <v>230</v>
      </c>
      <c r="H395" t="s">
        <v>80</v>
      </c>
      <c r="I395" t="s">
        <v>131</v>
      </c>
      <c r="J395" t="s">
        <v>25</v>
      </c>
      <c r="K395" t="s">
        <v>2301</v>
      </c>
      <c r="L395">
        <v>0.15</v>
      </c>
      <c r="M395" t="s">
        <v>2302</v>
      </c>
      <c r="N395" t="s">
        <v>2303</v>
      </c>
      <c r="O395" t="s">
        <v>54</v>
      </c>
      <c r="P395" t="s">
        <v>30</v>
      </c>
      <c r="Q395" t="s">
        <v>44</v>
      </c>
      <c r="R395" s="3">
        <v>1724.4884999999999</v>
      </c>
    </row>
    <row r="396" spans="1:18" x14ac:dyDescent="0.3">
      <c r="A396" t="s">
        <v>2304</v>
      </c>
      <c r="B396" t="str">
        <f>TEXT(Raw_Data[[#This Row],[Order Date]],"mmm")</f>
        <v>Jul</v>
      </c>
      <c r="C396" t="s">
        <v>2305</v>
      </c>
      <c r="D396" t="s">
        <v>2306</v>
      </c>
      <c r="E396" t="s">
        <v>48</v>
      </c>
      <c r="F396" t="s">
        <v>89</v>
      </c>
      <c r="G396" t="s">
        <v>99</v>
      </c>
      <c r="H396" t="s">
        <v>107</v>
      </c>
      <c r="I396" t="s">
        <v>277</v>
      </c>
      <c r="J396" t="s">
        <v>50</v>
      </c>
      <c r="K396" t="s">
        <v>2307</v>
      </c>
      <c r="L396">
        <v>0.1</v>
      </c>
      <c r="M396" t="s">
        <v>2308</v>
      </c>
      <c r="N396" t="s">
        <v>2309</v>
      </c>
      <c r="O396" t="s">
        <v>43</v>
      </c>
      <c r="P396" t="s">
        <v>30</v>
      </c>
      <c r="Q396" t="s">
        <v>31</v>
      </c>
      <c r="R396" s="3">
        <v>2597.6880000000001</v>
      </c>
    </row>
    <row r="397" spans="1:18" x14ac:dyDescent="0.3">
      <c r="A397" t="s">
        <v>2310</v>
      </c>
      <c r="B397" t="str">
        <f>TEXT(Raw_Data[[#This Row],[Order Date]],"mmm")</f>
        <v>Jan</v>
      </c>
      <c r="C397" t="s">
        <v>1015</v>
      </c>
      <c r="D397" t="s">
        <v>2311</v>
      </c>
      <c r="E397" t="s">
        <v>35</v>
      </c>
      <c r="F397" t="s">
        <v>36</v>
      </c>
      <c r="G397" t="s">
        <v>414</v>
      </c>
      <c r="H397" t="s">
        <v>80</v>
      </c>
      <c r="I397" t="s">
        <v>81</v>
      </c>
      <c r="J397" t="s">
        <v>50</v>
      </c>
      <c r="K397" t="s">
        <v>2312</v>
      </c>
      <c r="L397">
        <v>0</v>
      </c>
      <c r="M397" t="s">
        <v>2313</v>
      </c>
      <c r="N397" t="s">
        <v>2314</v>
      </c>
      <c r="O397" t="s">
        <v>29</v>
      </c>
      <c r="P397" t="s">
        <v>30</v>
      </c>
      <c r="Q397" t="s">
        <v>65</v>
      </c>
      <c r="R397" s="3">
        <v>11320.34</v>
      </c>
    </row>
    <row r="398" spans="1:18" x14ac:dyDescent="0.3">
      <c r="A398" t="s">
        <v>2315</v>
      </c>
      <c r="B398" t="str">
        <f>TEXT(Raw_Data[[#This Row],[Order Date]],"mmm")</f>
        <v>Oct</v>
      </c>
      <c r="C398" t="s">
        <v>2316</v>
      </c>
      <c r="D398" t="s">
        <v>2317</v>
      </c>
      <c r="E398" t="s">
        <v>35</v>
      </c>
      <c r="F398" t="s">
        <v>89</v>
      </c>
      <c r="G398" t="s">
        <v>230</v>
      </c>
      <c r="H398" t="s">
        <v>38</v>
      </c>
      <c r="I398" t="s">
        <v>39</v>
      </c>
      <c r="J398" t="s">
        <v>25</v>
      </c>
      <c r="K398" t="s">
        <v>2318</v>
      </c>
      <c r="L398">
        <v>0.05</v>
      </c>
      <c r="M398" t="s">
        <v>2319</v>
      </c>
      <c r="N398" t="s">
        <v>2320</v>
      </c>
      <c r="O398" t="s">
        <v>29</v>
      </c>
      <c r="P398" t="s">
        <v>95</v>
      </c>
      <c r="Q398" t="s">
        <v>44</v>
      </c>
      <c r="R398" s="3">
        <v>1880.088</v>
      </c>
    </row>
    <row r="399" spans="1:18" x14ac:dyDescent="0.3">
      <c r="A399" t="s">
        <v>2321</v>
      </c>
      <c r="B399" t="str">
        <f>TEXT(Raw_Data[[#This Row],[Order Date]],"mmm")</f>
        <v>Jan</v>
      </c>
      <c r="C399" t="s">
        <v>1878</v>
      </c>
      <c r="D399" t="s">
        <v>2322</v>
      </c>
      <c r="E399" t="s">
        <v>48</v>
      </c>
      <c r="F399" t="s">
        <v>21</v>
      </c>
      <c r="G399" t="s">
        <v>22</v>
      </c>
      <c r="H399" t="s">
        <v>107</v>
      </c>
      <c r="I399" t="s">
        <v>277</v>
      </c>
      <c r="J399" t="s">
        <v>25</v>
      </c>
      <c r="K399" t="s">
        <v>2323</v>
      </c>
      <c r="L399">
        <v>0.05</v>
      </c>
      <c r="M399" t="s">
        <v>2324</v>
      </c>
      <c r="N399" t="s">
        <v>2325</v>
      </c>
      <c r="O399" t="s">
        <v>29</v>
      </c>
      <c r="P399" t="s">
        <v>30</v>
      </c>
      <c r="Q399" t="s">
        <v>65</v>
      </c>
      <c r="R399" s="3">
        <v>2360.2559999999999</v>
      </c>
    </row>
    <row r="400" spans="1:18" x14ac:dyDescent="0.3">
      <c r="A400" t="s">
        <v>2326</v>
      </c>
      <c r="B400" t="str">
        <f>TEXT(Raw_Data[[#This Row],[Order Date]],"mmm")</f>
        <v>Aug</v>
      </c>
      <c r="C400" t="s">
        <v>1155</v>
      </c>
      <c r="D400" t="s">
        <v>2327</v>
      </c>
      <c r="E400" t="s">
        <v>35</v>
      </c>
      <c r="F400" t="s">
        <v>58</v>
      </c>
      <c r="G400" t="s">
        <v>812</v>
      </c>
      <c r="H400" t="s">
        <v>154</v>
      </c>
      <c r="I400" t="s">
        <v>155</v>
      </c>
      <c r="J400" t="s">
        <v>25</v>
      </c>
      <c r="K400" t="s">
        <v>2328</v>
      </c>
      <c r="L400">
        <v>0.15</v>
      </c>
      <c r="M400" t="s">
        <v>2329</v>
      </c>
      <c r="N400" t="s">
        <v>2330</v>
      </c>
      <c r="O400" t="s">
        <v>43</v>
      </c>
      <c r="P400" t="s">
        <v>30</v>
      </c>
      <c r="Q400" t="s">
        <v>65</v>
      </c>
      <c r="R400" s="3">
        <v>1132.319</v>
      </c>
    </row>
    <row r="401" spans="1:18" x14ac:dyDescent="0.3">
      <c r="A401" t="s">
        <v>2331</v>
      </c>
      <c r="B401" t="str">
        <f>TEXT(Raw_Data[[#This Row],[Order Date]],"mmm")</f>
        <v>Dec</v>
      </c>
      <c r="C401" t="s">
        <v>2332</v>
      </c>
      <c r="D401" t="s">
        <v>2333</v>
      </c>
      <c r="E401" t="s">
        <v>35</v>
      </c>
      <c r="F401" t="s">
        <v>21</v>
      </c>
      <c r="G401" t="s">
        <v>22</v>
      </c>
      <c r="H401" t="s">
        <v>80</v>
      </c>
      <c r="I401" t="s">
        <v>81</v>
      </c>
      <c r="J401" t="s">
        <v>25</v>
      </c>
      <c r="K401" t="s">
        <v>2334</v>
      </c>
      <c r="L401">
        <v>0</v>
      </c>
      <c r="M401" t="s">
        <v>2335</v>
      </c>
      <c r="N401" t="s">
        <v>2336</v>
      </c>
      <c r="O401" t="s">
        <v>173</v>
      </c>
      <c r="P401" t="s">
        <v>30</v>
      </c>
      <c r="Q401" t="s">
        <v>31</v>
      </c>
      <c r="R401" s="3">
        <v>1041.58</v>
      </c>
    </row>
    <row r="402" spans="1:18" x14ac:dyDescent="0.3">
      <c r="A402" t="s">
        <v>2337</v>
      </c>
      <c r="B402" t="str">
        <f>TEXT(Raw_Data[[#This Row],[Order Date]],"mmm")</f>
        <v>Apr</v>
      </c>
      <c r="C402" t="s">
        <v>2338</v>
      </c>
      <c r="D402" t="s">
        <v>2339</v>
      </c>
      <c r="E402" t="s">
        <v>48</v>
      </c>
      <c r="F402" t="s">
        <v>215</v>
      </c>
      <c r="G402" t="s">
        <v>216</v>
      </c>
      <c r="H402" t="s">
        <v>154</v>
      </c>
      <c r="I402" t="s">
        <v>1061</v>
      </c>
      <c r="J402" t="s">
        <v>25</v>
      </c>
      <c r="K402" t="s">
        <v>2340</v>
      </c>
      <c r="L402">
        <v>0.1</v>
      </c>
      <c r="M402" t="s">
        <v>2341</v>
      </c>
      <c r="N402" t="s">
        <v>2342</v>
      </c>
      <c r="O402" t="s">
        <v>173</v>
      </c>
      <c r="P402" t="s">
        <v>30</v>
      </c>
      <c r="Q402" t="s">
        <v>31</v>
      </c>
      <c r="R402" s="3">
        <v>2210.94</v>
      </c>
    </row>
    <row r="403" spans="1:18" x14ac:dyDescent="0.3">
      <c r="A403" t="s">
        <v>2343</v>
      </c>
      <c r="B403" t="str">
        <f>TEXT(Raw_Data[[#This Row],[Order Date]],"mmm")</f>
        <v>Sep</v>
      </c>
      <c r="C403" t="s">
        <v>719</v>
      </c>
      <c r="D403" t="s">
        <v>2344</v>
      </c>
      <c r="E403" t="s">
        <v>35</v>
      </c>
      <c r="F403" t="s">
        <v>21</v>
      </c>
      <c r="G403" t="s">
        <v>22</v>
      </c>
      <c r="H403" t="s">
        <v>80</v>
      </c>
      <c r="I403" t="s">
        <v>146</v>
      </c>
      <c r="J403" t="s">
        <v>25</v>
      </c>
      <c r="K403" t="s">
        <v>2345</v>
      </c>
      <c r="L403">
        <v>0</v>
      </c>
      <c r="M403" t="s">
        <v>2346</v>
      </c>
      <c r="N403" t="s">
        <v>2347</v>
      </c>
      <c r="O403" t="s">
        <v>64</v>
      </c>
      <c r="P403" t="s">
        <v>30</v>
      </c>
      <c r="Q403" t="s">
        <v>65</v>
      </c>
      <c r="R403" s="3">
        <v>1696.79</v>
      </c>
    </row>
    <row r="404" spans="1:18" x14ac:dyDescent="0.3">
      <c r="A404" t="s">
        <v>2348</v>
      </c>
      <c r="B404" t="str">
        <f>TEXT(Raw_Data[[#This Row],[Order Date]],"mmm")</f>
        <v>Jul</v>
      </c>
      <c r="C404" t="s">
        <v>2349</v>
      </c>
      <c r="D404" t="s">
        <v>2350</v>
      </c>
      <c r="E404" t="s">
        <v>35</v>
      </c>
      <c r="F404" t="s">
        <v>58</v>
      </c>
      <c r="G404" t="s">
        <v>290</v>
      </c>
      <c r="H404" t="s">
        <v>154</v>
      </c>
      <c r="I404" t="s">
        <v>365</v>
      </c>
      <c r="J404" t="s">
        <v>50</v>
      </c>
      <c r="K404" t="s">
        <v>2351</v>
      </c>
      <c r="L404">
        <v>0.1</v>
      </c>
      <c r="M404" t="s">
        <v>2352</v>
      </c>
      <c r="N404" t="s">
        <v>2353</v>
      </c>
      <c r="O404" t="s">
        <v>64</v>
      </c>
      <c r="P404" t="s">
        <v>95</v>
      </c>
      <c r="Q404" t="s">
        <v>44</v>
      </c>
      <c r="R404" s="3">
        <v>1639.8720000000001</v>
      </c>
    </row>
    <row r="405" spans="1:18" x14ac:dyDescent="0.3">
      <c r="A405" t="s">
        <v>2354</v>
      </c>
      <c r="B405" t="str">
        <f>TEXT(Raw_Data[[#This Row],[Order Date]],"mmm")</f>
        <v>May</v>
      </c>
      <c r="C405" t="s">
        <v>2355</v>
      </c>
      <c r="D405" t="s">
        <v>2356</v>
      </c>
      <c r="E405" t="s">
        <v>20</v>
      </c>
      <c r="F405" t="s">
        <v>106</v>
      </c>
      <c r="G405" t="s">
        <v>163</v>
      </c>
      <c r="H405" t="s">
        <v>80</v>
      </c>
      <c r="I405" t="s">
        <v>131</v>
      </c>
      <c r="J405" t="s">
        <v>25</v>
      </c>
      <c r="K405" t="s">
        <v>2357</v>
      </c>
      <c r="L405">
        <v>0</v>
      </c>
      <c r="M405" t="s">
        <v>2358</v>
      </c>
      <c r="N405" t="s">
        <v>2359</v>
      </c>
      <c r="O405" t="s">
        <v>54</v>
      </c>
      <c r="P405" t="s">
        <v>30</v>
      </c>
      <c r="Q405" t="s">
        <v>44</v>
      </c>
      <c r="R405" s="3">
        <v>1485.21</v>
      </c>
    </row>
    <row r="406" spans="1:18" x14ac:dyDescent="0.3">
      <c r="A406" t="s">
        <v>2360</v>
      </c>
      <c r="B406" t="str">
        <f>TEXT(Raw_Data[[#This Row],[Order Date]],"mmm")</f>
        <v>Feb</v>
      </c>
      <c r="C406" t="s">
        <v>2361</v>
      </c>
      <c r="D406" t="s">
        <v>2362</v>
      </c>
      <c r="E406" t="s">
        <v>35</v>
      </c>
      <c r="F406" t="s">
        <v>36</v>
      </c>
      <c r="G406" t="s">
        <v>37</v>
      </c>
      <c r="H406" t="s">
        <v>107</v>
      </c>
      <c r="I406" t="s">
        <v>277</v>
      </c>
      <c r="J406" t="s">
        <v>25</v>
      </c>
      <c r="K406" t="s">
        <v>2363</v>
      </c>
      <c r="L406">
        <v>0.15</v>
      </c>
      <c r="M406" t="s">
        <v>2364</v>
      </c>
      <c r="N406" t="s">
        <v>2365</v>
      </c>
      <c r="O406" t="s">
        <v>43</v>
      </c>
      <c r="P406" t="s">
        <v>30</v>
      </c>
      <c r="Q406" t="s">
        <v>44</v>
      </c>
      <c r="R406" s="3">
        <v>10386.8555</v>
      </c>
    </row>
    <row r="407" spans="1:18" x14ac:dyDescent="0.3">
      <c r="A407" t="s">
        <v>2366</v>
      </c>
      <c r="B407" t="str">
        <f>TEXT(Raw_Data[[#This Row],[Order Date]],"mmm")</f>
        <v>Sep</v>
      </c>
      <c r="C407" t="s">
        <v>1397</v>
      </c>
      <c r="D407" t="s">
        <v>2367</v>
      </c>
      <c r="E407" t="s">
        <v>20</v>
      </c>
      <c r="F407" t="s">
        <v>21</v>
      </c>
      <c r="G407" t="s">
        <v>130</v>
      </c>
      <c r="H407" t="s">
        <v>80</v>
      </c>
      <c r="I407" t="s">
        <v>146</v>
      </c>
      <c r="J407" t="s">
        <v>50</v>
      </c>
      <c r="K407" t="s">
        <v>2368</v>
      </c>
      <c r="L407">
        <v>0.2</v>
      </c>
      <c r="M407" t="s">
        <v>2369</v>
      </c>
      <c r="N407" t="s">
        <v>2370</v>
      </c>
      <c r="O407" t="s">
        <v>173</v>
      </c>
      <c r="P407" t="s">
        <v>30</v>
      </c>
      <c r="Q407" t="s">
        <v>44</v>
      </c>
      <c r="R407" s="3">
        <v>3536.64</v>
      </c>
    </row>
    <row r="408" spans="1:18" x14ac:dyDescent="0.3">
      <c r="A408" t="s">
        <v>2371</v>
      </c>
      <c r="B408" t="str">
        <f>TEXT(Raw_Data[[#This Row],[Order Date]],"mmm")</f>
        <v>Jul</v>
      </c>
      <c r="C408" t="s">
        <v>2372</v>
      </c>
      <c r="D408" t="s">
        <v>2373</v>
      </c>
      <c r="E408" t="s">
        <v>35</v>
      </c>
      <c r="F408" t="s">
        <v>58</v>
      </c>
      <c r="G408" t="s">
        <v>290</v>
      </c>
      <c r="H408" t="s">
        <v>107</v>
      </c>
      <c r="I408" t="s">
        <v>378</v>
      </c>
      <c r="J408" t="s">
        <v>25</v>
      </c>
      <c r="K408" t="s">
        <v>2374</v>
      </c>
      <c r="L408">
        <v>0.15</v>
      </c>
      <c r="M408" t="s">
        <v>2375</v>
      </c>
      <c r="N408" t="s">
        <v>2376</v>
      </c>
      <c r="O408" t="s">
        <v>29</v>
      </c>
      <c r="P408" t="s">
        <v>30</v>
      </c>
      <c r="Q408" t="s">
        <v>65</v>
      </c>
      <c r="R408" s="3">
        <v>9696.9529999999995</v>
      </c>
    </row>
    <row r="409" spans="1:18" x14ac:dyDescent="0.3">
      <c r="A409" t="s">
        <v>2377</v>
      </c>
      <c r="B409" t="str">
        <f>TEXT(Raw_Data[[#This Row],[Order Date]],"mmm")</f>
        <v>Jun</v>
      </c>
      <c r="C409" t="s">
        <v>2378</v>
      </c>
      <c r="D409" t="s">
        <v>2379</v>
      </c>
      <c r="E409" t="s">
        <v>48</v>
      </c>
      <c r="F409" t="s">
        <v>78</v>
      </c>
      <c r="G409" t="s">
        <v>468</v>
      </c>
      <c r="H409" t="s">
        <v>154</v>
      </c>
      <c r="I409" t="s">
        <v>365</v>
      </c>
      <c r="J409" t="s">
        <v>25</v>
      </c>
      <c r="K409" t="s">
        <v>2380</v>
      </c>
      <c r="L409">
        <v>0.05</v>
      </c>
      <c r="M409" t="s">
        <v>2381</v>
      </c>
      <c r="N409" t="s">
        <v>2382</v>
      </c>
      <c r="O409" t="s">
        <v>64</v>
      </c>
      <c r="P409" t="s">
        <v>30</v>
      </c>
      <c r="Q409" t="s">
        <v>31</v>
      </c>
      <c r="R409" s="3">
        <v>8159.3410000000003</v>
      </c>
    </row>
    <row r="410" spans="1:18" x14ac:dyDescent="0.3">
      <c r="A410" t="s">
        <v>2383</v>
      </c>
      <c r="B410" t="str">
        <f>TEXT(Raw_Data[[#This Row],[Order Date]],"mmm")</f>
        <v>Jan</v>
      </c>
      <c r="C410" t="s">
        <v>207</v>
      </c>
      <c r="D410" t="s">
        <v>2384</v>
      </c>
      <c r="E410" t="s">
        <v>35</v>
      </c>
      <c r="F410" t="s">
        <v>36</v>
      </c>
      <c r="G410" t="s">
        <v>414</v>
      </c>
      <c r="H410" t="s">
        <v>23</v>
      </c>
      <c r="I410" t="s">
        <v>341</v>
      </c>
      <c r="J410" t="s">
        <v>25</v>
      </c>
      <c r="K410" t="s">
        <v>2385</v>
      </c>
      <c r="L410">
        <v>0.05</v>
      </c>
      <c r="M410" t="s">
        <v>2386</v>
      </c>
      <c r="N410" t="s">
        <v>2387</v>
      </c>
      <c r="O410" t="s">
        <v>64</v>
      </c>
      <c r="P410" t="s">
        <v>95</v>
      </c>
      <c r="Q410" t="s">
        <v>44</v>
      </c>
      <c r="R410" s="3">
        <v>13449.1405</v>
      </c>
    </row>
    <row r="411" spans="1:18" x14ac:dyDescent="0.3">
      <c r="A411" t="s">
        <v>2388</v>
      </c>
      <c r="B411" t="str">
        <f>TEXT(Raw_Data[[#This Row],[Order Date]],"mmm")</f>
        <v>Oct</v>
      </c>
      <c r="C411" t="s">
        <v>1846</v>
      </c>
      <c r="D411" t="s">
        <v>2389</v>
      </c>
      <c r="E411" t="s">
        <v>48</v>
      </c>
      <c r="F411" t="s">
        <v>58</v>
      </c>
      <c r="G411" t="s">
        <v>59</v>
      </c>
      <c r="H411" t="s">
        <v>23</v>
      </c>
      <c r="I411" t="s">
        <v>341</v>
      </c>
      <c r="J411" t="s">
        <v>50</v>
      </c>
      <c r="K411" t="s">
        <v>2390</v>
      </c>
      <c r="L411">
        <v>0</v>
      </c>
      <c r="M411" t="s">
        <v>2391</v>
      </c>
      <c r="N411" t="s">
        <v>2392</v>
      </c>
      <c r="O411" t="s">
        <v>54</v>
      </c>
      <c r="P411" t="s">
        <v>30</v>
      </c>
      <c r="Q411" t="s">
        <v>44</v>
      </c>
      <c r="R411" s="3">
        <v>40469.06</v>
      </c>
    </row>
    <row r="412" spans="1:18" x14ac:dyDescent="0.3">
      <c r="A412" t="s">
        <v>2393</v>
      </c>
      <c r="B412" t="str">
        <f>TEXT(Raw_Data[[#This Row],[Order Date]],"mmm")</f>
        <v>Apr</v>
      </c>
      <c r="C412" t="s">
        <v>798</v>
      </c>
      <c r="D412" t="s">
        <v>2394</v>
      </c>
      <c r="E412" t="s">
        <v>20</v>
      </c>
      <c r="F412" t="s">
        <v>78</v>
      </c>
      <c r="G412" t="s">
        <v>79</v>
      </c>
      <c r="H412" t="s">
        <v>23</v>
      </c>
      <c r="I412" t="s">
        <v>49</v>
      </c>
      <c r="J412" t="s">
        <v>50</v>
      </c>
      <c r="K412" t="s">
        <v>2395</v>
      </c>
      <c r="L412">
        <v>0.1</v>
      </c>
      <c r="M412" t="s">
        <v>2396</v>
      </c>
      <c r="N412" t="s">
        <v>2397</v>
      </c>
      <c r="O412" t="s">
        <v>64</v>
      </c>
      <c r="P412" t="s">
        <v>112</v>
      </c>
      <c r="Q412" t="s">
        <v>44</v>
      </c>
      <c r="R412" s="3">
        <v>108404.856</v>
      </c>
    </row>
    <row r="413" spans="1:18" x14ac:dyDescent="0.3">
      <c r="A413" t="s">
        <v>2398</v>
      </c>
      <c r="B413" t="str">
        <f>TEXT(Raw_Data[[#This Row],[Order Date]],"mmm")</f>
        <v>Feb</v>
      </c>
      <c r="C413" t="s">
        <v>2399</v>
      </c>
      <c r="D413" t="s">
        <v>2400</v>
      </c>
      <c r="E413" t="s">
        <v>48</v>
      </c>
      <c r="F413" t="s">
        <v>89</v>
      </c>
      <c r="G413" t="s">
        <v>90</v>
      </c>
      <c r="H413" t="s">
        <v>80</v>
      </c>
      <c r="I413" t="s">
        <v>81</v>
      </c>
      <c r="J413" t="s">
        <v>50</v>
      </c>
      <c r="K413" t="s">
        <v>2401</v>
      </c>
      <c r="L413">
        <v>0</v>
      </c>
      <c r="M413" t="s">
        <v>2402</v>
      </c>
      <c r="N413" t="s">
        <v>2403</v>
      </c>
      <c r="O413" t="s">
        <v>43</v>
      </c>
      <c r="P413" t="s">
        <v>159</v>
      </c>
      <c r="Q413" t="s">
        <v>65</v>
      </c>
      <c r="R413" s="3">
        <v>5423.44</v>
      </c>
    </row>
    <row r="414" spans="1:18" x14ac:dyDescent="0.3">
      <c r="A414" t="s">
        <v>2404</v>
      </c>
      <c r="B414" t="str">
        <f>TEXT(Raw_Data[[#This Row],[Order Date]],"mmm")</f>
        <v>Sep</v>
      </c>
      <c r="C414" t="s">
        <v>663</v>
      </c>
      <c r="D414" t="s">
        <v>2405</v>
      </c>
      <c r="E414" t="s">
        <v>20</v>
      </c>
      <c r="F414" t="s">
        <v>36</v>
      </c>
      <c r="G414" t="s">
        <v>153</v>
      </c>
      <c r="H414" t="s">
        <v>23</v>
      </c>
      <c r="I414" t="s">
        <v>341</v>
      </c>
      <c r="J414" t="s">
        <v>50</v>
      </c>
      <c r="K414" t="s">
        <v>2406</v>
      </c>
      <c r="L414">
        <v>0.1</v>
      </c>
      <c r="M414" t="s">
        <v>2407</v>
      </c>
      <c r="N414" t="s">
        <v>2408</v>
      </c>
      <c r="O414" t="s">
        <v>173</v>
      </c>
      <c r="P414" t="s">
        <v>30</v>
      </c>
      <c r="Q414" t="s">
        <v>31</v>
      </c>
      <c r="R414" s="3">
        <v>107760.33</v>
      </c>
    </row>
    <row r="415" spans="1:18" x14ac:dyDescent="0.3">
      <c r="A415" t="s">
        <v>2409</v>
      </c>
      <c r="B415" t="str">
        <f>TEXT(Raw_Data[[#This Row],[Order Date]],"mmm")</f>
        <v>Feb</v>
      </c>
      <c r="C415" t="s">
        <v>2410</v>
      </c>
      <c r="D415" t="s">
        <v>2411</v>
      </c>
      <c r="E415" t="s">
        <v>20</v>
      </c>
      <c r="F415" t="s">
        <v>89</v>
      </c>
      <c r="G415" t="s">
        <v>90</v>
      </c>
      <c r="H415" t="s">
        <v>23</v>
      </c>
      <c r="I415" t="s">
        <v>263</v>
      </c>
      <c r="J415" t="s">
        <v>25</v>
      </c>
      <c r="K415" t="s">
        <v>2412</v>
      </c>
      <c r="L415">
        <v>0.15</v>
      </c>
      <c r="M415" t="s">
        <v>2413</v>
      </c>
      <c r="N415" t="s">
        <v>2414</v>
      </c>
      <c r="O415" t="s">
        <v>54</v>
      </c>
      <c r="P415" t="s">
        <v>30</v>
      </c>
      <c r="Q415" t="s">
        <v>65</v>
      </c>
      <c r="R415" s="3">
        <v>50363.995999999999</v>
      </c>
    </row>
    <row r="416" spans="1:18" x14ac:dyDescent="0.3">
      <c r="A416" t="s">
        <v>2415</v>
      </c>
      <c r="B416" t="str">
        <f>TEXT(Raw_Data[[#This Row],[Order Date]],"mmm")</f>
        <v>Jul</v>
      </c>
      <c r="C416" t="s">
        <v>2416</v>
      </c>
      <c r="D416" t="s">
        <v>2417</v>
      </c>
      <c r="E416" t="s">
        <v>35</v>
      </c>
      <c r="F416" t="s">
        <v>21</v>
      </c>
      <c r="G416" t="s">
        <v>22</v>
      </c>
      <c r="H416" t="s">
        <v>154</v>
      </c>
      <c r="I416" t="s">
        <v>365</v>
      </c>
      <c r="J416" t="s">
        <v>25</v>
      </c>
      <c r="K416" t="s">
        <v>2418</v>
      </c>
      <c r="L416">
        <v>0</v>
      </c>
      <c r="M416" t="s">
        <v>2419</v>
      </c>
      <c r="N416" t="s">
        <v>2420</v>
      </c>
      <c r="O416" t="s">
        <v>173</v>
      </c>
      <c r="P416" t="s">
        <v>30</v>
      </c>
      <c r="Q416" t="s">
        <v>44</v>
      </c>
      <c r="R416" s="3">
        <v>10501.13</v>
      </c>
    </row>
    <row r="417" spans="1:18" x14ac:dyDescent="0.3">
      <c r="A417" t="s">
        <v>2421</v>
      </c>
      <c r="B417" t="str">
        <f>TEXT(Raw_Data[[#This Row],[Order Date]],"mmm")</f>
        <v>May</v>
      </c>
      <c r="C417" t="s">
        <v>2089</v>
      </c>
      <c r="D417" t="s">
        <v>2422</v>
      </c>
      <c r="E417" t="s">
        <v>35</v>
      </c>
      <c r="F417" t="s">
        <v>58</v>
      </c>
      <c r="G417" t="s">
        <v>59</v>
      </c>
      <c r="H417" t="s">
        <v>154</v>
      </c>
      <c r="I417" t="s">
        <v>237</v>
      </c>
      <c r="J417" t="s">
        <v>25</v>
      </c>
      <c r="K417" t="s">
        <v>2423</v>
      </c>
      <c r="L417">
        <v>0.1</v>
      </c>
      <c r="M417" t="s">
        <v>2424</v>
      </c>
      <c r="N417" t="s">
        <v>2425</v>
      </c>
      <c r="O417" t="s">
        <v>29</v>
      </c>
      <c r="P417" t="s">
        <v>30</v>
      </c>
      <c r="Q417" t="s">
        <v>44</v>
      </c>
      <c r="R417" s="3">
        <v>7891.3530000000001</v>
      </c>
    </row>
    <row r="418" spans="1:18" x14ac:dyDescent="0.3">
      <c r="A418" t="s">
        <v>2426</v>
      </c>
      <c r="B418" t="str">
        <f>TEXT(Raw_Data[[#This Row],[Order Date]],"mmm")</f>
        <v>Feb</v>
      </c>
      <c r="C418" t="s">
        <v>2145</v>
      </c>
      <c r="D418" t="s">
        <v>2427</v>
      </c>
      <c r="E418" t="s">
        <v>48</v>
      </c>
      <c r="F418" t="s">
        <v>36</v>
      </c>
      <c r="G418" t="s">
        <v>37</v>
      </c>
      <c r="H418" t="s">
        <v>23</v>
      </c>
      <c r="I418" t="s">
        <v>49</v>
      </c>
      <c r="J418" t="s">
        <v>25</v>
      </c>
      <c r="K418" t="s">
        <v>2428</v>
      </c>
      <c r="L418">
        <v>0.1</v>
      </c>
      <c r="M418" t="s">
        <v>2429</v>
      </c>
      <c r="N418" t="s">
        <v>2430</v>
      </c>
      <c r="O418" t="s">
        <v>29</v>
      </c>
      <c r="P418" t="s">
        <v>159</v>
      </c>
      <c r="Q418" t="s">
        <v>31</v>
      </c>
      <c r="R418" s="3">
        <v>27422.055</v>
      </c>
    </row>
    <row r="419" spans="1:18" x14ac:dyDescent="0.3">
      <c r="A419" t="s">
        <v>2431</v>
      </c>
      <c r="B419" t="str">
        <f>TEXT(Raw_Data[[#This Row],[Order Date]],"mmm")</f>
        <v>Oct</v>
      </c>
      <c r="C419" t="s">
        <v>2432</v>
      </c>
      <c r="D419" t="s">
        <v>2433</v>
      </c>
      <c r="E419" t="s">
        <v>48</v>
      </c>
      <c r="F419" t="s">
        <v>21</v>
      </c>
      <c r="G419" t="s">
        <v>22</v>
      </c>
      <c r="H419" t="s">
        <v>107</v>
      </c>
      <c r="I419" t="s">
        <v>108</v>
      </c>
      <c r="J419" t="s">
        <v>100</v>
      </c>
      <c r="K419" t="s">
        <v>2434</v>
      </c>
      <c r="L419">
        <v>0</v>
      </c>
      <c r="M419" t="s">
        <v>2435</v>
      </c>
      <c r="N419" t="s">
        <v>2436</v>
      </c>
      <c r="O419" t="s">
        <v>54</v>
      </c>
      <c r="P419" t="s">
        <v>30</v>
      </c>
      <c r="Q419" t="s">
        <v>65</v>
      </c>
      <c r="R419" s="3">
        <v>43700.88</v>
      </c>
    </row>
    <row r="420" spans="1:18" x14ac:dyDescent="0.3">
      <c r="A420" t="s">
        <v>2437</v>
      </c>
      <c r="B420" t="str">
        <f>TEXT(Raw_Data[[#This Row],[Order Date]],"mmm")</f>
        <v>Oct</v>
      </c>
      <c r="C420" t="s">
        <v>2438</v>
      </c>
      <c r="D420" t="s">
        <v>2439</v>
      </c>
      <c r="E420" t="s">
        <v>48</v>
      </c>
      <c r="F420" t="s">
        <v>89</v>
      </c>
      <c r="G420" t="s">
        <v>230</v>
      </c>
      <c r="H420" t="s">
        <v>80</v>
      </c>
      <c r="I420" t="s">
        <v>91</v>
      </c>
      <c r="J420" t="s">
        <v>50</v>
      </c>
      <c r="K420" t="s">
        <v>2440</v>
      </c>
      <c r="L420">
        <v>0</v>
      </c>
      <c r="M420" t="s">
        <v>2441</v>
      </c>
      <c r="N420" t="s">
        <v>2442</v>
      </c>
      <c r="O420" t="s">
        <v>173</v>
      </c>
      <c r="P420" t="s">
        <v>30</v>
      </c>
      <c r="Q420" t="s">
        <v>65</v>
      </c>
      <c r="R420" s="3">
        <v>1003.04</v>
      </c>
    </row>
    <row r="421" spans="1:18" x14ac:dyDescent="0.3">
      <c r="A421" t="s">
        <v>2443</v>
      </c>
      <c r="B421" t="str">
        <f>TEXT(Raw_Data[[#This Row],[Order Date]],"mmm")</f>
        <v>Sep</v>
      </c>
      <c r="C421" t="s">
        <v>719</v>
      </c>
      <c r="D421" t="s">
        <v>2444</v>
      </c>
      <c r="E421" t="s">
        <v>20</v>
      </c>
      <c r="F421" t="s">
        <v>78</v>
      </c>
      <c r="G421" t="s">
        <v>468</v>
      </c>
      <c r="H421" t="s">
        <v>107</v>
      </c>
      <c r="I421" t="s">
        <v>378</v>
      </c>
      <c r="J421" t="s">
        <v>25</v>
      </c>
      <c r="K421" t="s">
        <v>2445</v>
      </c>
      <c r="L421">
        <v>0.1</v>
      </c>
      <c r="M421" t="s">
        <v>2446</v>
      </c>
      <c r="N421" t="s">
        <v>2447</v>
      </c>
      <c r="O421" t="s">
        <v>43</v>
      </c>
      <c r="P421" t="s">
        <v>30</v>
      </c>
      <c r="Q421" t="s">
        <v>65</v>
      </c>
      <c r="R421" s="3">
        <v>7277.3010000000004</v>
      </c>
    </row>
    <row r="422" spans="1:18" x14ac:dyDescent="0.3">
      <c r="A422" t="s">
        <v>2448</v>
      </c>
      <c r="B422" t="str">
        <f>TEXT(Raw_Data[[#This Row],[Order Date]],"mmm")</f>
        <v>Jan</v>
      </c>
      <c r="C422" t="s">
        <v>1296</v>
      </c>
      <c r="D422" t="s">
        <v>2449</v>
      </c>
      <c r="E422" t="s">
        <v>20</v>
      </c>
      <c r="F422" t="s">
        <v>36</v>
      </c>
      <c r="G422" t="s">
        <v>196</v>
      </c>
      <c r="H422" t="s">
        <v>107</v>
      </c>
      <c r="I422" t="s">
        <v>277</v>
      </c>
      <c r="J422" t="s">
        <v>100</v>
      </c>
      <c r="K422" t="s">
        <v>2450</v>
      </c>
      <c r="L422">
        <v>0.1</v>
      </c>
      <c r="M422" t="s">
        <v>2451</v>
      </c>
      <c r="N422" t="s">
        <v>2452</v>
      </c>
      <c r="O422" t="s">
        <v>29</v>
      </c>
      <c r="P422" t="s">
        <v>30</v>
      </c>
      <c r="Q422" t="s">
        <v>31</v>
      </c>
      <c r="R422" s="3">
        <v>16415.163</v>
      </c>
    </row>
    <row r="423" spans="1:18" x14ac:dyDescent="0.3">
      <c r="A423" t="s">
        <v>2453</v>
      </c>
      <c r="B423" t="str">
        <f>TEXT(Raw_Data[[#This Row],[Order Date]],"mmm")</f>
        <v>Jun</v>
      </c>
      <c r="C423" t="s">
        <v>213</v>
      </c>
      <c r="D423" t="s">
        <v>2454</v>
      </c>
      <c r="E423" t="s">
        <v>35</v>
      </c>
      <c r="F423" t="s">
        <v>21</v>
      </c>
      <c r="G423" t="s">
        <v>22</v>
      </c>
      <c r="H423" t="s">
        <v>38</v>
      </c>
      <c r="I423" t="s">
        <v>39</v>
      </c>
      <c r="J423" t="s">
        <v>25</v>
      </c>
      <c r="K423" t="s">
        <v>2455</v>
      </c>
      <c r="L423">
        <v>0</v>
      </c>
      <c r="M423" t="s">
        <v>2456</v>
      </c>
      <c r="N423" t="s">
        <v>2457</v>
      </c>
      <c r="O423" t="s">
        <v>64</v>
      </c>
      <c r="P423" t="s">
        <v>30</v>
      </c>
      <c r="Q423" t="s">
        <v>65</v>
      </c>
      <c r="R423" s="3">
        <v>2374.96</v>
      </c>
    </row>
    <row r="424" spans="1:18" x14ac:dyDescent="0.3">
      <c r="A424" t="s">
        <v>2458</v>
      </c>
      <c r="B424" t="str">
        <f>TEXT(Raw_Data[[#This Row],[Order Date]],"mmm")</f>
        <v>Apr</v>
      </c>
      <c r="C424" t="s">
        <v>902</v>
      </c>
      <c r="D424" t="s">
        <v>2459</v>
      </c>
      <c r="E424" t="s">
        <v>20</v>
      </c>
      <c r="F424" t="s">
        <v>215</v>
      </c>
      <c r="G424" t="s">
        <v>216</v>
      </c>
      <c r="H424" t="s">
        <v>23</v>
      </c>
      <c r="I424" t="s">
        <v>341</v>
      </c>
      <c r="J424" t="s">
        <v>25</v>
      </c>
      <c r="K424" t="s">
        <v>2460</v>
      </c>
      <c r="L424">
        <v>0.1</v>
      </c>
      <c r="M424" t="s">
        <v>2461</v>
      </c>
      <c r="N424" t="s">
        <v>2462</v>
      </c>
      <c r="O424" t="s">
        <v>64</v>
      </c>
      <c r="P424" t="s">
        <v>30</v>
      </c>
      <c r="Q424" t="s">
        <v>44</v>
      </c>
      <c r="R424" s="3">
        <v>53262.440999999999</v>
      </c>
    </row>
    <row r="425" spans="1:18" x14ac:dyDescent="0.3">
      <c r="A425" t="s">
        <v>2463</v>
      </c>
      <c r="B425" t="str">
        <f>TEXT(Raw_Data[[#This Row],[Order Date]],"mmm")</f>
        <v>Jan</v>
      </c>
      <c r="C425" t="s">
        <v>2464</v>
      </c>
      <c r="D425" t="s">
        <v>2465</v>
      </c>
      <c r="E425" t="s">
        <v>35</v>
      </c>
      <c r="F425" t="s">
        <v>36</v>
      </c>
      <c r="G425" t="s">
        <v>414</v>
      </c>
      <c r="H425" t="s">
        <v>38</v>
      </c>
      <c r="I425" t="s">
        <v>223</v>
      </c>
      <c r="J425" t="s">
        <v>50</v>
      </c>
      <c r="K425" t="s">
        <v>2466</v>
      </c>
      <c r="L425">
        <v>0.1</v>
      </c>
      <c r="M425" t="s">
        <v>2467</v>
      </c>
      <c r="N425" t="s">
        <v>2468</v>
      </c>
      <c r="O425" t="s">
        <v>173</v>
      </c>
      <c r="P425" t="s">
        <v>112</v>
      </c>
      <c r="Q425" t="s">
        <v>65</v>
      </c>
      <c r="R425" s="3">
        <v>7802.5860000000002</v>
      </c>
    </row>
    <row r="426" spans="1:18" x14ac:dyDescent="0.3">
      <c r="A426" t="s">
        <v>2469</v>
      </c>
      <c r="B426" t="str">
        <f>TEXT(Raw_Data[[#This Row],[Order Date]],"mmm")</f>
        <v>Sep</v>
      </c>
      <c r="C426" t="s">
        <v>437</v>
      </c>
      <c r="D426" t="s">
        <v>2470</v>
      </c>
      <c r="E426" t="s">
        <v>20</v>
      </c>
      <c r="F426" t="s">
        <v>89</v>
      </c>
      <c r="G426" t="s">
        <v>230</v>
      </c>
      <c r="H426" t="s">
        <v>154</v>
      </c>
      <c r="I426" t="s">
        <v>1061</v>
      </c>
      <c r="J426" t="s">
        <v>25</v>
      </c>
      <c r="K426" t="s">
        <v>2471</v>
      </c>
      <c r="L426">
        <v>0</v>
      </c>
      <c r="M426" t="s">
        <v>2472</v>
      </c>
      <c r="N426" t="s">
        <v>2473</v>
      </c>
      <c r="O426" t="s">
        <v>173</v>
      </c>
      <c r="P426" t="s">
        <v>112</v>
      </c>
      <c r="Q426" t="s">
        <v>44</v>
      </c>
      <c r="R426" s="3">
        <v>5002.8100000000004</v>
      </c>
    </row>
    <row r="427" spans="1:18" x14ac:dyDescent="0.3">
      <c r="A427" t="s">
        <v>2474</v>
      </c>
      <c r="B427" t="str">
        <f>TEXT(Raw_Data[[#This Row],[Order Date]],"mmm")</f>
        <v>Jan</v>
      </c>
      <c r="C427" t="s">
        <v>254</v>
      </c>
      <c r="D427" t="s">
        <v>2475</v>
      </c>
      <c r="E427" t="s">
        <v>20</v>
      </c>
      <c r="F427" t="s">
        <v>21</v>
      </c>
      <c r="G427" t="s">
        <v>130</v>
      </c>
      <c r="H427" t="s">
        <v>107</v>
      </c>
      <c r="I427" t="s">
        <v>591</v>
      </c>
      <c r="J427" t="s">
        <v>25</v>
      </c>
      <c r="K427" t="s">
        <v>2476</v>
      </c>
      <c r="L427">
        <v>0</v>
      </c>
      <c r="M427" t="s">
        <v>2477</v>
      </c>
      <c r="N427" t="s">
        <v>2478</v>
      </c>
      <c r="O427" t="s">
        <v>173</v>
      </c>
      <c r="P427" t="s">
        <v>30</v>
      </c>
      <c r="Q427" t="s">
        <v>44</v>
      </c>
      <c r="R427" s="3">
        <v>2222.56</v>
      </c>
    </row>
    <row r="428" spans="1:18" x14ac:dyDescent="0.3">
      <c r="A428" t="s">
        <v>2479</v>
      </c>
      <c r="B428" t="str">
        <f>TEXT(Raw_Data[[#This Row],[Order Date]],"mmm")</f>
        <v>Jun</v>
      </c>
      <c r="C428" t="s">
        <v>764</v>
      </c>
      <c r="D428" t="s">
        <v>2480</v>
      </c>
      <c r="E428" t="s">
        <v>48</v>
      </c>
      <c r="F428" t="s">
        <v>58</v>
      </c>
      <c r="G428" t="s">
        <v>812</v>
      </c>
      <c r="H428" t="s">
        <v>154</v>
      </c>
      <c r="I428" t="s">
        <v>237</v>
      </c>
      <c r="J428" t="s">
        <v>25</v>
      </c>
      <c r="K428" t="s">
        <v>2481</v>
      </c>
      <c r="L428">
        <v>0.15</v>
      </c>
      <c r="M428" t="s">
        <v>2482</v>
      </c>
      <c r="N428" t="s">
        <v>2483</v>
      </c>
      <c r="O428" t="s">
        <v>29</v>
      </c>
      <c r="P428" t="s">
        <v>30</v>
      </c>
      <c r="Q428" t="s">
        <v>31</v>
      </c>
      <c r="R428" s="3">
        <v>7948.8344999999999</v>
      </c>
    </row>
    <row r="429" spans="1:18" x14ac:dyDescent="0.3">
      <c r="A429" t="s">
        <v>2484</v>
      </c>
      <c r="B429" t="str">
        <f>TEXT(Raw_Data[[#This Row],[Order Date]],"mmm")</f>
        <v>Jun</v>
      </c>
      <c r="C429" t="s">
        <v>1274</v>
      </c>
      <c r="D429" t="s">
        <v>2485</v>
      </c>
      <c r="E429" t="s">
        <v>48</v>
      </c>
      <c r="F429" t="s">
        <v>215</v>
      </c>
      <c r="G429" t="s">
        <v>216</v>
      </c>
      <c r="H429" t="s">
        <v>107</v>
      </c>
      <c r="I429" t="s">
        <v>591</v>
      </c>
      <c r="J429" t="s">
        <v>25</v>
      </c>
      <c r="K429" t="s">
        <v>2486</v>
      </c>
      <c r="L429">
        <v>0.05</v>
      </c>
      <c r="M429" t="s">
        <v>2487</v>
      </c>
      <c r="N429" t="s">
        <v>2488</v>
      </c>
      <c r="O429" t="s">
        <v>54</v>
      </c>
      <c r="P429" t="s">
        <v>30</v>
      </c>
      <c r="Q429" t="s">
        <v>65</v>
      </c>
      <c r="R429" s="3">
        <v>8356.7605000000003</v>
      </c>
    </row>
    <row r="430" spans="1:18" x14ac:dyDescent="0.3">
      <c r="A430" t="s">
        <v>2489</v>
      </c>
      <c r="B430" t="str">
        <f>TEXT(Raw_Data[[#This Row],[Order Date]],"mmm")</f>
        <v>Jan</v>
      </c>
      <c r="C430" t="s">
        <v>1878</v>
      </c>
      <c r="D430" t="s">
        <v>2490</v>
      </c>
      <c r="E430" t="s">
        <v>48</v>
      </c>
      <c r="F430" t="s">
        <v>78</v>
      </c>
      <c r="G430" t="s">
        <v>79</v>
      </c>
      <c r="H430" t="s">
        <v>23</v>
      </c>
      <c r="I430" t="s">
        <v>24</v>
      </c>
      <c r="J430" t="s">
        <v>50</v>
      </c>
      <c r="K430" t="s">
        <v>2491</v>
      </c>
      <c r="L430">
        <v>0.05</v>
      </c>
      <c r="M430" t="s">
        <v>2492</v>
      </c>
      <c r="N430" t="s">
        <v>2493</v>
      </c>
      <c r="O430" t="s">
        <v>64</v>
      </c>
      <c r="P430" t="s">
        <v>30</v>
      </c>
      <c r="Q430" t="s">
        <v>44</v>
      </c>
      <c r="R430" s="3">
        <v>44414.893999999898</v>
      </c>
    </row>
    <row r="431" spans="1:18" x14ac:dyDescent="0.3">
      <c r="A431" t="s">
        <v>2494</v>
      </c>
      <c r="B431" t="str">
        <f>TEXT(Raw_Data[[#This Row],[Order Date]],"mmm")</f>
        <v>Aug</v>
      </c>
      <c r="C431" t="s">
        <v>1155</v>
      </c>
      <c r="D431" t="s">
        <v>2495</v>
      </c>
      <c r="E431" t="s">
        <v>35</v>
      </c>
      <c r="F431" t="s">
        <v>58</v>
      </c>
      <c r="G431" t="s">
        <v>812</v>
      </c>
      <c r="H431" t="s">
        <v>154</v>
      </c>
      <c r="I431" t="s">
        <v>1061</v>
      </c>
      <c r="J431" t="s">
        <v>50</v>
      </c>
      <c r="K431" t="s">
        <v>2496</v>
      </c>
      <c r="L431">
        <v>0.1</v>
      </c>
      <c r="M431" t="s">
        <v>2497</v>
      </c>
      <c r="N431" t="s">
        <v>2498</v>
      </c>
      <c r="O431" t="s">
        <v>64</v>
      </c>
      <c r="P431" t="s">
        <v>30</v>
      </c>
      <c r="Q431" t="s">
        <v>65</v>
      </c>
      <c r="R431" s="3">
        <v>17980.308000000001</v>
      </c>
    </row>
    <row r="432" spans="1:18" x14ac:dyDescent="0.3">
      <c r="A432" t="s">
        <v>2499</v>
      </c>
      <c r="B432" t="str">
        <f>TEXT(Raw_Data[[#This Row],[Order Date]],"mmm")</f>
        <v>Sep</v>
      </c>
      <c r="C432" t="s">
        <v>742</v>
      </c>
      <c r="D432" t="s">
        <v>2500</v>
      </c>
      <c r="E432" t="s">
        <v>35</v>
      </c>
      <c r="F432" t="s">
        <v>215</v>
      </c>
      <c r="G432" t="s">
        <v>276</v>
      </c>
      <c r="H432" t="s">
        <v>23</v>
      </c>
      <c r="I432" t="s">
        <v>183</v>
      </c>
      <c r="J432" t="s">
        <v>25</v>
      </c>
      <c r="K432" t="s">
        <v>2501</v>
      </c>
      <c r="L432">
        <v>0.1</v>
      </c>
      <c r="M432" t="s">
        <v>2502</v>
      </c>
      <c r="N432" t="s">
        <v>2503</v>
      </c>
      <c r="O432" t="s">
        <v>173</v>
      </c>
      <c r="P432" t="s">
        <v>30</v>
      </c>
      <c r="Q432" t="s">
        <v>65</v>
      </c>
      <c r="R432" s="3">
        <v>30344.499</v>
      </c>
    </row>
    <row r="433" spans="1:18" x14ac:dyDescent="0.3">
      <c r="A433" t="s">
        <v>2504</v>
      </c>
      <c r="B433" t="str">
        <f>TEXT(Raw_Data[[#This Row],[Order Date]],"mmm")</f>
        <v>Oct</v>
      </c>
      <c r="C433" t="s">
        <v>1076</v>
      </c>
      <c r="D433" t="s">
        <v>2505</v>
      </c>
      <c r="E433" t="s">
        <v>48</v>
      </c>
      <c r="F433" t="s">
        <v>106</v>
      </c>
      <c r="G433" t="s">
        <v>106</v>
      </c>
      <c r="H433" t="s">
        <v>80</v>
      </c>
      <c r="I433" t="s">
        <v>81</v>
      </c>
      <c r="J433" t="s">
        <v>25</v>
      </c>
      <c r="K433" t="s">
        <v>2506</v>
      </c>
      <c r="L433">
        <v>0.05</v>
      </c>
      <c r="M433" t="s">
        <v>2507</v>
      </c>
      <c r="N433" t="s">
        <v>2508</v>
      </c>
      <c r="O433" t="s">
        <v>173</v>
      </c>
      <c r="P433" t="s">
        <v>30</v>
      </c>
      <c r="Q433" t="s">
        <v>44</v>
      </c>
      <c r="R433" s="3">
        <v>644.08100000000002</v>
      </c>
    </row>
    <row r="434" spans="1:18" x14ac:dyDescent="0.3">
      <c r="A434" t="s">
        <v>2509</v>
      </c>
      <c r="B434" t="str">
        <f>TEXT(Raw_Data[[#This Row],[Order Date]],"mmm")</f>
        <v>Nov</v>
      </c>
      <c r="C434" t="s">
        <v>221</v>
      </c>
      <c r="D434" t="s">
        <v>2510</v>
      </c>
      <c r="E434" t="s">
        <v>35</v>
      </c>
      <c r="F434" t="s">
        <v>106</v>
      </c>
      <c r="G434" t="s">
        <v>106</v>
      </c>
      <c r="H434" t="s">
        <v>38</v>
      </c>
      <c r="I434" t="s">
        <v>223</v>
      </c>
      <c r="J434" t="s">
        <v>50</v>
      </c>
      <c r="K434" t="s">
        <v>2511</v>
      </c>
      <c r="L434">
        <v>0.05</v>
      </c>
      <c r="M434" t="s">
        <v>2512</v>
      </c>
      <c r="N434" t="s">
        <v>2513</v>
      </c>
      <c r="O434" t="s">
        <v>64</v>
      </c>
      <c r="P434" t="s">
        <v>159</v>
      </c>
      <c r="Q434" t="s">
        <v>44</v>
      </c>
      <c r="R434" s="3">
        <v>4633.4539999999997</v>
      </c>
    </row>
    <row r="435" spans="1:18" x14ac:dyDescent="0.3">
      <c r="A435" t="s">
        <v>2514</v>
      </c>
      <c r="B435" t="str">
        <f>TEXT(Raw_Data[[#This Row],[Order Date]],"mmm")</f>
        <v>Feb</v>
      </c>
      <c r="C435" t="s">
        <v>2515</v>
      </c>
      <c r="D435" t="s">
        <v>2516</v>
      </c>
      <c r="E435" t="s">
        <v>48</v>
      </c>
      <c r="F435" t="s">
        <v>36</v>
      </c>
      <c r="G435" t="s">
        <v>153</v>
      </c>
      <c r="H435" t="s">
        <v>23</v>
      </c>
      <c r="I435" t="s">
        <v>183</v>
      </c>
      <c r="J435" t="s">
        <v>25</v>
      </c>
      <c r="K435" t="s">
        <v>2517</v>
      </c>
      <c r="L435">
        <v>0</v>
      </c>
      <c r="M435" t="s">
        <v>2518</v>
      </c>
      <c r="N435" t="s">
        <v>2519</v>
      </c>
      <c r="O435" t="s">
        <v>173</v>
      </c>
      <c r="P435" t="s">
        <v>30</v>
      </c>
      <c r="Q435" t="s">
        <v>44</v>
      </c>
      <c r="R435" s="3">
        <v>64617.78</v>
      </c>
    </row>
    <row r="436" spans="1:18" x14ac:dyDescent="0.3">
      <c r="A436" t="s">
        <v>2520</v>
      </c>
      <c r="B436" t="str">
        <f>TEXT(Raw_Data[[#This Row],[Order Date]],"mmm")</f>
        <v>May</v>
      </c>
      <c r="C436" t="s">
        <v>498</v>
      </c>
      <c r="D436" t="s">
        <v>2521</v>
      </c>
      <c r="E436" t="s">
        <v>48</v>
      </c>
      <c r="F436" t="s">
        <v>58</v>
      </c>
      <c r="G436" t="s">
        <v>59</v>
      </c>
      <c r="H436" t="s">
        <v>23</v>
      </c>
      <c r="I436" t="s">
        <v>49</v>
      </c>
      <c r="J436" t="s">
        <v>50</v>
      </c>
      <c r="K436" t="s">
        <v>2522</v>
      </c>
      <c r="L436">
        <v>0.15</v>
      </c>
      <c r="M436" t="s">
        <v>2523</v>
      </c>
      <c r="N436" t="s">
        <v>2524</v>
      </c>
      <c r="O436" t="s">
        <v>43</v>
      </c>
      <c r="P436" t="s">
        <v>30</v>
      </c>
      <c r="Q436" t="s">
        <v>44</v>
      </c>
      <c r="R436" s="3">
        <v>108121.598</v>
      </c>
    </row>
    <row r="437" spans="1:18" x14ac:dyDescent="0.3">
      <c r="A437" t="s">
        <v>2525</v>
      </c>
      <c r="B437" t="str">
        <f>TEXT(Raw_Data[[#This Row],[Order Date]],"mmm")</f>
        <v>Feb</v>
      </c>
      <c r="C437" t="s">
        <v>2133</v>
      </c>
      <c r="D437" t="s">
        <v>2526</v>
      </c>
      <c r="E437" t="s">
        <v>20</v>
      </c>
      <c r="F437" t="s">
        <v>36</v>
      </c>
      <c r="G437" t="s">
        <v>37</v>
      </c>
      <c r="H437" t="s">
        <v>23</v>
      </c>
      <c r="I437" t="s">
        <v>183</v>
      </c>
      <c r="J437" t="s">
        <v>50</v>
      </c>
      <c r="K437" t="s">
        <v>2527</v>
      </c>
      <c r="L437">
        <v>0.1</v>
      </c>
      <c r="M437" t="s">
        <v>2528</v>
      </c>
      <c r="N437" t="s">
        <v>2529</v>
      </c>
      <c r="O437" t="s">
        <v>64</v>
      </c>
      <c r="P437" t="s">
        <v>159</v>
      </c>
      <c r="Q437" t="s">
        <v>44</v>
      </c>
      <c r="R437" s="3">
        <v>35280.953999999998</v>
      </c>
    </row>
    <row r="438" spans="1:18" x14ac:dyDescent="0.3">
      <c r="A438" t="s">
        <v>2530</v>
      </c>
      <c r="B438" t="str">
        <f>TEXT(Raw_Data[[#This Row],[Order Date]],"mmm")</f>
        <v>Feb</v>
      </c>
      <c r="C438" t="s">
        <v>1087</v>
      </c>
      <c r="D438" t="s">
        <v>2531</v>
      </c>
      <c r="E438" t="s">
        <v>48</v>
      </c>
      <c r="F438" t="s">
        <v>106</v>
      </c>
      <c r="G438" t="s">
        <v>163</v>
      </c>
      <c r="H438" t="s">
        <v>23</v>
      </c>
      <c r="I438" t="s">
        <v>49</v>
      </c>
      <c r="J438" t="s">
        <v>100</v>
      </c>
      <c r="K438" t="s">
        <v>2532</v>
      </c>
      <c r="L438">
        <v>0.1</v>
      </c>
      <c r="M438" t="s">
        <v>2533</v>
      </c>
      <c r="N438" t="s">
        <v>2534</v>
      </c>
      <c r="O438" t="s">
        <v>43</v>
      </c>
      <c r="P438" t="s">
        <v>112</v>
      </c>
      <c r="Q438" t="s">
        <v>31</v>
      </c>
      <c r="R438" s="3">
        <v>189863.46</v>
      </c>
    </row>
    <row r="439" spans="1:18" x14ac:dyDescent="0.3">
      <c r="A439" t="s">
        <v>2535</v>
      </c>
      <c r="B439" t="str">
        <f>TEXT(Raw_Data[[#This Row],[Order Date]],"mmm")</f>
        <v>Jun</v>
      </c>
      <c r="C439" t="s">
        <v>2163</v>
      </c>
      <c r="D439" t="s">
        <v>2536</v>
      </c>
      <c r="E439" t="s">
        <v>20</v>
      </c>
      <c r="F439" t="s">
        <v>106</v>
      </c>
      <c r="G439" t="s">
        <v>106</v>
      </c>
      <c r="H439" t="s">
        <v>23</v>
      </c>
      <c r="I439" t="s">
        <v>341</v>
      </c>
      <c r="J439" t="s">
        <v>25</v>
      </c>
      <c r="K439" t="s">
        <v>2537</v>
      </c>
      <c r="L439">
        <v>0.15</v>
      </c>
      <c r="M439" t="s">
        <v>2538</v>
      </c>
      <c r="N439" t="s">
        <v>2539</v>
      </c>
      <c r="O439" t="s">
        <v>64</v>
      </c>
      <c r="P439" t="s">
        <v>30</v>
      </c>
      <c r="Q439" t="s">
        <v>44</v>
      </c>
      <c r="R439" s="3">
        <v>4916.1364999999996</v>
      </c>
    </row>
    <row r="440" spans="1:18" x14ac:dyDescent="0.3">
      <c r="A440" t="s">
        <v>2540</v>
      </c>
      <c r="B440" t="str">
        <f>TEXT(Raw_Data[[#This Row],[Order Date]],"mmm")</f>
        <v>Jul</v>
      </c>
      <c r="C440" t="s">
        <v>412</v>
      </c>
      <c r="D440" t="s">
        <v>2541</v>
      </c>
      <c r="E440" t="s">
        <v>48</v>
      </c>
      <c r="F440" t="s">
        <v>21</v>
      </c>
      <c r="G440" t="s">
        <v>22</v>
      </c>
      <c r="H440" t="s">
        <v>23</v>
      </c>
      <c r="I440" t="s">
        <v>49</v>
      </c>
      <c r="J440" t="s">
        <v>25</v>
      </c>
      <c r="K440" t="s">
        <v>2542</v>
      </c>
      <c r="L440">
        <v>0.15</v>
      </c>
      <c r="M440" t="s">
        <v>2543</v>
      </c>
      <c r="N440" t="s">
        <v>2544</v>
      </c>
      <c r="O440" t="s">
        <v>54</v>
      </c>
      <c r="P440" t="s">
        <v>95</v>
      </c>
      <c r="Q440" t="s">
        <v>31</v>
      </c>
      <c r="R440" s="3">
        <v>14580.6534999999</v>
      </c>
    </row>
    <row r="441" spans="1:18" x14ac:dyDescent="0.3">
      <c r="A441" t="s">
        <v>2545</v>
      </c>
      <c r="B441" t="str">
        <f>TEXT(Raw_Data[[#This Row],[Order Date]],"mmm")</f>
        <v>Jun</v>
      </c>
      <c r="C441" t="s">
        <v>2546</v>
      </c>
      <c r="D441" t="s">
        <v>2547</v>
      </c>
      <c r="E441" t="s">
        <v>20</v>
      </c>
      <c r="F441" t="s">
        <v>215</v>
      </c>
      <c r="G441" t="s">
        <v>216</v>
      </c>
      <c r="H441" t="s">
        <v>107</v>
      </c>
      <c r="I441" t="s">
        <v>469</v>
      </c>
      <c r="J441" t="s">
        <v>50</v>
      </c>
      <c r="K441" t="s">
        <v>2548</v>
      </c>
      <c r="L441">
        <v>0.05</v>
      </c>
      <c r="M441" t="s">
        <v>2549</v>
      </c>
      <c r="N441" t="s">
        <v>2550</v>
      </c>
      <c r="O441" t="s">
        <v>173</v>
      </c>
      <c r="P441" t="s">
        <v>30</v>
      </c>
      <c r="Q441" t="s">
        <v>44</v>
      </c>
      <c r="R441" s="3">
        <v>25586.521000000001</v>
      </c>
    </row>
    <row r="442" spans="1:18" x14ac:dyDescent="0.3">
      <c r="A442" t="s">
        <v>2551</v>
      </c>
      <c r="B442" t="str">
        <f>TEXT(Raw_Data[[#This Row],[Order Date]],"mmm")</f>
        <v>Apr</v>
      </c>
      <c r="C442" t="s">
        <v>2552</v>
      </c>
      <c r="D442" t="s">
        <v>2553</v>
      </c>
      <c r="E442" t="s">
        <v>48</v>
      </c>
      <c r="F442" t="s">
        <v>78</v>
      </c>
      <c r="G442" t="s">
        <v>79</v>
      </c>
      <c r="H442" t="s">
        <v>107</v>
      </c>
      <c r="I442" t="s">
        <v>378</v>
      </c>
      <c r="J442" t="s">
        <v>50</v>
      </c>
      <c r="K442" t="s">
        <v>2554</v>
      </c>
      <c r="L442">
        <v>0</v>
      </c>
      <c r="M442" t="s">
        <v>2555</v>
      </c>
      <c r="N442" t="s">
        <v>2556</v>
      </c>
      <c r="O442" t="s">
        <v>64</v>
      </c>
      <c r="P442" t="s">
        <v>30</v>
      </c>
      <c r="Q442" t="s">
        <v>65</v>
      </c>
      <c r="R442" s="3">
        <v>21651.16</v>
      </c>
    </row>
    <row r="443" spans="1:18" x14ac:dyDescent="0.3">
      <c r="A443" t="s">
        <v>2557</v>
      </c>
      <c r="B443" t="str">
        <f>TEXT(Raw_Data[[#This Row],[Order Date]],"mmm")</f>
        <v>Dec</v>
      </c>
      <c r="C443" t="s">
        <v>2558</v>
      </c>
      <c r="D443" t="s">
        <v>2559</v>
      </c>
      <c r="E443" t="s">
        <v>35</v>
      </c>
      <c r="F443" t="s">
        <v>69</v>
      </c>
      <c r="G443" t="s">
        <v>328</v>
      </c>
      <c r="H443" t="s">
        <v>107</v>
      </c>
      <c r="I443" t="s">
        <v>277</v>
      </c>
      <c r="J443" t="s">
        <v>25</v>
      </c>
      <c r="K443" t="s">
        <v>2560</v>
      </c>
      <c r="L443">
        <v>0.1</v>
      </c>
      <c r="M443" t="s">
        <v>2561</v>
      </c>
      <c r="N443" t="s">
        <v>2562</v>
      </c>
      <c r="O443" t="s">
        <v>43</v>
      </c>
      <c r="P443" t="s">
        <v>30</v>
      </c>
      <c r="Q443" t="s">
        <v>31</v>
      </c>
      <c r="R443" s="3">
        <v>8136.99</v>
      </c>
    </row>
    <row r="444" spans="1:18" x14ac:dyDescent="0.3">
      <c r="A444" t="s">
        <v>2563</v>
      </c>
      <c r="B444" t="str">
        <f>TEXT(Raw_Data[[#This Row],[Order Date]],"mmm")</f>
        <v>Aug</v>
      </c>
      <c r="C444" t="s">
        <v>954</v>
      </c>
      <c r="D444" t="s">
        <v>2564</v>
      </c>
      <c r="E444" t="s">
        <v>20</v>
      </c>
      <c r="F444" t="s">
        <v>78</v>
      </c>
      <c r="G444" t="s">
        <v>79</v>
      </c>
      <c r="H444" t="s">
        <v>107</v>
      </c>
      <c r="I444" t="s">
        <v>108</v>
      </c>
      <c r="J444" t="s">
        <v>25</v>
      </c>
      <c r="K444" t="s">
        <v>2565</v>
      </c>
      <c r="L444">
        <v>0.15</v>
      </c>
      <c r="M444" t="s">
        <v>2566</v>
      </c>
      <c r="N444" t="s">
        <v>2567</v>
      </c>
      <c r="O444" t="s">
        <v>173</v>
      </c>
      <c r="P444" t="s">
        <v>30</v>
      </c>
      <c r="Q444" t="s">
        <v>31</v>
      </c>
      <c r="R444" s="3">
        <v>8207.3194999999996</v>
      </c>
    </row>
    <row r="445" spans="1:18" x14ac:dyDescent="0.3">
      <c r="A445" t="s">
        <v>2568</v>
      </c>
      <c r="B445" t="str">
        <f>TEXT(Raw_Data[[#This Row],[Order Date]],"mmm")</f>
        <v>Sep</v>
      </c>
      <c r="C445" t="s">
        <v>2569</v>
      </c>
      <c r="D445" t="s">
        <v>2570</v>
      </c>
      <c r="E445" t="s">
        <v>35</v>
      </c>
      <c r="F445" t="s">
        <v>36</v>
      </c>
      <c r="G445" t="s">
        <v>196</v>
      </c>
      <c r="H445" t="s">
        <v>80</v>
      </c>
      <c r="I445" t="s">
        <v>378</v>
      </c>
      <c r="J445" t="s">
        <v>25</v>
      </c>
      <c r="K445" t="s">
        <v>2571</v>
      </c>
      <c r="L445">
        <v>0.05</v>
      </c>
      <c r="M445" t="s">
        <v>2572</v>
      </c>
      <c r="N445" t="s">
        <v>2573</v>
      </c>
      <c r="O445" t="s">
        <v>173</v>
      </c>
      <c r="P445" t="s">
        <v>30</v>
      </c>
      <c r="Q445" t="s">
        <v>65</v>
      </c>
      <c r="R445" s="3">
        <v>6228.0479999999998</v>
      </c>
    </row>
    <row r="446" spans="1:18" x14ac:dyDescent="0.3">
      <c r="A446" t="s">
        <v>2574</v>
      </c>
      <c r="B446" t="str">
        <f>TEXT(Raw_Data[[#This Row],[Order Date]],"mmm")</f>
        <v>Oct</v>
      </c>
      <c r="C446" t="s">
        <v>1802</v>
      </c>
      <c r="D446" t="s">
        <v>2575</v>
      </c>
      <c r="E446" t="s">
        <v>48</v>
      </c>
      <c r="F446" t="s">
        <v>78</v>
      </c>
      <c r="G446" t="s">
        <v>731</v>
      </c>
      <c r="H446" t="s">
        <v>107</v>
      </c>
      <c r="I446" t="s">
        <v>378</v>
      </c>
      <c r="J446" t="s">
        <v>50</v>
      </c>
      <c r="K446" t="s">
        <v>2576</v>
      </c>
      <c r="L446">
        <v>0.15</v>
      </c>
      <c r="M446" t="s">
        <v>2577</v>
      </c>
      <c r="N446" t="s">
        <v>2578</v>
      </c>
      <c r="O446" t="s">
        <v>64</v>
      </c>
      <c r="P446" t="s">
        <v>30</v>
      </c>
      <c r="Q446" t="s">
        <v>44</v>
      </c>
      <c r="R446" s="3">
        <v>3590.3149999999901</v>
      </c>
    </row>
    <row r="447" spans="1:18" x14ac:dyDescent="0.3">
      <c r="A447" t="s">
        <v>2579</v>
      </c>
      <c r="B447" t="str">
        <f>TEXT(Raw_Data[[#This Row],[Order Date]],"mmm")</f>
        <v>Feb</v>
      </c>
      <c r="C447" t="s">
        <v>2145</v>
      </c>
      <c r="D447" t="s">
        <v>2580</v>
      </c>
      <c r="E447" t="s">
        <v>20</v>
      </c>
      <c r="F447" t="s">
        <v>215</v>
      </c>
      <c r="G447" t="s">
        <v>216</v>
      </c>
      <c r="H447" t="s">
        <v>2581</v>
      </c>
      <c r="I447" t="s">
        <v>223</v>
      </c>
      <c r="J447" t="s">
        <v>25</v>
      </c>
      <c r="K447" t="s">
        <v>2582</v>
      </c>
      <c r="L447">
        <v>0.2</v>
      </c>
      <c r="M447" t="s">
        <v>2583</v>
      </c>
      <c r="N447" t="s">
        <v>2584</v>
      </c>
      <c r="O447" t="s">
        <v>173</v>
      </c>
      <c r="P447" t="s">
        <v>30</v>
      </c>
      <c r="Q447" t="s">
        <v>44</v>
      </c>
      <c r="R447" s="3">
        <v>3767.2</v>
      </c>
    </row>
    <row r="448" spans="1:18" x14ac:dyDescent="0.3">
      <c r="A448" t="s">
        <v>2585</v>
      </c>
      <c r="B448" t="str">
        <f>TEXT(Raw_Data[[#This Row],[Order Date]],"mmm")</f>
        <v>Jun</v>
      </c>
      <c r="C448" t="s">
        <v>2586</v>
      </c>
      <c r="D448" t="s">
        <v>2587</v>
      </c>
      <c r="E448" t="s">
        <v>48</v>
      </c>
      <c r="F448" t="s">
        <v>106</v>
      </c>
      <c r="G448" t="s">
        <v>106</v>
      </c>
      <c r="H448" t="s">
        <v>154</v>
      </c>
      <c r="I448" t="s">
        <v>309</v>
      </c>
      <c r="J448" t="s">
        <v>25</v>
      </c>
      <c r="K448" t="s">
        <v>2588</v>
      </c>
      <c r="L448">
        <v>0.1</v>
      </c>
      <c r="M448" t="s">
        <v>2589</v>
      </c>
      <c r="N448" t="s">
        <v>2590</v>
      </c>
      <c r="O448" t="s">
        <v>54</v>
      </c>
      <c r="P448" t="s">
        <v>159</v>
      </c>
      <c r="Q448" t="s">
        <v>31</v>
      </c>
      <c r="R448" s="3">
        <v>3491.9369999999999</v>
      </c>
    </row>
    <row r="449" spans="1:18" x14ac:dyDescent="0.3">
      <c r="A449" t="s">
        <v>2591</v>
      </c>
      <c r="B449" t="str">
        <f>TEXT(Raw_Data[[#This Row],[Order Date]],"mmm")</f>
        <v>Dec</v>
      </c>
      <c r="C449" t="s">
        <v>1003</v>
      </c>
      <c r="D449" t="s">
        <v>2592</v>
      </c>
      <c r="E449" t="s">
        <v>48</v>
      </c>
      <c r="F449" t="s">
        <v>58</v>
      </c>
      <c r="G449" t="s">
        <v>59</v>
      </c>
      <c r="H449" t="s">
        <v>23</v>
      </c>
      <c r="I449" t="s">
        <v>341</v>
      </c>
      <c r="J449" t="s">
        <v>25</v>
      </c>
      <c r="K449" t="s">
        <v>2593</v>
      </c>
      <c r="L449">
        <v>0.05</v>
      </c>
      <c r="M449" t="s">
        <v>2594</v>
      </c>
      <c r="N449" t="s">
        <v>2595</v>
      </c>
      <c r="O449" t="s">
        <v>29</v>
      </c>
      <c r="P449" t="s">
        <v>30</v>
      </c>
      <c r="Q449" t="s">
        <v>31</v>
      </c>
      <c r="R449" s="3">
        <v>66422.062000000005</v>
      </c>
    </row>
    <row r="450" spans="1:18" x14ac:dyDescent="0.3">
      <c r="A450" t="s">
        <v>2596</v>
      </c>
      <c r="B450" t="str">
        <f>TEXT(Raw_Data[[#This Row],[Order Date]],"mmm")</f>
        <v>Apr</v>
      </c>
      <c r="C450" t="s">
        <v>97</v>
      </c>
      <c r="D450" t="s">
        <v>2597</v>
      </c>
      <c r="E450" t="s">
        <v>20</v>
      </c>
      <c r="F450" t="s">
        <v>89</v>
      </c>
      <c r="G450" t="s">
        <v>99</v>
      </c>
      <c r="H450" t="s">
        <v>38</v>
      </c>
      <c r="I450" t="s">
        <v>39</v>
      </c>
      <c r="J450" t="s">
        <v>25</v>
      </c>
      <c r="K450" t="s">
        <v>2598</v>
      </c>
      <c r="L450">
        <v>0.1</v>
      </c>
      <c r="M450" t="s">
        <v>2599</v>
      </c>
      <c r="N450" t="s">
        <v>2600</v>
      </c>
      <c r="O450" t="s">
        <v>173</v>
      </c>
      <c r="P450" t="s">
        <v>30</v>
      </c>
      <c r="Q450" t="s">
        <v>31</v>
      </c>
      <c r="R450" s="3">
        <v>260.35199999999998</v>
      </c>
    </row>
    <row r="451" spans="1:18" x14ac:dyDescent="0.3">
      <c r="A451" t="s">
        <v>2601</v>
      </c>
      <c r="B451" t="str">
        <f>TEXT(Raw_Data[[#This Row],[Order Date]],"mmm")</f>
        <v>Jan</v>
      </c>
      <c r="C451" t="s">
        <v>2602</v>
      </c>
      <c r="D451" t="s">
        <v>2603</v>
      </c>
      <c r="E451" t="s">
        <v>35</v>
      </c>
      <c r="F451" t="s">
        <v>58</v>
      </c>
      <c r="G451" t="s">
        <v>59</v>
      </c>
      <c r="H451" t="s">
        <v>154</v>
      </c>
      <c r="I451" t="s">
        <v>1061</v>
      </c>
      <c r="J451" t="s">
        <v>50</v>
      </c>
      <c r="K451" t="s">
        <v>2604</v>
      </c>
      <c r="L451">
        <v>0.1</v>
      </c>
      <c r="M451" t="s">
        <v>2605</v>
      </c>
      <c r="N451" t="s">
        <v>2606</v>
      </c>
      <c r="O451" t="s">
        <v>54</v>
      </c>
      <c r="P451" t="s">
        <v>112</v>
      </c>
      <c r="Q451" t="s">
        <v>44</v>
      </c>
      <c r="R451" s="3">
        <v>4827.5819999999903</v>
      </c>
    </row>
    <row r="452" spans="1:18" x14ac:dyDescent="0.3">
      <c r="A452" t="s">
        <v>2607</v>
      </c>
      <c r="B452" t="str">
        <f>TEXT(Raw_Data[[#This Row],[Order Date]],"mmm")</f>
        <v>Sep</v>
      </c>
      <c r="C452" t="s">
        <v>2608</v>
      </c>
      <c r="D452" t="s">
        <v>2609</v>
      </c>
      <c r="E452" t="s">
        <v>20</v>
      </c>
      <c r="F452" t="s">
        <v>36</v>
      </c>
      <c r="G452" t="s">
        <v>414</v>
      </c>
      <c r="H452" t="s">
        <v>23</v>
      </c>
      <c r="I452" t="s">
        <v>183</v>
      </c>
      <c r="J452" t="s">
        <v>25</v>
      </c>
      <c r="K452" t="s">
        <v>2610</v>
      </c>
      <c r="L452">
        <v>0.15</v>
      </c>
      <c r="M452" t="s">
        <v>2611</v>
      </c>
      <c r="N452" t="s">
        <v>2612</v>
      </c>
      <c r="O452" t="s">
        <v>43</v>
      </c>
      <c r="P452" t="s">
        <v>112</v>
      </c>
      <c r="Q452" t="s">
        <v>44</v>
      </c>
      <c r="R452" s="3">
        <v>47921.087500000001</v>
      </c>
    </row>
    <row r="453" spans="1:18" x14ac:dyDescent="0.3">
      <c r="A453" t="s">
        <v>2613</v>
      </c>
      <c r="B453" t="str">
        <f>TEXT(Raw_Data[[#This Row],[Order Date]],"mmm")</f>
        <v>Jun</v>
      </c>
      <c r="C453" t="s">
        <v>764</v>
      </c>
      <c r="D453" t="s">
        <v>2614</v>
      </c>
      <c r="E453" t="s">
        <v>20</v>
      </c>
      <c r="F453" t="s">
        <v>69</v>
      </c>
      <c r="G453" t="s">
        <v>139</v>
      </c>
      <c r="H453" t="s">
        <v>23</v>
      </c>
      <c r="I453" t="s">
        <v>341</v>
      </c>
      <c r="J453" t="s">
        <v>25</v>
      </c>
      <c r="K453" t="s">
        <v>2615</v>
      </c>
      <c r="L453">
        <v>0.15</v>
      </c>
      <c r="M453" t="s">
        <v>2616</v>
      </c>
      <c r="N453" t="s">
        <v>2617</v>
      </c>
      <c r="O453" t="s">
        <v>43</v>
      </c>
      <c r="P453" t="s">
        <v>30</v>
      </c>
      <c r="Q453" t="s">
        <v>44</v>
      </c>
      <c r="R453" s="3">
        <v>11260.612999999999</v>
      </c>
    </row>
    <row r="454" spans="1:18" x14ac:dyDescent="0.3">
      <c r="A454" t="s">
        <v>2618</v>
      </c>
      <c r="B454" t="str">
        <f>TEXT(Raw_Data[[#This Row],[Order Date]],"mmm")</f>
        <v>May</v>
      </c>
      <c r="C454" t="s">
        <v>1985</v>
      </c>
      <c r="D454" t="s">
        <v>2619</v>
      </c>
      <c r="E454" t="s">
        <v>48</v>
      </c>
      <c r="F454" t="s">
        <v>215</v>
      </c>
      <c r="G454" t="s">
        <v>216</v>
      </c>
      <c r="H454" t="s">
        <v>80</v>
      </c>
      <c r="I454" t="s">
        <v>81</v>
      </c>
      <c r="J454" t="s">
        <v>25</v>
      </c>
      <c r="K454" t="s">
        <v>2620</v>
      </c>
      <c r="L454">
        <v>0.2</v>
      </c>
      <c r="M454" t="s">
        <v>2621</v>
      </c>
      <c r="N454" t="s">
        <v>2622</v>
      </c>
      <c r="O454" t="s">
        <v>43</v>
      </c>
      <c r="P454" t="s">
        <v>30</v>
      </c>
      <c r="Q454" t="s">
        <v>31</v>
      </c>
      <c r="R454" s="3">
        <v>922.024</v>
      </c>
    </row>
    <row r="455" spans="1:18" x14ac:dyDescent="0.3">
      <c r="A455" t="s">
        <v>2623</v>
      </c>
      <c r="B455" t="str">
        <f>TEXT(Raw_Data[[#This Row],[Order Date]],"mmm")</f>
        <v>Oct</v>
      </c>
      <c r="C455" t="s">
        <v>2438</v>
      </c>
      <c r="D455" t="s">
        <v>2624</v>
      </c>
      <c r="E455" t="s">
        <v>20</v>
      </c>
      <c r="F455" t="s">
        <v>21</v>
      </c>
      <c r="G455" t="s">
        <v>130</v>
      </c>
      <c r="H455" t="s">
        <v>38</v>
      </c>
      <c r="I455" t="s">
        <v>256</v>
      </c>
      <c r="J455" t="s">
        <v>82</v>
      </c>
      <c r="K455" t="s">
        <v>2625</v>
      </c>
      <c r="L455">
        <v>0.05</v>
      </c>
      <c r="M455" t="s">
        <v>2626</v>
      </c>
      <c r="N455" t="s">
        <v>2627</v>
      </c>
      <c r="O455" t="s">
        <v>54</v>
      </c>
      <c r="P455" t="s">
        <v>95</v>
      </c>
      <c r="Q455" t="s">
        <v>31</v>
      </c>
      <c r="R455" s="3">
        <v>19824.79</v>
      </c>
    </row>
    <row r="456" spans="1:18" x14ac:dyDescent="0.3">
      <c r="A456" t="s">
        <v>2628</v>
      </c>
      <c r="B456" t="str">
        <f>TEXT(Raw_Data[[#This Row],[Order Date]],"mmm")</f>
        <v>Jun</v>
      </c>
      <c r="C456" t="s">
        <v>2163</v>
      </c>
      <c r="D456" t="s">
        <v>2629</v>
      </c>
      <c r="E456" t="s">
        <v>35</v>
      </c>
      <c r="F456" t="s">
        <v>36</v>
      </c>
      <c r="G456" t="s">
        <v>123</v>
      </c>
      <c r="H456" t="s">
        <v>38</v>
      </c>
      <c r="I456" t="s">
        <v>71</v>
      </c>
      <c r="J456" t="s">
        <v>82</v>
      </c>
      <c r="K456" t="s">
        <v>2630</v>
      </c>
      <c r="L456">
        <v>0.05</v>
      </c>
      <c r="M456" t="s">
        <v>2631</v>
      </c>
      <c r="N456" t="s">
        <v>2632</v>
      </c>
      <c r="O456" t="s">
        <v>43</v>
      </c>
      <c r="P456" t="s">
        <v>30</v>
      </c>
      <c r="Q456" t="s">
        <v>44</v>
      </c>
      <c r="R456" s="3">
        <v>16373.5539999999</v>
      </c>
    </row>
    <row r="457" spans="1:18" x14ac:dyDescent="0.3">
      <c r="A457" t="s">
        <v>2633</v>
      </c>
      <c r="B457" t="str">
        <f>TEXT(Raw_Data[[#This Row],[Order Date]],"mmm")</f>
        <v>Oct</v>
      </c>
      <c r="C457" t="s">
        <v>1846</v>
      </c>
      <c r="D457" t="s">
        <v>2634</v>
      </c>
      <c r="E457" t="s">
        <v>20</v>
      </c>
      <c r="F457" t="s">
        <v>36</v>
      </c>
      <c r="G457" t="s">
        <v>196</v>
      </c>
      <c r="H457" t="s">
        <v>107</v>
      </c>
      <c r="I457" t="s">
        <v>469</v>
      </c>
      <c r="J457" t="s">
        <v>25</v>
      </c>
      <c r="K457" t="s">
        <v>2635</v>
      </c>
      <c r="L457">
        <v>0.15</v>
      </c>
      <c r="M457" t="s">
        <v>2636</v>
      </c>
      <c r="N457" t="s">
        <v>2637</v>
      </c>
      <c r="O457" t="s">
        <v>54</v>
      </c>
      <c r="P457" t="s">
        <v>30</v>
      </c>
      <c r="Q457" t="s">
        <v>44</v>
      </c>
      <c r="R457" s="3">
        <v>11150.104499999999</v>
      </c>
    </row>
    <row r="458" spans="1:18" x14ac:dyDescent="0.3">
      <c r="A458" t="s">
        <v>2638</v>
      </c>
      <c r="B458" t="str">
        <f>TEXT(Raw_Data[[#This Row],[Order Date]],"mmm")</f>
        <v>Jan</v>
      </c>
      <c r="C458" t="s">
        <v>485</v>
      </c>
      <c r="D458" t="s">
        <v>2639</v>
      </c>
      <c r="E458" t="s">
        <v>20</v>
      </c>
      <c r="F458" t="s">
        <v>78</v>
      </c>
      <c r="G458" t="s">
        <v>731</v>
      </c>
      <c r="H458" t="s">
        <v>107</v>
      </c>
      <c r="I458" t="s">
        <v>591</v>
      </c>
      <c r="J458" t="s">
        <v>82</v>
      </c>
      <c r="K458" t="s">
        <v>2640</v>
      </c>
      <c r="L458">
        <v>0</v>
      </c>
      <c r="M458" t="s">
        <v>2641</v>
      </c>
      <c r="N458" t="s">
        <v>2642</v>
      </c>
      <c r="O458" t="s">
        <v>29</v>
      </c>
      <c r="P458" t="s">
        <v>112</v>
      </c>
      <c r="Q458" t="s">
        <v>31</v>
      </c>
      <c r="R458" s="3">
        <v>6609.36</v>
      </c>
    </row>
    <row r="459" spans="1:18" x14ac:dyDescent="0.3">
      <c r="A459" t="s">
        <v>2643</v>
      </c>
      <c r="B459" t="str">
        <f>TEXT(Raw_Data[[#This Row],[Order Date]],"mmm")</f>
        <v>May</v>
      </c>
      <c r="C459" t="s">
        <v>498</v>
      </c>
      <c r="D459" t="s">
        <v>2644</v>
      </c>
      <c r="E459" t="s">
        <v>20</v>
      </c>
      <c r="F459" t="s">
        <v>106</v>
      </c>
      <c r="G459" t="s">
        <v>163</v>
      </c>
      <c r="H459" t="s">
        <v>80</v>
      </c>
      <c r="I459" t="s">
        <v>91</v>
      </c>
      <c r="J459" t="s">
        <v>100</v>
      </c>
      <c r="K459" t="s">
        <v>2645</v>
      </c>
      <c r="L459">
        <v>0.05</v>
      </c>
      <c r="M459" t="s">
        <v>2646</v>
      </c>
      <c r="N459" t="s">
        <v>2647</v>
      </c>
      <c r="O459" t="s">
        <v>43</v>
      </c>
      <c r="P459" t="s">
        <v>30</v>
      </c>
      <c r="Q459" t="s">
        <v>65</v>
      </c>
      <c r="R459" s="3">
        <v>17691.175500000001</v>
      </c>
    </row>
    <row r="460" spans="1:18" x14ac:dyDescent="0.3">
      <c r="A460" t="s">
        <v>2648</v>
      </c>
      <c r="B460" t="str">
        <f>TEXT(Raw_Data[[#This Row],[Order Date]],"mmm")</f>
        <v>Apr</v>
      </c>
      <c r="C460" t="s">
        <v>2649</v>
      </c>
      <c r="D460" t="s">
        <v>2650</v>
      </c>
      <c r="E460" t="s">
        <v>48</v>
      </c>
      <c r="F460" t="s">
        <v>89</v>
      </c>
      <c r="G460" t="s">
        <v>90</v>
      </c>
      <c r="H460" t="s">
        <v>80</v>
      </c>
      <c r="I460" t="s">
        <v>81</v>
      </c>
      <c r="J460" t="s">
        <v>25</v>
      </c>
      <c r="K460" t="s">
        <v>2651</v>
      </c>
      <c r="L460">
        <v>0</v>
      </c>
      <c r="M460" t="s">
        <v>2652</v>
      </c>
      <c r="N460" t="s">
        <v>2653</v>
      </c>
      <c r="O460" t="s">
        <v>54</v>
      </c>
      <c r="P460" t="s">
        <v>30</v>
      </c>
      <c r="Q460" t="s">
        <v>31</v>
      </c>
      <c r="R460" s="3">
        <v>2739.42</v>
      </c>
    </row>
    <row r="461" spans="1:18" x14ac:dyDescent="0.3">
      <c r="A461" t="s">
        <v>2654</v>
      </c>
      <c r="B461" t="str">
        <f>TEXT(Raw_Data[[#This Row],[Order Date]],"mmm")</f>
        <v>Oct</v>
      </c>
      <c r="C461" t="s">
        <v>1076</v>
      </c>
      <c r="D461" t="s">
        <v>2655</v>
      </c>
      <c r="E461" t="s">
        <v>48</v>
      </c>
      <c r="F461" t="s">
        <v>215</v>
      </c>
      <c r="G461" t="s">
        <v>216</v>
      </c>
      <c r="H461" t="s">
        <v>80</v>
      </c>
      <c r="I461" t="s">
        <v>91</v>
      </c>
      <c r="J461" t="s">
        <v>100</v>
      </c>
      <c r="K461" t="s">
        <v>2656</v>
      </c>
      <c r="L461">
        <v>0.15</v>
      </c>
      <c r="M461" t="s">
        <v>2657</v>
      </c>
      <c r="N461" t="s">
        <v>2658</v>
      </c>
      <c r="O461" t="s">
        <v>54</v>
      </c>
      <c r="P461" t="s">
        <v>30</v>
      </c>
      <c r="Q461" t="s">
        <v>31</v>
      </c>
      <c r="R461" s="3">
        <v>11927.905499999901</v>
      </c>
    </row>
    <row r="462" spans="1:18" x14ac:dyDescent="0.3">
      <c r="A462" t="s">
        <v>2659</v>
      </c>
      <c r="B462" t="str">
        <f>TEXT(Raw_Data[[#This Row],[Order Date]],"mmm")</f>
        <v>Nov</v>
      </c>
      <c r="C462" t="s">
        <v>1731</v>
      </c>
      <c r="D462" t="s">
        <v>2660</v>
      </c>
      <c r="E462" t="s">
        <v>20</v>
      </c>
      <c r="F462" t="s">
        <v>89</v>
      </c>
      <c r="G462" t="s">
        <v>90</v>
      </c>
      <c r="H462" t="s">
        <v>107</v>
      </c>
      <c r="I462" t="s">
        <v>591</v>
      </c>
      <c r="J462" t="s">
        <v>25</v>
      </c>
      <c r="K462" t="s">
        <v>2661</v>
      </c>
      <c r="L462">
        <v>0.05</v>
      </c>
      <c r="M462" t="s">
        <v>2662</v>
      </c>
      <c r="N462" t="s">
        <v>2663</v>
      </c>
      <c r="O462" t="s">
        <v>173</v>
      </c>
      <c r="P462" t="s">
        <v>30</v>
      </c>
      <c r="Q462" t="s">
        <v>44</v>
      </c>
      <c r="R462" s="3">
        <v>4374.8069999999998</v>
      </c>
    </row>
    <row r="463" spans="1:18" x14ac:dyDescent="0.3">
      <c r="A463" t="s">
        <v>2664</v>
      </c>
      <c r="B463" t="str">
        <f>TEXT(Raw_Data[[#This Row],[Order Date]],"mmm")</f>
        <v>Dec</v>
      </c>
      <c r="C463" t="s">
        <v>168</v>
      </c>
      <c r="D463" t="s">
        <v>2665</v>
      </c>
      <c r="E463" t="s">
        <v>48</v>
      </c>
      <c r="F463" t="s">
        <v>36</v>
      </c>
      <c r="G463" t="s">
        <v>196</v>
      </c>
      <c r="H463" t="s">
        <v>23</v>
      </c>
      <c r="I463" t="s">
        <v>341</v>
      </c>
      <c r="J463" t="s">
        <v>25</v>
      </c>
      <c r="K463" t="s">
        <v>2666</v>
      </c>
      <c r="L463">
        <v>0.1</v>
      </c>
      <c r="M463" t="s">
        <v>2667</v>
      </c>
      <c r="N463" t="s">
        <v>2668</v>
      </c>
      <c r="O463" t="s">
        <v>43</v>
      </c>
      <c r="P463" t="s">
        <v>30</v>
      </c>
      <c r="Q463" t="s">
        <v>31</v>
      </c>
      <c r="R463" s="3">
        <v>59381.955000000002</v>
      </c>
    </row>
    <row r="464" spans="1:18" x14ac:dyDescent="0.3">
      <c r="A464" t="s">
        <v>2669</v>
      </c>
      <c r="B464" t="str">
        <f>TEXT(Raw_Data[[#This Row],[Order Date]],"mmm")</f>
        <v>Jul</v>
      </c>
      <c r="C464" t="s">
        <v>2670</v>
      </c>
      <c r="D464" t="s">
        <v>2671</v>
      </c>
      <c r="E464" t="s">
        <v>48</v>
      </c>
      <c r="F464" t="s">
        <v>215</v>
      </c>
      <c r="G464" t="s">
        <v>216</v>
      </c>
      <c r="H464" t="s">
        <v>23</v>
      </c>
      <c r="I464" t="s">
        <v>263</v>
      </c>
      <c r="J464" t="s">
        <v>50</v>
      </c>
      <c r="K464" t="s">
        <v>2672</v>
      </c>
      <c r="L464">
        <v>0.1</v>
      </c>
      <c r="M464" t="s">
        <v>2673</v>
      </c>
      <c r="N464" t="s">
        <v>2674</v>
      </c>
      <c r="O464" t="s">
        <v>173</v>
      </c>
      <c r="P464" t="s">
        <v>30</v>
      </c>
      <c r="Q464" t="s">
        <v>44</v>
      </c>
      <c r="R464" s="3">
        <v>75116.592000000004</v>
      </c>
    </row>
    <row r="465" spans="1:18" x14ac:dyDescent="0.3">
      <c r="A465" t="s">
        <v>2675</v>
      </c>
      <c r="B465" t="str">
        <f>TEXT(Raw_Data[[#This Row],[Order Date]],"mmm")</f>
        <v>Feb</v>
      </c>
      <c r="C465" t="s">
        <v>2676</v>
      </c>
      <c r="D465" t="s">
        <v>2677</v>
      </c>
      <c r="E465" t="s">
        <v>48</v>
      </c>
      <c r="F465" t="s">
        <v>215</v>
      </c>
      <c r="G465" t="s">
        <v>276</v>
      </c>
      <c r="H465" t="s">
        <v>154</v>
      </c>
      <c r="I465" t="s">
        <v>1061</v>
      </c>
      <c r="J465" t="s">
        <v>100</v>
      </c>
      <c r="K465" t="s">
        <v>2678</v>
      </c>
      <c r="L465">
        <v>0.05</v>
      </c>
      <c r="M465" t="s">
        <v>2679</v>
      </c>
      <c r="N465" t="s">
        <v>2680</v>
      </c>
      <c r="O465" t="s">
        <v>29</v>
      </c>
      <c r="P465" t="s">
        <v>30</v>
      </c>
      <c r="Q465" t="s">
        <v>44</v>
      </c>
      <c r="R465" s="3">
        <v>33775.862999999998</v>
      </c>
    </row>
    <row r="466" spans="1:18" x14ac:dyDescent="0.3">
      <c r="A466" t="s">
        <v>2681</v>
      </c>
      <c r="B466" t="str">
        <f>TEXT(Raw_Data[[#This Row],[Order Date]],"mmm")</f>
        <v>Oct</v>
      </c>
      <c r="C466" t="s">
        <v>1991</v>
      </c>
      <c r="D466" t="s">
        <v>2682</v>
      </c>
      <c r="E466" t="s">
        <v>48</v>
      </c>
      <c r="F466" t="s">
        <v>106</v>
      </c>
      <c r="G466" t="s">
        <v>106</v>
      </c>
      <c r="H466" t="s">
        <v>80</v>
      </c>
      <c r="I466" t="s">
        <v>116</v>
      </c>
      <c r="J466" t="s">
        <v>50</v>
      </c>
      <c r="K466" t="s">
        <v>2683</v>
      </c>
      <c r="L466">
        <v>0.1</v>
      </c>
      <c r="M466" t="s">
        <v>2684</v>
      </c>
      <c r="N466" t="s">
        <v>2685</v>
      </c>
      <c r="O466" t="s">
        <v>173</v>
      </c>
      <c r="P466" t="s">
        <v>30</v>
      </c>
      <c r="Q466" t="s">
        <v>65</v>
      </c>
      <c r="R466" s="3">
        <v>2043.018</v>
      </c>
    </row>
    <row r="467" spans="1:18" x14ac:dyDescent="0.3">
      <c r="A467" t="s">
        <v>2686</v>
      </c>
      <c r="B467" t="str">
        <f>TEXT(Raw_Data[[#This Row],[Order Date]],"mmm")</f>
        <v>Apr</v>
      </c>
      <c r="C467" t="s">
        <v>2687</v>
      </c>
      <c r="D467" t="s">
        <v>2688</v>
      </c>
      <c r="E467" t="s">
        <v>35</v>
      </c>
      <c r="F467" t="s">
        <v>78</v>
      </c>
      <c r="G467" t="s">
        <v>79</v>
      </c>
      <c r="H467" t="s">
        <v>80</v>
      </c>
      <c r="I467" t="s">
        <v>146</v>
      </c>
      <c r="J467" t="s">
        <v>25</v>
      </c>
      <c r="K467" t="s">
        <v>2689</v>
      </c>
      <c r="L467">
        <v>0.1</v>
      </c>
      <c r="M467" t="s">
        <v>2690</v>
      </c>
      <c r="N467" t="s">
        <v>2691</v>
      </c>
      <c r="O467" t="s">
        <v>29</v>
      </c>
      <c r="P467" t="s">
        <v>112</v>
      </c>
      <c r="Q467" t="s">
        <v>44</v>
      </c>
      <c r="R467" s="3">
        <v>4921.893</v>
      </c>
    </row>
    <row r="468" spans="1:18" x14ac:dyDescent="0.3">
      <c r="A468" t="s">
        <v>2692</v>
      </c>
      <c r="B468" t="str">
        <f>TEXT(Raw_Data[[#This Row],[Order Date]],"mmm")</f>
        <v>May</v>
      </c>
      <c r="C468" t="s">
        <v>2693</v>
      </c>
      <c r="D468" t="s">
        <v>2694</v>
      </c>
      <c r="E468" t="s">
        <v>35</v>
      </c>
      <c r="F468" t="s">
        <v>58</v>
      </c>
      <c r="G468" t="s">
        <v>290</v>
      </c>
      <c r="H468" t="s">
        <v>80</v>
      </c>
      <c r="I468" t="s">
        <v>91</v>
      </c>
      <c r="J468" t="s">
        <v>50</v>
      </c>
      <c r="K468" t="s">
        <v>2695</v>
      </c>
      <c r="L468">
        <v>0.05</v>
      </c>
      <c r="M468" t="s">
        <v>2696</v>
      </c>
      <c r="N468" t="s">
        <v>2697</v>
      </c>
      <c r="O468" t="s">
        <v>29</v>
      </c>
      <c r="P468" t="s">
        <v>30</v>
      </c>
      <c r="Q468" t="s">
        <v>44</v>
      </c>
      <c r="R468" s="3">
        <v>4773.5219999999999</v>
      </c>
    </row>
    <row r="469" spans="1:18" x14ac:dyDescent="0.3">
      <c r="A469" t="s">
        <v>2698</v>
      </c>
      <c r="B469" t="str">
        <f>TEXT(Raw_Data[[#This Row],[Order Date]],"mmm")</f>
        <v>Mar</v>
      </c>
      <c r="C469" t="s">
        <v>2180</v>
      </c>
      <c r="D469" t="s">
        <v>2699</v>
      </c>
      <c r="E469" t="s">
        <v>48</v>
      </c>
      <c r="F469" t="s">
        <v>69</v>
      </c>
      <c r="G469" t="s">
        <v>70</v>
      </c>
      <c r="H469" t="s">
        <v>23</v>
      </c>
      <c r="I469" t="s">
        <v>341</v>
      </c>
      <c r="J469" t="s">
        <v>25</v>
      </c>
      <c r="K469" t="s">
        <v>2700</v>
      </c>
      <c r="L469">
        <v>0</v>
      </c>
      <c r="M469" t="s">
        <v>2701</v>
      </c>
      <c r="N469" t="s">
        <v>2702</v>
      </c>
      <c r="O469" t="s">
        <v>64</v>
      </c>
      <c r="P469" t="s">
        <v>30</v>
      </c>
      <c r="Q469" t="s">
        <v>31</v>
      </c>
      <c r="R469" s="3">
        <v>44040.68</v>
      </c>
    </row>
    <row r="470" spans="1:18" x14ac:dyDescent="0.3">
      <c r="A470" t="s">
        <v>2703</v>
      </c>
      <c r="B470" t="str">
        <f>TEXT(Raw_Data[[#This Row],[Order Date]],"mmm")</f>
        <v>Sep</v>
      </c>
      <c r="C470" t="s">
        <v>2704</v>
      </c>
      <c r="D470" t="s">
        <v>2705</v>
      </c>
      <c r="E470" t="s">
        <v>48</v>
      </c>
      <c r="F470" t="s">
        <v>69</v>
      </c>
      <c r="G470" t="s">
        <v>328</v>
      </c>
      <c r="H470" t="s">
        <v>80</v>
      </c>
      <c r="I470" t="s">
        <v>131</v>
      </c>
      <c r="J470" t="s">
        <v>25</v>
      </c>
      <c r="K470" t="s">
        <v>2706</v>
      </c>
      <c r="L470">
        <v>0.1</v>
      </c>
      <c r="M470" t="s">
        <v>2707</v>
      </c>
      <c r="N470" t="s">
        <v>2708</v>
      </c>
      <c r="O470" t="s">
        <v>43</v>
      </c>
      <c r="P470" t="s">
        <v>30</v>
      </c>
      <c r="Q470" t="s">
        <v>44</v>
      </c>
      <c r="R470" s="3">
        <v>2314.2420000000002</v>
      </c>
    </row>
    <row r="471" spans="1:18" x14ac:dyDescent="0.3">
      <c r="A471" t="s">
        <v>2709</v>
      </c>
      <c r="B471" t="str">
        <f>TEXT(Raw_Data[[#This Row],[Order Date]],"mmm")</f>
        <v>Nov</v>
      </c>
      <c r="C471" t="s">
        <v>2710</v>
      </c>
      <c r="D471" t="s">
        <v>2711</v>
      </c>
      <c r="E471" t="s">
        <v>48</v>
      </c>
      <c r="F471" t="s">
        <v>215</v>
      </c>
      <c r="G471" t="s">
        <v>276</v>
      </c>
      <c r="H471" t="s">
        <v>154</v>
      </c>
      <c r="I471" t="s">
        <v>237</v>
      </c>
      <c r="J471" t="s">
        <v>50</v>
      </c>
      <c r="K471" t="s">
        <v>2712</v>
      </c>
      <c r="L471">
        <v>0.1</v>
      </c>
      <c r="M471" t="s">
        <v>2713</v>
      </c>
      <c r="N471" t="s">
        <v>2714</v>
      </c>
      <c r="O471" t="s">
        <v>29</v>
      </c>
      <c r="P471" t="s">
        <v>95</v>
      </c>
      <c r="Q471" t="s">
        <v>65</v>
      </c>
      <c r="R471" s="3">
        <v>13368.654</v>
      </c>
    </row>
    <row r="472" spans="1:18" x14ac:dyDescent="0.3">
      <c r="A472" t="s">
        <v>2715</v>
      </c>
      <c r="B472" t="str">
        <f>TEXT(Raw_Data[[#This Row],[Order Date]],"mmm")</f>
        <v>Feb</v>
      </c>
      <c r="C472" t="s">
        <v>2410</v>
      </c>
      <c r="D472" t="s">
        <v>2716</v>
      </c>
      <c r="E472" t="s">
        <v>48</v>
      </c>
      <c r="F472" t="s">
        <v>36</v>
      </c>
      <c r="G472" t="s">
        <v>414</v>
      </c>
      <c r="H472" t="s">
        <v>23</v>
      </c>
      <c r="I472" t="s">
        <v>183</v>
      </c>
      <c r="J472" t="s">
        <v>100</v>
      </c>
      <c r="K472" t="s">
        <v>2717</v>
      </c>
      <c r="L472">
        <v>0.1</v>
      </c>
      <c r="M472" t="s">
        <v>2718</v>
      </c>
      <c r="N472" t="s">
        <v>2719</v>
      </c>
      <c r="O472" t="s">
        <v>64</v>
      </c>
      <c r="P472" t="s">
        <v>30</v>
      </c>
      <c r="Q472" t="s">
        <v>44</v>
      </c>
      <c r="R472" s="3">
        <v>53043.686999999998</v>
      </c>
    </row>
    <row r="473" spans="1:18" x14ac:dyDescent="0.3">
      <c r="A473" t="s">
        <v>2720</v>
      </c>
      <c r="B473" t="str">
        <f>TEXT(Raw_Data[[#This Row],[Order Date]],"mmm")</f>
        <v>May</v>
      </c>
      <c r="C473" t="s">
        <v>810</v>
      </c>
      <c r="D473" t="s">
        <v>2721</v>
      </c>
      <c r="E473" t="s">
        <v>35</v>
      </c>
      <c r="F473" t="s">
        <v>78</v>
      </c>
      <c r="G473" t="s">
        <v>468</v>
      </c>
      <c r="H473" t="s">
        <v>23</v>
      </c>
      <c r="I473" t="s">
        <v>24</v>
      </c>
      <c r="J473" t="s">
        <v>50</v>
      </c>
      <c r="K473" t="s">
        <v>2722</v>
      </c>
      <c r="L473">
        <v>0.05</v>
      </c>
      <c r="M473" t="s">
        <v>2723</v>
      </c>
      <c r="N473" t="s">
        <v>2724</v>
      </c>
      <c r="O473" t="s">
        <v>29</v>
      </c>
      <c r="P473" t="s">
        <v>30</v>
      </c>
      <c r="Q473" t="s">
        <v>31</v>
      </c>
      <c r="R473" s="3">
        <v>75563.911999999997</v>
      </c>
    </row>
    <row r="474" spans="1:18" x14ac:dyDescent="0.3">
      <c r="A474" t="s">
        <v>2725</v>
      </c>
      <c r="B474" t="str">
        <f>TEXT(Raw_Data[[#This Row],[Order Date]],"mmm")</f>
        <v>Jul</v>
      </c>
      <c r="C474" t="s">
        <v>128</v>
      </c>
      <c r="D474" t="s">
        <v>2726</v>
      </c>
      <c r="E474" t="s">
        <v>48</v>
      </c>
      <c r="F474" t="s">
        <v>36</v>
      </c>
      <c r="G474" t="s">
        <v>123</v>
      </c>
      <c r="H474" t="s">
        <v>23</v>
      </c>
      <c r="I474" t="s">
        <v>49</v>
      </c>
      <c r="J474" t="s">
        <v>100</v>
      </c>
      <c r="K474" t="s">
        <v>2727</v>
      </c>
      <c r="L474">
        <v>0.05</v>
      </c>
      <c r="M474" t="s">
        <v>2728</v>
      </c>
      <c r="N474" t="s">
        <v>2729</v>
      </c>
      <c r="O474" t="s">
        <v>43</v>
      </c>
      <c r="P474" t="s">
        <v>30</v>
      </c>
      <c r="Q474" t="s">
        <v>44</v>
      </c>
      <c r="R474" s="3">
        <v>211619.85299999901</v>
      </c>
    </row>
    <row r="475" spans="1:18" x14ac:dyDescent="0.3">
      <c r="A475" t="s">
        <v>2730</v>
      </c>
      <c r="B475" t="str">
        <f>TEXT(Raw_Data[[#This Row],[Order Date]],"mmm")</f>
        <v>Mar</v>
      </c>
      <c r="C475" t="s">
        <v>2731</v>
      </c>
      <c r="D475" t="s">
        <v>2732</v>
      </c>
      <c r="E475" t="s">
        <v>35</v>
      </c>
      <c r="F475" t="s">
        <v>78</v>
      </c>
      <c r="G475" t="s">
        <v>731</v>
      </c>
      <c r="H475" t="s">
        <v>23</v>
      </c>
      <c r="I475" t="s">
        <v>341</v>
      </c>
      <c r="J475" t="s">
        <v>100</v>
      </c>
      <c r="K475" t="s">
        <v>2733</v>
      </c>
      <c r="L475">
        <v>0</v>
      </c>
      <c r="M475" t="s">
        <v>2734</v>
      </c>
      <c r="N475" t="s">
        <v>2735</v>
      </c>
      <c r="O475" t="s">
        <v>173</v>
      </c>
      <c r="P475" t="s">
        <v>30</v>
      </c>
      <c r="Q475" t="s">
        <v>44</v>
      </c>
      <c r="R475" s="3">
        <v>74885.52</v>
      </c>
    </row>
    <row r="476" spans="1:18" x14ac:dyDescent="0.3">
      <c r="A476" t="s">
        <v>2736</v>
      </c>
      <c r="B476" t="str">
        <f>TEXT(Raw_Data[[#This Row],[Order Date]],"mmm")</f>
        <v>Sep</v>
      </c>
      <c r="C476" t="s">
        <v>1397</v>
      </c>
      <c r="D476" t="s">
        <v>2737</v>
      </c>
      <c r="E476" t="s">
        <v>35</v>
      </c>
      <c r="F476" t="s">
        <v>36</v>
      </c>
      <c r="G476" t="s">
        <v>153</v>
      </c>
      <c r="H476" t="s">
        <v>80</v>
      </c>
      <c r="I476" t="s">
        <v>146</v>
      </c>
      <c r="J476" t="s">
        <v>25</v>
      </c>
      <c r="K476" t="s">
        <v>2738</v>
      </c>
      <c r="L476">
        <v>0.15</v>
      </c>
      <c r="M476" t="s">
        <v>2739</v>
      </c>
      <c r="N476" t="s">
        <v>2740</v>
      </c>
      <c r="O476" t="s">
        <v>29</v>
      </c>
      <c r="P476" t="s">
        <v>30</v>
      </c>
      <c r="Q476" t="s">
        <v>31</v>
      </c>
      <c r="R476" s="3">
        <v>1941.4594999999999</v>
      </c>
    </row>
    <row r="477" spans="1:18" x14ac:dyDescent="0.3">
      <c r="A477" t="s">
        <v>2741</v>
      </c>
      <c r="B477" t="str">
        <f>TEXT(Raw_Data[[#This Row],[Order Date]],"mmm")</f>
        <v>Sep</v>
      </c>
      <c r="C477" t="s">
        <v>719</v>
      </c>
      <c r="D477" t="s">
        <v>2742</v>
      </c>
      <c r="E477" t="s">
        <v>20</v>
      </c>
      <c r="F477" t="s">
        <v>215</v>
      </c>
      <c r="G477" t="s">
        <v>276</v>
      </c>
      <c r="H477" t="s">
        <v>107</v>
      </c>
      <c r="I477" t="s">
        <v>378</v>
      </c>
      <c r="J477" t="s">
        <v>25</v>
      </c>
      <c r="K477" t="s">
        <v>2743</v>
      </c>
      <c r="L477">
        <v>0</v>
      </c>
      <c r="M477" t="s">
        <v>2744</v>
      </c>
      <c r="N477" t="s">
        <v>2745</v>
      </c>
      <c r="O477" t="s">
        <v>43</v>
      </c>
      <c r="P477" t="s">
        <v>30</v>
      </c>
      <c r="Q477" t="s">
        <v>31</v>
      </c>
      <c r="R477" s="3">
        <v>16673.05</v>
      </c>
    </row>
    <row r="478" spans="1:18" x14ac:dyDescent="0.3">
      <c r="A478" t="s">
        <v>2746</v>
      </c>
      <c r="B478" t="str">
        <f>TEXT(Raw_Data[[#This Row],[Order Date]],"mmm")</f>
        <v>Apr</v>
      </c>
      <c r="C478" t="s">
        <v>1904</v>
      </c>
      <c r="D478" t="s">
        <v>2747</v>
      </c>
      <c r="E478" t="s">
        <v>20</v>
      </c>
      <c r="F478" t="s">
        <v>69</v>
      </c>
      <c r="G478" t="s">
        <v>139</v>
      </c>
      <c r="H478" t="s">
        <v>80</v>
      </c>
      <c r="I478" t="s">
        <v>81</v>
      </c>
      <c r="J478" t="s">
        <v>25</v>
      </c>
      <c r="K478" t="s">
        <v>2748</v>
      </c>
      <c r="L478">
        <v>0</v>
      </c>
      <c r="M478" t="s">
        <v>2749</v>
      </c>
      <c r="N478" t="s">
        <v>2750</v>
      </c>
      <c r="O478" t="s">
        <v>54</v>
      </c>
      <c r="P478" t="s">
        <v>30</v>
      </c>
      <c r="Q478" t="s">
        <v>31</v>
      </c>
      <c r="R478" s="3">
        <v>6861.31</v>
      </c>
    </row>
    <row r="479" spans="1:18" x14ac:dyDescent="0.3">
      <c r="A479" t="s">
        <v>2751</v>
      </c>
      <c r="B479" t="str">
        <f>TEXT(Raw_Data[[#This Row],[Order Date]],"mmm")</f>
        <v>Jan</v>
      </c>
      <c r="C479" t="s">
        <v>2752</v>
      </c>
      <c r="D479" t="s">
        <v>2753</v>
      </c>
      <c r="E479" t="s">
        <v>35</v>
      </c>
      <c r="F479" t="s">
        <v>215</v>
      </c>
      <c r="G479" t="s">
        <v>216</v>
      </c>
      <c r="H479" t="s">
        <v>80</v>
      </c>
      <c r="I479" t="s">
        <v>116</v>
      </c>
      <c r="J479" t="s">
        <v>25</v>
      </c>
      <c r="K479" t="s">
        <v>2754</v>
      </c>
      <c r="L479">
        <v>0.1</v>
      </c>
      <c r="M479" t="s">
        <v>2755</v>
      </c>
      <c r="N479" t="s">
        <v>2756</v>
      </c>
      <c r="O479" t="s">
        <v>64</v>
      </c>
      <c r="P479" t="s">
        <v>112</v>
      </c>
      <c r="Q479" t="s">
        <v>31</v>
      </c>
      <c r="R479" s="3">
        <v>4789.9349999999904</v>
      </c>
    </row>
    <row r="480" spans="1:18" x14ac:dyDescent="0.3">
      <c r="A480" t="s">
        <v>2757</v>
      </c>
      <c r="B480" t="str">
        <f>TEXT(Raw_Data[[#This Row],[Order Date]],"mmm")</f>
        <v>Jun</v>
      </c>
      <c r="C480" t="s">
        <v>2758</v>
      </c>
      <c r="D480" t="s">
        <v>2759</v>
      </c>
      <c r="E480" t="s">
        <v>35</v>
      </c>
      <c r="F480" t="s">
        <v>215</v>
      </c>
      <c r="G480" t="s">
        <v>216</v>
      </c>
      <c r="H480" t="s">
        <v>80</v>
      </c>
      <c r="I480" t="s">
        <v>116</v>
      </c>
      <c r="J480" t="s">
        <v>25</v>
      </c>
      <c r="K480" t="s">
        <v>2760</v>
      </c>
      <c r="L480">
        <v>0.15</v>
      </c>
      <c r="M480" t="s">
        <v>2761</v>
      </c>
      <c r="N480" t="s">
        <v>2762</v>
      </c>
      <c r="O480" t="s">
        <v>2763</v>
      </c>
      <c r="P480" t="s">
        <v>30</v>
      </c>
      <c r="Q480" t="s">
        <v>31</v>
      </c>
      <c r="R480" s="3">
        <v>529.35449999999901</v>
      </c>
    </row>
    <row r="481" spans="1:18" x14ac:dyDescent="0.3">
      <c r="A481" t="s">
        <v>2764</v>
      </c>
      <c r="B481" t="str">
        <f>TEXT(Raw_Data[[#This Row],[Order Date]],"mmm")</f>
        <v>Jan</v>
      </c>
      <c r="C481" t="s">
        <v>2765</v>
      </c>
      <c r="D481" t="s">
        <v>2766</v>
      </c>
      <c r="E481" t="s">
        <v>48</v>
      </c>
      <c r="F481" t="s">
        <v>89</v>
      </c>
      <c r="G481" t="s">
        <v>90</v>
      </c>
      <c r="H481" t="s">
        <v>23</v>
      </c>
      <c r="I481" t="s">
        <v>49</v>
      </c>
      <c r="J481" t="s">
        <v>25</v>
      </c>
      <c r="K481" t="s">
        <v>2767</v>
      </c>
      <c r="L481">
        <v>0.15</v>
      </c>
      <c r="M481" t="s">
        <v>2768</v>
      </c>
      <c r="N481" t="s">
        <v>2769</v>
      </c>
      <c r="O481" t="s">
        <v>43</v>
      </c>
      <c r="P481" t="s">
        <v>30</v>
      </c>
      <c r="Q481" t="s">
        <v>31</v>
      </c>
      <c r="R481" s="3">
        <v>17427.711499999899</v>
      </c>
    </row>
    <row r="482" spans="1:18" x14ac:dyDescent="0.3">
      <c r="A482" t="s">
        <v>2770</v>
      </c>
      <c r="B482" t="str">
        <f>TEXT(Raw_Data[[#This Row],[Order Date]],"mmm")</f>
        <v>Nov</v>
      </c>
      <c r="C482" t="s">
        <v>1330</v>
      </c>
      <c r="D482" t="s">
        <v>2771</v>
      </c>
      <c r="E482" t="s">
        <v>35</v>
      </c>
      <c r="F482" t="s">
        <v>21</v>
      </c>
      <c r="G482" t="s">
        <v>130</v>
      </c>
      <c r="H482" t="s">
        <v>80</v>
      </c>
      <c r="I482" t="s">
        <v>91</v>
      </c>
      <c r="J482" t="s">
        <v>25</v>
      </c>
      <c r="K482" t="s">
        <v>2772</v>
      </c>
      <c r="L482">
        <v>0</v>
      </c>
      <c r="M482" t="s">
        <v>2773</v>
      </c>
      <c r="N482" t="s">
        <v>2774</v>
      </c>
      <c r="O482" t="s">
        <v>43</v>
      </c>
      <c r="P482" t="s">
        <v>112</v>
      </c>
      <c r="Q482" t="s">
        <v>31</v>
      </c>
      <c r="R482" s="3">
        <v>4485.87</v>
      </c>
    </row>
    <row r="483" spans="1:18" x14ac:dyDescent="0.3">
      <c r="A483" t="s">
        <v>2775</v>
      </c>
      <c r="B483" t="str">
        <f>TEXT(Raw_Data[[#This Row],[Order Date]],"mmm")</f>
        <v>Jul</v>
      </c>
      <c r="C483" t="s">
        <v>2776</v>
      </c>
      <c r="D483" t="s">
        <v>2777</v>
      </c>
      <c r="E483" t="s">
        <v>48</v>
      </c>
      <c r="F483" t="s">
        <v>21</v>
      </c>
      <c r="G483" t="s">
        <v>130</v>
      </c>
      <c r="H483" t="s">
        <v>107</v>
      </c>
      <c r="I483" t="s">
        <v>378</v>
      </c>
      <c r="J483" t="s">
        <v>50</v>
      </c>
      <c r="K483" t="s">
        <v>2778</v>
      </c>
      <c r="L483">
        <v>0.05</v>
      </c>
      <c r="M483" t="s">
        <v>2779</v>
      </c>
      <c r="N483" t="s">
        <v>2780</v>
      </c>
      <c r="O483" t="s">
        <v>29</v>
      </c>
      <c r="P483" t="s">
        <v>30</v>
      </c>
      <c r="Q483" t="s">
        <v>31</v>
      </c>
      <c r="R483" s="3">
        <v>26635.719999999899</v>
      </c>
    </row>
    <row r="484" spans="1:18" x14ac:dyDescent="0.3">
      <c r="A484" t="s">
        <v>2781</v>
      </c>
      <c r="B484" t="str">
        <f>TEXT(Raw_Data[[#This Row],[Order Date]],"mmm")</f>
        <v>Sep</v>
      </c>
      <c r="C484" t="s">
        <v>1280</v>
      </c>
      <c r="D484" t="s">
        <v>2782</v>
      </c>
      <c r="E484" t="s">
        <v>35</v>
      </c>
      <c r="F484" t="s">
        <v>106</v>
      </c>
      <c r="G484" t="s">
        <v>106</v>
      </c>
      <c r="H484" t="s">
        <v>23</v>
      </c>
      <c r="I484" t="s">
        <v>341</v>
      </c>
      <c r="J484" t="s">
        <v>82</v>
      </c>
      <c r="K484" t="s">
        <v>2783</v>
      </c>
      <c r="L484">
        <v>0.2</v>
      </c>
      <c r="M484" t="s">
        <v>2784</v>
      </c>
      <c r="N484" t="s">
        <v>2785</v>
      </c>
      <c r="O484" t="s">
        <v>64</v>
      </c>
      <c r="P484" t="s">
        <v>112</v>
      </c>
      <c r="Q484" t="s">
        <v>65</v>
      </c>
      <c r="R484" s="3">
        <v>69246.111999999994</v>
      </c>
    </row>
    <row r="485" spans="1:18" x14ac:dyDescent="0.3">
      <c r="A485" t="s">
        <v>2786</v>
      </c>
      <c r="B485" t="str">
        <f>TEXT(Raw_Data[[#This Row],[Order Date]],"mmm")</f>
        <v>Jan</v>
      </c>
      <c r="C485" t="s">
        <v>2765</v>
      </c>
      <c r="D485" t="s">
        <v>2787</v>
      </c>
      <c r="E485" t="s">
        <v>48</v>
      </c>
      <c r="F485" t="s">
        <v>69</v>
      </c>
      <c r="G485" t="s">
        <v>328</v>
      </c>
      <c r="H485" t="s">
        <v>107</v>
      </c>
      <c r="I485" t="s">
        <v>378</v>
      </c>
      <c r="J485" t="s">
        <v>25</v>
      </c>
      <c r="K485" t="s">
        <v>2788</v>
      </c>
      <c r="L485">
        <v>0.1</v>
      </c>
      <c r="M485" t="s">
        <v>2789</v>
      </c>
      <c r="N485" t="s">
        <v>2790</v>
      </c>
      <c r="O485" t="s">
        <v>173</v>
      </c>
      <c r="P485" t="s">
        <v>30</v>
      </c>
      <c r="Q485" t="s">
        <v>31</v>
      </c>
      <c r="R485" s="3">
        <v>1766.1780000000001</v>
      </c>
    </row>
    <row r="486" spans="1:18" x14ac:dyDescent="0.3">
      <c r="A486" t="s">
        <v>2791</v>
      </c>
      <c r="B486" t="str">
        <f>TEXT(Raw_Data[[#This Row],[Order Date]],"mmm")</f>
        <v>Dec</v>
      </c>
      <c r="C486" t="s">
        <v>2792</v>
      </c>
      <c r="D486" t="s">
        <v>2793</v>
      </c>
      <c r="E486" t="s">
        <v>48</v>
      </c>
      <c r="F486" t="s">
        <v>36</v>
      </c>
      <c r="G486" t="s">
        <v>37</v>
      </c>
      <c r="H486" t="s">
        <v>154</v>
      </c>
      <c r="I486" t="s">
        <v>155</v>
      </c>
      <c r="J486" t="s">
        <v>50</v>
      </c>
      <c r="K486" t="s">
        <v>2794</v>
      </c>
      <c r="L486">
        <v>0.1</v>
      </c>
      <c r="M486" t="s">
        <v>2795</v>
      </c>
      <c r="N486" t="s">
        <v>2796</v>
      </c>
      <c r="O486" t="s">
        <v>29</v>
      </c>
      <c r="P486" t="s">
        <v>30</v>
      </c>
      <c r="Q486" t="s">
        <v>65</v>
      </c>
      <c r="R486" s="3">
        <v>15291</v>
      </c>
    </row>
    <row r="487" spans="1:18" x14ac:dyDescent="0.3">
      <c r="A487" t="s">
        <v>2797</v>
      </c>
      <c r="B487" t="str">
        <f>TEXT(Raw_Data[[#This Row],[Order Date]],"mmm")</f>
        <v>Jun</v>
      </c>
      <c r="C487" t="s">
        <v>2798</v>
      </c>
      <c r="D487" t="s">
        <v>2799</v>
      </c>
      <c r="E487" t="s">
        <v>35</v>
      </c>
      <c r="F487" t="s">
        <v>21</v>
      </c>
      <c r="G487" t="s">
        <v>22</v>
      </c>
      <c r="H487" t="s">
        <v>23</v>
      </c>
      <c r="I487" t="s">
        <v>24</v>
      </c>
      <c r="J487" t="s">
        <v>25</v>
      </c>
      <c r="K487" t="s">
        <v>2800</v>
      </c>
      <c r="L487">
        <v>0.1</v>
      </c>
      <c r="M487" t="s">
        <v>2801</v>
      </c>
      <c r="N487" t="s">
        <v>2802</v>
      </c>
      <c r="O487" t="s">
        <v>54</v>
      </c>
      <c r="P487" t="s">
        <v>30</v>
      </c>
      <c r="Q487" t="s">
        <v>65</v>
      </c>
      <c r="R487" s="3">
        <v>46840.220999999998</v>
      </c>
    </row>
    <row r="488" spans="1:18" x14ac:dyDescent="0.3">
      <c r="A488" t="s">
        <v>2803</v>
      </c>
      <c r="B488" t="str">
        <f>TEXT(Raw_Data[[#This Row],[Order Date]],"mmm")</f>
        <v>Apr</v>
      </c>
      <c r="C488" t="s">
        <v>1466</v>
      </c>
      <c r="D488" t="s">
        <v>2804</v>
      </c>
      <c r="E488" t="s">
        <v>48</v>
      </c>
      <c r="F488" t="s">
        <v>58</v>
      </c>
      <c r="G488" t="s">
        <v>812</v>
      </c>
      <c r="H488" t="s">
        <v>107</v>
      </c>
      <c r="I488" t="s">
        <v>277</v>
      </c>
      <c r="J488" t="s">
        <v>50</v>
      </c>
      <c r="K488" t="s">
        <v>2805</v>
      </c>
      <c r="L488">
        <v>0</v>
      </c>
      <c r="M488" t="s">
        <v>2806</v>
      </c>
      <c r="N488" t="s">
        <v>2807</v>
      </c>
      <c r="O488" t="s">
        <v>43</v>
      </c>
      <c r="P488" t="s">
        <v>159</v>
      </c>
      <c r="Q488" t="s">
        <v>44</v>
      </c>
      <c r="R488" s="3">
        <v>19002.22</v>
      </c>
    </row>
    <row r="489" spans="1:18" x14ac:dyDescent="0.3">
      <c r="A489" t="s">
        <v>2808</v>
      </c>
      <c r="B489" t="str">
        <f>TEXT(Raw_Data[[#This Row],[Order Date]],"mmm")</f>
        <v>Jan</v>
      </c>
      <c r="C489" t="s">
        <v>891</v>
      </c>
      <c r="D489" t="s">
        <v>2809</v>
      </c>
      <c r="E489" t="s">
        <v>35</v>
      </c>
      <c r="F489" t="s">
        <v>106</v>
      </c>
      <c r="G489" t="s">
        <v>106</v>
      </c>
      <c r="H489" t="s">
        <v>80</v>
      </c>
      <c r="I489" t="s">
        <v>81</v>
      </c>
      <c r="J489" t="s">
        <v>25</v>
      </c>
      <c r="K489" t="s">
        <v>2810</v>
      </c>
      <c r="L489">
        <v>0.15</v>
      </c>
      <c r="M489" t="s">
        <v>2811</v>
      </c>
      <c r="N489" t="s">
        <v>2812</v>
      </c>
      <c r="O489" t="s">
        <v>64</v>
      </c>
      <c r="P489" t="s">
        <v>30</v>
      </c>
      <c r="Q489" t="s">
        <v>31</v>
      </c>
      <c r="R489" s="3">
        <v>5011.0304999999998</v>
      </c>
    </row>
    <row r="490" spans="1:18" x14ac:dyDescent="0.3">
      <c r="A490" t="s">
        <v>2813</v>
      </c>
      <c r="B490" t="str">
        <f>TEXT(Raw_Data[[#This Row],[Order Date]],"mmm")</f>
        <v>Aug</v>
      </c>
      <c r="C490" t="s">
        <v>2139</v>
      </c>
      <c r="D490" t="s">
        <v>2814</v>
      </c>
      <c r="E490" t="s">
        <v>35</v>
      </c>
      <c r="F490" t="s">
        <v>78</v>
      </c>
      <c r="G490" t="s">
        <v>79</v>
      </c>
      <c r="H490" t="s">
        <v>80</v>
      </c>
      <c r="I490" t="s">
        <v>146</v>
      </c>
      <c r="J490" t="s">
        <v>25</v>
      </c>
      <c r="K490" t="s">
        <v>2815</v>
      </c>
      <c r="L490">
        <v>0.1</v>
      </c>
      <c r="M490" t="s">
        <v>2816</v>
      </c>
      <c r="N490" t="s">
        <v>2817</v>
      </c>
      <c r="O490" t="s">
        <v>29</v>
      </c>
      <c r="P490" t="s">
        <v>30</v>
      </c>
      <c r="Q490" t="s">
        <v>65</v>
      </c>
      <c r="R490" s="3">
        <v>4097.43</v>
      </c>
    </row>
    <row r="491" spans="1:18" x14ac:dyDescent="0.3">
      <c r="A491" t="s">
        <v>2818</v>
      </c>
      <c r="B491" t="str">
        <f>TEXT(Raw_Data[[#This Row],[Order Date]],"mmm")</f>
        <v>Nov</v>
      </c>
      <c r="C491" t="s">
        <v>1198</v>
      </c>
      <c r="D491" t="s">
        <v>2819</v>
      </c>
      <c r="E491" t="s">
        <v>48</v>
      </c>
      <c r="F491" t="s">
        <v>36</v>
      </c>
      <c r="G491" t="s">
        <v>37</v>
      </c>
      <c r="H491" t="s">
        <v>154</v>
      </c>
      <c r="I491" t="s">
        <v>1061</v>
      </c>
      <c r="J491" t="s">
        <v>100</v>
      </c>
      <c r="K491" t="s">
        <v>2820</v>
      </c>
      <c r="L491">
        <v>0.1</v>
      </c>
      <c r="M491" t="s">
        <v>2821</v>
      </c>
      <c r="N491" t="s">
        <v>2822</v>
      </c>
      <c r="O491" t="s">
        <v>64</v>
      </c>
      <c r="P491" t="s">
        <v>30</v>
      </c>
      <c r="Q491" t="s">
        <v>31</v>
      </c>
      <c r="R491" s="3">
        <v>8452.1880000000001</v>
      </c>
    </row>
    <row r="492" spans="1:18" x14ac:dyDescent="0.3">
      <c r="A492" t="s">
        <v>2823</v>
      </c>
      <c r="B492" t="str">
        <f>TEXT(Raw_Data[[#This Row],[Order Date]],"mmm")</f>
        <v>Sep</v>
      </c>
      <c r="C492" t="s">
        <v>2824</v>
      </c>
      <c r="D492" t="s">
        <v>2825</v>
      </c>
      <c r="E492" t="s">
        <v>48</v>
      </c>
      <c r="F492" t="s">
        <v>36</v>
      </c>
      <c r="G492" t="s">
        <v>37</v>
      </c>
      <c r="H492" t="s">
        <v>107</v>
      </c>
      <c r="I492" t="s">
        <v>378</v>
      </c>
      <c r="J492" t="s">
        <v>50</v>
      </c>
      <c r="K492" t="s">
        <v>2826</v>
      </c>
      <c r="L492">
        <v>0</v>
      </c>
      <c r="M492" t="s">
        <v>2827</v>
      </c>
      <c r="N492" t="s">
        <v>2828</v>
      </c>
      <c r="O492" t="s">
        <v>43</v>
      </c>
      <c r="P492" t="s">
        <v>30</v>
      </c>
      <c r="Q492" t="s">
        <v>44</v>
      </c>
      <c r="R492" s="3">
        <v>30082.78</v>
      </c>
    </row>
    <row r="493" spans="1:18" x14ac:dyDescent="0.3">
      <c r="A493" t="s">
        <v>2829</v>
      </c>
      <c r="B493" t="str">
        <f>TEXT(Raw_Data[[#This Row],[Order Date]],"mmm")</f>
        <v>Apr</v>
      </c>
      <c r="C493" t="s">
        <v>1307</v>
      </c>
      <c r="D493" t="s">
        <v>2830</v>
      </c>
      <c r="E493" t="s">
        <v>20</v>
      </c>
      <c r="F493" t="s">
        <v>78</v>
      </c>
      <c r="G493" t="s">
        <v>79</v>
      </c>
      <c r="H493" t="s">
        <v>23</v>
      </c>
      <c r="I493" t="s">
        <v>24</v>
      </c>
      <c r="J493" t="s">
        <v>25</v>
      </c>
      <c r="K493" t="s">
        <v>2831</v>
      </c>
      <c r="L493">
        <v>0.15</v>
      </c>
      <c r="M493" t="s">
        <v>2832</v>
      </c>
      <c r="N493" t="s">
        <v>2833</v>
      </c>
      <c r="O493" t="s">
        <v>54</v>
      </c>
      <c r="P493" t="s">
        <v>30</v>
      </c>
      <c r="Q493" t="s">
        <v>31</v>
      </c>
      <c r="R493" s="3">
        <v>32946.731</v>
      </c>
    </row>
    <row r="494" spans="1:18" x14ac:dyDescent="0.3">
      <c r="A494" t="s">
        <v>2834</v>
      </c>
      <c r="B494" t="str">
        <f>TEXT(Raw_Data[[#This Row],[Order Date]],"mmm")</f>
        <v>Sep</v>
      </c>
      <c r="C494" t="s">
        <v>188</v>
      </c>
      <c r="D494" t="s">
        <v>2835</v>
      </c>
      <c r="E494" t="s">
        <v>35</v>
      </c>
      <c r="F494" t="s">
        <v>21</v>
      </c>
      <c r="G494" t="s">
        <v>130</v>
      </c>
      <c r="H494" t="s">
        <v>107</v>
      </c>
      <c r="I494" t="s">
        <v>591</v>
      </c>
      <c r="J494" t="s">
        <v>25</v>
      </c>
      <c r="K494" t="s">
        <v>2836</v>
      </c>
      <c r="L494">
        <v>0.05</v>
      </c>
      <c r="M494" t="s">
        <v>2837</v>
      </c>
      <c r="N494" t="s">
        <v>2838</v>
      </c>
      <c r="O494" t="s">
        <v>29</v>
      </c>
      <c r="P494" t="s">
        <v>30</v>
      </c>
      <c r="Q494" t="s">
        <v>65</v>
      </c>
      <c r="R494" s="3">
        <v>12397.1675</v>
      </c>
    </row>
    <row r="495" spans="1:18" x14ac:dyDescent="0.3">
      <c r="A495" t="s">
        <v>2839</v>
      </c>
      <c r="B495" t="str">
        <f>TEXT(Raw_Data[[#This Row],[Order Date]],"mmm")</f>
        <v>May</v>
      </c>
      <c r="C495" t="s">
        <v>2840</v>
      </c>
      <c r="D495" t="s">
        <v>2841</v>
      </c>
      <c r="E495" t="s">
        <v>48</v>
      </c>
      <c r="F495" t="s">
        <v>89</v>
      </c>
      <c r="G495" t="s">
        <v>90</v>
      </c>
      <c r="H495" t="s">
        <v>80</v>
      </c>
      <c r="I495" t="s">
        <v>91</v>
      </c>
      <c r="J495" t="s">
        <v>50</v>
      </c>
      <c r="K495" t="s">
        <v>2842</v>
      </c>
      <c r="L495">
        <v>0</v>
      </c>
      <c r="M495" t="s">
        <v>2843</v>
      </c>
      <c r="N495" t="s">
        <v>2844</v>
      </c>
      <c r="O495" t="s">
        <v>173</v>
      </c>
      <c r="P495" t="s">
        <v>30</v>
      </c>
      <c r="Q495" t="s">
        <v>31</v>
      </c>
      <c r="R495" s="3">
        <v>7965.9</v>
      </c>
    </row>
    <row r="496" spans="1:18" x14ac:dyDescent="0.3">
      <c r="A496" t="s">
        <v>2845</v>
      </c>
      <c r="B496" t="str">
        <f>TEXT(Raw_Data[[#This Row],[Order Date]],"mmm")</f>
        <v>Nov</v>
      </c>
      <c r="C496" t="s">
        <v>1116</v>
      </c>
      <c r="D496" t="s">
        <v>2846</v>
      </c>
      <c r="E496" t="s">
        <v>20</v>
      </c>
      <c r="F496" t="s">
        <v>58</v>
      </c>
      <c r="G496" t="s">
        <v>59</v>
      </c>
      <c r="H496" t="s">
        <v>23</v>
      </c>
      <c r="I496" t="s">
        <v>24</v>
      </c>
      <c r="J496" t="s">
        <v>50</v>
      </c>
      <c r="K496" t="s">
        <v>2847</v>
      </c>
      <c r="L496">
        <v>0.1</v>
      </c>
      <c r="M496" t="s">
        <v>2848</v>
      </c>
      <c r="N496" t="s">
        <v>2849</v>
      </c>
      <c r="O496" t="s">
        <v>64</v>
      </c>
      <c r="P496" t="s">
        <v>30</v>
      </c>
      <c r="Q496" t="s">
        <v>65</v>
      </c>
      <c r="R496" s="3">
        <v>88490.43</v>
      </c>
    </row>
    <row r="497" spans="1:18" x14ac:dyDescent="0.3">
      <c r="A497" t="s">
        <v>2850</v>
      </c>
      <c r="B497" t="str">
        <f>TEXT(Raw_Data[[#This Row],[Order Date]],"mmm")</f>
        <v>Dec</v>
      </c>
      <c r="C497" t="s">
        <v>1769</v>
      </c>
      <c r="D497" t="s">
        <v>2851</v>
      </c>
      <c r="E497" t="s">
        <v>20</v>
      </c>
      <c r="F497" t="s">
        <v>78</v>
      </c>
      <c r="G497" t="s">
        <v>731</v>
      </c>
      <c r="H497" t="s">
        <v>23</v>
      </c>
      <c r="I497" t="s">
        <v>263</v>
      </c>
      <c r="J497" t="s">
        <v>50</v>
      </c>
      <c r="K497" t="s">
        <v>2852</v>
      </c>
      <c r="L497">
        <v>0.1</v>
      </c>
      <c r="M497" t="s">
        <v>2853</v>
      </c>
      <c r="N497" t="s">
        <v>2854</v>
      </c>
      <c r="O497" t="s">
        <v>64</v>
      </c>
      <c r="P497" t="s">
        <v>30</v>
      </c>
      <c r="Q497" t="s">
        <v>31</v>
      </c>
      <c r="R497" s="3">
        <v>88477.991999999998</v>
      </c>
    </row>
    <row r="498" spans="1:18" x14ac:dyDescent="0.3">
      <c r="A498" t="s">
        <v>2855</v>
      </c>
      <c r="B498" t="str">
        <f>TEXT(Raw_Data[[#This Row],[Order Date]],"mmm")</f>
        <v>Feb</v>
      </c>
      <c r="C498" t="s">
        <v>228</v>
      </c>
      <c r="D498" t="s">
        <v>2856</v>
      </c>
      <c r="E498" t="s">
        <v>35</v>
      </c>
      <c r="F498" t="s">
        <v>215</v>
      </c>
      <c r="G498" t="s">
        <v>276</v>
      </c>
      <c r="H498" t="s">
        <v>107</v>
      </c>
      <c r="I498" t="s">
        <v>591</v>
      </c>
      <c r="J498" t="s">
        <v>25</v>
      </c>
      <c r="K498" t="s">
        <v>2857</v>
      </c>
      <c r="L498">
        <v>0</v>
      </c>
      <c r="M498" t="s">
        <v>2858</v>
      </c>
      <c r="N498" t="s">
        <v>2859</v>
      </c>
      <c r="O498" t="s">
        <v>54</v>
      </c>
      <c r="P498" t="s">
        <v>30</v>
      </c>
      <c r="Q498" t="s">
        <v>65</v>
      </c>
      <c r="R498" s="3">
        <v>3449.83</v>
      </c>
    </row>
    <row r="499" spans="1:18" x14ac:dyDescent="0.3">
      <c r="A499" t="s">
        <v>2860</v>
      </c>
      <c r="B499" t="str">
        <f>TEXT(Raw_Data[[#This Row],[Order Date]],"mmm")</f>
        <v>Feb</v>
      </c>
      <c r="C499" t="s">
        <v>2515</v>
      </c>
      <c r="D499" t="s">
        <v>2861</v>
      </c>
      <c r="E499" t="s">
        <v>35</v>
      </c>
      <c r="F499" t="s">
        <v>21</v>
      </c>
      <c r="G499" t="s">
        <v>130</v>
      </c>
      <c r="H499" t="s">
        <v>80</v>
      </c>
      <c r="I499" t="s">
        <v>146</v>
      </c>
      <c r="J499" t="s">
        <v>25</v>
      </c>
      <c r="K499" t="s">
        <v>2862</v>
      </c>
      <c r="L499">
        <v>0</v>
      </c>
      <c r="M499" t="s">
        <v>2863</v>
      </c>
      <c r="N499" t="s">
        <v>2864</v>
      </c>
      <c r="O499" t="s">
        <v>54</v>
      </c>
      <c r="P499" t="s">
        <v>30</v>
      </c>
      <c r="Q499" t="s">
        <v>31</v>
      </c>
      <c r="R499" s="3">
        <v>6697.11</v>
      </c>
    </row>
    <row r="500" spans="1:18" x14ac:dyDescent="0.3">
      <c r="A500" t="s">
        <v>2865</v>
      </c>
      <c r="B500" t="str">
        <f>TEXT(Raw_Data[[#This Row],[Order Date]],"mmm")</f>
        <v>Nov</v>
      </c>
      <c r="C500" t="s">
        <v>1330</v>
      </c>
      <c r="D500" t="s">
        <v>2866</v>
      </c>
      <c r="E500" t="s">
        <v>20</v>
      </c>
      <c r="F500" t="s">
        <v>106</v>
      </c>
      <c r="G500" t="s">
        <v>163</v>
      </c>
      <c r="H500" t="s">
        <v>38</v>
      </c>
      <c r="I500" t="s">
        <v>60</v>
      </c>
      <c r="J500" t="s">
        <v>25</v>
      </c>
      <c r="K500" t="s">
        <v>2867</v>
      </c>
      <c r="L500">
        <v>0.05</v>
      </c>
      <c r="M500" t="s">
        <v>2868</v>
      </c>
      <c r="N500" t="s">
        <v>2869</v>
      </c>
      <c r="O500" t="s">
        <v>173</v>
      </c>
      <c r="P500" t="s">
        <v>30</v>
      </c>
      <c r="Q500" t="s">
        <v>44</v>
      </c>
      <c r="R500" s="3">
        <v>3016.6014999999902</v>
      </c>
    </row>
    <row r="501" spans="1:18" x14ac:dyDescent="0.3">
      <c r="A501" t="s">
        <v>2870</v>
      </c>
      <c r="B501" t="str">
        <f>TEXT(Raw_Data[[#This Row],[Order Date]],"mmm")</f>
        <v>Apr</v>
      </c>
      <c r="C501" t="s">
        <v>1904</v>
      </c>
      <c r="D501" t="s">
        <v>2871</v>
      </c>
      <c r="E501" t="s">
        <v>35</v>
      </c>
      <c r="F501" t="s">
        <v>106</v>
      </c>
      <c r="G501" t="s">
        <v>106</v>
      </c>
      <c r="H501" t="s">
        <v>107</v>
      </c>
      <c r="I501" t="s">
        <v>108</v>
      </c>
      <c r="J501" t="s">
        <v>50</v>
      </c>
      <c r="K501" t="s">
        <v>2872</v>
      </c>
      <c r="L501">
        <v>0.1</v>
      </c>
      <c r="M501" t="s">
        <v>2873</v>
      </c>
      <c r="N501" t="s">
        <v>2874</v>
      </c>
      <c r="O501" t="s">
        <v>173</v>
      </c>
      <c r="P501" t="s">
        <v>30</v>
      </c>
      <c r="Q501" t="s">
        <v>44</v>
      </c>
      <c r="R501" s="3">
        <v>1171.7639999999999</v>
      </c>
    </row>
    <row r="502" spans="1:18" x14ac:dyDescent="0.3">
      <c r="A502" t="s">
        <v>2875</v>
      </c>
      <c r="B502" t="str">
        <f>TEXT(Raw_Data[[#This Row],[Order Date]],"mmm")</f>
        <v>May</v>
      </c>
      <c r="C502" t="s">
        <v>1498</v>
      </c>
      <c r="D502" t="s">
        <v>2876</v>
      </c>
      <c r="E502" t="s">
        <v>48</v>
      </c>
      <c r="F502" t="s">
        <v>21</v>
      </c>
      <c r="G502" t="s">
        <v>22</v>
      </c>
      <c r="H502" t="s">
        <v>154</v>
      </c>
      <c r="I502" t="s">
        <v>365</v>
      </c>
      <c r="J502" t="s">
        <v>25</v>
      </c>
      <c r="K502" t="s">
        <v>2877</v>
      </c>
      <c r="L502">
        <v>0</v>
      </c>
      <c r="M502" t="s">
        <v>2878</v>
      </c>
      <c r="N502" t="s">
        <v>2879</v>
      </c>
      <c r="O502" t="s">
        <v>173</v>
      </c>
      <c r="P502" t="s">
        <v>112</v>
      </c>
      <c r="Q502" t="s">
        <v>65</v>
      </c>
      <c r="R502" s="3">
        <v>1122.81</v>
      </c>
    </row>
    <row r="503" spans="1:18" x14ac:dyDescent="0.3">
      <c r="A503" t="s">
        <v>2880</v>
      </c>
      <c r="B503" t="str">
        <f>TEXT(Raw_Data[[#This Row],[Order Date]],"mmm")</f>
        <v>Oct</v>
      </c>
      <c r="C503" t="s">
        <v>314</v>
      </c>
      <c r="D503" t="s">
        <v>2881</v>
      </c>
      <c r="E503" t="s">
        <v>20</v>
      </c>
      <c r="F503" t="s">
        <v>78</v>
      </c>
      <c r="G503" t="s">
        <v>731</v>
      </c>
      <c r="H503" t="s">
        <v>107</v>
      </c>
      <c r="I503" t="s">
        <v>591</v>
      </c>
      <c r="J503" t="s">
        <v>50</v>
      </c>
      <c r="K503" t="s">
        <v>2882</v>
      </c>
      <c r="L503">
        <v>0</v>
      </c>
      <c r="M503" t="s">
        <v>2883</v>
      </c>
      <c r="N503" t="s">
        <v>2884</v>
      </c>
      <c r="O503" t="s">
        <v>43</v>
      </c>
      <c r="P503" t="s">
        <v>30</v>
      </c>
      <c r="Q503" t="s">
        <v>65</v>
      </c>
      <c r="R503" s="3">
        <v>23033.279999999999</v>
      </c>
    </row>
    <row r="504" spans="1:18" x14ac:dyDescent="0.3">
      <c r="A504" t="s">
        <v>2885</v>
      </c>
      <c r="B504" t="str">
        <f>TEXT(Raw_Data[[#This Row],[Order Date]],"mmm")</f>
        <v>Jan</v>
      </c>
      <c r="C504" t="s">
        <v>2886</v>
      </c>
      <c r="D504" t="s">
        <v>2887</v>
      </c>
      <c r="E504" t="s">
        <v>35</v>
      </c>
      <c r="F504" t="s">
        <v>78</v>
      </c>
      <c r="G504" t="s">
        <v>79</v>
      </c>
      <c r="H504" t="s">
        <v>38</v>
      </c>
      <c r="I504" t="s">
        <v>71</v>
      </c>
      <c r="J504" t="s">
        <v>100</v>
      </c>
      <c r="K504" t="s">
        <v>2888</v>
      </c>
      <c r="L504">
        <v>0</v>
      </c>
      <c r="M504" t="s">
        <v>2889</v>
      </c>
      <c r="N504" t="s">
        <v>2890</v>
      </c>
      <c r="O504" t="s">
        <v>135</v>
      </c>
      <c r="P504" t="s">
        <v>30</v>
      </c>
      <c r="Q504" t="s">
        <v>31</v>
      </c>
      <c r="R504" s="3">
        <v>11855.88</v>
      </c>
    </row>
    <row r="505" spans="1:18" x14ac:dyDescent="0.3">
      <c r="A505" t="s">
        <v>2891</v>
      </c>
      <c r="B505" t="str">
        <f>TEXT(Raw_Data[[#This Row],[Order Date]],"mmm")</f>
        <v>Feb</v>
      </c>
      <c r="C505" t="s">
        <v>2892</v>
      </c>
      <c r="D505" t="s">
        <v>2893</v>
      </c>
      <c r="E505" t="s">
        <v>48</v>
      </c>
      <c r="F505" t="s">
        <v>89</v>
      </c>
      <c r="G505" t="s">
        <v>99</v>
      </c>
      <c r="H505" t="s">
        <v>107</v>
      </c>
      <c r="I505" t="s">
        <v>108</v>
      </c>
      <c r="J505" t="s">
        <v>25</v>
      </c>
      <c r="K505" t="s">
        <v>2894</v>
      </c>
      <c r="L505">
        <v>0</v>
      </c>
      <c r="M505" t="s">
        <v>2895</v>
      </c>
      <c r="N505" t="s">
        <v>2896</v>
      </c>
      <c r="O505" t="s">
        <v>173</v>
      </c>
      <c r="P505" t="s">
        <v>159</v>
      </c>
      <c r="Q505" t="s">
        <v>44</v>
      </c>
      <c r="R505" s="3">
        <v>12143.8</v>
      </c>
    </row>
    <row r="506" spans="1:18" x14ac:dyDescent="0.3">
      <c r="A506" t="s">
        <v>2897</v>
      </c>
      <c r="B506" t="str">
        <f>TEXT(Raw_Data[[#This Row],[Order Date]],"mmm")</f>
        <v>Sep</v>
      </c>
      <c r="C506" t="s">
        <v>719</v>
      </c>
      <c r="D506" t="s">
        <v>2898</v>
      </c>
      <c r="E506" t="s">
        <v>20</v>
      </c>
      <c r="F506" t="s">
        <v>78</v>
      </c>
      <c r="G506" t="s">
        <v>468</v>
      </c>
      <c r="H506" t="s">
        <v>80</v>
      </c>
      <c r="I506" t="s">
        <v>146</v>
      </c>
      <c r="J506" t="s">
        <v>50</v>
      </c>
      <c r="K506" t="s">
        <v>2899</v>
      </c>
      <c r="L506">
        <v>0.15</v>
      </c>
      <c r="M506" t="s">
        <v>2900</v>
      </c>
      <c r="N506" t="s">
        <v>2901</v>
      </c>
      <c r="O506" t="s">
        <v>54</v>
      </c>
      <c r="P506" t="s">
        <v>30</v>
      </c>
      <c r="Q506" t="s">
        <v>65</v>
      </c>
      <c r="R506" s="3">
        <v>4899.2129999999997</v>
      </c>
    </row>
    <row r="507" spans="1:18" x14ac:dyDescent="0.3">
      <c r="A507" t="s">
        <v>2902</v>
      </c>
      <c r="B507" t="str">
        <f>TEXT(Raw_Data[[#This Row],[Order Date]],"mmm")</f>
        <v>Apr</v>
      </c>
      <c r="C507" t="s">
        <v>2903</v>
      </c>
      <c r="D507" t="s">
        <v>2904</v>
      </c>
      <c r="E507" t="s">
        <v>20</v>
      </c>
      <c r="F507" t="s">
        <v>69</v>
      </c>
      <c r="G507" t="s">
        <v>139</v>
      </c>
      <c r="H507" t="s">
        <v>23</v>
      </c>
      <c r="I507" t="s">
        <v>183</v>
      </c>
      <c r="J507" t="s">
        <v>100</v>
      </c>
      <c r="K507" t="s">
        <v>2905</v>
      </c>
      <c r="L507">
        <v>0.05</v>
      </c>
      <c r="M507" t="s">
        <v>2906</v>
      </c>
      <c r="N507" t="s">
        <v>2907</v>
      </c>
      <c r="O507" t="s">
        <v>173</v>
      </c>
      <c r="P507" t="s">
        <v>159</v>
      </c>
      <c r="Q507" t="s">
        <v>31</v>
      </c>
      <c r="R507" s="3">
        <v>164267.50200000001</v>
      </c>
    </row>
    <row r="508" spans="1:18" x14ac:dyDescent="0.3">
      <c r="A508" t="s">
        <v>2908</v>
      </c>
      <c r="B508" t="str">
        <f>TEXT(Raw_Data[[#This Row],[Order Date]],"mmm")</f>
        <v>Jan</v>
      </c>
      <c r="C508" t="s">
        <v>1878</v>
      </c>
      <c r="D508" t="s">
        <v>2909</v>
      </c>
      <c r="E508" t="s">
        <v>35</v>
      </c>
      <c r="F508" t="s">
        <v>215</v>
      </c>
      <c r="G508" t="s">
        <v>216</v>
      </c>
      <c r="H508" t="s">
        <v>154</v>
      </c>
      <c r="I508" t="s">
        <v>237</v>
      </c>
      <c r="J508" t="s">
        <v>25</v>
      </c>
      <c r="K508" t="s">
        <v>2910</v>
      </c>
      <c r="L508">
        <v>0</v>
      </c>
      <c r="M508" t="s">
        <v>2911</v>
      </c>
      <c r="N508" t="s">
        <v>2912</v>
      </c>
      <c r="O508" t="s">
        <v>54</v>
      </c>
      <c r="P508" t="s">
        <v>30</v>
      </c>
      <c r="Q508" t="s">
        <v>31</v>
      </c>
      <c r="R508" s="3">
        <v>10454.51</v>
      </c>
    </row>
    <row r="509" spans="1:18" x14ac:dyDescent="0.3">
      <c r="A509" t="s">
        <v>2913</v>
      </c>
      <c r="B509" t="str">
        <f>TEXT(Raw_Data[[#This Row],[Order Date]],"mmm")</f>
        <v>Jul</v>
      </c>
      <c r="C509" t="s">
        <v>2261</v>
      </c>
      <c r="D509" t="s">
        <v>2914</v>
      </c>
      <c r="E509" t="s">
        <v>35</v>
      </c>
      <c r="F509" t="s">
        <v>78</v>
      </c>
      <c r="G509" t="s">
        <v>468</v>
      </c>
      <c r="H509" t="s">
        <v>38</v>
      </c>
      <c r="I509" t="s">
        <v>223</v>
      </c>
      <c r="J509" t="s">
        <v>25</v>
      </c>
      <c r="K509" t="s">
        <v>2915</v>
      </c>
      <c r="L509">
        <v>0.05</v>
      </c>
      <c r="M509" t="s">
        <v>2916</v>
      </c>
      <c r="N509" t="s">
        <v>2917</v>
      </c>
      <c r="O509" t="s">
        <v>173</v>
      </c>
      <c r="P509" t="s">
        <v>30</v>
      </c>
      <c r="Q509" t="s">
        <v>65</v>
      </c>
      <c r="R509" s="3">
        <v>1167.9395</v>
      </c>
    </row>
    <row r="510" spans="1:18" x14ac:dyDescent="0.3">
      <c r="A510" t="s">
        <v>2918</v>
      </c>
      <c r="B510" t="str">
        <f>TEXT(Raw_Data[[#This Row],[Order Date]],"mmm")</f>
        <v>Jul</v>
      </c>
      <c r="C510" t="s">
        <v>2372</v>
      </c>
      <c r="D510" t="s">
        <v>2919</v>
      </c>
      <c r="E510" t="s">
        <v>35</v>
      </c>
      <c r="F510" t="s">
        <v>21</v>
      </c>
      <c r="G510" t="s">
        <v>130</v>
      </c>
      <c r="H510" t="s">
        <v>80</v>
      </c>
      <c r="I510" t="s">
        <v>81</v>
      </c>
      <c r="J510" t="s">
        <v>50</v>
      </c>
      <c r="K510" t="s">
        <v>2920</v>
      </c>
      <c r="L510">
        <v>0</v>
      </c>
      <c r="M510" t="s">
        <v>2921</v>
      </c>
      <c r="N510" t="s">
        <v>2922</v>
      </c>
      <c r="O510" t="s">
        <v>173</v>
      </c>
      <c r="P510" t="s">
        <v>30</v>
      </c>
      <c r="Q510" t="s">
        <v>65</v>
      </c>
      <c r="R510" s="3">
        <v>8652.48</v>
      </c>
    </row>
    <row r="511" spans="1:18" x14ac:dyDescent="0.3">
      <c r="A511" t="s">
        <v>2923</v>
      </c>
      <c r="B511" t="str">
        <f>TEXT(Raw_Data[[#This Row],[Order Date]],"mmm")</f>
        <v>Nov</v>
      </c>
      <c r="C511" t="s">
        <v>1731</v>
      </c>
      <c r="D511" t="s">
        <v>2924</v>
      </c>
      <c r="E511" t="s">
        <v>35</v>
      </c>
      <c r="F511" t="s">
        <v>106</v>
      </c>
      <c r="G511" t="s">
        <v>163</v>
      </c>
      <c r="H511" t="s">
        <v>107</v>
      </c>
      <c r="I511" t="s">
        <v>108</v>
      </c>
      <c r="J511" t="s">
        <v>25</v>
      </c>
      <c r="K511" t="s">
        <v>2925</v>
      </c>
      <c r="L511">
        <v>0.15</v>
      </c>
      <c r="M511" t="s">
        <v>2926</v>
      </c>
      <c r="N511" t="s">
        <v>2927</v>
      </c>
      <c r="O511" t="s">
        <v>29</v>
      </c>
      <c r="P511" t="s">
        <v>112</v>
      </c>
      <c r="Q511" t="s">
        <v>65</v>
      </c>
      <c r="R511" s="3">
        <v>8554.2214999999997</v>
      </c>
    </row>
    <row r="512" spans="1:18" x14ac:dyDescent="0.3">
      <c r="A512" t="s">
        <v>2928</v>
      </c>
      <c r="B512" t="str">
        <f>TEXT(Raw_Data[[#This Row],[Order Date]],"mmm")</f>
        <v>Jun</v>
      </c>
      <c r="C512" t="s">
        <v>2272</v>
      </c>
      <c r="D512" t="s">
        <v>2929</v>
      </c>
      <c r="E512" t="s">
        <v>48</v>
      </c>
      <c r="F512" t="s">
        <v>78</v>
      </c>
      <c r="G512" t="s">
        <v>731</v>
      </c>
      <c r="H512" t="s">
        <v>107</v>
      </c>
      <c r="I512" t="s">
        <v>591</v>
      </c>
      <c r="J512" t="s">
        <v>25</v>
      </c>
      <c r="K512" t="s">
        <v>2930</v>
      </c>
      <c r="L512">
        <v>0.1</v>
      </c>
      <c r="M512" t="s">
        <v>2931</v>
      </c>
      <c r="N512" t="s">
        <v>2932</v>
      </c>
      <c r="O512" t="s">
        <v>54</v>
      </c>
      <c r="P512" t="s">
        <v>30</v>
      </c>
      <c r="Q512" t="s">
        <v>65</v>
      </c>
      <c r="R512" s="3">
        <v>10072.503000000001</v>
      </c>
    </row>
    <row r="513" spans="1:18" x14ac:dyDescent="0.3">
      <c r="A513" t="s">
        <v>2933</v>
      </c>
      <c r="B513" t="str">
        <f>TEXT(Raw_Data[[#This Row],[Order Date]],"mmm")</f>
        <v>May</v>
      </c>
      <c r="C513" t="s">
        <v>498</v>
      </c>
      <c r="D513" t="s">
        <v>2934</v>
      </c>
      <c r="E513" t="s">
        <v>20</v>
      </c>
      <c r="F513" t="s">
        <v>21</v>
      </c>
      <c r="G513" t="s">
        <v>130</v>
      </c>
      <c r="H513" t="s">
        <v>23</v>
      </c>
      <c r="I513" t="s">
        <v>263</v>
      </c>
      <c r="J513" t="s">
        <v>100</v>
      </c>
      <c r="K513" t="s">
        <v>2935</v>
      </c>
      <c r="L513">
        <v>0</v>
      </c>
      <c r="M513" t="s">
        <v>2936</v>
      </c>
      <c r="N513" t="s">
        <v>2937</v>
      </c>
      <c r="O513" t="s">
        <v>173</v>
      </c>
      <c r="P513" t="s">
        <v>30</v>
      </c>
      <c r="Q513" t="s">
        <v>31</v>
      </c>
      <c r="R513" s="3">
        <v>107186.639999999</v>
      </c>
    </row>
    <row r="514" spans="1:18" x14ac:dyDescent="0.3">
      <c r="A514" t="s">
        <v>2938</v>
      </c>
      <c r="B514" t="str">
        <f>TEXT(Raw_Data[[#This Row],[Order Date]],"mmm")</f>
        <v>Jan</v>
      </c>
      <c r="C514" t="s">
        <v>1015</v>
      </c>
      <c r="D514" t="s">
        <v>2939</v>
      </c>
      <c r="E514" t="s">
        <v>20</v>
      </c>
      <c r="F514" t="s">
        <v>106</v>
      </c>
      <c r="G514" t="s">
        <v>106</v>
      </c>
      <c r="H514" t="s">
        <v>38</v>
      </c>
      <c r="I514" t="s">
        <v>256</v>
      </c>
      <c r="J514" t="s">
        <v>25</v>
      </c>
      <c r="K514" t="s">
        <v>2940</v>
      </c>
      <c r="L514">
        <v>0.1</v>
      </c>
      <c r="M514" t="s">
        <v>2941</v>
      </c>
      <c r="N514" t="s">
        <v>2942</v>
      </c>
      <c r="O514" t="s">
        <v>54</v>
      </c>
      <c r="P514" t="s">
        <v>30</v>
      </c>
      <c r="Q514" t="s">
        <v>44</v>
      </c>
      <c r="R514" s="3">
        <v>1768.0139999999999</v>
      </c>
    </row>
    <row r="515" spans="1:18" x14ac:dyDescent="0.3">
      <c r="A515" t="s">
        <v>2943</v>
      </c>
      <c r="B515" t="str">
        <f>TEXT(Raw_Data[[#This Row],[Order Date]],"mmm")</f>
        <v>Nov</v>
      </c>
      <c r="C515" t="s">
        <v>1144</v>
      </c>
      <c r="D515" t="s">
        <v>2944</v>
      </c>
      <c r="E515" t="s">
        <v>35</v>
      </c>
      <c r="F515" t="s">
        <v>36</v>
      </c>
      <c r="G515" t="s">
        <v>153</v>
      </c>
      <c r="H515" t="s">
        <v>80</v>
      </c>
      <c r="I515" t="s">
        <v>146</v>
      </c>
      <c r="J515" t="s">
        <v>25</v>
      </c>
      <c r="K515" t="s">
        <v>2945</v>
      </c>
      <c r="L515">
        <v>0.1</v>
      </c>
      <c r="M515" t="s">
        <v>2946</v>
      </c>
      <c r="N515" t="s">
        <v>2947</v>
      </c>
      <c r="O515" t="s">
        <v>54</v>
      </c>
      <c r="P515" t="s">
        <v>30</v>
      </c>
      <c r="Q515" t="s">
        <v>65</v>
      </c>
      <c r="R515" s="3">
        <v>1126.0260000000001</v>
      </c>
    </row>
    <row r="516" spans="1:18" x14ac:dyDescent="0.3">
      <c r="A516" t="s">
        <v>2948</v>
      </c>
      <c r="B516" t="str">
        <f>TEXT(Raw_Data[[#This Row],[Order Date]],"mmm")</f>
        <v>Mar</v>
      </c>
      <c r="C516" t="s">
        <v>1527</v>
      </c>
      <c r="D516" t="s">
        <v>2949</v>
      </c>
      <c r="E516" t="s">
        <v>20</v>
      </c>
      <c r="F516" t="s">
        <v>69</v>
      </c>
      <c r="G516" t="s">
        <v>70</v>
      </c>
      <c r="H516" t="s">
        <v>23</v>
      </c>
      <c r="I516" t="s">
        <v>183</v>
      </c>
      <c r="J516" t="s">
        <v>100</v>
      </c>
      <c r="K516" t="s">
        <v>2950</v>
      </c>
      <c r="L516">
        <v>0.1</v>
      </c>
      <c r="M516" t="s">
        <v>2951</v>
      </c>
      <c r="N516" t="s">
        <v>2952</v>
      </c>
      <c r="O516" t="s">
        <v>64</v>
      </c>
      <c r="P516" t="s">
        <v>30</v>
      </c>
      <c r="Q516" t="s">
        <v>65</v>
      </c>
      <c r="R516" s="3">
        <v>191975.21099999899</v>
      </c>
    </row>
    <row r="517" spans="1:18" x14ac:dyDescent="0.3">
      <c r="A517" t="s">
        <v>2953</v>
      </c>
      <c r="B517" t="str">
        <f>TEXT(Raw_Data[[#This Row],[Order Date]],"mmm")</f>
        <v>Jan</v>
      </c>
      <c r="C517" t="s">
        <v>261</v>
      </c>
      <c r="D517" t="s">
        <v>2954</v>
      </c>
      <c r="E517" t="s">
        <v>20</v>
      </c>
      <c r="F517" t="s">
        <v>89</v>
      </c>
      <c r="G517" t="s">
        <v>230</v>
      </c>
      <c r="H517" t="s">
        <v>107</v>
      </c>
      <c r="I517" t="s">
        <v>277</v>
      </c>
      <c r="J517" t="s">
        <v>100</v>
      </c>
      <c r="K517" t="s">
        <v>2955</v>
      </c>
      <c r="L517">
        <v>0.05</v>
      </c>
      <c r="M517" t="s">
        <v>2956</v>
      </c>
      <c r="N517" t="s">
        <v>2957</v>
      </c>
      <c r="O517" t="s">
        <v>29</v>
      </c>
      <c r="P517" t="s">
        <v>30</v>
      </c>
      <c r="Q517" t="s">
        <v>44</v>
      </c>
      <c r="R517" s="3">
        <v>24654.437999999998</v>
      </c>
    </row>
    <row r="518" spans="1:18" x14ac:dyDescent="0.3">
      <c r="A518" t="s">
        <v>2958</v>
      </c>
      <c r="B518" t="str">
        <f>TEXT(Raw_Data[[#This Row],[Order Date]],"mmm")</f>
        <v>Mar</v>
      </c>
      <c r="C518" t="s">
        <v>2959</v>
      </c>
      <c r="D518" t="s">
        <v>2960</v>
      </c>
      <c r="E518" t="s">
        <v>48</v>
      </c>
      <c r="F518" t="s">
        <v>69</v>
      </c>
      <c r="G518" t="s">
        <v>328</v>
      </c>
      <c r="H518" t="s">
        <v>80</v>
      </c>
      <c r="I518" t="s">
        <v>131</v>
      </c>
      <c r="J518" t="s">
        <v>25</v>
      </c>
      <c r="K518" t="s">
        <v>2961</v>
      </c>
      <c r="L518">
        <v>0</v>
      </c>
      <c r="M518" t="s">
        <v>2962</v>
      </c>
      <c r="N518" t="s">
        <v>2963</v>
      </c>
      <c r="O518" t="s">
        <v>54</v>
      </c>
      <c r="P518" t="s">
        <v>112</v>
      </c>
      <c r="Q518" t="s">
        <v>44</v>
      </c>
      <c r="R518" s="3">
        <v>5478.47</v>
      </c>
    </row>
    <row r="519" spans="1:18" x14ac:dyDescent="0.3">
      <c r="A519" t="s">
        <v>2964</v>
      </c>
      <c r="B519" t="str">
        <f>TEXT(Raw_Data[[#This Row],[Order Date]],"mmm")</f>
        <v>Oct</v>
      </c>
      <c r="C519" t="s">
        <v>1239</v>
      </c>
      <c r="D519" t="s">
        <v>2965</v>
      </c>
      <c r="E519" t="s">
        <v>35</v>
      </c>
      <c r="F519" t="s">
        <v>58</v>
      </c>
      <c r="G519" t="s">
        <v>812</v>
      </c>
      <c r="H519" t="s">
        <v>80</v>
      </c>
      <c r="I519" t="s">
        <v>81</v>
      </c>
      <c r="J519" t="s">
        <v>25</v>
      </c>
      <c r="K519" t="s">
        <v>2966</v>
      </c>
      <c r="L519">
        <v>0.1</v>
      </c>
      <c r="M519" t="s">
        <v>2967</v>
      </c>
      <c r="N519" t="s">
        <v>2968</v>
      </c>
      <c r="O519" t="s">
        <v>173</v>
      </c>
      <c r="P519" t="s">
        <v>112</v>
      </c>
      <c r="Q519" t="s">
        <v>31</v>
      </c>
      <c r="R519" s="3">
        <v>451.89</v>
      </c>
    </row>
    <row r="520" spans="1:18" x14ac:dyDescent="0.3">
      <c r="A520" t="s">
        <v>2969</v>
      </c>
      <c r="B520" t="str">
        <f>TEXT(Raw_Data[[#This Row],[Order Date]],"mmm")</f>
        <v>Jan</v>
      </c>
      <c r="C520" t="s">
        <v>2970</v>
      </c>
      <c r="D520" t="s">
        <v>2971</v>
      </c>
      <c r="E520" t="s">
        <v>48</v>
      </c>
      <c r="F520" t="s">
        <v>215</v>
      </c>
      <c r="G520" t="s">
        <v>216</v>
      </c>
      <c r="H520" t="s">
        <v>23</v>
      </c>
      <c r="I520" t="s">
        <v>49</v>
      </c>
      <c r="J520" t="s">
        <v>82</v>
      </c>
      <c r="K520" t="s">
        <v>2972</v>
      </c>
      <c r="L520">
        <v>0.1</v>
      </c>
      <c r="M520" t="s">
        <v>2973</v>
      </c>
      <c r="N520" t="s">
        <v>2974</v>
      </c>
      <c r="O520" t="s">
        <v>29</v>
      </c>
      <c r="P520" t="s">
        <v>112</v>
      </c>
      <c r="Q520" t="s">
        <v>44</v>
      </c>
      <c r="R520" s="3">
        <v>137422.04399999999</v>
      </c>
    </row>
    <row r="521" spans="1:18" x14ac:dyDescent="0.3">
      <c r="A521" t="s">
        <v>2975</v>
      </c>
      <c r="B521" t="str">
        <f>TEXT(Raw_Data[[#This Row],[Order Date]],"mmm")</f>
        <v>Nov</v>
      </c>
      <c r="C521" t="s">
        <v>2976</v>
      </c>
      <c r="D521" t="s">
        <v>2977</v>
      </c>
      <c r="E521" t="s">
        <v>35</v>
      </c>
      <c r="F521" t="s">
        <v>89</v>
      </c>
      <c r="G521" t="s">
        <v>99</v>
      </c>
      <c r="H521" t="s">
        <v>107</v>
      </c>
      <c r="I521" t="s">
        <v>378</v>
      </c>
      <c r="J521" t="s">
        <v>25</v>
      </c>
      <c r="K521" t="s">
        <v>2978</v>
      </c>
      <c r="L521">
        <v>0</v>
      </c>
      <c r="M521" t="s">
        <v>2979</v>
      </c>
      <c r="N521" t="s">
        <v>2980</v>
      </c>
      <c r="O521" t="s">
        <v>29</v>
      </c>
      <c r="P521" t="s">
        <v>30</v>
      </c>
      <c r="Q521" t="s">
        <v>65</v>
      </c>
      <c r="R521" s="3">
        <v>13824.68</v>
      </c>
    </row>
    <row r="522" spans="1:18" x14ac:dyDescent="0.3">
      <c r="A522" t="s">
        <v>2981</v>
      </c>
      <c r="B522" t="str">
        <f>TEXT(Raw_Data[[#This Row],[Order Date]],"mmm")</f>
        <v>Jun</v>
      </c>
      <c r="C522" t="s">
        <v>1725</v>
      </c>
      <c r="D522" t="s">
        <v>2982</v>
      </c>
      <c r="E522" t="s">
        <v>35</v>
      </c>
      <c r="F522" t="s">
        <v>36</v>
      </c>
      <c r="G522" t="s">
        <v>37</v>
      </c>
      <c r="H522" t="s">
        <v>23</v>
      </c>
      <c r="I522" t="s">
        <v>49</v>
      </c>
      <c r="J522" t="s">
        <v>25</v>
      </c>
      <c r="K522" t="s">
        <v>2983</v>
      </c>
      <c r="L522">
        <v>0.15</v>
      </c>
      <c r="M522" t="s">
        <v>2984</v>
      </c>
      <c r="N522" t="s">
        <v>2985</v>
      </c>
      <c r="O522" t="s">
        <v>54</v>
      </c>
      <c r="P522" t="s">
        <v>30</v>
      </c>
      <c r="Q522" t="s">
        <v>31</v>
      </c>
      <c r="R522" s="3">
        <v>23424.673999999999</v>
      </c>
    </row>
    <row r="523" spans="1:18" x14ac:dyDescent="0.3">
      <c r="A523" t="s">
        <v>2986</v>
      </c>
      <c r="B523" t="str">
        <f>TEXT(Raw_Data[[#This Row],[Order Date]],"mmm")</f>
        <v>Sep</v>
      </c>
      <c r="C523" t="s">
        <v>1192</v>
      </c>
      <c r="D523" t="s">
        <v>2987</v>
      </c>
      <c r="E523" t="s">
        <v>20</v>
      </c>
      <c r="F523" t="s">
        <v>106</v>
      </c>
      <c r="G523" t="s">
        <v>106</v>
      </c>
      <c r="H523" t="s">
        <v>80</v>
      </c>
      <c r="I523" t="s">
        <v>116</v>
      </c>
      <c r="J523" t="s">
        <v>25</v>
      </c>
      <c r="K523" t="s">
        <v>2988</v>
      </c>
      <c r="L523">
        <v>0.2</v>
      </c>
      <c r="M523" t="s">
        <v>2989</v>
      </c>
      <c r="N523" t="s">
        <v>2990</v>
      </c>
      <c r="O523" t="s">
        <v>173</v>
      </c>
      <c r="P523" t="s">
        <v>112</v>
      </c>
      <c r="Q523" t="s">
        <v>44</v>
      </c>
      <c r="R523" s="3">
        <v>2495.096</v>
      </c>
    </row>
    <row r="524" spans="1:18" x14ac:dyDescent="0.3">
      <c r="A524" t="s">
        <v>2991</v>
      </c>
      <c r="B524" t="str">
        <f>TEXT(Raw_Data[[#This Row],[Order Date]],"mmm")</f>
        <v>Jul</v>
      </c>
      <c r="C524" t="s">
        <v>2992</v>
      </c>
      <c r="D524" t="s">
        <v>2993</v>
      </c>
      <c r="E524" t="s">
        <v>20</v>
      </c>
      <c r="F524" t="s">
        <v>106</v>
      </c>
      <c r="G524" t="s">
        <v>106</v>
      </c>
      <c r="H524" t="s">
        <v>154</v>
      </c>
      <c r="I524" t="s">
        <v>155</v>
      </c>
      <c r="J524" t="s">
        <v>25</v>
      </c>
      <c r="K524" t="s">
        <v>2994</v>
      </c>
      <c r="L524">
        <v>0.1</v>
      </c>
      <c r="M524" t="s">
        <v>2995</v>
      </c>
      <c r="N524" t="s">
        <v>2996</v>
      </c>
      <c r="O524" t="s">
        <v>43</v>
      </c>
      <c r="P524" t="s">
        <v>159</v>
      </c>
      <c r="Q524" t="s">
        <v>44</v>
      </c>
      <c r="R524" s="3">
        <v>5997.4650000000001</v>
      </c>
    </row>
    <row r="525" spans="1:18" x14ac:dyDescent="0.3">
      <c r="A525" t="s">
        <v>2997</v>
      </c>
      <c r="B525" t="str">
        <f>TEXT(Raw_Data[[#This Row],[Order Date]],"mmm")</f>
        <v>May</v>
      </c>
      <c r="C525" t="s">
        <v>2840</v>
      </c>
      <c r="D525" t="s">
        <v>2998</v>
      </c>
      <c r="E525" t="s">
        <v>35</v>
      </c>
      <c r="F525" t="s">
        <v>215</v>
      </c>
      <c r="G525" t="s">
        <v>276</v>
      </c>
      <c r="H525" t="s">
        <v>80</v>
      </c>
      <c r="I525" t="s">
        <v>91</v>
      </c>
      <c r="J525" t="s">
        <v>25</v>
      </c>
      <c r="K525" t="s">
        <v>2999</v>
      </c>
      <c r="L525">
        <v>0.1</v>
      </c>
      <c r="M525" t="s">
        <v>3000</v>
      </c>
      <c r="N525" t="s">
        <v>3001</v>
      </c>
      <c r="O525" t="s">
        <v>64</v>
      </c>
      <c r="P525" t="s">
        <v>30</v>
      </c>
      <c r="Q525" t="s">
        <v>31</v>
      </c>
      <c r="R525" s="3">
        <v>413.334</v>
      </c>
    </row>
    <row r="526" spans="1:18" x14ac:dyDescent="0.3">
      <c r="A526" t="s">
        <v>3002</v>
      </c>
      <c r="B526" t="str">
        <f>TEXT(Raw_Data[[#This Row],[Order Date]],"mmm")</f>
        <v>Dec</v>
      </c>
      <c r="C526" t="s">
        <v>3003</v>
      </c>
      <c r="D526" t="s">
        <v>3004</v>
      </c>
      <c r="E526" t="s">
        <v>48</v>
      </c>
      <c r="F526" t="s">
        <v>21</v>
      </c>
      <c r="G526" t="s">
        <v>130</v>
      </c>
      <c r="H526" t="s">
        <v>107</v>
      </c>
      <c r="I526" t="s">
        <v>108</v>
      </c>
      <c r="J526" t="s">
        <v>25</v>
      </c>
      <c r="K526" t="s">
        <v>3005</v>
      </c>
      <c r="L526">
        <v>0.1</v>
      </c>
      <c r="M526" t="s">
        <v>3006</v>
      </c>
      <c r="N526" t="s">
        <v>3007</v>
      </c>
      <c r="O526" t="s">
        <v>29</v>
      </c>
      <c r="P526" t="s">
        <v>30</v>
      </c>
      <c r="Q526" t="s">
        <v>31</v>
      </c>
      <c r="R526" s="3">
        <v>3132</v>
      </c>
    </row>
    <row r="527" spans="1:18" x14ac:dyDescent="0.3">
      <c r="A527" t="s">
        <v>3008</v>
      </c>
      <c r="B527" t="str">
        <f>TEXT(Raw_Data[[#This Row],[Order Date]],"mmm")</f>
        <v>Dec</v>
      </c>
      <c r="C527" t="s">
        <v>2206</v>
      </c>
      <c r="D527" t="s">
        <v>3009</v>
      </c>
      <c r="E527" t="s">
        <v>48</v>
      </c>
      <c r="F527" t="s">
        <v>21</v>
      </c>
      <c r="G527" t="s">
        <v>130</v>
      </c>
      <c r="H527" t="s">
        <v>38</v>
      </c>
      <c r="I527" t="s">
        <v>39</v>
      </c>
      <c r="J527" t="s">
        <v>25</v>
      </c>
      <c r="K527" t="s">
        <v>3010</v>
      </c>
      <c r="L527">
        <v>0.05</v>
      </c>
      <c r="M527" t="s">
        <v>3011</v>
      </c>
      <c r="N527" t="s">
        <v>3012</v>
      </c>
      <c r="O527" t="s">
        <v>64</v>
      </c>
      <c r="P527" t="s">
        <v>30</v>
      </c>
      <c r="Q527" t="s">
        <v>31</v>
      </c>
      <c r="R527" s="3">
        <v>1571.41399999999</v>
      </c>
    </row>
    <row r="528" spans="1:18" x14ac:dyDescent="0.3">
      <c r="A528" t="s">
        <v>3013</v>
      </c>
      <c r="B528" t="str">
        <f>TEXT(Raw_Data[[#This Row],[Order Date]],"mmm")</f>
        <v>May</v>
      </c>
      <c r="C528" t="s">
        <v>1257</v>
      </c>
      <c r="D528" t="s">
        <v>3014</v>
      </c>
      <c r="E528" t="s">
        <v>20</v>
      </c>
      <c r="F528" t="s">
        <v>106</v>
      </c>
      <c r="G528" t="s">
        <v>106</v>
      </c>
      <c r="H528" t="s">
        <v>107</v>
      </c>
      <c r="I528" t="s">
        <v>277</v>
      </c>
      <c r="J528" t="s">
        <v>100</v>
      </c>
      <c r="K528" t="s">
        <v>3015</v>
      </c>
      <c r="L528">
        <v>0.1</v>
      </c>
      <c r="M528" t="s">
        <v>3016</v>
      </c>
      <c r="N528" t="s">
        <v>3017</v>
      </c>
      <c r="O528" t="s">
        <v>173</v>
      </c>
      <c r="P528" t="s">
        <v>30</v>
      </c>
      <c r="Q528" t="s">
        <v>65</v>
      </c>
      <c r="R528" s="3">
        <v>29946.401999999998</v>
      </c>
    </row>
    <row r="529" spans="1:18" x14ac:dyDescent="0.3">
      <c r="A529" t="s">
        <v>3018</v>
      </c>
      <c r="B529" t="str">
        <f>TEXT(Raw_Data[[#This Row],[Order Date]],"mmm")</f>
        <v>May</v>
      </c>
      <c r="C529" t="s">
        <v>1533</v>
      </c>
      <c r="D529" t="s">
        <v>3019</v>
      </c>
      <c r="E529" t="s">
        <v>48</v>
      </c>
      <c r="F529" t="s">
        <v>215</v>
      </c>
      <c r="G529" t="s">
        <v>276</v>
      </c>
      <c r="H529" t="s">
        <v>154</v>
      </c>
      <c r="I529" t="s">
        <v>309</v>
      </c>
      <c r="J529" t="s">
        <v>25</v>
      </c>
      <c r="K529" t="s">
        <v>3020</v>
      </c>
      <c r="L529">
        <v>0</v>
      </c>
      <c r="M529" t="s">
        <v>3021</v>
      </c>
      <c r="N529" t="s">
        <v>3022</v>
      </c>
      <c r="O529" t="s">
        <v>173</v>
      </c>
      <c r="P529" t="s">
        <v>159</v>
      </c>
      <c r="Q529" t="s">
        <v>31</v>
      </c>
      <c r="R529" s="3">
        <v>2551.91</v>
      </c>
    </row>
    <row r="530" spans="1:18" x14ac:dyDescent="0.3">
      <c r="A530" t="s">
        <v>3023</v>
      </c>
      <c r="B530" t="str">
        <f>TEXT(Raw_Data[[#This Row],[Order Date]],"mmm")</f>
        <v>Oct</v>
      </c>
      <c r="C530" t="s">
        <v>1227</v>
      </c>
      <c r="D530" t="s">
        <v>3024</v>
      </c>
      <c r="E530" t="s">
        <v>35</v>
      </c>
      <c r="F530" t="s">
        <v>36</v>
      </c>
      <c r="G530" t="s">
        <v>153</v>
      </c>
      <c r="H530" t="s">
        <v>107</v>
      </c>
      <c r="I530" t="s">
        <v>108</v>
      </c>
      <c r="J530" t="s">
        <v>25</v>
      </c>
      <c r="K530" t="s">
        <v>3025</v>
      </c>
      <c r="L530">
        <v>0</v>
      </c>
      <c r="M530" t="s">
        <v>3026</v>
      </c>
      <c r="N530" t="s">
        <v>3027</v>
      </c>
      <c r="O530" t="s">
        <v>173</v>
      </c>
      <c r="P530" t="s">
        <v>159</v>
      </c>
      <c r="Q530" t="s">
        <v>31</v>
      </c>
      <c r="R530" s="3">
        <v>5640.92</v>
      </c>
    </row>
    <row r="531" spans="1:18" x14ac:dyDescent="0.3">
      <c r="A531" t="s">
        <v>3028</v>
      </c>
      <c r="B531" t="str">
        <f>TEXT(Raw_Data[[#This Row],[Order Date]],"mmm")</f>
        <v>Feb</v>
      </c>
      <c r="C531" t="s">
        <v>2361</v>
      </c>
      <c r="D531" t="s">
        <v>3029</v>
      </c>
      <c r="E531" t="s">
        <v>48</v>
      </c>
      <c r="F531" t="s">
        <v>215</v>
      </c>
      <c r="G531" t="s">
        <v>216</v>
      </c>
      <c r="H531" t="s">
        <v>80</v>
      </c>
      <c r="I531" t="s">
        <v>116</v>
      </c>
      <c r="J531" t="s">
        <v>25</v>
      </c>
      <c r="K531" t="s">
        <v>3030</v>
      </c>
      <c r="L531">
        <v>0.05</v>
      </c>
      <c r="M531" t="s">
        <v>3031</v>
      </c>
      <c r="N531" t="s">
        <v>3032</v>
      </c>
      <c r="O531" t="s">
        <v>173</v>
      </c>
      <c r="P531" t="s">
        <v>30</v>
      </c>
      <c r="Q531" t="s">
        <v>65</v>
      </c>
      <c r="R531" s="3">
        <v>5000.7714999999998</v>
      </c>
    </row>
    <row r="532" spans="1:18" x14ac:dyDescent="0.3">
      <c r="A532" t="s">
        <v>3033</v>
      </c>
      <c r="B532" t="str">
        <f>TEXT(Raw_Data[[#This Row],[Order Date]],"mmm")</f>
        <v>Mar</v>
      </c>
      <c r="C532" t="s">
        <v>1915</v>
      </c>
      <c r="D532" t="s">
        <v>3034</v>
      </c>
      <c r="E532" t="s">
        <v>48</v>
      </c>
      <c r="F532" t="s">
        <v>89</v>
      </c>
      <c r="G532" t="s">
        <v>90</v>
      </c>
      <c r="H532" t="s">
        <v>23</v>
      </c>
      <c r="I532" t="s">
        <v>24</v>
      </c>
      <c r="J532" t="s">
        <v>25</v>
      </c>
      <c r="K532" t="s">
        <v>3035</v>
      </c>
      <c r="L532">
        <v>0</v>
      </c>
      <c r="M532" t="s">
        <v>3036</v>
      </c>
      <c r="N532" t="s">
        <v>3037</v>
      </c>
      <c r="O532" t="s">
        <v>29</v>
      </c>
      <c r="P532" t="s">
        <v>30</v>
      </c>
      <c r="Q532" t="s">
        <v>31</v>
      </c>
      <c r="R532" s="3">
        <v>72499.41</v>
      </c>
    </row>
    <row r="533" spans="1:18" x14ac:dyDescent="0.3">
      <c r="A533" t="s">
        <v>3038</v>
      </c>
      <c r="B533" t="str">
        <f>TEXT(Raw_Data[[#This Row],[Order Date]],"mmm")</f>
        <v>May</v>
      </c>
      <c r="C533" t="s">
        <v>948</v>
      </c>
      <c r="D533" t="s">
        <v>3039</v>
      </c>
      <c r="E533" t="s">
        <v>20</v>
      </c>
      <c r="F533" t="s">
        <v>89</v>
      </c>
      <c r="G533" t="s">
        <v>90</v>
      </c>
      <c r="H533" t="s">
        <v>154</v>
      </c>
      <c r="I533" t="s">
        <v>309</v>
      </c>
      <c r="J533" t="s">
        <v>50</v>
      </c>
      <c r="K533" t="s">
        <v>3040</v>
      </c>
      <c r="L533">
        <v>0</v>
      </c>
      <c r="M533" t="s">
        <v>3041</v>
      </c>
      <c r="N533" t="s">
        <v>3042</v>
      </c>
      <c r="O533" t="s">
        <v>173</v>
      </c>
      <c r="P533" t="s">
        <v>30</v>
      </c>
      <c r="Q533" t="s">
        <v>31</v>
      </c>
      <c r="R533" s="3">
        <v>11179.18</v>
      </c>
    </row>
    <row r="534" spans="1:18" x14ac:dyDescent="0.3">
      <c r="A534" t="s">
        <v>3043</v>
      </c>
      <c r="B534" t="str">
        <f>TEXT(Raw_Data[[#This Row],[Order Date]],"mmm")</f>
        <v>Apr</v>
      </c>
      <c r="C534" t="s">
        <v>454</v>
      </c>
      <c r="D534" t="s">
        <v>3044</v>
      </c>
      <c r="E534" t="s">
        <v>35</v>
      </c>
      <c r="F534" t="s">
        <v>215</v>
      </c>
      <c r="G534" t="s">
        <v>276</v>
      </c>
      <c r="H534" t="s">
        <v>23</v>
      </c>
      <c r="I534" t="s">
        <v>341</v>
      </c>
      <c r="J534" t="s">
        <v>82</v>
      </c>
      <c r="K534" t="s">
        <v>3045</v>
      </c>
      <c r="L534">
        <v>0.1</v>
      </c>
      <c r="M534" t="s">
        <v>3046</v>
      </c>
      <c r="N534" t="s">
        <v>3047</v>
      </c>
      <c r="O534" t="s">
        <v>173</v>
      </c>
      <c r="P534" t="s">
        <v>30</v>
      </c>
      <c r="Q534" t="s">
        <v>65</v>
      </c>
      <c r="R534" s="3">
        <v>109052.82</v>
      </c>
    </row>
    <row r="535" spans="1:18" x14ac:dyDescent="0.3">
      <c r="A535" t="s">
        <v>3048</v>
      </c>
      <c r="B535" t="str">
        <f>TEXT(Raw_Data[[#This Row],[Order Date]],"mmm")</f>
        <v>Jul</v>
      </c>
      <c r="C535" t="s">
        <v>3049</v>
      </c>
      <c r="D535" t="s">
        <v>3050</v>
      </c>
      <c r="E535" t="s">
        <v>48</v>
      </c>
      <c r="F535" t="s">
        <v>21</v>
      </c>
      <c r="G535" t="s">
        <v>130</v>
      </c>
      <c r="H535" t="s">
        <v>80</v>
      </c>
      <c r="I535" t="s">
        <v>131</v>
      </c>
      <c r="J535" t="s">
        <v>25</v>
      </c>
      <c r="K535" t="s">
        <v>3051</v>
      </c>
      <c r="L535">
        <v>0</v>
      </c>
      <c r="M535" t="s">
        <v>3052</v>
      </c>
      <c r="N535" t="s">
        <v>3053</v>
      </c>
      <c r="O535" t="s">
        <v>43</v>
      </c>
      <c r="P535" t="s">
        <v>112</v>
      </c>
      <c r="Q535" t="s">
        <v>44</v>
      </c>
      <c r="R535" s="3">
        <v>2480.96</v>
      </c>
    </row>
    <row r="536" spans="1:18" x14ac:dyDescent="0.3">
      <c r="A536" t="s">
        <v>3054</v>
      </c>
      <c r="B536" t="str">
        <f>TEXT(Raw_Data[[#This Row],[Order Date]],"mmm")</f>
        <v>Dec</v>
      </c>
      <c r="C536" t="s">
        <v>46</v>
      </c>
      <c r="D536" t="s">
        <v>3055</v>
      </c>
      <c r="E536" t="s">
        <v>20</v>
      </c>
      <c r="F536" t="s">
        <v>21</v>
      </c>
      <c r="G536" t="s">
        <v>22</v>
      </c>
      <c r="H536" t="s">
        <v>154</v>
      </c>
      <c r="I536" t="s">
        <v>155</v>
      </c>
      <c r="J536" t="s">
        <v>25</v>
      </c>
      <c r="K536" t="s">
        <v>3056</v>
      </c>
      <c r="L536">
        <v>0.2</v>
      </c>
      <c r="M536" t="s">
        <v>3057</v>
      </c>
      <c r="N536" t="s">
        <v>3058</v>
      </c>
      <c r="O536" t="s">
        <v>64</v>
      </c>
      <c r="P536" t="s">
        <v>30</v>
      </c>
      <c r="Q536" t="s">
        <v>31</v>
      </c>
      <c r="R536" s="3">
        <v>5570.4</v>
      </c>
    </row>
    <row r="537" spans="1:18" x14ac:dyDescent="0.3">
      <c r="A537" t="s">
        <v>3059</v>
      </c>
      <c r="B537" t="str">
        <f>TEXT(Raw_Data[[#This Row],[Order Date]],"mmm")</f>
        <v>Aug</v>
      </c>
      <c r="C537" t="s">
        <v>1403</v>
      </c>
      <c r="D537" t="s">
        <v>3060</v>
      </c>
      <c r="E537" t="s">
        <v>35</v>
      </c>
      <c r="F537" t="s">
        <v>106</v>
      </c>
      <c r="G537" t="s">
        <v>163</v>
      </c>
      <c r="H537" t="s">
        <v>107</v>
      </c>
      <c r="I537" t="s">
        <v>378</v>
      </c>
      <c r="J537" t="s">
        <v>50</v>
      </c>
      <c r="K537" t="s">
        <v>3061</v>
      </c>
      <c r="L537">
        <v>0.2</v>
      </c>
      <c r="M537" t="s">
        <v>3062</v>
      </c>
      <c r="N537" t="s">
        <v>3063</v>
      </c>
      <c r="O537" t="s">
        <v>54</v>
      </c>
      <c r="P537" t="s">
        <v>30</v>
      </c>
      <c r="Q537" t="s">
        <v>31</v>
      </c>
      <c r="R537" s="3">
        <v>12240.128000000001</v>
      </c>
    </row>
    <row r="538" spans="1:18" x14ac:dyDescent="0.3">
      <c r="A538" t="s">
        <v>3064</v>
      </c>
      <c r="B538" t="str">
        <f>TEXT(Raw_Data[[#This Row],[Order Date]],"mmm")</f>
        <v>Aug</v>
      </c>
      <c r="C538" t="s">
        <v>1757</v>
      </c>
      <c r="D538" t="s">
        <v>3065</v>
      </c>
      <c r="E538" t="s">
        <v>48</v>
      </c>
      <c r="F538" t="s">
        <v>89</v>
      </c>
      <c r="G538" t="s">
        <v>99</v>
      </c>
      <c r="H538" t="s">
        <v>80</v>
      </c>
      <c r="I538" t="s">
        <v>146</v>
      </c>
      <c r="J538" t="s">
        <v>25</v>
      </c>
      <c r="K538" t="s">
        <v>3066</v>
      </c>
      <c r="L538">
        <v>0.1</v>
      </c>
      <c r="M538" t="s">
        <v>3067</v>
      </c>
      <c r="N538" t="s">
        <v>3068</v>
      </c>
      <c r="O538" t="s">
        <v>54</v>
      </c>
      <c r="P538" t="s">
        <v>30</v>
      </c>
      <c r="Q538" t="s">
        <v>44</v>
      </c>
      <c r="R538" s="3">
        <v>1135.98</v>
      </c>
    </row>
    <row r="539" spans="1:18" x14ac:dyDescent="0.3">
      <c r="A539" t="s">
        <v>3069</v>
      </c>
      <c r="B539" t="str">
        <f>TEXT(Raw_Data[[#This Row],[Order Date]],"mmm")</f>
        <v>Feb</v>
      </c>
      <c r="C539" t="s">
        <v>862</v>
      </c>
      <c r="D539" t="s">
        <v>3070</v>
      </c>
      <c r="E539" t="s">
        <v>20</v>
      </c>
      <c r="F539" t="s">
        <v>36</v>
      </c>
      <c r="G539" t="s">
        <v>414</v>
      </c>
      <c r="H539" t="s">
        <v>23</v>
      </c>
      <c r="I539" t="s">
        <v>183</v>
      </c>
      <c r="J539" t="s">
        <v>100</v>
      </c>
      <c r="K539" t="s">
        <v>3071</v>
      </c>
      <c r="L539">
        <v>0.15</v>
      </c>
      <c r="M539" t="s">
        <v>3072</v>
      </c>
      <c r="N539" t="s">
        <v>3073</v>
      </c>
      <c r="O539" t="s">
        <v>54</v>
      </c>
      <c r="P539" t="s">
        <v>30</v>
      </c>
      <c r="Q539" t="s">
        <v>44</v>
      </c>
      <c r="R539" s="3">
        <v>115333.18499999899</v>
      </c>
    </row>
    <row r="540" spans="1:18" x14ac:dyDescent="0.3">
      <c r="A540" t="s">
        <v>3074</v>
      </c>
      <c r="B540" t="str">
        <f>TEXT(Raw_Data[[#This Row],[Order Date]],"mmm")</f>
        <v>Dec</v>
      </c>
      <c r="C540" t="s">
        <v>540</v>
      </c>
      <c r="D540" t="s">
        <v>3075</v>
      </c>
      <c r="E540" t="s">
        <v>20</v>
      </c>
      <c r="F540" t="s">
        <v>36</v>
      </c>
      <c r="G540" t="s">
        <v>196</v>
      </c>
      <c r="H540" t="s">
        <v>154</v>
      </c>
      <c r="I540" t="s">
        <v>237</v>
      </c>
      <c r="J540" t="s">
        <v>82</v>
      </c>
      <c r="K540" t="s">
        <v>3076</v>
      </c>
      <c r="L540">
        <v>0.05</v>
      </c>
      <c r="M540" t="s">
        <v>3077</v>
      </c>
      <c r="N540" t="s">
        <v>3078</v>
      </c>
      <c r="O540" t="s">
        <v>173</v>
      </c>
      <c r="P540" t="s">
        <v>30</v>
      </c>
      <c r="Q540" t="s">
        <v>31</v>
      </c>
      <c r="R540" s="3">
        <v>18831.621999999999</v>
      </c>
    </row>
    <row r="541" spans="1:18" x14ac:dyDescent="0.3">
      <c r="A541" t="s">
        <v>3079</v>
      </c>
      <c r="B541" t="str">
        <f>TEXT(Raw_Data[[#This Row],[Order Date]],"mmm")</f>
        <v>Dec</v>
      </c>
      <c r="C541" t="s">
        <v>868</v>
      </c>
      <c r="D541" t="s">
        <v>3080</v>
      </c>
      <c r="E541" t="s">
        <v>35</v>
      </c>
      <c r="F541" t="s">
        <v>21</v>
      </c>
      <c r="G541" t="s">
        <v>130</v>
      </c>
      <c r="H541" t="s">
        <v>154</v>
      </c>
      <c r="I541" t="s">
        <v>1061</v>
      </c>
      <c r="J541" t="s">
        <v>50</v>
      </c>
      <c r="K541" t="s">
        <v>3081</v>
      </c>
      <c r="L541">
        <v>0.1</v>
      </c>
      <c r="M541" t="s">
        <v>3082</v>
      </c>
      <c r="N541" t="s">
        <v>3083</v>
      </c>
      <c r="O541" t="s">
        <v>173</v>
      </c>
      <c r="P541" t="s">
        <v>30</v>
      </c>
      <c r="Q541" t="s">
        <v>31</v>
      </c>
      <c r="R541" s="3">
        <v>16915.5</v>
      </c>
    </row>
    <row r="542" spans="1:18" x14ac:dyDescent="0.3">
      <c r="A542" t="s">
        <v>3084</v>
      </c>
      <c r="B542" t="str">
        <f>TEXT(Raw_Data[[#This Row],[Order Date]],"mmm")</f>
        <v>May</v>
      </c>
      <c r="C542" t="s">
        <v>874</v>
      </c>
      <c r="D542" t="s">
        <v>3085</v>
      </c>
      <c r="E542" t="s">
        <v>48</v>
      </c>
      <c r="F542" t="s">
        <v>69</v>
      </c>
      <c r="G542" t="s">
        <v>70</v>
      </c>
      <c r="H542" t="s">
        <v>23</v>
      </c>
      <c r="I542" t="s">
        <v>183</v>
      </c>
      <c r="J542" t="s">
        <v>25</v>
      </c>
      <c r="K542" t="s">
        <v>3086</v>
      </c>
      <c r="L542">
        <v>0.1</v>
      </c>
      <c r="M542" t="s">
        <v>3087</v>
      </c>
      <c r="N542" t="s">
        <v>3088</v>
      </c>
      <c r="O542" t="s">
        <v>43</v>
      </c>
      <c r="P542" t="s">
        <v>95</v>
      </c>
      <c r="Q542" t="s">
        <v>44</v>
      </c>
      <c r="R542" s="3">
        <v>61381.493999999999</v>
      </c>
    </row>
    <row r="543" spans="1:18" x14ac:dyDescent="0.3">
      <c r="A543" t="s">
        <v>3089</v>
      </c>
      <c r="B543" t="str">
        <f>TEXT(Raw_Data[[#This Row],[Order Date]],"mmm")</f>
        <v>Apr</v>
      </c>
      <c r="C543" t="s">
        <v>3090</v>
      </c>
      <c r="D543" t="s">
        <v>3091</v>
      </c>
      <c r="E543" t="s">
        <v>20</v>
      </c>
      <c r="F543" t="s">
        <v>89</v>
      </c>
      <c r="G543" t="s">
        <v>90</v>
      </c>
      <c r="H543" t="s">
        <v>23</v>
      </c>
      <c r="I543" t="s">
        <v>183</v>
      </c>
      <c r="J543" t="s">
        <v>25</v>
      </c>
      <c r="K543" t="s">
        <v>3092</v>
      </c>
      <c r="L543">
        <v>0.1</v>
      </c>
      <c r="M543" t="s">
        <v>3093</v>
      </c>
      <c r="N543" t="s">
        <v>3094</v>
      </c>
      <c r="O543" t="s">
        <v>64</v>
      </c>
      <c r="P543" t="s">
        <v>95</v>
      </c>
      <c r="Q543" t="s">
        <v>31</v>
      </c>
      <c r="R543" s="3">
        <v>37376.360999999997</v>
      </c>
    </row>
    <row r="544" spans="1:18" x14ac:dyDescent="0.3">
      <c r="A544" t="s">
        <v>3095</v>
      </c>
      <c r="B544" t="str">
        <f>TEXT(Raw_Data[[#This Row],[Order Date]],"mmm")</f>
        <v>Nov</v>
      </c>
      <c r="C544" t="s">
        <v>3096</v>
      </c>
      <c r="D544" t="s">
        <v>3097</v>
      </c>
      <c r="E544" t="s">
        <v>35</v>
      </c>
      <c r="F544" t="s">
        <v>69</v>
      </c>
      <c r="G544" t="s">
        <v>328</v>
      </c>
      <c r="H544" t="s">
        <v>107</v>
      </c>
      <c r="I544" t="s">
        <v>469</v>
      </c>
      <c r="J544" t="s">
        <v>25</v>
      </c>
      <c r="K544" t="s">
        <v>3098</v>
      </c>
      <c r="L544">
        <v>0.1</v>
      </c>
      <c r="M544" t="s">
        <v>3099</v>
      </c>
      <c r="N544" t="s">
        <v>3100</v>
      </c>
      <c r="O544" t="s">
        <v>64</v>
      </c>
      <c r="P544" t="s">
        <v>30</v>
      </c>
      <c r="Q544" t="s">
        <v>44</v>
      </c>
      <c r="R544" s="3">
        <v>5768.982</v>
      </c>
    </row>
    <row r="545" spans="1:18" x14ac:dyDescent="0.3">
      <c r="A545" t="s">
        <v>3101</v>
      </c>
      <c r="B545" t="str">
        <f>TEXT(Raw_Data[[#This Row],[Order Date]],"mmm")</f>
        <v>May</v>
      </c>
      <c r="C545" t="s">
        <v>3102</v>
      </c>
      <c r="D545" t="s">
        <v>3103</v>
      </c>
      <c r="E545" t="s">
        <v>48</v>
      </c>
      <c r="F545" t="s">
        <v>78</v>
      </c>
      <c r="G545" t="s">
        <v>79</v>
      </c>
      <c r="H545" t="s">
        <v>154</v>
      </c>
      <c r="I545" t="s">
        <v>155</v>
      </c>
      <c r="J545" t="s">
        <v>100</v>
      </c>
      <c r="K545" t="s">
        <v>3104</v>
      </c>
      <c r="L545">
        <v>0.1</v>
      </c>
      <c r="M545" t="s">
        <v>3105</v>
      </c>
      <c r="N545" t="s">
        <v>3106</v>
      </c>
      <c r="O545" t="s">
        <v>43</v>
      </c>
      <c r="P545" t="s">
        <v>30</v>
      </c>
      <c r="Q545" t="s">
        <v>65</v>
      </c>
      <c r="R545" s="3">
        <v>13779.692999999999</v>
      </c>
    </row>
    <row r="546" spans="1:18" x14ac:dyDescent="0.3">
      <c r="A546" t="s">
        <v>3107</v>
      </c>
      <c r="B546" t="str">
        <f>TEXT(Raw_Data[[#This Row],[Order Date]],"mmm")</f>
        <v>May</v>
      </c>
      <c r="C546" t="s">
        <v>2355</v>
      </c>
      <c r="D546" t="s">
        <v>3108</v>
      </c>
      <c r="E546" t="s">
        <v>20</v>
      </c>
      <c r="F546" t="s">
        <v>89</v>
      </c>
      <c r="G546" t="s">
        <v>99</v>
      </c>
      <c r="H546" t="s">
        <v>23</v>
      </c>
      <c r="I546" t="s">
        <v>49</v>
      </c>
      <c r="J546" t="s">
        <v>50</v>
      </c>
      <c r="K546" t="s">
        <v>3109</v>
      </c>
      <c r="L546">
        <v>0.05</v>
      </c>
      <c r="M546" t="s">
        <v>3110</v>
      </c>
      <c r="N546" t="s">
        <v>3111</v>
      </c>
      <c r="O546" t="s">
        <v>43</v>
      </c>
      <c r="P546" t="s">
        <v>159</v>
      </c>
      <c r="Q546" t="s">
        <v>31</v>
      </c>
      <c r="R546" s="3">
        <v>38945.800999999999</v>
      </c>
    </row>
    <row r="547" spans="1:18" x14ac:dyDescent="0.3">
      <c r="A547" t="s">
        <v>3112</v>
      </c>
      <c r="B547" t="str">
        <f>TEXT(Raw_Data[[#This Row],[Order Date]],"mmm")</f>
        <v>Sep</v>
      </c>
      <c r="C547" t="s">
        <v>719</v>
      </c>
      <c r="D547" t="s">
        <v>3113</v>
      </c>
      <c r="E547" t="s">
        <v>20</v>
      </c>
      <c r="F547" t="s">
        <v>21</v>
      </c>
      <c r="G547" t="s">
        <v>130</v>
      </c>
      <c r="H547" t="s">
        <v>38</v>
      </c>
      <c r="I547" t="s">
        <v>39</v>
      </c>
      <c r="J547" t="s">
        <v>100</v>
      </c>
      <c r="K547" t="s">
        <v>3114</v>
      </c>
      <c r="L547">
        <v>0.1</v>
      </c>
      <c r="M547" t="s">
        <v>3115</v>
      </c>
      <c r="N547" t="s">
        <v>3116</v>
      </c>
      <c r="O547" t="s">
        <v>43</v>
      </c>
      <c r="P547" t="s">
        <v>30</v>
      </c>
      <c r="Q547" t="s">
        <v>44</v>
      </c>
      <c r="R547" s="3">
        <v>7853.9219999999996</v>
      </c>
    </row>
    <row r="548" spans="1:18" x14ac:dyDescent="0.3">
      <c r="A548" t="s">
        <v>3117</v>
      </c>
      <c r="B548" t="str">
        <f>TEXT(Raw_Data[[#This Row],[Order Date]],"mmm")</f>
        <v>Jun</v>
      </c>
      <c r="C548" t="s">
        <v>2378</v>
      </c>
      <c r="D548" t="s">
        <v>3118</v>
      </c>
      <c r="E548" t="s">
        <v>20</v>
      </c>
      <c r="F548" t="s">
        <v>215</v>
      </c>
      <c r="G548" t="s">
        <v>276</v>
      </c>
      <c r="H548" t="s">
        <v>80</v>
      </c>
      <c r="I548" t="s">
        <v>116</v>
      </c>
      <c r="J548" t="s">
        <v>25</v>
      </c>
      <c r="K548" t="s">
        <v>3119</v>
      </c>
      <c r="L548">
        <v>0.1</v>
      </c>
      <c r="M548" t="s">
        <v>3120</v>
      </c>
      <c r="N548" t="s">
        <v>3121</v>
      </c>
      <c r="O548" t="s">
        <v>43</v>
      </c>
      <c r="P548" t="s">
        <v>30</v>
      </c>
      <c r="Q548" t="s">
        <v>65</v>
      </c>
      <c r="R548" s="3">
        <v>1249.9739999999999</v>
      </c>
    </row>
    <row r="549" spans="1:18" x14ac:dyDescent="0.3">
      <c r="A549" t="s">
        <v>3122</v>
      </c>
      <c r="B549" t="str">
        <f>TEXT(Raw_Data[[#This Row],[Order Date]],"mmm")</f>
        <v>Feb</v>
      </c>
      <c r="C549" t="s">
        <v>2145</v>
      </c>
      <c r="D549" t="s">
        <v>3123</v>
      </c>
      <c r="E549" t="s">
        <v>48</v>
      </c>
      <c r="F549" t="s">
        <v>58</v>
      </c>
      <c r="G549" t="s">
        <v>812</v>
      </c>
      <c r="H549" t="s">
        <v>38</v>
      </c>
      <c r="I549" t="s">
        <v>39</v>
      </c>
      <c r="J549" t="s">
        <v>50</v>
      </c>
      <c r="K549" t="s">
        <v>3124</v>
      </c>
      <c r="L549">
        <v>0.1</v>
      </c>
      <c r="M549" t="s">
        <v>3125</v>
      </c>
      <c r="N549" t="s">
        <v>3126</v>
      </c>
      <c r="O549" t="s">
        <v>54</v>
      </c>
      <c r="P549" t="s">
        <v>159</v>
      </c>
      <c r="Q549" t="s">
        <v>44</v>
      </c>
      <c r="R549" s="3">
        <v>668.952</v>
      </c>
    </row>
    <row r="550" spans="1:18" x14ac:dyDescent="0.3">
      <c r="A550" t="s">
        <v>3127</v>
      </c>
      <c r="B550" t="str">
        <f>TEXT(Raw_Data[[#This Row],[Order Date]],"mmm")</f>
        <v>Jan</v>
      </c>
      <c r="C550" t="s">
        <v>485</v>
      </c>
      <c r="D550" t="s">
        <v>3128</v>
      </c>
      <c r="E550" t="s">
        <v>48</v>
      </c>
      <c r="F550" t="s">
        <v>106</v>
      </c>
      <c r="G550" t="s">
        <v>163</v>
      </c>
      <c r="H550" t="s">
        <v>107</v>
      </c>
      <c r="I550" t="s">
        <v>591</v>
      </c>
      <c r="J550" t="s">
        <v>25</v>
      </c>
      <c r="K550" t="s">
        <v>3129</v>
      </c>
      <c r="L550">
        <v>0.1</v>
      </c>
      <c r="M550" t="s">
        <v>3130</v>
      </c>
      <c r="N550" t="s">
        <v>3131</v>
      </c>
      <c r="O550" t="s">
        <v>173</v>
      </c>
      <c r="P550" t="s">
        <v>112</v>
      </c>
      <c r="Q550" t="s">
        <v>31</v>
      </c>
      <c r="R550" s="3">
        <v>7007.5709999999999</v>
      </c>
    </row>
    <row r="551" spans="1:18" x14ac:dyDescent="0.3">
      <c r="A551" t="s">
        <v>3132</v>
      </c>
      <c r="B551" t="str">
        <f>TEXT(Raw_Data[[#This Row],[Order Date]],"mmm")</f>
        <v>Aug</v>
      </c>
      <c r="C551" t="s">
        <v>3133</v>
      </c>
      <c r="D551" t="s">
        <v>3134</v>
      </c>
      <c r="E551" t="s">
        <v>35</v>
      </c>
      <c r="F551" t="s">
        <v>78</v>
      </c>
      <c r="G551" t="s">
        <v>468</v>
      </c>
      <c r="H551" t="s">
        <v>80</v>
      </c>
      <c r="I551" t="s">
        <v>146</v>
      </c>
      <c r="J551" t="s">
        <v>50</v>
      </c>
      <c r="K551" t="s">
        <v>3135</v>
      </c>
      <c r="L551">
        <v>0.05</v>
      </c>
      <c r="M551" t="s">
        <v>3136</v>
      </c>
      <c r="N551" t="s">
        <v>3137</v>
      </c>
      <c r="O551" t="s">
        <v>64</v>
      </c>
      <c r="P551" t="s">
        <v>112</v>
      </c>
      <c r="Q551" t="s">
        <v>31</v>
      </c>
      <c r="R551" s="3">
        <v>7512.1819999999998</v>
      </c>
    </row>
    <row r="552" spans="1:18" x14ac:dyDescent="0.3">
      <c r="A552" t="s">
        <v>3138</v>
      </c>
      <c r="B552" t="str">
        <f>TEXT(Raw_Data[[#This Row],[Order Date]],"mmm")</f>
        <v>Jul</v>
      </c>
      <c r="C552" t="s">
        <v>114</v>
      </c>
      <c r="D552" t="s">
        <v>3139</v>
      </c>
      <c r="E552" t="s">
        <v>48</v>
      </c>
      <c r="F552" t="s">
        <v>69</v>
      </c>
      <c r="G552" t="s">
        <v>70</v>
      </c>
      <c r="H552" t="s">
        <v>107</v>
      </c>
      <c r="I552" t="s">
        <v>277</v>
      </c>
      <c r="J552" t="s">
        <v>25</v>
      </c>
      <c r="K552" t="s">
        <v>3140</v>
      </c>
      <c r="L552">
        <v>0.1</v>
      </c>
      <c r="M552" t="s">
        <v>3141</v>
      </c>
      <c r="N552" t="s">
        <v>3142</v>
      </c>
      <c r="O552" t="s">
        <v>54</v>
      </c>
      <c r="P552" t="s">
        <v>30</v>
      </c>
      <c r="Q552" t="s">
        <v>31</v>
      </c>
      <c r="R552" s="3">
        <v>11968.155000000001</v>
      </c>
    </row>
    <row r="553" spans="1:18" x14ac:dyDescent="0.3">
      <c r="A553" t="s">
        <v>3143</v>
      </c>
      <c r="B553" t="str">
        <f>TEXT(Raw_Data[[#This Row],[Order Date]],"mmm")</f>
        <v>Oct</v>
      </c>
      <c r="C553" t="s">
        <v>828</v>
      </c>
      <c r="D553" t="s">
        <v>3144</v>
      </c>
      <c r="E553" t="s">
        <v>48</v>
      </c>
      <c r="F553" t="s">
        <v>89</v>
      </c>
      <c r="G553" t="s">
        <v>90</v>
      </c>
      <c r="H553" t="s">
        <v>107</v>
      </c>
      <c r="I553" t="s">
        <v>469</v>
      </c>
      <c r="J553" t="s">
        <v>25</v>
      </c>
      <c r="K553" t="s">
        <v>3145</v>
      </c>
      <c r="L553">
        <v>0.15</v>
      </c>
      <c r="M553" t="s">
        <v>3146</v>
      </c>
      <c r="N553" t="s">
        <v>3147</v>
      </c>
      <c r="O553" t="s">
        <v>64</v>
      </c>
      <c r="P553" t="s">
        <v>30</v>
      </c>
      <c r="Q553" t="s">
        <v>31</v>
      </c>
      <c r="R553" s="3">
        <v>14570.708499999901</v>
      </c>
    </row>
    <row r="554" spans="1:18" x14ac:dyDescent="0.3">
      <c r="A554" t="s">
        <v>3148</v>
      </c>
      <c r="B554" t="str">
        <f>TEXT(Raw_Data[[#This Row],[Order Date]],"mmm")</f>
        <v>May</v>
      </c>
      <c r="C554" t="s">
        <v>2299</v>
      </c>
      <c r="D554" t="s">
        <v>3149</v>
      </c>
      <c r="E554" t="s">
        <v>35</v>
      </c>
      <c r="F554" t="s">
        <v>69</v>
      </c>
      <c r="G554" t="s">
        <v>70</v>
      </c>
      <c r="H554" t="s">
        <v>154</v>
      </c>
      <c r="I554" t="s">
        <v>155</v>
      </c>
      <c r="J554" t="s">
        <v>25</v>
      </c>
      <c r="K554" t="s">
        <v>3150</v>
      </c>
      <c r="L554">
        <v>0.15</v>
      </c>
      <c r="M554" t="s">
        <v>3151</v>
      </c>
      <c r="N554" t="s">
        <v>3152</v>
      </c>
      <c r="O554" t="s">
        <v>173</v>
      </c>
      <c r="P554" t="s">
        <v>30</v>
      </c>
      <c r="Q554" t="s">
        <v>65</v>
      </c>
      <c r="R554" s="3">
        <v>6462.04</v>
      </c>
    </row>
    <row r="555" spans="1:18" x14ac:dyDescent="0.3">
      <c r="A555" t="s">
        <v>3153</v>
      </c>
      <c r="B555" t="str">
        <f>TEXT(Raw_Data[[#This Row],[Order Date]],"mmm")</f>
        <v>Jul</v>
      </c>
      <c r="C555" t="s">
        <v>792</v>
      </c>
      <c r="D555" t="s">
        <v>3154</v>
      </c>
      <c r="E555" t="s">
        <v>20</v>
      </c>
      <c r="F555" t="s">
        <v>36</v>
      </c>
      <c r="G555" t="s">
        <v>37</v>
      </c>
      <c r="H555" t="s">
        <v>80</v>
      </c>
      <c r="I555" t="s">
        <v>146</v>
      </c>
      <c r="J555" t="s">
        <v>25</v>
      </c>
      <c r="K555" t="s">
        <v>3155</v>
      </c>
      <c r="L555">
        <v>0</v>
      </c>
      <c r="M555" t="s">
        <v>3156</v>
      </c>
      <c r="N555" t="s">
        <v>3157</v>
      </c>
      <c r="O555" t="s">
        <v>43</v>
      </c>
      <c r="P555" t="s">
        <v>30</v>
      </c>
      <c r="Q555" t="s">
        <v>31</v>
      </c>
      <c r="R555" s="3">
        <v>1688.21</v>
      </c>
    </row>
    <row r="556" spans="1:18" x14ac:dyDescent="0.3">
      <c r="A556" t="s">
        <v>3158</v>
      </c>
      <c r="B556" t="str">
        <f>TEXT(Raw_Data[[#This Row],[Order Date]],"mmm")</f>
        <v>Dec</v>
      </c>
      <c r="C556" t="s">
        <v>3159</v>
      </c>
      <c r="D556" t="s">
        <v>3160</v>
      </c>
      <c r="E556" t="s">
        <v>48</v>
      </c>
      <c r="F556" t="s">
        <v>106</v>
      </c>
      <c r="G556" t="s">
        <v>106</v>
      </c>
      <c r="H556" t="s">
        <v>80</v>
      </c>
      <c r="I556" t="s">
        <v>131</v>
      </c>
      <c r="J556" t="s">
        <v>50</v>
      </c>
      <c r="K556" t="s">
        <v>3161</v>
      </c>
      <c r="L556">
        <v>0</v>
      </c>
      <c r="M556" t="s">
        <v>3162</v>
      </c>
      <c r="N556" t="s">
        <v>3163</v>
      </c>
      <c r="O556" t="s">
        <v>54</v>
      </c>
      <c r="P556" t="s">
        <v>30</v>
      </c>
      <c r="Q556" t="s">
        <v>65</v>
      </c>
      <c r="R556" s="3">
        <v>7286.02</v>
      </c>
    </row>
    <row r="557" spans="1:18" x14ac:dyDescent="0.3">
      <c r="A557" t="s">
        <v>3164</v>
      </c>
      <c r="B557" t="str">
        <f>TEXT(Raw_Data[[#This Row],[Order Date]],"mmm")</f>
        <v>Mar</v>
      </c>
      <c r="C557" t="s">
        <v>194</v>
      </c>
      <c r="D557" t="s">
        <v>3165</v>
      </c>
      <c r="E557" t="s">
        <v>35</v>
      </c>
      <c r="F557" t="s">
        <v>78</v>
      </c>
      <c r="G557" t="s">
        <v>731</v>
      </c>
      <c r="H557" t="s">
        <v>38</v>
      </c>
      <c r="I557" t="s">
        <v>39</v>
      </c>
      <c r="J557" t="s">
        <v>50</v>
      </c>
      <c r="K557" t="s">
        <v>3166</v>
      </c>
      <c r="L557">
        <v>0.05</v>
      </c>
      <c r="M557" t="s">
        <v>3167</v>
      </c>
      <c r="N557" t="s">
        <v>3168</v>
      </c>
      <c r="O557" t="s">
        <v>173</v>
      </c>
      <c r="P557" t="s">
        <v>30</v>
      </c>
      <c r="Q557" t="s">
        <v>44</v>
      </c>
      <c r="R557" s="3">
        <v>7702.7709999999997</v>
      </c>
    </row>
    <row r="558" spans="1:18" x14ac:dyDescent="0.3">
      <c r="A558" t="s">
        <v>3169</v>
      </c>
      <c r="B558" t="str">
        <f>TEXT(Raw_Data[[#This Row],[Order Date]],"mmm")</f>
        <v>Feb</v>
      </c>
      <c r="C558" t="s">
        <v>845</v>
      </c>
      <c r="D558" t="s">
        <v>3170</v>
      </c>
      <c r="E558" t="s">
        <v>48</v>
      </c>
      <c r="F558" t="s">
        <v>58</v>
      </c>
      <c r="G558" t="s">
        <v>812</v>
      </c>
      <c r="H558" t="s">
        <v>107</v>
      </c>
      <c r="I558" t="s">
        <v>277</v>
      </c>
      <c r="J558" t="s">
        <v>25</v>
      </c>
      <c r="K558" t="s">
        <v>3171</v>
      </c>
      <c r="L558">
        <v>0</v>
      </c>
      <c r="M558" t="s">
        <v>3172</v>
      </c>
      <c r="N558" t="s">
        <v>3173</v>
      </c>
      <c r="O558" t="s">
        <v>29</v>
      </c>
      <c r="P558" t="s">
        <v>30</v>
      </c>
      <c r="Q558" t="s">
        <v>44</v>
      </c>
      <c r="R558" s="3">
        <v>17452.34</v>
      </c>
    </row>
    <row r="559" spans="1:18" x14ac:dyDescent="0.3">
      <c r="A559" t="s">
        <v>3174</v>
      </c>
      <c r="B559" t="str">
        <f>TEXT(Raw_Data[[#This Row],[Order Date]],"mmm")</f>
        <v>Apr</v>
      </c>
      <c r="C559" t="s">
        <v>1686</v>
      </c>
      <c r="D559" t="s">
        <v>3175</v>
      </c>
      <c r="E559" t="s">
        <v>48</v>
      </c>
      <c r="F559" t="s">
        <v>69</v>
      </c>
      <c r="G559" t="s">
        <v>328</v>
      </c>
      <c r="H559" t="s">
        <v>107</v>
      </c>
      <c r="I559" t="s">
        <v>108</v>
      </c>
      <c r="J559" t="s">
        <v>82</v>
      </c>
      <c r="K559" t="s">
        <v>3176</v>
      </c>
      <c r="L559">
        <v>0.05</v>
      </c>
      <c r="M559" t="s">
        <v>3177</v>
      </c>
      <c r="N559" t="s">
        <v>3178</v>
      </c>
      <c r="O559" t="s">
        <v>54</v>
      </c>
      <c r="P559" t="s">
        <v>30</v>
      </c>
      <c r="Q559" t="s">
        <v>44</v>
      </c>
      <c r="R559" s="3">
        <v>51668.523999999998</v>
      </c>
    </row>
    <row r="560" spans="1:18" x14ac:dyDescent="0.3">
      <c r="A560" t="s">
        <v>3179</v>
      </c>
      <c r="B560" t="str">
        <f>TEXT(Raw_Data[[#This Row],[Order Date]],"mmm")</f>
        <v>Dec</v>
      </c>
      <c r="C560" t="s">
        <v>3180</v>
      </c>
      <c r="D560" t="s">
        <v>3181</v>
      </c>
      <c r="E560" t="s">
        <v>35</v>
      </c>
      <c r="F560" t="s">
        <v>89</v>
      </c>
      <c r="G560" t="s">
        <v>99</v>
      </c>
      <c r="H560" t="s">
        <v>23</v>
      </c>
      <c r="I560" t="s">
        <v>24</v>
      </c>
      <c r="J560" t="s">
        <v>25</v>
      </c>
      <c r="K560" t="s">
        <v>3182</v>
      </c>
      <c r="L560">
        <v>0</v>
      </c>
      <c r="M560" t="s">
        <v>3183</v>
      </c>
      <c r="N560" t="s">
        <v>3184</v>
      </c>
      <c r="O560" t="s">
        <v>29</v>
      </c>
      <c r="P560" t="s">
        <v>30</v>
      </c>
      <c r="Q560" t="s">
        <v>65</v>
      </c>
      <c r="R560" s="3">
        <v>61053.06</v>
      </c>
    </row>
    <row r="561" spans="1:18" x14ac:dyDescent="0.3">
      <c r="A561" t="s">
        <v>3185</v>
      </c>
      <c r="B561" t="str">
        <f>TEXT(Raw_Data[[#This Row],[Order Date]],"mmm")</f>
        <v>Oct</v>
      </c>
      <c r="C561" t="s">
        <v>3186</v>
      </c>
      <c r="D561" t="s">
        <v>3187</v>
      </c>
      <c r="E561" t="s">
        <v>48</v>
      </c>
      <c r="F561" t="s">
        <v>215</v>
      </c>
      <c r="G561" t="s">
        <v>216</v>
      </c>
      <c r="H561" t="s">
        <v>80</v>
      </c>
      <c r="I561" t="s">
        <v>146</v>
      </c>
      <c r="J561" t="s">
        <v>50</v>
      </c>
      <c r="K561" t="s">
        <v>3188</v>
      </c>
      <c r="L561">
        <v>0</v>
      </c>
      <c r="M561" t="s">
        <v>3189</v>
      </c>
      <c r="N561" t="s">
        <v>3190</v>
      </c>
      <c r="O561" t="s">
        <v>64</v>
      </c>
      <c r="P561" t="s">
        <v>30</v>
      </c>
      <c r="Q561" t="s">
        <v>65</v>
      </c>
      <c r="R561" s="3">
        <v>4218.62</v>
      </c>
    </row>
    <row r="562" spans="1:18" x14ac:dyDescent="0.3">
      <c r="A562" t="s">
        <v>3191</v>
      </c>
      <c r="B562" t="str">
        <f>TEXT(Raw_Data[[#This Row],[Order Date]],"mmm")</f>
        <v>Jul</v>
      </c>
      <c r="C562" t="s">
        <v>522</v>
      </c>
      <c r="D562" t="s">
        <v>3192</v>
      </c>
      <c r="E562" t="s">
        <v>48</v>
      </c>
      <c r="F562" t="s">
        <v>58</v>
      </c>
      <c r="G562" t="s">
        <v>59</v>
      </c>
      <c r="H562" t="s">
        <v>154</v>
      </c>
      <c r="I562" t="s">
        <v>365</v>
      </c>
      <c r="J562" t="s">
        <v>50</v>
      </c>
      <c r="K562" t="s">
        <v>3193</v>
      </c>
      <c r="L562">
        <v>0</v>
      </c>
      <c r="M562" t="s">
        <v>3194</v>
      </c>
      <c r="N562" t="s">
        <v>3195</v>
      </c>
      <c r="O562" t="s">
        <v>173</v>
      </c>
      <c r="P562" t="s">
        <v>30</v>
      </c>
      <c r="Q562" t="s">
        <v>65</v>
      </c>
      <c r="R562" s="3">
        <v>23754.6</v>
      </c>
    </row>
    <row r="563" spans="1:18" x14ac:dyDescent="0.3">
      <c r="A563" t="s">
        <v>3196</v>
      </c>
      <c r="B563" t="str">
        <f>TEXT(Raw_Data[[#This Row],[Order Date]],"mmm")</f>
        <v>Mar</v>
      </c>
      <c r="C563" t="s">
        <v>425</v>
      </c>
      <c r="D563" t="s">
        <v>3197</v>
      </c>
      <c r="E563" t="s">
        <v>48</v>
      </c>
      <c r="F563" t="s">
        <v>21</v>
      </c>
      <c r="G563" t="s">
        <v>130</v>
      </c>
      <c r="H563" t="s">
        <v>107</v>
      </c>
      <c r="I563" t="s">
        <v>378</v>
      </c>
      <c r="J563" t="s">
        <v>50</v>
      </c>
      <c r="K563" t="s">
        <v>3198</v>
      </c>
      <c r="L563">
        <v>0.1</v>
      </c>
      <c r="M563" t="s">
        <v>3199</v>
      </c>
      <c r="N563" t="s">
        <v>3200</v>
      </c>
      <c r="O563" t="s">
        <v>54</v>
      </c>
      <c r="P563" t="s">
        <v>30</v>
      </c>
      <c r="Q563" t="s">
        <v>44</v>
      </c>
      <c r="R563" s="3">
        <v>29266.812000000002</v>
      </c>
    </row>
    <row r="564" spans="1:18" x14ac:dyDescent="0.3">
      <c r="A564" t="s">
        <v>3201</v>
      </c>
      <c r="B564" t="str">
        <f>TEXT(Raw_Data[[#This Row],[Order Date]],"mmm")</f>
        <v>Dec</v>
      </c>
      <c r="C564" t="s">
        <v>640</v>
      </c>
      <c r="D564" t="s">
        <v>3202</v>
      </c>
      <c r="E564" t="s">
        <v>35</v>
      </c>
      <c r="F564" t="s">
        <v>21</v>
      </c>
      <c r="G564" t="s">
        <v>22</v>
      </c>
      <c r="H564" t="s">
        <v>107</v>
      </c>
      <c r="I564" t="s">
        <v>591</v>
      </c>
      <c r="J564" t="s">
        <v>25</v>
      </c>
      <c r="K564" t="s">
        <v>3203</v>
      </c>
      <c r="L564">
        <v>0.1</v>
      </c>
      <c r="M564" t="s">
        <v>3204</v>
      </c>
      <c r="N564" t="s">
        <v>3205</v>
      </c>
      <c r="O564" t="s">
        <v>54</v>
      </c>
      <c r="P564" t="s">
        <v>30</v>
      </c>
      <c r="Q564" t="s">
        <v>31</v>
      </c>
      <c r="R564" s="3">
        <v>10577.43</v>
      </c>
    </row>
    <row r="565" spans="1:18" x14ac:dyDescent="0.3">
      <c r="A565" t="s">
        <v>3206</v>
      </c>
      <c r="B565" t="str">
        <f>TEXT(Raw_Data[[#This Row],[Order Date]],"mmm")</f>
        <v>Sep</v>
      </c>
      <c r="C565" t="s">
        <v>834</v>
      </c>
      <c r="D565" t="s">
        <v>3207</v>
      </c>
      <c r="E565" t="s">
        <v>48</v>
      </c>
      <c r="F565" t="s">
        <v>58</v>
      </c>
      <c r="G565" t="s">
        <v>812</v>
      </c>
      <c r="H565" t="s">
        <v>107</v>
      </c>
      <c r="I565" t="s">
        <v>378</v>
      </c>
      <c r="J565" t="s">
        <v>50</v>
      </c>
      <c r="K565" t="s">
        <v>3208</v>
      </c>
      <c r="L565">
        <v>0.1</v>
      </c>
      <c r="M565" t="s">
        <v>3209</v>
      </c>
      <c r="N565" t="s">
        <v>3210</v>
      </c>
      <c r="O565" t="s">
        <v>43</v>
      </c>
      <c r="P565" t="s">
        <v>30</v>
      </c>
      <c r="Q565" t="s">
        <v>65</v>
      </c>
      <c r="R565" s="3">
        <v>29841.173999999999</v>
      </c>
    </row>
    <row r="566" spans="1:18" x14ac:dyDescent="0.3">
      <c r="A566" t="s">
        <v>3211</v>
      </c>
      <c r="B566" t="str">
        <f>TEXT(Raw_Data[[#This Row],[Order Date]],"mmm")</f>
        <v>Feb</v>
      </c>
      <c r="C566" t="s">
        <v>1268</v>
      </c>
      <c r="D566" t="s">
        <v>3212</v>
      </c>
      <c r="E566" t="s">
        <v>20</v>
      </c>
      <c r="F566" t="s">
        <v>89</v>
      </c>
      <c r="G566" t="s">
        <v>99</v>
      </c>
      <c r="H566" t="s">
        <v>23</v>
      </c>
      <c r="I566" t="s">
        <v>263</v>
      </c>
      <c r="J566" t="s">
        <v>50</v>
      </c>
      <c r="K566" t="s">
        <v>3213</v>
      </c>
      <c r="L566">
        <v>0.05</v>
      </c>
      <c r="M566" t="s">
        <v>3214</v>
      </c>
      <c r="N566" t="s">
        <v>3215</v>
      </c>
      <c r="O566" t="s">
        <v>64</v>
      </c>
      <c r="P566" t="s">
        <v>30</v>
      </c>
      <c r="Q566" t="s">
        <v>44</v>
      </c>
      <c r="R566" s="3">
        <v>50632.434999999998</v>
      </c>
    </row>
    <row r="567" spans="1:18" x14ac:dyDescent="0.3">
      <c r="A567" t="s">
        <v>3216</v>
      </c>
      <c r="B567" t="str">
        <f>TEXT(Raw_Data[[#This Row],[Order Date]],"mmm")</f>
        <v>Jan</v>
      </c>
      <c r="C567" t="s">
        <v>261</v>
      </c>
      <c r="D567" t="s">
        <v>3217</v>
      </c>
      <c r="E567" t="s">
        <v>20</v>
      </c>
      <c r="F567" t="s">
        <v>215</v>
      </c>
      <c r="G567" t="s">
        <v>276</v>
      </c>
      <c r="H567" t="s">
        <v>154</v>
      </c>
      <c r="I567" t="s">
        <v>365</v>
      </c>
      <c r="J567" t="s">
        <v>50</v>
      </c>
      <c r="K567" t="s">
        <v>3218</v>
      </c>
      <c r="L567">
        <v>0.15</v>
      </c>
      <c r="M567" t="s">
        <v>3219</v>
      </c>
      <c r="N567" t="s">
        <v>3220</v>
      </c>
      <c r="O567" t="s">
        <v>64</v>
      </c>
      <c r="P567" t="s">
        <v>30</v>
      </c>
      <c r="Q567" t="s">
        <v>44</v>
      </c>
      <c r="R567" s="3">
        <v>3564.9</v>
      </c>
    </row>
    <row r="568" spans="1:18" x14ac:dyDescent="0.3">
      <c r="A568" t="s">
        <v>3221</v>
      </c>
      <c r="B568" t="str">
        <f>TEXT(Raw_Data[[#This Row],[Order Date]],"mmm")</f>
        <v>Oct</v>
      </c>
      <c r="C568" t="s">
        <v>474</v>
      </c>
      <c r="D568" t="s">
        <v>3222</v>
      </c>
      <c r="E568" t="s">
        <v>48</v>
      </c>
      <c r="F568" t="s">
        <v>21</v>
      </c>
      <c r="G568" t="s">
        <v>22</v>
      </c>
      <c r="H568" t="s">
        <v>80</v>
      </c>
      <c r="I568" t="s">
        <v>116</v>
      </c>
      <c r="J568" t="s">
        <v>82</v>
      </c>
      <c r="K568" t="s">
        <v>3223</v>
      </c>
      <c r="L568">
        <v>0.05</v>
      </c>
      <c r="M568" t="s">
        <v>3224</v>
      </c>
      <c r="N568" t="s">
        <v>3225</v>
      </c>
      <c r="O568" t="s">
        <v>29</v>
      </c>
      <c r="P568" t="s">
        <v>95</v>
      </c>
      <c r="Q568" t="s">
        <v>65</v>
      </c>
      <c r="R568" s="3">
        <v>24247.838</v>
      </c>
    </row>
    <row r="569" spans="1:18" x14ac:dyDescent="0.3">
      <c r="A569" t="s">
        <v>3226</v>
      </c>
      <c r="B569" t="str">
        <f>TEXT(Raw_Data[[#This Row],[Order Date]],"mmm")</f>
        <v>Feb</v>
      </c>
      <c r="C569" t="s">
        <v>2410</v>
      </c>
      <c r="D569" t="s">
        <v>3227</v>
      </c>
      <c r="E569" t="s">
        <v>35</v>
      </c>
      <c r="F569" t="s">
        <v>89</v>
      </c>
      <c r="G569" t="s">
        <v>99</v>
      </c>
      <c r="H569" t="s">
        <v>107</v>
      </c>
      <c r="I569" t="s">
        <v>108</v>
      </c>
      <c r="J569" t="s">
        <v>25</v>
      </c>
      <c r="K569" t="s">
        <v>3228</v>
      </c>
      <c r="L569">
        <v>0</v>
      </c>
      <c r="M569" t="s">
        <v>3229</v>
      </c>
      <c r="N569" t="s">
        <v>3230</v>
      </c>
      <c r="O569" t="s">
        <v>29</v>
      </c>
      <c r="P569" t="s">
        <v>112</v>
      </c>
      <c r="Q569" t="s">
        <v>31</v>
      </c>
      <c r="R569" s="3">
        <v>16240.68</v>
      </c>
    </row>
    <row r="570" spans="1:18" x14ac:dyDescent="0.3">
      <c r="A570" t="s">
        <v>3231</v>
      </c>
      <c r="B570" t="str">
        <f>TEXT(Raw_Data[[#This Row],[Order Date]],"mmm")</f>
        <v>Oct</v>
      </c>
      <c r="C570" t="s">
        <v>1802</v>
      </c>
      <c r="D570" t="s">
        <v>3232</v>
      </c>
      <c r="E570" t="s">
        <v>48</v>
      </c>
      <c r="F570" t="s">
        <v>21</v>
      </c>
      <c r="G570" t="s">
        <v>22</v>
      </c>
      <c r="H570" t="s">
        <v>80</v>
      </c>
      <c r="I570" t="s">
        <v>116</v>
      </c>
      <c r="J570" t="s">
        <v>25</v>
      </c>
      <c r="K570" t="s">
        <v>3233</v>
      </c>
      <c r="L570">
        <v>0.15</v>
      </c>
      <c r="M570" t="s">
        <v>3234</v>
      </c>
      <c r="N570" t="s">
        <v>3235</v>
      </c>
      <c r="O570" t="s">
        <v>29</v>
      </c>
      <c r="P570" t="s">
        <v>30</v>
      </c>
      <c r="Q570" t="s">
        <v>65</v>
      </c>
      <c r="R570" s="3">
        <v>3121.1405</v>
      </c>
    </row>
    <row r="571" spans="1:18" x14ac:dyDescent="0.3">
      <c r="A571" t="s">
        <v>3236</v>
      </c>
      <c r="B571" t="str">
        <f>TEXT(Raw_Data[[#This Row],[Order Date]],"mmm")</f>
        <v>Dec</v>
      </c>
      <c r="C571" t="s">
        <v>1319</v>
      </c>
      <c r="D571" t="s">
        <v>3237</v>
      </c>
      <c r="E571" t="s">
        <v>35</v>
      </c>
      <c r="F571" t="s">
        <v>36</v>
      </c>
      <c r="G571" t="s">
        <v>123</v>
      </c>
      <c r="H571" t="s">
        <v>107</v>
      </c>
      <c r="I571" t="s">
        <v>378</v>
      </c>
      <c r="J571" t="s">
        <v>25</v>
      </c>
      <c r="K571" t="s">
        <v>3238</v>
      </c>
      <c r="L571">
        <v>0.1</v>
      </c>
      <c r="M571" t="s">
        <v>3239</v>
      </c>
      <c r="N571" t="s">
        <v>3240</v>
      </c>
      <c r="O571" t="s">
        <v>64</v>
      </c>
      <c r="P571" t="s">
        <v>30</v>
      </c>
      <c r="Q571" t="s">
        <v>31</v>
      </c>
      <c r="R571" s="3">
        <v>7309.2150000000001</v>
      </c>
    </row>
    <row r="572" spans="1:18" x14ac:dyDescent="0.3">
      <c r="A572" t="s">
        <v>3241</v>
      </c>
      <c r="B572" t="str">
        <f>TEXT(Raw_Data[[#This Row],[Order Date]],"mmm")</f>
        <v>Sep</v>
      </c>
      <c r="C572" t="s">
        <v>76</v>
      </c>
      <c r="D572" t="s">
        <v>3242</v>
      </c>
      <c r="E572" t="s">
        <v>20</v>
      </c>
      <c r="F572" t="s">
        <v>69</v>
      </c>
      <c r="G572" t="s">
        <v>139</v>
      </c>
      <c r="H572" t="s">
        <v>107</v>
      </c>
      <c r="I572" t="s">
        <v>108</v>
      </c>
      <c r="J572" t="s">
        <v>50</v>
      </c>
      <c r="K572" t="s">
        <v>3243</v>
      </c>
      <c r="L572">
        <v>0</v>
      </c>
      <c r="M572" t="s">
        <v>3244</v>
      </c>
      <c r="N572" t="s">
        <v>3245</v>
      </c>
      <c r="O572" t="s">
        <v>173</v>
      </c>
      <c r="P572" t="s">
        <v>30</v>
      </c>
      <c r="Q572" t="s">
        <v>65</v>
      </c>
      <c r="R572" s="3">
        <v>8863.0400000000009</v>
      </c>
    </row>
    <row r="573" spans="1:18" x14ac:dyDescent="0.3">
      <c r="A573" t="s">
        <v>3246</v>
      </c>
      <c r="B573" t="str">
        <f>TEXT(Raw_Data[[#This Row],[Order Date]],"mmm")</f>
        <v>Nov</v>
      </c>
      <c r="C573" t="s">
        <v>1697</v>
      </c>
      <c r="D573" t="s">
        <v>3247</v>
      </c>
      <c r="E573" t="s">
        <v>20</v>
      </c>
      <c r="F573" t="s">
        <v>36</v>
      </c>
      <c r="G573" t="s">
        <v>153</v>
      </c>
      <c r="H573" t="s">
        <v>154</v>
      </c>
      <c r="I573" t="s">
        <v>365</v>
      </c>
      <c r="J573" t="s">
        <v>25</v>
      </c>
      <c r="K573" t="s">
        <v>3248</v>
      </c>
      <c r="L573">
        <v>0</v>
      </c>
      <c r="M573" t="s">
        <v>3249</v>
      </c>
      <c r="N573" t="s">
        <v>3250</v>
      </c>
      <c r="O573" t="s">
        <v>43</v>
      </c>
      <c r="P573" t="s">
        <v>95</v>
      </c>
      <c r="Q573" t="s">
        <v>44</v>
      </c>
      <c r="R573" s="3">
        <v>7206.44</v>
      </c>
    </row>
    <row r="574" spans="1:18" x14ac:dyDescent="0.3">
      <c r="A574" t="s">
        <v>3251</v>
      </c>
      <c r="B574" t="str">
        <f>TEXT(Raw_Data[[#This Row],[Order Date]],"mmm")</f>
        <v>Jan</v>
      </c>
      <c r="C574" t="s">
        <v>3252</v>
      </c>
      <c r="D574" t="s">
        <v>3253</v>
      </c>
      <c r="E574" t="s">
        <v>20</v>
      </c>
      <c r="F574" t="s">
        <v>89</v>
      </c>
      <c r="G574" t="s">
        <v>90</v>
      </c>
      <c r="H574" t="s">
        <v>23</v>
      </c>
      <c r="I574" t="s">
        <v>341</v>
      </c>
      <c r="J574" t="s">
        <v>100</v>
      </c>
      <c r="K574" t="s">
        <v>3254</v>
      </c>
      <c r="L574">
        <v>0.1</v>
      </c>
      <c r="M574" t="s">
        <v>3255</v>
      </c>
      <c r="N574" t="s">
        <v>3256</v>
      </c>
      <c r="O574" t="s">
        <v>64</v>
      </c>
      <c r="P574" t="s">
        <v>159</v>
      </c>
      <c r="Q574" t="s">
        <v>44</v>
      </c>
      <c r="R574" s="3">
        <v>146966.56200000001</v>
      </c>
    </row>
    <row r="575" spans="1:18" x14ac:dyDescent="0.3">
      <c r="A575" t="s">
        <v>3257</v>
      </c>
      <c r="B575" t="str">
        <f>TEXT(Raw_Data[[#This Row],[Order Date]],"mmm")</f>
        <v>Sep</v>
      </c>
      <c r="C575" t="s">
        <v>1570</v>
      </c>
      <c r="D575" t="s">
        <v>3258</v>
      </c>
      <c r="E575" t="s">
        <v>48</v>
      </c>
      <c r="F575" t="s">
        <v>106</v>
      </c>
      <c r="G575" t="s">
        <v>163</v>
      </c>
      <c r="H575" t="s">
        <v>107</v>
      </c>
      <c r="I575" t="s">
        <v>277</v>
      </c>
      <c r="J575" t="s">
        <v>25</v>
      </c>
      <c r="K575" t="s">
        <v>3259</v>
      </c>
      <c r="L575">
        <v>0.15</v>
      </c>
      <c r="M575" t="s">
        <v>3260</v>
      </c>
      <c r="N575" t="s">
        <v>3261</v>
      </c>
      <c r="O575" t="s">
        <v>64</v>
      </c>
      <c r="P575" t="s">
        <v>112</v>
      </c>
      <c r="Q575" t="s">
        <v>65</v>
      </c>
      <c r="R575" s="3">
        <v>4914.8530000000001</v>
      </c>
    </row>
    <row r="576" spans="1:18" x14ac:dyDescent="0.3">
      <c r="A576" t="s">
        <v>3262</v>
      </c>
      <c r="B576" t="str">
        <f>TEXT(Raw_Data[[#This Row],[Order Date]],"mmm")</f>
        <v>Jun</v>
      </c>
      <c r="C576" t="s">
        <v>3263</v>
      </c>
      <c r="D576" t="s">
        <v>3264</v>
      </c>
      <c r="E576" t="s">
        <v>35</v>
      </c>
      <c r="F576" t="s">
        <v>58</v>
      </c>
      <c r="G576" t="s">
        <v>59</v>
      </c>
      <c r="H576" t="s">
        <v>38</v>
      </c>
      <c r="I576" t="s">
        <v>223</v>
      </c>
      <c r="J576" t="s">
        <v>100</v>
      </c>
      <c r="K576" t="s">
        <v>3265</v>
      </c>
      <c r="L576">
        <v>0.15</v>
      </c>
      <c r="M576" t="s">
        <v>3266</v>
      </c>
      <c r="N576" t="s">
        <v>3267</v>
      </c>
      <c r="O576" t="s">
        <v>54</v>
      </c>
      <c r="P576" t="s">
        <v>112</v>
      </c>
      <c r="Q576" t="s">
        <v>65</v>
      </c>
      <c r="R576" s="3">
        <v>3418.8870000000002</v>
      </c>
    </row>
    <row r="577" spans="1:18" x14ac:dyDescent="0.3">
      <c r="A577" t="s">
        <v>3268</v>
      </c>
      <c r="B577" t="str">
        <f>TEXT(Raw_Data[[#This Row],[Order Date]],"mmm")</f>
        <v>Apr</v>
      </c>
      <c r="C577" t="s">
        <v>352</v>
      </c>
      <c r="D577" t="s">
        <v>3269</v>
      </c>
      <c r="E577" t="s">
        <v>35</v>
      </c>
      <c r="F577" t="s">
        <v>58</v>
      </c>
      <c r="G577" t="s">
        <v>290</v>
      </c>
      <c r="H577" t="s">
        <v>154</v>
      </c>
      <c r="I577" t="s">
        <v>237</v>
      </c>
      <c r="J577" t="s">
        <v>25</v>
      </c>
      <c r="K577" t="s">
        <v>3270</v>
      </c>
      <c r="L577">
        <v>0.1</v>
      </c>
      <c r="M577" t="s">
        <v>3271</v>
      </c>
      <c r="N577" t="s">
        <v>3272</v>
      </c>
      <c r="O577" t="s">
        <v>54</v>
      </c>
      <c r="P577" t="s">
        <v>30</v>
      </c>
      <c r="Q577" t="s">
        <v>44</v>
      </c>
      <c r="R577" s="3">
        <v>8064.2610000000004</v>
      </c>
    </row>
    <row r="578" spans="1:18" x14ac:dyDescent="0.3">
      <c r="A578" t="s">
        <v>3273</v>
      </c>
      <c r="B578" t="str">
        <f>TEXT(Raw_Data[[#This Row],[Order Date]],"mmm")</f>
        <v>Feb</v>
      </c>
      <c r="C578" t="s">
        <v>2515</v>
      </c>
      <c r="D578" t="s">
        <v>3274</v>
      </c>
      <c r="E578" t="s">
        <v>35</v>
      </c>
      <c r="F578" t="s">
        <v>21</v>
      </c>
      <c r="G578" t="s">
        <v>22</v>
      </c>
      <c r="H578" t="s">
        <v>80</v>
      </c>
      <c r="I578" t="s">
        <v>146</v>
      </c>
      <c r="J578" t="s">
        <v>100</v>
      </c>
      <c r="K578" t="s">
        <v>3275</v>
      </c>
      <c r="L578">
        <v>0.1</v>
      </c>
      <c r="M578" t="s">
        <v>3276</v>
      </c>
      <c r="N578" t="s">
        <v>3277</v>
      </c>
      <c r="O578" t="s">
        <v>29</v>
      </c>
      <c r="P578" t="s">
        <v>112</v>
      </c>
      <c r="Q578" t="s">
        <v>31</v>
      </c>
      <c r="R578" s="3">
        <v>6958.4939999999997</v>
      </c>
    </row>
    <row r="579" spans="1:18" x14ac:dyDescent="0.3">
      <c r="A579" t="s">
        <v>3278</v>
      </c>
      <c r="B579" t="str">
        <f>TEXT(Raw_Data[[#This Row],[Order Date]],"mmm")</f>
        <v>Aug</v>
      </c>
      <c r="C579" t="s">
        <v>1757</v>
      </c>
      <c r="D579" t="s">
        <v>3279</v>
      </c>
      <c r="E579" t="s">
        <v>48</v>
      </c>
      <c r="F579" t="s">
        <v>36</v>
      </c>
      <c r="G579" t="s">
        <v>414</v>
      </c>
      <c r="H579" t="s">
        <v>154</v>
      </c>
      <c r="I579" t="s">
        <v>309</v>
      </c>
      <c r="J579" t="s">
        <v>25</v>
      </c>
      <c r="K579" t="s">
        <v>3280</v>
      </c>
      <c r="L579">
        <v>0.1</v>
      </c>
      <c r="M579" t="s">
        <v>3281</v>
      </c>
      <c r="N579" t="s">
        <v>3282</v>
      </c>
      <c r="O579" t="s">
        <v>64</v>
      </c>
      <c r="P579" t="s">
        <v>30</v>
      </c>
      <c r="Q579" t="s">
        <v>44</v>
      </c>
      <c r="R579" s="3">
        <v>10716.308999999999</v>
      </c>
    </row>
    <row r="580" spans="1:18" x14ac:dyDescent="0.3">
      <c r="A580" t="s">
        <v>3283</v>
      </c>
      <c r="B580" t="str">
        <f>TEXT(Raw_Data[[#This Row],[Order Date]],"mmm")</f>
        <v>Mar</v>
      </c>
      <c r="C580" t="s">
        <v>3284</v>
      </c>
      <c r="D580" t="s">
        <v>3285</v>
      </c>
      <c r="E580" t="s">
        <v>48</v>
      </c>
      <c r="F580" t="s">
        <v>215</v>
      </c>
      <c r="G580" t="s">
        <v>276</v>
      </c>
      <c r="H580" t="s">
        <v>80</v>
      </c>
      <c r="I580" t="s">
        <v>91</v>
      </c>
      <c r="J580" t="s">
        <v>25</v>
      </c>
      <c r="K580" t="s">
        <v>3286</v>
      </c>
      <c r="L580">
        <v>0.1</v>
      </c>
      <c r="M580" t="s">
        <v>3287</v>
      </c>
      <c r="N580" t="s">
        <v>3288</v>
      </c>
      <c r="O580" t="s">
        <v>64</v>
      </c>
      <c r="P580" t="s">
        <v>30</v>
      </c>
      <c r="Q580" t="s">
        <v>31</v>
      </c>
      <c r="R580" s="3">
        <v>4916.5469999999996</v>
      </c>
    </row>
    <row r="581" spans="1:18" x14ac:dyDescent="0.3">
      <c r="A581" t="s">
        <v>3289</v>
      </c>
      <c r="B581" t="str">
        <f>TEXT(Raw_Data[[#This Row],[Order Date]],"mmm")</f>
        <v>Nov</v>
      </c>
      <c r="C581" t="s">
        <v>2710</v>
      </c>
      <c r="D581" t="s">
        <v>3290</v>
      </c>
      <c r="E581" t="s">
        <v>48</v>
      </c>
      <c r="F581" t="s">
        <v>106</v>
      </c>
      <c r="G581" t="s">
        <v>163</v>
      </c>
      <c r="H581" t="s">
        <v>80</v>
      </c>
      <c r="I581" t="s">
        <v>116</v>
      </c>
      <c r="J581" t="s">
        <v>82</v>
      </c>
      <c r="K581" t="s">
        <v>3291</v>
      </c>
      <c r="L581">
        <v>0.1</v>
      </c>
      <c r="M581" t="s">
        <v>3292</v>
      </c>
      <c r="N581" t="s">
        <v>3293</v>
      </c>
      <c r="O581" t="s">
        <v>64</v>
      </c>
      <c r="P581" t="s">
        <v>30</v>
      </c>
      <c r="Q581" t="s">
        <v>31</v>
      </c>
      <c r="R581" s="3">
        <v>14486.075999999999</v>
      </c>
    </row>
    <row r="582" spans="1:18" x14ac:dyDescent="0.3">
      <c r="A582" t="s">
        <v>3294</v>
      </c>
      <c r="B582" t="str">
        <f>TEXT(Raw_Data[[#This Row],[Order Date]],"mmm")</f>
        <v>Jun</v>
      </c>
      <c r="C582" t="s">
        <v>2157</v>
      </c>
      <c r="D582" t="s">
        <v>3295</v>
      </c>
      <c r="E582" t="s">
        <v>20</v>
      </c>
      <c r="F582" t="s">
        <v>36</v>
      </c>
      <c r="G582" t="s">
        <v>196</v>
      </c>
      <c r="H582" t="s">
        <v>1111</v>
      </c>
      <c r="I582" t="s">
        <v>341</v>
      </c>
      <c r="J582" t="s">
        <v>25</v>
      </c>
      <c r="K582" t="s">
        <v>3296</v>
      </c>
      <c r="L582">
        <v>0.1</v>
      </c>
      <c r="M582" t="s">
        <v>3297</v>
      </c>
      <c r="N582" t="s">
        <v>3298</v>
      </c>
      <c r="O582" t="s">
        <v>54</v>
      </c>
      <c r="P582" t="s">
        <v>95</v>
      </c>
      <c r="Q582" t="s">
        <v>65</v>
      </c>
      <c r="R582" s="3">
        <v>63302.453999999998</v>
      </c>
    </row>
    <row r="583" spans="1:18" x14ac:dyDescent="0.3">
      <c r="A583" t="s">
        <v>3299</v>
      </c>
      <c r="B583" t="str">
        <f>TEXT(Raw_Data[[#This Row],[Order Date]],"mmm")</f>
        <v>Dec</v>
      </c>
      <c r="C583" t="s">
        <v>1093</v>
      </c>
      <c r="D583" t="s">
        <v>3300</v>
      </c>
      <c r="E583" t="s">
        <v>48</v>
      </c>
      <c r="F583" t="s">
        <v>78</v>
      </c>
      <c r="G583" t="s">
        <v>731</v>
      </c>
      <c r="H583" t="s">
        <v>38</v>
      </c>
      <c r="I583" t="s">
        <v>71</v>
      </c>
      <c r="J583" t="s">
        <v>25</v>
      </c>
      <c r="K583" t="s">
        <v>3301</v>
      </c>
      <c r="L583">
        <v>0.1</v>
      </c>
      <c r="M583" t="s">
        <v>3302</v>
      </c>
      <c r="N583" t="s">
        <v>3303</v>
      </c>
      <c r="O583" t="s">
        <v>54</v>
      </c>
      <c r="P583" t="s">
        <v>30</v>
      </c>
      <c r="Q583" t="s">
        <v>31</v>
      </c>
      <c r="R583" s="3">
        <v>3375.4409999999998</v>
      </c>
    </row>
    <row r="584" spans="1:18" x14ac:dyDescent="0.3">
      <c r="A584" t="s">
        <v>3304</v>
      </c>
      <c r="B584" t="str">
        <f>TEXT(Raw_Data[[#This Row],[Order Date]],"mmm")</f>
        <v>Nov</v>
      </c>
      <c r="C584" t="s">
        <v>3305</v>
      </c>
      <c r="D584" t="s">
        <v>3306</v>
      </c>
      <c r="E584" t="s">
        <v>20</v>
      </c>
      <c r="F584" t="s">
        <v>78</v>
      </c>
      <c r="G584" t="s">
        <v>731</v>
      </c>
      <c r="H584" t="s">
        <v>80</v>
      </c>
      <c r="I584" t="s">
        <v>131</v>
      </c>
      <c r="J584" t="s">
        <v>25</v>
      </c>
      <c r="K584" t="s">
        <v>3307</v>
      </c>
      <c r="L584">
        <v>0.1</v>
      </c>
      <c r="M584" t="s">
        <v>3308</v>
      </c>
      <c r="N584" t="s">
        <v>3309</v>
      </c>
      <c r="O584" t="s">
        <v>64</v>
      </c>
      <c r="P584" t="s">
        <v>30</v>
      </c>
      <c r="Q584" t="s">
        <v>65</v>
      </c>
      <c r="R584" s="3">
        <v>5408.55</v>
      </c>
    </row>
    <row r="585" spans="1:18" x14ac:dyDescent="0.3">
      <c r="A585" t="s">
        <v>3310</v>
      </c>
      <c r="B585" t="str">
        <f>TEXT(Raw_Data[[#This Row],[Order Date]],"mmm")</f>
        <v>Feb</v>
      </c>
      <c r="C585" t="s">
        <v>2676</v>
      </c>
      <c r="D585" t="s">
        <v>3311</v>
      </c>
      <c r="E585" t="s">
        <v>48</v>
      </c>
      <c r="F585" t="s">
        <v>78</v>
      </c>
      <c r="G585" t="s">
        <v>468</v>
      </c>
      <c r="H585" t="s">
        <v>80</v>
      </c>
      <c r="I585" t="s">
        <v>91</v>
      </c>
      <c r="J585" t="s">
        <v>50</v>
      </c>
      <c r="K585" t="s">
        <v>3312</v>
      </c>
      <c r="L585">
        <v>0.1</v>
      </c>
      <c r="M585" t="s">
        <v>3313</v>
      </c>
      <c r="N585" t="s">
        <v>3314</v>
      </c>
      <c r="O585" t="s">
        <v>173</v>
      </c>
      <c r="P585" t="s">
        <v>30</v>
      </c>
      <c r="Q585" t="s">
        <v>65</v>
      </c>
      <c r="R585" s="3">
        <v>7161.732</v>
      </c>
    </row>
    <row r="586" spans="1:18" x14ac:dyDescent="0.3">
      <c r="A586" t="s">
        <v>3315</v>
      </c>
      <c r="B586" t="str">
        <f>TEXT(Raw_Data[[#This Row],[Order Date]],"mmm")</f>
        <v>Feb</v>
      </c>
      <c r="C586" t="s">
        <v>2361</v>
      </c>
      <c r="D586" t="s">
        <v>3316</v>
      </c>
      <c r="E586" t="s">
        <v>35</v>
      </c>
      <c r="F586" t="s">
        <v>21</v>
      </c>
      <c r="G586" t="s">
        <v>22</v>
      </c>
      <c r="H586" t="s">
        <v>38</v>
      </c>
      <c r="I586" t="s">
        <v>60</v>
      </c>
      <c r="J586" t="s">
        <v>25</v>
      </c>
      <c r="K586" t="s">
        <v>3317</v>
      </c>
      <c r="L586">
        <v>0.1</v>
      </c>
      <c r="M586" t="s">
        <v>3318</v>
      </c>
      <c r="N586" t="s">
        <v>3319</v>
      </c>
      <c r="O586" t="s">
        <v>54</v>
      </c>
      <c r="P586" t="s">
        <v>30</v>
      </c>
      <c r="Q586" t="s">
        <v>44</v>
      </c>
      <c r="R586" s="3">
        <v>3216.1590000000001</v>
      </c>
    </row>
    <row r="587" spans="1:18" x14ac:dyDescent="0.3">
      <c r="A587" t="s">
        <v>3320</v>
      </c>
      <c r="B587" t="str">
        <f>TEXT(Raw_Data[[#This Row],[Order Date]],"mmm")</f>
        <v>May</v>
      </c>
      <c r="C587" t="s">
        <v>2299</v>
      </c>
      <c r="D587" t="s">
        <v>3321</v>
      </c>
      <c r="E587" t="s">
        <v>48</v>
      </c>
      <c r="F587" t="s">
        <v>215</v>
      </c>
      <c r="G587" t="s">
        <v>276</v>
      </c>
      <c r="H587" t="s">
        <v>107</v>
      </c>
      <c r="I587" t="s">
        <v>469</v>
      </c>
      <c r="J587" t="s">
        <v>25</v>
      </c>
      <c r="K587" t="s">
        <v>3322</v>
      </c>
      <c r="L587">
        <v>0.2</v>
      </c>
      <c r="M587" t="s">
        <v>3323</v>
      </c>
      <c r="N587" t="s">
        <v>3324</v>
      </c>
      <c r="O587" t="s">
        <v>43</v>
      </c>
      <c r="P587" t="s">
        <v>30</v>
      </c>
      <c r="Q587" t="s">
        <v>44</v>
      </c>
      <c r="R587" s="3">
        <v>5720.9920000000002</v>
      </c>
    </row>
    <row r="588" spans="1:18" x14ac:dyDescent="0.3">
      <c r="A588" t="s">
        <v>3325</v>
      </c>
      <c r="B588" t="str">
        <f>TEXT(Raw_Data[[#This Row],[Order Date]],"mmm")</f>
        <v>Aug</v>
      </c>
      <c r="C588" t="s">
        <v>1426</v>
      </c>
      <c r="D588" t="s">
        <v>3326</v>
      </c>
      <c r="E588" t="s">
        <v>48</v>
      </c>
      <c r="F588" t="s">
        <v>78</v>
      </c>
      <c r="G588" t="s">
        <v>731</v>
      </c>
      <c r="H588" t="s">
        <v>23</v>
      </c>
      <c r="I588" t="s">
        <v>183</v>
      </c>
      <c r="J588" t="s">
        <v>50</v>
      </c>
      <c r="K588" t="s">
        <v>3327</v>
      </c>
      <c r="L588">
        <v>0.1</v>
      </c>
      <c r="M588" t="s">
        <v>3328</v>
      </c>
      <c r="N588" t="s">
        <v>3329</v>
      </c>
      <c r="O588" t="s">
        <v>29</v>
      </c>
      <c r="P588" t="s">
        <v>112</v>
      </c>
      <c r="Q588" t="s">
        <v>65</v>
      </c>
      <c r="R588" s="3">
        <v>69991.361999999994</v>
      </c>
    </row>
    <row r="589" spans="1:18" x14ac:dyDescent="0.3">
      <c r="A589" t="s">
        <v>3330</v>
      </c>
      <c r="B589" t="str">
        <f>TEXT(Raw_Data[[#This Row],[Order Date]],"mmm")</f>
        <v>Feb</v>
      </c>
      <c r="C589" t="s">
        <v>3331</v>
      </c>
      <c r="D589" t="s">
        <v>3332</v>
      </c>
      <c r="E589" t="s">
        <v>35</v>
      </c>
      <c r="F589" t="s">
        <v>78</v>
      </c>
      <c r="G589" t="s">
        <v>468</v>
      </c>
      <c r="H589" t="s">
        <v>23</v>
      </c>
      <c r="I589" t="s">
        <v>24</v>
      </c>
      <c r="J589" t="s">
        <v>25</v>
      </c>
      <c r="K589" t="s">
        <v>3333</v>
      </c>
      <c r="L589">
        <v>0.1</v>
      </c>
      <c r="M589" t="s">
        <v>3334</v>
      </c>
      <c r="N589" t="s">
        <v>3335</v>
      </c>
      <c r="O589" t="s">
        <v>135</v>
      </c>
      <c r="P589" t="s">
        <v>30</v>
      </c>
      <c r="Q589" t="s">
        <v>65</v>
      </c>
      <c r="R589" s="3">
        <v>29493.864000000001</v>
      </c>
    </row>
    <row r="590" spans="1:18" x14ac:dyDescent="0.3">
      <c r="A590" t="s">
        <v>3336</v>
      </c>
      <c r="B590" t="str">
        <f>TEXT(Raw_Data[[#This Row],[Order Date]],"mmm")</f>
        <v>Jan</v>
      </c>
      <c r="C590" t="s">
        <v>3337</v>
      </c>
      <c r="D590" t="s">
        <v>3338</v>
      </c>
      <c r="E590" t="s">
        <v>48</v>
      </c>
      <c r="F590" t="s">
        <v>106</v>
      </c>
      <c r="G590" t="s">
        <v>106</v>
      </c>
      <c r="H590" t="s">
        <v>38</v>
      </c>
      <c r="I590" t="s">
        <v>223</v>
      </c>
      <c r="J590" t="s">
        <v>50</v>
      </c>
      <c r="K590" t="s">
        <v>3339</v>
      </c>
      <c r="L590">
        <v>0.1</v>
      </c>
      <c r="M590" t="s">
        <v>3340</v>
      </c>
      <c r="N590" t="s">
        <v>3341</v>
      </c>
      <c r="O590" t="s">
        <v>54</v>
      </c>
      <c r="P590" t="s">
        <v>30</v>
      </c>
      <c r="Q590" t="s">
        <v>44</v>
      </c>
      <c r="R590" s="3">
        <v>2400.5880000000002</v>
      </c>
    </row>
    <row r="591" spans="1:18" x14ac:dyDescent="0.3">
      <c r="A591" t="s">
        <v>3342</v>
      </c>
      <c r="B591" t="str">
        <f>TEXT(Raw_Data[[#This Row],[Order Date]],"mmm")</f>
        <v>Nov</v>
      </c>
      <c r="C591" t="s">
        <v>1198</v>
      </c>
      <c r="D591" t="s">
        <v>3343</v>
      </c>
      <c r="E591" t="s">
        <v>35</v>
      </c>
      <c r="F591" t="s">
        <v>78</v>
      </c>
      <c r="G591" t="s">
        <v>79</v>
      </c>
      <c r="H591" t="s">
        <v>23</v>
      </c>
      <c r="I591" t="s">
        <v>24</v>
      </c>
      <c r="J591" t="s">
        <v>82</v>
      </c>
      <c r="K591" t="s">
        <v>3344</v>
      </c>
      <c r="L591">
        <v>0.05</v>
      </c>
      <c r="M591" t="s">
        <v>3345</v>
      </c>
      <c r="N591" t="s">
        <v>3346</v>
      </c>
      <c r="O591" t="s">
        <v>29</v>
      </c>
      <c r="P591" t="s">
        <v>30</v>
      </c>
      <c r="Q591" t="s">
        <v>31</v>
      </c>
      <c r="R591" s="3">
        <v>128368.94</v>
      </c>
    </row>
    <row r="592" spans="1:18" x14ac:dyDescent="0.3">
      <c r="A592" t="s">
        <v>3347</v>
      </c>
      <c r="B592" t="str">
        <f>TEXT(Raw_Data[[#This Row],[Order Date]],"mmm")</f>
        <v>May</v>
      </c>
      <c r="C592" t="s">
        <v>3348</v>
      </c>
      <c r="D592" t="s">
        <v>3349</v>
      </c>
      <c r="E592" t="s">
        <v>48</v>
      </c>
      <c r="F592" t="s">
        <v>58</v>
      </c>
      <c r="G592" t="s">
        <v>290</v>
      </c>
      <c r="H592" t="s">
        <v>154</v>
      </c>
      <c r="I592" t="s">
        <v>237</v>
      </c>
      <c r="J592" t="s">
        <v>25</v>
      </c>
      <c r="K592" t="s">
        <v>3350</v>
      </c>
      <c r="L592">
        <v>0.1</v>
      </c>
      <c r="M592" t="s">
        <v>3351</v>
      </c>
      <c r="N592" t="s">
        <v>3352</v>
      </c>
      <c r="O592" t="s">
        <v>29</v>
      </c>
      <c r="P592" t="s">
        <v>30</v>
      </c>
      <c r="Q592" t="s">
        <v>31</v>
      </c>
      <c r="R592" s="3">
        <v>5377.2120000000004</v>
      </c>
    </row>
    <row r="593" spans="1:18" x14ac:dyDescent="0.3">
      <c r="A593" t="s">
        <v>3353</v>
      </c>
      <c r="B593" t="str">
        <f>TEXT(Raw_Data[[#This Row],[Order Date]],"mmm")</f>
        <v>Jul</v>
      </c>
      <c r="C593" t="s">
        <v>3354</v>
      </c>
      <c r="D593" t="s">
        <v>3355</v>
      </c>
      <c r="E593" t="s">
        <v>35</v>
      </c>
      <c r="F593" t="s">
        <v>215</v>
      </c>
      <c r="G593" t="s">
        <v>216</v>
      </c>
      <c r="H593" t="s">
        <v>38</v>
      </c>
      <c r="I593" t="s">
        <v>223</v>
      </c>
      <c r="J593" t="s">
        <v>25</v>
      </c>
      <c r="K593" t="s">
        <v>3356</v>
      </c>
      <c r="L593">
        <v>0.15</v>
      </c>
      <c r="M593" t="s">
        <v>3357</v>
      </c>
      <c r="N593" t="s">
        <v>3358</v>
      </c>
      <c r="O593" t="s">
        <v>64</v>
      </c>
      <c r="P593" t="s">
        <v>30</v>
      </c>
      <c r="Q593" t="s">
        <v>31</v>
      </c>
      <c r="R593" s="3">
        <v>2411.3054999999999</v>
      </c>
    </row>
    <row r="594" spans="1:18" x14ac:dyDescent="0.3">
      <c r="A594" t="s">
        <v>3359</v>
      </c>
      <c r="B594" t="str">
        <f>TEXT(Raw_Data[[#This Row],[Order Date]],"mmm")</f>
        <v>Jun</v>
      </c>
      <c r="C594" t="s">
        <v>1274</v>
      </c>
      <c r="D594" t="s">
        <v>3360</v>
      </c>
      <c r="E594" t="s">
        <v>20</v>
      </c>
      <c r="F594" t="s">
        <v>89</v>
      </c>
      <c r="G594" t="s">
        <v>90</v>
      </c>
      <c r="H594" t="s">
        <v>107</v>
      </c>
      <c r="I594" t="s">
        <v>591</v>
      </c>
      <c r="J594" t="s">
        <v>50</v>
      </c>
      <c r="K594" t="s">
        <v>3361</v>
      </c>
      <c r="L594">
        <v>0.05</v>
      </c>
      <c r="M594" t="s">
        <v>3362</v>
      </c>
      <c r="N594" t="s">
        <v>3363</v>
      </c>
      <c r="O594" t="s">
        <v>64</v>
      </c>
      <c r="P594" t="s">
        <v>30</v>
      </c>
      <c r="Q594" t="s">
        <v>44</v>
      </c>
      <c r="R594" s="3">
        <v>8406.7970000000005</v>
      </c>
    </row>
    <row r="595" spans="1:18" x14ac:dyDescent="0.3">
      <c r="A595" t="s">
        <v>3364</v>
      </c>
      <c r="B595" t="str">
        <f>TEXT(Raw_Data[[#This Row],[Order Date]],"mmm")</f>
        <v>Dec</v>
      </c>
      <c r="C595" t="s">
        <v>3159</v>
      </c>
      <c r="D595" t="s">
        <v>3365</v>
      </c>
      <c r="E595" t="s">
        <v>48</v>
      </c>
      <c r="F595" t="s">
        <v>58</v>
      </c>
      <c r="G595" t="s">
        <v>812</v>
      </c>
      <c r="H595" t="s">
        <v>23</v>
      </c>
      <c r="I595" t="s">
        <v>49</v>
      </c>
      <c r="J595" t="s">
        <v>25</v>
      </c>
      <c r="K595" t="s">
        <v>3366</v>
      </c>
      <c r="L595">
        <v>0.15</v>
      </c>
      <c r="M595" t="s">
        <v>3367</v>
      </c>
      <c r="N595" t="s">
        <v>3368</v>
      </c>
      <c r="O595" t="s">
        <v>43</v>
      </c>
      <c r="P595" t="s">
        <v>159</v>
      </c>
      <c r="Q595" t="s">
        <v>31</v>
      </c>
      <c r="R595" s="3">
        <v>28675.548999999999</v>
      </c>
    </row>
    <row r="596" spans="1:18" x14ac:dyDescent="0.3">
      <c r="A596" t="s">
        <v>3369</v>
      </c>
      <c r="B596" t="str">
        <f>TEXT(Raw_Data[[#This Row],[Order Date]],"mmm")</f>
        <v>Jun</v>
      </c>
      <c r="C596" t="s">
        <v>3263</v>
      </c>
      <c r="D596" t="s">
        <v>3370</v>
      </c>
      <c r="E596" t="s">
        <v>35</v>
      </c>
      <c r="F596" t="s">
        <v>89</v>
      </c>
      <c r="G596" t="s">
        <v>90</v>
      </c>
      <c r="H596" t="s">
        <v>23</v>
      </c>
      <c r="I596" t="s">
        <v>24</v>
      </c>
      <c r="J596" t="s">
        <v>50</v>
      </c>
      <c r="K596" t="s">
        <v>3371</v>
      </c>
      <c r="L596">
        <v>0.05</v>
      </c>
      <c r="M596" t="s">
        <v>3372</v>
      </c>
      <c r="N596" t="s">
        <v>3373</v>
      </c>
      <c r="O596" t="s">
        <v>64</v>
      </c>
      <c r="P596" t="s">
        <v>30</v>
      </c>
      <c r="Q596" t="s">
        <v>65</v>
      </c>
      <c r="R596" s="3">
        <v>90534.05</v>
      </c>
    </row>
    <row r="597" spans="1:18" x14ac:dyDescent="0.3">
      <c r="A597" t="s">
        <v>3374</v>
      </c>
      <c r="B597" t="str">
        <f>TEXT(Raw_Data[[#This Row],[Order Date]],"mmm")</f>
        <v>Jan</v>
      </c>
      <c r="C597" t="s">
        <v>320</v>
      </c>
      <c r="D597" t="s">
        <v>3375</v>
      </c>
      <c r="E597" t="s">
        <v>20</v>
      </c>
      <c r="F597" t="s">
        <v>215</v>
      </c>
      <c r="G597" t="s">
        <v>216</v>
      </c>
      <c r="H597" t="s">
        <v>107</v>
      </c>
      <c r="I597" t="s">
        <v>277</v>
      </c>
      <c r="J597" t="s">
        <v>25</v>
      </c>
      <c r="K597" t="s">
        <v>3376</v>
      </c>
      <c r="L597">
        <v>0.1</v>
      </c>
      <c r="M597" t="s">
        <v>3377</v>
      </c>
      <c r="N597" t="s">
        <v>3378</v>
      </c>
      <c r="O597" t="s">
        <v>43</v>
      </c>
      <c r="P597" t="s">
        <v>112</v>
      </c>
      <c r="Q597" t="s">
        <v>31</v>
      </c>
      <c r="R597" s="3">
        <v>15367.184999999999</v>
      </c>
    </row>
    <row r="598" spans="1:18" x14ac:dyDescent="0.3">
      <c r="A598" t="s">
        <v>3379</v>
      </c>
      <c r="B598" t="str">
        <f>TEXT(Raw_Data[[#This Row],[Order Date]],"mmm")</f>
        <v>Dec</v>
      </c>
      <c r="C598" t="s">
        <v>3003</v>
      </c>
      <c r="D598" t="s">
        <v>3380</v>
      </c>
      <c r="E598" t="s">
        <v>20</v>
      </c>
      <c r="F598" t="s">
        <v>21</v>
      </c>
      <c r="G598" t="s">
        <v>130</v>
      </c>
      <c r="H598" t="s">
        <v>107</v>
      </c>
      <c r="I598" t="s">
        <v>277</v>
      </c>
      <c r="J598" t="s">
        <v>25</v>
      </c>
      <c r="K598" t="s">
        <v>3381</v>
      </c>
      <c r="L598">
        <v>0.05</v>
      </c>
      <c r="M598" t="s">
        <v>3382</v>
      </c>
      <c r="N598" t="s">
        <v>3383</v>
      </c>
      <c r="O598" t="s">
        <v>64</v>
      </c>
      <c r="P598" t="s">
        <v>30</v>
      </c>
      <c r="Q598" t="s">
        <v>65</v>
      </c>
      <c r="R598" s="3">
        <v>6570.9979999999996</v>
      </c>
    </row>
    <row r="599" spans="1:18" x14ac:dyDescent="0.3">
      <c r="A599" t="s">
        <v>3384</v>
      </c>
      <c r="B599" t="str">
        <f>TEXT(Raw_Data[[#This Row],[Order Date]],"mmm")</f>
        <v>Sep</v>
      </c>
      <c r="C599" t="s">
        <v>188</v>
      </c>
      <c r="D599" t="s">
        <v>3385</v>
      </c>
      <c r="E599" t="s">
        <v>48</v>
      </c>
      <c r="F599" t="s">
        <v>36</v>
      </c>
      <c r="G599" t="s">
        <v>414</v>
      </c>
      <c r="H599" t="s">
        <v>154</v>
      </c>
      <c r="I599" t="s">
        <v>237</v>
      </c>
      <c r="J599" t="s">
        <v>25</v>
      </c>
      <c r="K599" t="s">
        <v>3386</v>
      </c>
      <c r="L599">
        <v>0</v>
      </c>
      <c r="M599" t="s">
        <v>3387</v>
      </c>
      <c r="N599" t="s">
        <v>3388</v>
      </c>
      <c r="O599" t="s">
        <v>173</v>
      </c>
      <c r="P599" t="s">
        <v>30</v>
      </c>
      <c r="Q599" t="s">
        <v>31</v>
      </c>
      <c r="R599" s="3">
        <v>2553.83</v>
      </c>
    </row>
    <row r="600" spans="1:18" x14ac:dyDescent="0.3">
      <c r="A600" t="s">
        <v>3389</v>
      </c>
      <c r="B600" t="str">
        <f>TEXT(Raw_Data[[#This Row],[Order Date]],"mmm")</f>
        <v>Jul</v>
      </c>
      <c r="C600" t="s">
        <v>3390</v>
      </c>
      <c r="D600" t="s">
        <v>3391</v>
      </c>
      <c r="E600" t="s">
        <v>20</v>
      </c>
      <c r="F600" t="s">
        <v>36</v>
      </c>
      <c r="G600" t="s">
        <v>37</v>
      </c>
      <c r="H600" t="s">
        <v>38</v>
      </c>
      <c r="I600" t="s">
        <v>223</v>
      </c>
      <c r="J600" t="s">
        <v>50</v>
      </c>
      <c r="K600" t="s">
        <v>3392</v>
      </c>
      <c r="L600">
        <v>0.05</v>
      </c>
      <c r="M600" t="s">
        <v>3393</v>
      </c>
      <c r="N600" t="s">
        <v>3394</v>
      </c>
      <c r="O600" t="s">
        <v>173</v>
      </c>
      <c r="P600" t="s">
        <v>112</v>
      </c>
      <c r="Q600" t="s">
        <v>31</v>
      </c>
      <c r="R600" s="3">
        <v>1160.501</v>
      </c>
    </row>
    <row r="601" spans="1:18" x14ac:dyDescent="0.3">
      <c r="A601" t="s">
        <v>3395</v>
      </c>
      <c r="B601" t="str">
        <f>TEXT(Raw_Data[[#This Row],[Order Date]],"mmm")</f>
        <v>Nov</v>
      </c>
      <c r="C601" t="s">
        <v>3305</v>
      </c>
      <c r="D601" t="s">
        <v>3396</v>
      </c>
      <c r="E601" t="s">
        <v>35</v>
      </c>
      <c r="F601" t="s">
        <v>58</v>
      </c>
      <c r="G601" t="s">
        <v>812</v>
      </c>
      <c r="H601" t="s">
        <v>107</v>
      </c>
      <c r="I601" t="s">
        <v>591</v>
      </c>
      <c r="J601" t="s">
        <v>82</v>
      </c>
      <c r="K601" t="s">
        <v>3397</v>
      </c>
      <c r="L601">
        <v>0.05</v>
      </c>
      <c r="M601" t="s">
        <v>3398</v>
      </c>
      <c r="N601" t="s">
        <v>3399</v>
      </c>
      <c r="O601" t="s">
        <v>29</v>
      </c>
      <c r="P601" t="s">
        <v>30</v>
      </c>
      <c r="Q601" t="s">
        <v>44</v>
      </c>
      <c r="R601" s="3">
        <v>23440.338</v>
      </c>
    </row>
    <row r="602" spans="1:18" x14ac:dyDescent="0.3">
      <c r="A602" t="s">
        <v>3400</v>
      </c>
      <c r="B602" t="str">
        <f>TEXT(Raw_Data[[#This Row],[Order Date]],"mmm")</f>
        <v>Jun</v>
      </c>
      <c r="C602" t="s">
        <v>2157</v>
      </c>
      <c r="D602" t="s">
        <v>3401</v>
      </c>
      <c r="E602" t="s">
        <v>20</v>
      </c>
      <c r="F602" t="s">
        <v>36</v>
      </c>
      <c r="G602" t="s">
        <v>153</v>
      </c>
      <c r="H602" t="s">
        <v>154</v>
      </c>
      <c r="I602" t="s">
        <v>1061</v>
      </c>
      <c r="J602" t="s">
        <v>25</v>
      </c>
      <c r="K602" t="s">
        <v>3402</v>
      </c>
      <c r="L602">
        <v>0.05</v>
      </c>
      <c r="M602" t="s">
        <v>3403</v>
      </c>
      <c r="N602" t="s">
        <v>3404</v>
      </c>
      <c r="O602" t="s">
        <v>54</v>
      </c>
      <c r="P602" t="s">
        <v>159</v>
      </c>
      <c r="Q602" t="s">
        <v>65</v>
      </c>
      <c r="R602" s="3">
        <v>1840.4634999999901</v>
      </c>
    </row>
    <row r="603" spans="1:18" x14ac:dyDescent="0.3">
      <c r="A603" t="s">
        <v>3405</v>
      </c>
      <c r="B603" t="str">
        <f>TEXT(Raw_Data[[#This Row],[Order Date]],"mmm")</f>
        <v>Apr</v>
      </c>
      <c r="C603" t="s">
        <v>352</v>
      </c>
      <c r="D603" t="s">
        <v>3406</v>
      </c>
      <c r="E603" t="s">
        <v>48</v>
      </c>
      <c r="F603" t="s">
        <v>21</v>
      </c>
      <c r="G603" t="s">
        <v>22</v>
      </c>
      <c r="H603" t="s">
        <v>23</v>
      </c>
      <c r="I603" t="s">
        <v>183</v>
      </c>
      <c r="J603" t="s">
        <v>50</v>
      </c>
      <c r="K603" t="s">
        <v>3407</v>
      </c>
      <c r="L603">
        <v>0.05</v>
      </c>
      <c r="M603" t="s">
        <v>3408</v>
      </c>
      <c r="N603" t="s">
        <v>3409</v>
      </c>
      <c r="O603" t="s">
        <v>173</v>
      </c>
      <c r="P603" t="s">
        <v>30</v>
      </c>
      <c r="Q603" t="s">
        <v>44</v>
      </c>
      <c r="R603" s="3">
        <v>124939.174</v>
      </c>
    </row>
    <row r="604" spans="1:18" x14ac:dyDescent="0.3">
      <c r="A604" t="s">
        <v>3410</v>
      </c>
      <c r="B604" t="str">
        <f>TEXT(Raw_Data[[#This Row],[Order Date]],"mmm")</f>
        <v>Jun</v>
      </c>
      <c r="C604" t="s">
        <v>181</v>
      </c>
      <c r="D604" t="s">
        <v>3411</v>
      </c>
      <c r="E604" t="s">
        <v>48</v>
      </c>
      <c r="F604" t="s">
        <v>78</v>
      </c>
      <c r="G604" t="s">
        <v>79</v>
      </c>
      <c r="H604" t="s">
        <v>107</v>
      </c>
      <c r="I604" t="s">
        <v>277</v>
      </c>
      <c r="J604" t="s">
        <v>100</v>
      </c>
      <c r="K604" t="s">
        <v>3412</v>
      </c>
      <c r="L604">
        <v>0.05</v>
      </c>
      <c r="M604" t="s">
        <v>3413</v>
      </c>
      <c r="N604" t="s">
        <v>3414</v>
      </c>
      <c r="O604" t="s">
        <v>64</v>
      </c>
      <c r="P604" t="s">
        <v>30</v>
      </c>
      <c r="Q604" t="s">
        <v>44</v>
      </c>
      <c r="R604" s="3">
        <v>21042.290999999899</v>
      </c>
    </row>
    <row r="605" spans="1:18" x14ac:dyDescent="0.3">
      <c r="A605" t="s">
        <v>3415</v>
      </c>
      <c r="B605" t="str">
        <f>TEXT(Raw_Data[[#This Row],[Order Date]],"mmm")</f>
        <v>Apr</v>
      </c>
      <c r="C605" t="s">
        <v>902</v>
      </c>
      <c r="D605" t="s">
        <v>3416</v>
      </c>
      <c r="E605" t="s">
        <v>20</v>
      </c>
      <c r="F605" t="s">
        <v>89</v>
      </c>
      <c r="G605" t="s">
        <v>90</v>
      </c>
      <c r="H605" t="s">
        <v>23</v>
      </c>
      <c r="I605" t="s">
        <v>263</v>
      </c>
      <c r="J605" t="s">
        <v>25</v>
      </c>
      <c r="K605" t="s">
        <v>3417</v>
      </c>
      <c r="L605">
        <v>0.2</v>
      </c>
      <c r="M605" t="s">
        <v>3418</v>
      </c>
      <c r="N605" t="s">
        <v>3419</v>
      </c>
      <c r="O605" t="s">
        <v>29</v>
      </c>
      <c r="P605" t="s">
        <v>30</v>
      </c>
      <c r="Q605" t="s">
        <v>65</v>
      </c>
      <c r="R605" s="3">
        <v>44884.343999999997</v>
      </c>
    </row>
    <row r="606" spans="1:18" x14ac:dyDescent="0.3">
      <c r="A606" t="s">
        <v>3420</v>
      </c>
      <c r="B606" t="str">
        <f>TEXT(Raw_Data[[#This Row],[Order Date]],"mmm")</f>
        <v>Mar</v>
      </c>
      <c r="C606" t="s">
        <v>3284</v>
      </c>
      <c r="D606" t="s">
        <v>3421</v>
      </c>
      <c r="E606" t="s">
        <v>20</v>
      </c>
      <c r="F606" t="s">
        <v>36</v>
      </c>
      <c r="G606" t="s">
        <v>414</v>
      </c>
      <c r="H606" t="s">
        <v>23</v>
      </c>
      <c r="I606" t="s">
        <v>24</v>
      </c>
      <c r="J606" t="s">
        <v>50</v>
      </c>
      <c r="K606" t="s">
        <v>3422</v>
      </c>
      <c r="L606">
        <v>0.1</v>
      </c>
      <c r="M606" t="s">
        <v>3423</v>
      </c>
      <c r="N606" t="s">
        <v>3424</v>
      </c>
      <c r="O606" t="s">
        <v>173</v>
      </c>
      <c r="P606" t="s">
        <v>30</v>
      </c>
      <c r="Q606" t="s">
        <v>65</v>
      </c>
      <c r="R606" s="3">
        <v>75309.623999999996</v>
      </c>
    </row>
    <row r="607" spans="1:18" x14ac:dyDescent="0.3">
      <c r="A607" t="s">
        <v>3425</v>
      </c>
      <c r="B607" t="str">
        <f>TEXT(Raw_Data[[#This Row],[Order Date]],"mmm")</f>
        <v>Sep</v>
      </c>
      <c r="C607" t="s">
        <v>834</v>
      </c>
      <c r="D607" t="s">
        <v>3426</v>
      </c>
      <c r="E607" t="s">
        <v>20</v>
      </c>
      <c r="F607" t="s">
        <v>36</v>
      </c>
      <c r="G607" t="s">
        <v>414</v>
      </c>
      <c r="H607" t="s">
        <v>23</v>
      </c>
      <c r="I607" t="s">
        <v>263</v>
      </c>
      <c r="J607" t="s">
        <v>25</v>
      </c>
      <c r="K607" t="s">
        <v>3427</v>
      </c>
      <c r="L607">
        <v>0.1</v>
      </c>
      <c r="M607" t="s">
        <v>3428</v>
      </c>
      <c r="N607" t="s">
        <v>3429</v>
      </c>
      <c r="O607" t="s">
        <v>29</v>
      </c>
      <c r="P607" t="s">
        <v>30</v>
      </c>
      <c r="Q607" t="s">
        <v>65</v>
      </c>
      <c r="R607" s="3">
        <v>37372.067999999999</v>
      </c>
    </row>
    <row r="608" spans="1:18" x14ac:dyDescent="0.3">
      <c r="A608" t="s">
        <v>3430</v>
      </c>
      <c r="B608" t="str">
        <f>TEXT(Raw_Data[[#This Row],[Order Date]],"mmm")</f>
        <v>Jul</v>
      </c>
      <c r="C608" t="s">
        <v>3390</v>
      </c>
      <c r="D608" t="s">
        <v>3431</v>
      </c>
      <c r="E608" t="s">
        <v>20</v>
      </c>
      <c r="F608" t="s">
        <v>36</v>
      </c>
      <c r="G608" t="s">
        <v>196</v>
      </c>
      <c r="H608" t="s">
        <v>107</v>
      </c>
      <c r="I608" t="s">
        <v>469</v>
      </c>
      <c r="J608" t="s">
        <v>100</v>
      </c>
      <c r="K608" t="s">
        <v>3432</v>
      </c>
      <c r="L608">
        <v>0.1</v>
      </c>
      <c r="M608" t="s">
        <v>3433</v>
      </c>
      <c r="N608" t="s">
        <v>3434</v>
      </c>
      <c r="O608" t="s">
        <v>29</v>
      </c>
      <c r="P608" t="s">
        <v>159</v>
      </c>
      <c r="Q608" t="s">
        <v>31</v>
      </c>
      <c r="R608" s="3">
        <v>15946.848</v>
      </c>
    </row>
    <row r="609" spans="1:18" x14ac:dyDescent="0.3">
      <c r="A609" t="s">
        <v>3435</v>
      </c>
      <c r="B609" t="str">
        <f>TEXT(Raw_Data[[#This Row],[Order Date]],"mmm")</f>
        <v>Nov</v>
      </c>
      <c r="C609" t="s">
        <v>1122</v>
      </c>
      <c r="D609" t="s">
        <v>3436</v>
      </c>
      <c r="E609" t="s">
        <v>20</v>
      </c>
      <c r="F609" t="s">
        <v>69</v>
      </c>
      <c r="G609" t="s">
        <v>139</v>
      </c>
      <c r="H609" t="s">
        <v>23</v>
      </c>
      <c r="I609" t="s">
        <v>183</v>
      </c>
      <c r="J609" t="s">
        <v>25</v>
      </c>
      <c r="K609" t="s">
        <v>3437</v>
      </c>
      <c r="L609">
        <v>0.05</v>
      </c>
      <c r="M609" t="s">
        <v>3438</v>
      </c>
      <c r="N609" t="s">
        <v>3439</v>
      </c>
      <c r="O609" t="s">
        <v>173</v>
      </c>
      <c r="P609" t="s">
        <v>30</v>
      </c>
      <c r="Q609" t="s">
        <v>65</v>
      </c>
      <c r="R609" s="3">
        <v>41691.823499999999</v>
      </c>
    </row>
    <row r="610" spans="1:18" x14ac:dyDescent="0.3">
      <c r="A610" t="s">
        <v>3440</v>
      </c>
      <c r="B610" t="str">
        <f>TEXT(Raw_Data[[#This Row],[Order Date]],"mmm")</f>
        <v>Jan</v>
      </c>
      <c r="C610" t="s">
        <v>261</v>
      </c>
      <c r="D610" t="s">
        <v>3441</v>
      </c>
      <c r="E610" t="s">
        <v>48</v>
      </c>
      <c r="F610" t="s">
        <v>21</v>
      </c>
      <c r="G610" t="s">
        <v>22</v>
      </c>
      <c r="H610" t="s">
        <v>38</v>
      </c>
      <c r="I610" t="s">
        <v>60</v>
      </c>
      <c r="J610" t="s">
        <v>25</v>
      </c>
      <c r="K610" t="s">
        <v>3442</v>
      </c>
      <c r="L610">
        <v>0.1</v>
      </c>
      <c r="M610" t="s">
        <v>3443</v>
      </c>
      <c r="N610" t="s">
        <v>3444</v>
      </c>
      <c r="O610" t="s">
        <v>54</v>
      </c>
      <c r="P610" t="s">
        <v>30</v>
      </c>
      <c r="Q610" t="s">
        <v>31</v>
      </c>
      <c r="R610" s="3">
        <v>3939.75</v>
      </c>
    </row>
    <row r="611" spans="1:18" x14ac:dyDescent="0.3">
      <c r="A611" t="s">
        <v>3445</v>
      </c>
      <c r="B611" t="str">
        <f>TEXT(Raw_Data[[#This Row],[Order Date]],"mmm")</f>
        <v>Apr</v>
      </c>
      <c r="C611" t="s">
        <v>1307</v>
      </c>
      <c r="D611" t="s">
        <v>3446</v>
      </c>
      <c r="E611" t="s">
        <v>35</v>
      </c>
      <c r="F611" t="s">
        <v>21</v>
      </c>
      <c r="G611" t="s">
        <v>22</v>
      </c>
      <c r="H611" t="s">
        <v>107</v>
      </c>
      <c r="I611" t="s">
        <v>108</v>
      </c>
      <c r="J611" t="s">
        <v>50</v>
      </c>
      <c r="K611" t="s">
        <v>3447</v>
      </c>
      <c r="L611">
        <v>0</v>
      </c>
      <c r="M611" t="s">
        <v>3448</v>
      </c>
      <c r="N611" t="s">
        <v>3449</v>
      </c>
      <c r="O611" t="s">
        <v>173</v>
      </c>
      <c r="P611" t="s">
        <v>30</v>
      </c>
      <c r="Q611" t="s">
        <v>31</v>
      </c>
      <c r="R611" s="3">
        <v>1942.02</v>
      </c>
    </row>
    <row r="612" spans="1:18" x14ac:dyDescent="0.3">
      <c r="A612" t="s">
        <v>3450</v>
      </c>
      <c r="B612" t="str">
        <f>TEXT(Raw_Data[[#This Row],[Order Date]],"mmm")</f>
        <v>Jun</v>
      </c>
      <c r="C612" t="s">
        <v>2157</v>
      </c>
      <c r="D612" t="s">
        <v>3451</v>
      </c>
      <c r="E612" t="s">
        <v>20</v>
      </c>
      <c r="F612" t="s">
        <v>89</v>
      </c>
      <c r="G612" t="s">
        <v>90</v>
      </c>
      <c r="H612" t="s">
        <v>38</v>
      </c>
      <c r="I612" t="s">
        <v>71</v>
      </c>
      <c r="J612" t="s">
        <v>25</v>
      </c>
      <c r="K612" t="s">
        <v>3452</v>
      </c>
      <c r="L612">
        <v>0.15</v>
      </c>
      <c r="M612" t="s">
        <v>3453</v>
      </c>
      <c r="N612" t="s">
        <v>3454</v>
      </c>
      <c r="O612" t="s">
        <v>29</v>
      </c>
      <c r="P612" t="s">
        <v>112</v>
      </c>
      <c r="Q612" t="s">
        <v>44</v>
      </c>
      <c r="R612" s="3">
        <v>2907.442</v>
      </c>
    </row>
    <row r="613" spans="1:18" x14ac:dyDescent="0.3">
      <c r="A613" t="s">
        <v>3455</v>
      </c>
      <c r="B613" t="str">
        <f>TEXT(Raw_Data[[#This Row],[Order Date]],"mmm")</f>
        <v>Aug</v>
      </c>
      <c r="C613" t="s">
        <v>971</v>
      </c>
      <c r="D613" t="s">
        <v>3456</v>
      </c>
      <c r="E613" t="s">
        <v>20</v>
      </c>
      <c r="F613" t="s">
        <v>58</v>
      </c>
      <c r="G613" t="s">
        <v>59</v>
      </c>
      <c r="H613" t="s">
        <v>154</v>
      </c>
      <c r="I613" t="s">
        <v>1061</v>
      </c>
      <c r="J613" t="s">
        <v>25</v>
      </c>
      <c r="K613" t="s">
        <v>3457</v>
      </c>
      <c r="L613">
        <v>0.1</v>
      </c>
      <c r="M613" t="s">
        <v>3458</v>
      </c>
      <c r="N613" t="s">
        <v>3459</v>
      </c>
      <c r="O613" t="s">
        <v>29</v>
      </c>
      <c r="P613" t="s">
        <v>30</v>
      </c>
      <c r="Q613" t="s">
        <v>44</v>
      </c>
      <c r="R613" s="3">
        <v>5816.8710000000001</v>
      </c>
    </row>
    <row r="614" spans="1:18" x14ac:dyDescent="0.3">
      <c r="A614" t="s">
        <v>3460</v>
      </c>
      <c r="B614" t="str">
        <f>TEXT(Raw_Data[[#This Row],[Order Date]],"mmm")</f>
        <v>Jul</v>
      </c>
      <c r="C614" t="s">
        <v>3461</v>
      </c>
      <c r="D614" t="s">
        <v>3462</v>
      </c>
      <c r="E614" t="s">
        <v>35</v>
      </c>
      <c r="F614" t="s">
        <v>106</v>
      </c>
      <c r="G614" t="s">
        <v>163</v>
      </c>
      <c r="H614" t="s">
        <v>23</v>
      </c>
      <c r="I614" t="s">
        <v>183</v>
      </c>
      <c r="J614" t="s">
        <v>25</v>
      </c>
      <c r="K614" t="s">
        <v>3463</v>
      </c>
      <c r="L614">
        <v>0.15</v>
      </c>
      <c r="M614" t="s">
        <v>3464</v>
      </c>
      <c r="N614" t="s">
        <v>3465</v>
      </c>
      <c r="O614" t="s">
        <v>54</v>
      </c>
      <c r="P614" t="s">
        <v>30</v>
      </c>
      <c r="Q614" t="s">
        <v>65</v>
      </c>
      <c r="R614" s="3">
        <v>34256.631999999998</v>
      </c>
    </row>
    <row r="615" spans="1:18" x14ac:dyDescent="0.3">
      <c r="A615" t="s">
        <v>3466</v>
      </c>
      <c r="B615" t="str">
        <f>TEXT(Raw_Data[[#This Row],[Order Date]],"mmm")</f>
        <v>Feb</v>
      </c>
      <c r="C615" t="s">
        <v>3467</v>
      </c>
      <c r="D615" t="s">
        <v>3468</v>
      </c>
      <c r="E615" t="s">
        <v>48</v>
      </c>
      <c r="F615" t="s">
        <v>21</v>
      </c>
      <c r="G615" t="s">
        <v>22</v>
      </c>
      <c r="H615" t="s">
        <v>107</v>
      </c>
      <c r="I615" t="s">
        <v>277</v>
      </c>
      <c r="J615" t="s">
        <v>25</v>
      </c>
      <c r="K615" t="s">
        <v>3469</v>
      </c>
      <c r="L615">
        <v>0.05</v>
      </c>
      <c r="M615" t="s">
        <v>3470</v>
      </c>
      <c r="N615" t="s">
        <v>3471</v>
      </c>
      <c r="O615" t="s">
        <v>29</v>
      </c>
      <c r="P615" t="s">
        <v>112</v>
      </c>
      <c r="Q615" t="s">
        <v>65</v>
      </c>
      <c r="R615" s="3">
        <v>11427.701999999999</v>
      </c>
    </row>
    <row r="616" spans="1:18" x14ac:dyDescent="0.3">
      <c r="A616" t="s">
        <v>3472</v>
      </c>
      <c r="B616" t="str">
        <f>TEXT(Raw_Data[[#This Row],[Order Date]],"mmm")</f>
        <v>Mar</v>
      </c>
      <c r="C616" t="s">
        <v>2959</v>
      </c>
      <c r="D616" t="s">
        <v>3473</v>
      </c>
      <c r="E616" t="s">
        <v>48</v>
      </c>
      <c r="F616" t="s">
        <v>21</v>
      </c>
      <c r="G616" t="s">
        <v>22</v>
      </c>
      <c r="H616" t="s">
        <v>107</v>
      </c>
      <c r="I616" t="s">
        <v>591</v>
      </c>
      <c r="J616" t="s">
        <v>100</v>
      </c>
      <c r="K616" t="s">
        <v>3474</v>
      </c>
      <c r="L616">
        <v>0.1</v>
      </c>
      <c r="M616" t="s">
        <v>3475</v>
      </c>
      <c r="N616" t="s">
        <v>3476</v>
      </c>
      <c r="O616" t="s">
        <v>43</v>
      </c>
      <c r="P616" t="s">
        <v>30</v>
      </c>
      <c r="Q616" t="s">
        <v>44</v>
      </c>
      <c r="R616" s="3">
        <v>19641.743999999999</v>
      </c>
    </row>
    <row r="617" spans="1:18" x14ac:dyDescent="0.3">
      <c r="A617" t="s">
        <v>3477</v>
      </c>
      <c r="B617" t="str">
        <f>TEXT(Raw_Data[[#This Row],[Order Date]],"mmm")</f>
        <v>Nov</v>
      </c>
      <c r="C617" t="s">
        <v>516</v>
      </c>
      <c r="D617" t="s">
        <v>3478</v>
      </c>
      <c r="E617" t="s">
        <v>48</v>
      </c>
      <c r="F617" t="s">
        <v>21</v>
      </c>
      <c r="G617" t="s">
        <v>22</v>
      </c>
      <c r="H617" t="s">
        <v>107</v>
      </c>
      <c r="I617" t="s">
        <v>277</v>
      </c>
      <c r="J617" t="s">
        <v>25</v>
      </c>
      <c r="K617" t="s">
        <v>3479</v>
      </c>
      <c r="L617">
        <v>0.15</v>
      </c>
      <c r="M617" t="s">
        <v>3480</v>
      </c>
      <c r="N617" t="s">
        <v>3481</v>
      </c>
      <c r="O617" t="s">
        <v>64</v>
      </c>
      <c r="P617" t="s">
        <v>30</v>
      </c>
      <c r="Q617" t="s">
        <v>65</v>
      </c>
      <c r="R617" s="3">
        <v>5823.4179999999997</v>
      </c>
    </row>
    <row r="618" spans="1:18" x14ac:dyDescent="0.3">
      <c r="A618" t="s">
        <v>3482</v>
      </c>
      <c r="B618" t="str">
        <f>TEXT(Raw_Data[[#This Row],[Order Date]],"mmm")</f>
        <v>Nov</v>
      </c>
      <c r="C618" t="s">
        <v>3305</v>
      </c>
      <c r="D618" t="s">
        <v>3483</v>
      </c>
      <c r="E618" t="s">
        <v>35</v>
      </c>
      <c r="F618" t="s">
        <v>89</v>
      </c>
      <c r="G618" t="s">
        <v>90</v>
      </c>
      <c r="H618" t="s">
        <v>107</v>
      </c>
      <c r="I618" t="s">
        <v>108</v>
      </c>
      <c r="J618" t="s">
        <v>100</v>
      </c>
      <c r="K618" t="s">
        <v>3484</v>
      </c>
      <c r="L618">
        <v>0.1</v>
      </c>
      <c r="M618" t="s">
        <v>3485</v>
      </c>
      <c r="N618" t="s">
        <v>3486</v>
      </c>
      <c r="O618" t="s">
        <v>54</v>
      </c>
      <c r="P618" t="s">
        <v>30</v>
      </c>
      <c r="Q618" t="s">
        <v>31</v>
      </c>
      <c r="R618" s="3">
        <v>21703.4909999999</v>
      </c>
    </row>
    <row r="619" spans="1:18" x14ac:dyDescent="0.3">
      <c r="A619" t="s">
        <v>3487</v>
      </c>
      <c r="B619" t="str">
        <f>TEXT(Raw_Data[[#This Row],[Order Date]],"mmm")</f>
        <v>Dec</v>
      </c>
      <c r="C619" t="s">
        <v>2206</v>
      </c>
      <c r="D619" t="s">
        <v>3488</v>
      </c>
      <c r="E619" t="s">
        <v>35</v>
      </c>
      <c r="F619" t="s">
        <v>89</v>
      </c>
      <c r="G619" t="s">
        <v>99</v>
      </c>
      <c r="H619" t="s">
        <v>107</v>
      </c>
      <c r="I619" t="s">
        <v>108</v>
      </c>
      <c r="J619" t="s">
        <v>100</v>
      </c>
      <c r="K619" t="s">
        <v>3489</v>
      </c>
      <c r="L619">
        <v>0.05</v>
      </c>
      <c r="M619" t="s">
        <v>3490</v>
      </c>
      <c r="N619" t="s">
        <v>3491</v>
      </c>
      <c r="O619" t="s">
        <v>43</v>
      </c>
      <c r="P619" t="s">
        <v>159</v>
      </c>
      <c r="Q619" t="s">
        <v>65</v>
      </c>
      <c r="R619" s="3">
        <v>44988.133499999902</v>
      </c>
    </row>
    <row r="620" spans="1:18" x14ac:dyDescent="0.3">
      <c r="A620" t="s">
        <v>3492</v>
      </c>
      <c r="B620" t="str">
        <f>TEXT(Raw_Data[[#This Row],[Order Date]],"mmm")</f>
        <v>Feb</v>
      </c>
      <c r="C620" t="s">
        <v>3493</v>
      </c>
      <c r="D620" t="s">
        <v>3494</v>
      </c>
      <c r="E620" t="s">
        <v>20</v>
      </c>
      <c r="F620" t="s">
        <v>78</v>
      </c>
      <c r="G620" t="s">
        <v>731</v>
      </c>
      <c r="H620" t="s">
        <v>23</v>
      </c>
      <c r="I620" t="s">
        <v>49</v>
      </c>
      <c r="J620" t="s">
        <v>100</v>
      </c>
      <c r="K620" t="s">
        <v>3495</v>
      </c>
      <c r="L620">
        <v>0.05</v>
      </c>
      <c r="M620" t="s">
        <v>3496</v>
      </c>
      <c r="N620" t="s">
        <v>3497</v>
      </c>
      <c r="O620" t="s">
        <v>29</v>
      </c>
      <c r="P620" t="s">
        <v>30</v>
      </c>
      <c r="Q620" t="s">
        <v>31</v>
      </c>
      <c r="R620" s="3">
        <v>80096.285999999993</v>
      </c>
    </row>
    <row r="621" spans="1:18" x14ac:dyDescent="0.3">
      <c r="A621" t="s">
        <v>3498</v>
      </c>
      <c r="B621" t="str">
        <f>TEXT(Raw_Data[[#This Row],[Order Date]],"mmm")</f>
        <v>Mar</v>
      </c>
      <c r="C621" t="s">
        <v>56</v>
      </c>
      <c r="D621" t="s">
        <v>3499</v>
      </c>
      <c r="E621" t="s">
        <v>20</v>
      </c>
      <c r="F621" t="s">
        <v>78</v>
      </c>
      <c r="G621" t="s">
        <v>731</v>
      </c>
      <c r="H621" t="s">
        <v>80</v>
      </c>
      <c r="I621" t="s">
        <v>131</v>
      </c>
      <c r="J621" t="s">
        <v>82</v>
      </c>
      <c r="K621" t="s">
        <v>3500</v>
      </c>
      <c r="L621">
        <v>0.05</v>
      </c>
      <c r="M621" t="s">
        <v>3501</v>
      </c>
      <c r="N621" t="s">
        <v>3502</v>
      </c>
      <c r="O621" t="s">
        <v>29</v>
      </c>
      <c r="P621" t="s">
        <v>30</v>
      </c>
      <c r="Q621" t="s">
        <v>31</v>
      </c>
      <c r="R621" s="3">
        <v>1713.952</v>
      </c>
    </row>
    <row r="622" spans="1:18" x14ac:dyDescent="0.3">
      <c r="A622" t="s">
        <v>3503</v>
      </c>
      <c r="B622" t="str">
        <f>TEXT(Raw_Data[[#This Row],[Order Date]],"mmm")</f>
        <v>May</v>
      </c>
      <c r="C622" t="s">
        <v>1348</v>
      </c>
      <c r="D622" t="s">
        <v>3504</v>
      </c>
      <c r="E622" t="s">
        <v>20</v>
      </c>
      <c r="F622" t="s">
        <v>106</v>
      </c>
      <c r="G622" t="s">
        <v>106</v>
      </c>
      <c r="H622" t="s">
        <v>23</v>
      </c>
      <c r="I622" t="s">
        <v>263</v>
      </c>
      <c r="J622" t="s">
        <v>25</v>
      </c>
      <c r="K622" t="s">
        <v>3505</v>
      </c>
      <c r="L622">
        <v>0.05</v>
      </c>
      <c r="M622" t="s">
        <v>3506</v>
      </c>
      <c r="N622" t="s">
        <v>3507</v>
      </c>
      <c r="O622" t="s">
        <v>54</v>
      </c>
      <c r="P622" t="s">
        <v>30</v>
      </c>
      <c r="Q622" t="s">
        <v>31</v>
      </c>
      <c r="R622" s="3">
        <v>32370.736999999899</v>
      </c>
    </row>
    <row r="623" spans="1:18" x14ac:dyDescent="0.3">
      <c r="A623" t="s">
        <v>3508</v>
      </c>
      <c r="B623" t="str">
        <f>TEXT(Raw_Data[[#This Row],[Order Date]],"mmm")</f>
        <v>Apr</v>
      </c>
      <c r="C623" t="s">
        <v>419</v>
      </c>
      <c r="D623" t="s">
        <v>3509</v>
      </c>
      <c r="E623" t="s">
        <v>48</v>
      </c>
      <c r="F623" t="s">
        <v>78</v>
      </c>
      <c r="G623" t="s">
        <v>731</v>
      </c>
      <c r="H623" t="s">
        <v>107</v>
      </c>
      <c r="I623" t="s">
        <v>378</v>
      </c>
      <c r="J623" t="s">
        <v>50</v>
      </c>
      <c r="K623" t="s">
        <v>3510</v>
      </c>
      <c r="L623">
        <v>0.1</v>
      </c>
      <c r="M623" t="s">
        <v>3511</v>
      </c>
      <c r="N623" t="s">
        <v>3512</v>
      </c>
      <c r="O623" t="s">
        <v>43</v>
      </c>
      <c r="P623" t="s">
        <v>30</v>
      </c>
      <c r="Q623" t="s">
        <v>65</v>
      </c>
      <c r="R623" s="3">
        <v>26667.144</v>
      </c>
    </row>
    <row r="624" spans="1:18" x14ac:dyDescent="0.3">
      <c r="A624" t="s">
        <v>3513</v>
      </c>
      <c r="B624" t="str">
        <f>TEXT(Raw_Data[[#This Row],[Order Date]],"mmm")</f>
        <v>Jun</v>
      </c>
      <c r="C624" t="s">
        <v>3514</v>
      </c>
      <c r="D624" t="s">
        <v>3515</v>
      </c>
      <c r="E624" t="s">
        <v>20</v>
      </c>
      <c r="F624" t="s">
        <v>21</v>
      </c>
      <c r="G624" t="s">
        <v>130</v>
      </c>
      <c r="H624" t="s">
        <v>107</v>
      </c>
      <c r="I624" t="s">
        <v>378</v>
      </c>
      <c r="J624" t="s">
        <v>25</v>
      </c>
      <c r="K624" t="s">
        <v>3516</v>
      </c>
      <c r="L624">
        <v>0.15</v>
      </c>
      <c r="M624" t="s">
        <v>3517</v>
      </c>
      <c r="N624" t="s">
        <v>3518</v>
      </c>
      <c r="O624" t="s">
        <v>29</v>
      </c>
      <c r="P624" t="s">
        <v>159</v>
      </c>
      <c r="Q624" t="s">
        <v>65</v>
      </c>
      <c r="R624" s="3">
        <v>3562.248</v>
      </c>
    </row>
    <row r="625" spans="1:18" x14ac:dyDescent="0.3">
      <c r="A625" t="s">
        <v>3519</v>
      </c>
      <c r="B625" t="str">
        <f>TEXT(Raw_Data[[#This Row],[Order Date]],"mmm")</f>
        <v>Mar</v>
      </c>
      <c r="C625" t="s">
        <v>3284</v>
      </c>
      <c r="D625" t="s">
        <v>3520</v>
      </c>
      <c r="E625" t="s">
        <v>35</v>
      </c>
      <c r="F625" t="s">
        <v>21</v>
      </c>
      <c r="G625" t="s">
        <v>22</v>
      </c>
      <c r="H625" t="s">
        <v>23</v>
      </c>
      <c r="I625" t="s">
        <v>263</v>
      </c>
      <c r="J625" t="s">
        <v>25</v>
      </c>
      <c r="K625" t="s">
        <v>3521</v>
      </c>
      <c r="L625">
        <v>0.1</v>
      </c>
      <c r="M625" t="s">
        <v>3522</v>
      </c>
      <c r="N625" t="s">
        <v>3523</v>
      </c>
      <c r="O625" t="s">
        <v>64</v>
      </c>
      <c r="P625" t="s">
        <v>30</v>
      </c>
      <c r="Q625" t="s">
        <v>31</v>
      </c>
      <c r="R625" s="3">
        <v>15498.918</v>
      </c>
    </row>
    <row r="626" spans="1:18" x14ac:dyDescent="0.3">
      <c r="A626" t="s">
        <v>3524</v>
      </c>
      <c r="B626" t="str">
        <f>TEXT(Raw_Data[[#This Row],[Order Date]],"mmm")</f>
        <v>Jun</v>
      </c>
      <c r="C626" t="s">
        <v>2758</v>
      </c>
      <c r="D626" t="s">
        <v>3525</v>
      </c>
      <c r="E626" t="s">
        <v>35</v>
      </c>
      <c r="F626" t="s">
        <v>69</v>
      </c>
      <c r="G626" t="s">
        <v>328</v>
      </c>
      <c r="H626" t="s">
        <v>107</v>
      </c>
      <c r="I626" t="s">
        <v>378</v>
      </c>
      <c r="J626" t="s">
        <v>100</v>
      </c>
      <c r="K626" t="s">
        <v>3526</v>
      </c>
      <c r="L626">
        <v>0.05</v>
      </c>
      <c r="M626" t="s">
        <v>3527</v>
      </c>
      <c r="N626" t="s">
        <v>3528</v>
      </c>
      <c r="O626" t="s">
        <v>29</v>
      </c>
      <c r="P626" t="s">
        <v>30</v>
      </c>
      <c r="Q626" t="s">
        <v>65</v>
      </c>
      <c r="R626" s="3">
        <v>5007.5924999999997</v>
      </c>
    </row>
    <row r="627" spans="1:18" x14ac:dyDescent="0.3">
      <c r="A627" t="s">
        <v>3529</v>
      </c>
      <c r="B627" t="str">
        <f>TEXT(Raw_Data[[#This Row],[Order Date]],"mmm")</f>
        <v>Nov</v>
      </c>
      <c r="C627" t="s">
        <v>1330</v>
      </c>
      <c r="D627" t="s">
        <v>3530</v>
      </c>
      <c r="E627" t="s">
        <v>20</v>
      </c>
      <c r="F627" t="s">
        <v>36</v>
      </c>
      <c r="G627" t="s">
        <v>153</v>
      </c>
      <c r="H627" t="s">
        <v>107</v>
      </c>
      <c r="I627" t="s">
        <v>378</v>
      </c>
      <c r="J627" t="s">
        <v>25</v>
      </c>
      <c r="K627" t="s">
        <v>3531</v>
      </c>
      <c r="L627">
        <v>0.1</v>
      </c>
      <c r="M627" t="s">
        <v>3532</v>
      </c>
      <c r="N627" t="s">
        <v>3533</v>
      </c>
      <c r="O627" t="s">
        <v>173</v>
      </c>
      <c r="P627" t="s">
        <v>112</v>
      </c>
      <c r="Q627" t="s">
        <v>44</v>
      </c>
      <c r="R627" s="3">
        <v>3871.89</v>
      </c>
    </row>
    <row r="628" spans="1:18" x14ac:dyDescent="0.3">
      <c r="A628" t="s">
        <v>3534</v>
      </c>
      <c r="B628" t="str">
        <f>TEXT(Raw_Data[[#This Row],[Order Date]],"mmm")</f>
        <v>Jul</v>
      </c>
      <c r="C628" t="s">
        <v>412</v>
      </c>
      <c r="D628" t="s">
        <v>3535</v>
      </c>
      <c r="E628" t="s">
        <v>20</v>
      </c>
      <c r="F628" t="s">
        <v>215</v>
      </c>
      <c r="G628" t="s">
        <v>276</v>
      </c>
      <c r="H628" t="s">
        <v>38</v>
      </c>
      <c r="I628" t="s">
        <v>71</v>
      </c>
      <c r="J628" t="s">
        <v>50</v>
      </c>
      <c r="K628" t="s">
        <v>3536</v>
      </c>
      <c r="L628">
        <v>0</v>
      </c>
      <c r="M628" t="s">
        <v>3537</v>
      </c>
      <c r="N628" t="s">
        <v>3538</v>
      </c>
      <c r="O628" t="s">
        <v>64</v>
      </c>
      <c r="P628" t="s">
        <v>30</v>
      </c>
      <c r="Q628" t="s">
        <v>31</v>
      </c>
      <c r="R628" s="3">
        <v>7370.84</v>
      </c>
    </row>
    <row r="629" spans="1:18" x14ac:dyDescent="0.3">
      <c r="A629" t="s">
        <v>3539</v>
      </c>
      <c r="B629" t="str">
        <f>TEXT(Raw_Data[[#This Row],[Order Date]],"mmm")</f>
        <v>May</v>
      </c>
      <c r="C629" t="s">
        <v>1937</v>
      </c>
      <c r="D629" t="s">
        <v>3540</v>
      </c>
      <c r="E629" t="s">
        <v>48</v>
      </c>
      <c r="F629" t="s">
        <v>58</v>
      </c>
      <c r="G629" t="s">
        <v>59</v>
      </c>
      <c r="H629" t="s">
        <v>23</v>
      </c>
      <c r="I629" t="s">
        <v>49</v>
      </c>
      <c r="J629" t="s">
        <v>25</v>
      </c>
      <c r="K629" t="s">
        <v>3541</v>
      </c>
      <c r="L629">
        <v>0.15</v>
      </c>
      <c r="M629" t="s">
        <v>3542</v>
      </c>
      <c r="N629" t="s">
        <v>3543</v>
      </c>
      <c r="O629" t="s">
        <v>43</v>
      </c>
      <c r="P629" t="s">
        <v>30</v>
      </c>
      <c r="Q629" t="s">
        <v>65</v>
      </c>
      <c r="R629" s="3">
        <v>41385.726499999997</v>
      </c>
    </row>
    <row r="630" spans="1:18" x14ac:dyDescent="0.3">
      <c r="A630" t="s">
        <v>3544</v>
      </c>
      <c r="B630" t="str">
        <f>TEXT(Raw_Data[[#This Row],[Order Date]],"mmm")</f>
        <v>May</v>
      </c>
      <c r="C630" t="s">
        <v>1498</v>
      </c>
      <c r="D630" t="s">
        <v>3545</v>
      </c>
      <c r="E630" t="s">
        <v>48</v>
      </c>
      <c r="F630" t="s">
        <v>106</v>
      </c>
      <c r="G630" t="s">
        <v>106</v>
      </c>
      <c r="H630" t="s">
        <v>80</v>
      </c>
      <c r="I630" t="s">
        <v>116</v>
      </c>
      <c r="J630" t="s">
        <v>50</v>
      </c>
      <c r="K630" t="s">
        <v>3546</v>
      </c>
      <c r="L630">
        <v>0.1</v>
      </c>
      <c r="M630" t="s">
        <v>3547</v>
      </c>
      <c r="N630" t="s">
        <v>3548</v>
      </c>
      <c r="O630" t="s">
        <v>29</v>
      </c>
      <c r="P630" t="s">
        <v>30</v>
      </c>
      <c r="Q630" t="s">
        <v>65</v>
      </c>
      <c r="R630" s="3">
        <v>3265.5059999999999</v>
      </c>
    </row>
    <row r="631" spans="1:18" x14ac:dyDescent="0.3">
      <c r="A631" t="s">
        <v>3549</v>
      </c>
      <c r="B631" t="str">
        <f>TEXT(Raw_Data[[#This Row],[Order Date]],"mmm")</f>
        <v>Sep</v>
      </c>
      <c r="C631" t="s">
        <v>437</v>
      </c>
      <c r="D631" t="s">
        <v>3550</v>
      </c>
      <c r="E631" t="s">
        <v>20</v>
      </c>
      <c r="F631" t="s">
        <v>69</v>
      </c>
      <c r="G631" t="s">
        <v>328</v>
      </c>
      <c r="H631" t="s">
        <v>107</v>
      </c>
      <c r="I631" t="s">
        <v>378</v>
      </c>
      <c r="J631" t="s">
        <v>25</v>
      </c>
      <c r="K631" t="s">
        <v>3551</v>
      </c>
      <c r="L631">
        <v>0</v>
      </c>
      <c r="M631" t="s">
        <v>3552</v>
      </c>
      <c r="N631" t="s">
        <v>3553</v>
      </c>
      <c r="O631" t="s">
        <v>64</v>
      </c>
      <c r="P631" t="s">
        <v>95</v>
      </c>
      <c r="Q631" t="s">
        <v>65</v>
      </c>
      <c r="R631" s="3">
        <v>3414.62</v>
      </c>
    </row>
    <row r="632" spans="1:18" x14ac:dyDescent="0.3">
      <c r="A632" t="s">
        <v>3554</v>
      </c>
      <c r="B632" t="str">
        <f>TEXT(Raw_Data[[#This Row],[Order Date]],"mmm")</f>
        <v>Oct</v>
      </c>
      <c r="C632" t="s">
        <v>2217</v>
      </c>
      <c r="D632" t="s">
        <v>3555</v>
      </c>
      <c r="E632" t="s">
        <v>35</v>
      </c>
      <c r="F632" t="s">
        <v>78</v>
      </c>
      <c r="G632" t="s">
        <v>79</v>
      </c>
      <c r="H632" t="s">
        <v>23</v>
      </c>
      <c r="I632" t="s">
        <v>263</v>
      </c>
      <c r="J632" t="s">
        <v>100</v>
      </c>
      <c r="K632" t="s">
        <v>3556</v>
      </c>
      <c r="L632">
        <v>0.15</v>
      </c>
      <c r="M632" t="s">
        <v>3557</v>
      </c>
      <c r="N632" t="s">
        <v>3558</v>
      </c>
      <c r="O632" t="s">
        <v>173</v>
      </c>
      <c r="P632" t="s">
        <v>30</v>
      </c>
      <c r="Q632" t="s">
        <v>65</v>
      </c>
      <c r="R632" s="3">
        <v>174936.93599999999</v>
      </c>
    </row>
    <row r="633" spans="1:18" x14ac:dyDescent="0.3">
      <c r="A633" t="s">
        <v>3559</v>
      </c>
      <c r="B633" t="str">
        <f>TEXT(Raw_Data[[#This Row],[Order Date]],"mmm")</f>
        <v>Jan</v>
      </c>
      <c r="C633" t="s">
        <v>2464</v>
      </c>
      <c r="D633" t="s">
        <v>3560</v>
      </c>
      <c r="E633" t="s">
        <v>48</v>
      </c>
      <c r="F633" t="s">
        <v>215</v>
      </c>
      <c r="G633" t="s">
        <v>276</v>
      </c>
      <c r="H633" t="s">
        <v>107</v>
      </c>
      <c r="I633" t="s">
        <v>378</v>
      </c>
      <c r="J633" t="s">
        <v>25</v>
      </c>
      <c r="K633" t="s">
        <v>3561</v>
      </c>
      <c r="L633">
        <v>0</v>
      </c>
      <c r="M633" t="s">
        <v>3562</v>
      </c>
      <c r="N633" t="s">
        <v>3563</v>
      </c>
      <c r="O633" t="s">
        <v>64</v>
      </c>
      <c r="P633" t="s">
        <v>30</v>
      </c>
      <c r="Q633" t="s">
        <v>65</v>
      </c>
      <c r="R633" s="3">
        <v>13642.19</v>
      </c>
    </row>
    <row r="634" spans="1:18" x14ac:dyDescent="0.3">
      <c r="A634" t="s">
        <v>3564</v>
      </c>
      <c r="B634" t="str">
        <f>TEXT(Raw_Data[[#This Row],[Order Date]],"mmm")</f>
        <v>Feb</v>
      </c>
      <c r="C634" t="s">
        <v>2676</v>
      </c>
      <c r="D634" t="s">
        <v>3565</v>
      </c>
      <c r="E634" t="s">
        <v>20</v>
      </c>
      <c r="F634" t="s">
        <v>89</v>
      </c>
      <c r="G634" t="s">
        <v>230</v>
      </c>
      <c r="H634" t="s">
        <v>80</v>
      </c>
      <c r="I634" t="s">
        <v>91</v>
      </c>
      <c r="J634" t="s">
        <v>25</v>
      </c>
      <c r="K634" t="s">
        <v>3566</v>
      </c>
      <c r="L634">
        <v>0.1</v>
      </c>
      <c r="M634" t="s">
        <v>3567</v>
      </c>
      <c r="N634" t="s">
        <v>3568</v>
      </c>
      <c r="O634" t="s">
        <v>64</v>
      </c>
      <c r="P634" t="s">
        <v>30</v>
      </c>
      <c r="Q634" t="s">
        <v>65</v>
      </c>
      <c r="R634" s="3">
        <v>5035.6170000000002</v>
      </c>
    </row>
    <row r="635" spans="1:18" x14ac:dyDescent="0.3">
      <c r="A635" t="s">
        <v>3569</v>
      </c>
      <c r="B635" t="str">
        <f>TEXT(Raw_Data[[#This Row],[Order Date]],"mmm")</f>
        <v>Mar</v>
      </c>
      <c r="C635" t="s">
        <v>713</v>
      </c>
      <c r="D635" t="s">
        <v>3570</v>
      </c>
      <c r="E635" t="s">
        <v>35</v>
      </c>
      <c r="F635" t="s">
        <v>215</v>
      </c>
      <c r="G635" t="s">
        <v>216</v>
      </c>
      <c r="H635" t="s">
        <v>107</v>
      </c>
      <c r="I635" t="s">
        <v>277</v>
      </c>
      <c r="J635" t="s">
        <v>50</v>
      </c>
      <c r="K635" t="s">
        <v>3571</v>
      </c>
      <c r="L635">
        <v>0.15</v>
      </c>
      <c r="M635" t="s">
        <v>3572</v>
      </c>
      <c r="N635" t="s">
        <v>3573</v>
      </c>
      <c r="O635" t="s">
        <v>173</v>
      </c>
      <c r="P635" t="s">
        <v>30</v>
      </c>
      <c r="Q635" t="s">
        <v>31</v>
      </c>
      <c r="R635" s="3">
        <v>3827.03999999999</v>
      </c>
    </row>
    <row r="636" spans="1:18" x14ac:dyDescent="0.3">
      <c r="A636" t="s">
        <v>3574</v>
      </c>
      <c r="B636" t="str">
        <f>TEXT(Raw_Data[[#This Row],[Order Date]],"mmm")</f>
        <v>Jul</v>
      </c>
      <c r="C636" t="s">
        <v>3575</v>
      </c>
      <c r="D636" t="s">
        <v>3576</v>
      </c>
      <c r="E636" t="s">
        <v>35</v>
      </c>
      <c r="F636" t="s">
        <v>89</v>
      </c>
      <c r="G636" t="s">
        <v>230</v>
      </c>
      <c r="H636" t="s">
        <v>107</v>
      </c>
      <c r="I636" t="s">
        <v>277</v>
      </c>
      <c r="J636" t="s">
        <v>50</v>
      </c>
      <c r="K636" t="s">
        <v>3577</v>
      </c>
      <c r="L636">
        <v>0</v>
      </c>
      <c r="M636" t="s">
        <v>3578</v>
      </c>
      <c r="N636" t="s">
        <v>3579</v>
      </c>
      <c r="O636" t="s">
        <v>29</v>
      </c>
      <c r="P636" t="s">
        <v>30</v>
      </c>
      <c r="Q636" t="s">
        <v>44</v>
      </c>
      <c r="R636" s="3">
        <v>1398.48</v>
      </c>
    </row>
    <row r="637" spans="1:18" x14ac:dyDescent="0.3">
      <c r="A637" t="s">
        <v>3580</v>
      </c>
      <c r="B637" t="str">
        <f>TEXT(Raw_Data[[#This Row],[Order Date]],"mmm")</f>
        <v>Jan</v>
      </c>
      <c r="C637" t="s">
        <v>3581</v>
      </c>
      <c r="D637" t="s">
        <v>3582</v>
      </c>
      <c r="E637" t="s">
        <v>48</v>
      </c>
      <c r="F637" t="s">
        <v>69</v>
      </c>
      <c r="G637" t="s">
        <v>139</v>
      </c>
      <c r="H637" t="s">
        <v>38</v>
      </c>
      <c r="I637" t="s">
        <v>71</v>
      </c>
      <c r="J637" t="s">
        <v>25</v>
      </c>
      <c r="K637" t="s">
        <v>3583</v>
      </c>
      <c r="L637">
        <v>0.05</v>
      </c>
      <c r="M637" t="s">
        <v>3584</v>
      </c>
      <c r="N637" t="s">
        <v>3585</v>
      </c>
      <c r="O637" t="s">
        <v>64</v>
      </c>
      <c r="P637" t="s">
        <v>159</v>
      </c>
      <c r="Q637" t="s">
        <v>31</v>
      </c>
      <c r="R637" s="3">
        <v>1037.5709999999999</v>
      </c>
    </row>
    <row r="638" spans="1:18" x14ac:dyDescent="0.3">
      <c r="A638" t="s">
        <v>3586</v>
      </c>
      <c r="B638" t="str">
        <f>TEXT(Raw_Data[[#This Row],[Order Date]],"mmm")</f>
        <v>Oct</v>
      </c>
      <c r="C638" t="s">
        <v>2217</v>
      </c>
      <c r="D638" t="s">
        <v>3587</v>
      </c>
      <c r="E638" t="s">
        <v>20</v>
      </c>
      <c r="F638" t="s">
        <v>106</v>
      </c>
      <c r="G638" t="s">
        <v>106</v>
      </c>
      <c r="H638" t="s">
        <v>38</v>
      </c>
      <c r="I638" t="s">
        <v>223</v>
      </c>
      <c r="J638" t="s">
        <v>50</v>
      </c>
      <c r="K638" t="s">
        <v>3588</v>
      </c>
      <c r="L638">
        <v>0.15</v>
      </c>
      <c r="M638" t="s">
        <v>3589</v>
      </c>
      <c r="N638" t="s">
        <v>3590</v>
      </c>
      <c r="O638" t="s">
        <v>173</v>
      </c>
      <c r="P638" t="s">
        <v>30</v>
      </c>
      <c r="Q638" t="s">
        <v>31</v>
      </c>
      <c r="R638" s="3">
        <v>6663.2179999999998</v>
      </c>
    </row>
    <row r="639" spans="1:18" x14ac:dyDescent="0.3">
      <c r="A639" t="s">
        <v>3591</v>
      </c>
      <c r="B639" t="str">
        <f>TEXT(Raw_Data[[#This Row],[Order Date]],"mmm")</f>
        <v>Sep</v>
      </c>
      <c r="C639" t="s">
        <v>719</v>
      </c>
      <c r="D639" t="s">
        <v>3592</v>
      </c>
      <c r="E639" t="s">
        <v>35</v>
      </c>
      <c r="F639" t="s">
        <v>215</v>
      </c>
      <c r="G639" t="s">
        <v>216</v>
      </c>
      <c r="H639" t="s">
        <v>23</v>
      </c>
      <c r="I639" t="s">
        <v>341</v>
      </c>
      <c r="J639" t="s">
        <v>50</v>
      </c>
      <c r="K639" t="s">
        <v>3593</v>
      </c>
      <c r="L639">
        <v>0</v>
      </c>
      <c r="M639" t="s">
        <v>3594</v>
      </c>
      <c r="N639" t="s">
        <v>3595</v>
      </c>
      <c r="O639" t="s">
        <v>29</v>
      </c>
      <c r="P639" t="s">
        <v>30</v>
      </c>
      <c r="Q639" t="s">
        <v>31</v>
      </c>
      <c r="R639" s="3">
        <v>50055.62</v>
      </c>
    </row>
    <row r="640" spans="1:18" x14ac:dyDescent="0.3">
      <c r="A640" t="s">
        <v>3596</v>
      </c>
      <c r="B640" t="str">
        <f>TEXT(Raw_Data[[#This Row],[Order Date]],"mmm")</f>
        <v>Jan</v>
      </c>
      <c r="C640" t="s">
        <v>2886</v>
      </c>
      <c r="D640" t="s">
        <v>3597</v>
      </c>
      <c r="E640" t="s">
        <v>35</v>
      </c>
      <c r="F640" t="s">
        <v>78</v>
      </c>
      <c r="G640" t="s">
        <v>79</v>
      </c>
      <c r="H640" t="s">
        <v>154</v>
      </c>
      <c r="I640" t="s">
        <v>155</v>
      </c>
      <c r="J640" t="s">
        <v>82</v>
      </c>
      <c r="K640" t="s">
        <v>3598</v>
      </c>
      <c r="L640">
        <v>0</v>
      </c>
      <c r="M640" t="s">
        <v>3599</v>
      </c>
      <c r="N640" t="s">
        <v>3600</v>
      </c>
      <c r="O640" t="s">
        <v>43</v>
      </c>
      <c r="P640" t="s">
        <v>30</v>
      </c>
      <c r="Q640" t="s">
        <v>44</v>
      </c>
      <c r="R640" s="3">
        <v>16617.48</v>
      </c>
    </row>
    <row r="641" spans="1:18" x14ac:dyDescent="0.3">
      <c r="A641" t="s">
        <v>3601</v>
      </c>
      <c r="B641" t="str">
        <f>TEXT(Raw_Data[[#This Row],[Order Date]],"mmm")</f>
        <v>Jul</v>
      </c>
      <c r="C641" t="s">
        <v>128</v>
      </c>
      <c r="D641" t="s">
        <v>3602</v>
      </c>
      <c r="E641" t="s">
        <v>20</v>
      </c>
      <c r="F641" t="s">
        <v>36</v>
      </c>
      <c r="G641" t="s">
        <v>153</v>
      </c>
      <c r="H641" t="s">
        <v>154</v>
      </c>
      <c r="I641" t="s">
        <v>155</v>
      </c>
      <c r="J641" t="s">
        <v>25</v>
      </c>
      <c r="K641" t="s">
        <v>3603</v>
      </c>
      <c r="L641">
        <v>0.05</v>
      </c>
      <c r="M641" t="s">
        <v>3604</v>
      </c>
      <c r="N641" t="s">
        <v>3605</v>
      </c>
      <c r="O641" t="s">
        <v>43</v>
      </c>
      <c r="P641" t="s">
        <v>30</v>
      </c>
      <c r="Q641" t="s">
        <v>31</v>
      </c>
      <c r="R641" s="3">
        <v>6484.6524999999901</v>
      </c>
    </row>
    <row r="642" spans="1:18" x14ac:dyDescent="0.3">
      <c r="A642" t="s">
        <v>3606</v>
      </c>
      <c r="B642" t="str">
        <f>TEXT(Raw_Data[[#This Row],[Order Date]],"mmm")</f>
        <v>Dec</v>
      </c>
      <c r="C642" t="s">
        <v>3159</v>
      </c>
      <c r="D642" t="s">
        <v>3607</v>
      </c>
      <c r="E642" t="s">
        <v>35</v>
      </c>
      <c r="F642" t="s">
        <v>106</v>
      </c>
      <c r="G642" t="s">
        <v>106</v>
      </c>
      <c r="H642" t="s">
        <v>107</v>
      </c>
      <c r="I642" t="s">
        <v>277</v>
      </c>
      <c r="J642" t="s">
        <v>25</v>
      </c>
      <c r="K642" t="s">
        <v>3608</v>
      </c>
      <c r="L642">
        <v>0.05</v>
      </c>
      <c r="M642" t="s">
        <v>3609</v>
      </c>
      <c r="N642" t="s">
        <v>3610</v>
      </c>
      <c r="O642" t="s">
        <v>54</v>
      </c>
      <c r="P642" t="s">
        <v>30</v>
      </c>
      <c r="Q642" t="s">
        <v>31</v>
      </c>
      <c r="R642" s="3">
        <v>6787.0279999999902</v>
      </c>
    </row>
    <row r="643" spans="1:18" x14ac:dyDescent="0.3">
      <c r="A643" t="s">
        <v>3611</v>
      </c>
      <c r="B643" t="str">
        <f>TEXT(Raw_Data[[#This Row],[Order Date]],"mmm")</f>
        <v>Sep</v>
      </c>
      <c r="C643" t="s">
        <v>2824</v>
      </c>
      <c r="D643" t="s">
        <v>3612</v>
      </c>
      <c r="E643" t="s">
        <v>20</v>
      </c>
      <c r="F643" t="s">
        <v>36</v>
      </c>
      <c r="G643" t="s">
        <v>153</v>
      </c>
      <c r="H643" t="s">
        <v>154</v>
      </c>
      <c r="I643" t="s">
        <v>237</v>
      </c>
      <c r="J643" t="s">
        <v>100</v>
      </c>
      <c r="K643" t="s">
        <v>3613</v>
      </c>
      <c r="L643">
        <v>0.15</v>
      </c>
      <c r="M643" t="s">
        <v>3614</v>
      </c>
      <c r="N643" t="s">
        <v>3615</v>
      </c>
      <c r="O643" t="s">
        <v>64</v>
      </c>
      <c r="P643" t="s">
        <v>30</v>
      </c>
      <c r="Q643" t="s">
        <v>44</v>
      </c>
      <c r="R643" s="3">
        <v>6010.9364999999998</v>
      </c>
    </row>
    <row r="644" spans="1:18" x14ac:dyDescent="0.3">
      <c r="A644" t="s">
        <v>3616</v>
      </c>
      <c r="B644" t="str">
        <f>TEXT(Raw_Data[[#This Row],[Order Date]],"mmm")</f>
        <v>Feb</v>
      </c>
      <c r="C644" t="s">
        <v>2676</v>
      </c>
      <c r="D644" t="s">
        <v>3617</v>
      </c>
      <c r="E644" t="s">
        <v>20</v>
      </c>
      <c r="F644" t="s">
        <v>215</v>
      </c>
      <c r="G644" t="s">
        <v>216</v>
      </c>
      <c r="H644" t="s">
        <v>23</v>
      </c>
      <c r="I644" t="s">
        <v>183</v>
      </c>
      <c r="J644" t="s">
        <v>25</v>
      </c>
      <c r="K644" t="s">
        <v>3618</v>
      </c>
      <c r="L644">
        <v>0.1</v>
      </c>
      <c r="M644" t="s">
        <v>3619</v>
      </c>
      <c r="N644" t="s">
        <v>3620</v>
      </c>
      <c r="O644" t="s">
        <v>64</v>
      </c>
      <c r="P644" t="s">
        <v>30</v>
      </c>
      <c r="Q644" t="s">
        <v>44</v>
      </c>
      <c r="R644" s="3">
        <v>28842.417000000001</v>
      </c>
    </row>
    <row r="645" spans="1:18" x14ac:dyDescent="0.3">
      <c r="A645" t="s">
        <v>3621</v>
      </c>
      <c r="B645" t="str">
        <f>TEXT(Raw_Data[[#This Row],[Order Date]],"mmm")</f>
        <v>Apr</v>
      </c>
      <c r="C645" t="s">
        <v>3622</v>
      </c>
      <c r="D645" t="s">
        <v>3623</v>
      </c>
      <c r="E645" t="s">
        <v>35</v>
      </c>
      <c r="F645" t="s">
        <v>58</v>
      </c>
      <c r="G645" t="s">
        <v>812</v>
      </c>
      <c r="H645" t="s">
        <v>23</v>
      </c>
      <c r="I645" t="s">
        <v>49</v>
      </c>
      <c r="J645" t="s">
        <v>100</v>
      </c>
      <c r="K645" t="s">
        <v>3624</v>
      </c>
      <c r="L645">
        <v>0.15</v>
      </c>
      <c r="M645" t="s">
        <v>3625</v>
      </c>
      <c r="N645" t="s">
        <v>3626</v>
      </c>
      <c r="O645" t="s">
        <v>64</v>
      </c>
      <c r="P645" t="s">
        <v>30</v>
      </c>
      <c r="Q645" t="s">
        <v>31</v>
      </c>
      <c r="R645" s="3">
        <v>72567.899999999994</v>
      </c>
    </row>
    <row r="646" spans="1:18" x14ac:dyDescent="0.3">
      <c r="A646" t="s">
        <v>3627</v>
      </c>
      <c r="B646" t="str">
        <f>TEXT(Raw_Data[[#This Row],[Order Date]],"mmm")</f>
        <v>Jul</v>
      </c>
      <c r="C646" t="s">
        <v>3049</v>
      </c>
      <c r="D646" t="s">
        <v>3628</v>
      </c>
      <c r="E646" t="s">
        <v>48</v>
      </c>
      <c r="F646" t="s">
        <v>69</v>
      </c>
      <c r="G646" t="s">
        <v>328</v>
      </c>
      <c r="H646" t="s">
        <v>107</v>
      </c>
      <c r="I646" t="s">
        <v>469</v>
      </c>
      <c r="J646" t="s">
        <v>25</v>
      </c>
      <c r="K646" t="s">
        <v>3629</v>
      </c>
      <c r="L646">
        <v>0</v>
      </c>
      <c r="M646" t="s">
        <v>3630</v>
      </c>
      <c r="N646" t="s">
        <v>3631</v>
      </c>
      <c r="O646" t="s">
        <v>54</v>
      </c>
      <c r="P646" t="s">
        <v>30</v>
      </c>
      <c r="Q646" t="s">
        <v>31</v>
      </c>
      <c r="R646" s="3">
        <v>4648.12</v>
      </c>
    </row>
    <row r="647" spans="1:18" x14ac:dyDescent="0.3">
      <c r="A647" t="s">
        <v>3632</v>
      </c>
      <c r="B647" t="str">
        <f>TEXT(Raw_Data[[#This Row],[Order Date]],"mmm")</f>
        <v>Apr</v>
      </c>
      <c r="C647" t="s">
        <v>675</v>
      </c>
      <c r="D647" t="s">
        <v>3633</v>
      </c>
      <c r="E647" t="s">
        <v>48</v>
      </c>
      <c r="F647" t="s">
        <v>58</v>
      </c>
      <c r="G647" t="s">
        <v>290</v>
      </c>
      <c r="H647" t="s">
        <v>107</v>
      </c>
      <c r="I647" t="s">
        <v>469</v>
      </c>
      <c r="J647" t="s">
        <v>100</v>
      </c>
      <c r="K647" t="s">
        <v>3634</v>
      </c>
      <c r="L647">
        <v>0.1</v>
      </c>
      <c r="M647" t="s">
        <v>3635</v>
      </c>
      <c r="N647" t="s">
        <v>3636</v>
      </c>
      <c r="O647" t="s">
        <v>29</v>
      </c>
      <c r="P647" t="s">
        <v>112</v>
      </c>
      <c r="Q647" t="s">
        <v>31</v>
      </c>
      <c r="R647" s="3">
        <v>3657.2310000000002</v>
      </c>
    </row>
    <row r="648" spans="1:18" x14ac:dyDescent="0.3">
      <c r="A648" t="s">
        <v>3637</v>
      </c>
      <c r="B648" t="str">
        <f>TEXT(Raw_Data[[#This Row],[Order Date]],"mmm")</f>
        <v>Jun</v>
      </c>
      <c r="C648" t="s">
        <v>3638</v>
      </c>
      <c r="D648" t="s">
        <v>3639</v>
      </c>
      <c r="E648" t="s">
        <v>20</v>
      </c>
      <c r="F648" t="s">
        <v>58</v>
      </c>
      <c r="G648" t="s">
        <v>812</v>
      </c>
      <c r="H648" t="s">
        <v>107</v>
      </c>
      <c r="I648" t="s">
        <v>108</v>
      </c>
      <c r="J648" t="s">
        <v>50</v>
      </c>
      <c r="K648" t="s">
        <v>3640</v>
      </c>
      <c r="L648">
        <v>0.15</v>
      </c>
      <c r="M648" t="s">
        <v>3641</v>
      </c>
      <c r="N648" t="s">
        <v>3642</v>
      </c>
      <c r="O648" t="s">
        <v>54</v>
      </c>
      <c r="P648" t="s">
        <v>159</v>
      </c>
      <c r="Q648" t="s">
        <v>65</v>
      </c>
      <c r="R648" s="3">
        <v>13057.529999999901</v>
      </c>
    </row>
    <row r="649" spans="1:18" x14ac:dyDescent="0.3">
      <c r="A649" t="s">
        <v>3643</v>
      </c>
      <c r="B649" t="str">
        <f>TEXT(Raw_Data[[#This Row],[Order Date]],"mmm")</f>
        <v>Jan</v>
      </c>
      <c r="C649" t="s">
        <v>1878</v>
      </c>
      <c r="D649" t="s">
        <v>3644</v>
      </c>
      <c r="E649" t="s">
        <v>48</v>
      </c>
      <c r="F649" t="s">
        <v>78</v>
      </c>
      <c r="G649" t="s">
        <v>731</v>
      </c>
      <c r="H649" t="s">
        <v>23</v>
      </c>
      <c r="I649" t="s">
        <v>341</v>
      </c>
      <c r="J649" t="s">
        <v>50</v>
      </c>
      <c r="K649" t="s">
        <v>3645</v>
      </c>
      <c r="L649">
        <v>0.1</v>
      </c>
      <c r="M649" t="s">
        <v>3646</v>
      </c>
      <c r="N649" t="s">
        <v>3647</v>
      </c>
      <c r="O649" t="s">
        <v>64</v>
      </c>
      <c r="P649" t="s">
        <v>112</v>
      </c>
      <c r="Q649" t="s">
        <v>31</v>
      </c>
      <c r="R649" s="3">
        <v>127348.632</v>
      </c>
    </row>
    <row r="650" spans="1:18" x14ac:dyDescent="0.3">
      <c r="A650" t="s">
        <v>3648</v>
      </c>
      <c r="B650" t="str">
        <f>TEXT(Raw_Data[[#This Row],[Order Date]],"mmm")</f>
        <v>Jul</v>
      </c>
      <c r="C650" t="s">
        <v>562</v>
      </c>
      <c r="D650" t="s">
        <v>3649</v>
      </c>
      <c r="E650" t="s">
        <v>20</v>
      </c>
      <c r="F650" t="s">
        <v>106</v>
      </c>
      <c r="G650" t="s">
        <v>106</v>
      </c>
      <c r="H650" t="s">
        <v>107</v>
      </c>
      <c r="I650" t="s">
        <v>378</v>
      </c>
      <c r="J650" t="s">
        <v>25</v>
      </c>
      <c r="K650" t="s">
        <v>3650</v>
      </c>
      <c r="L650">
        <v>0.15</v>
      </c>
      <c r="M650" t="s">
        <v>3651</v>
      </c>
      <c r="N650" t="s">
        <v>3652</v>
      </c>
      <c r="O650" t="s">
        <v>54</v>
      </c>
      <c r="P650" t="s">
        <v>112</v>
      </c>
      <c r="Q650" t="s">
        <v>44</v>
      </c>
      <c r="R650" s="3">
        <v>9927.1924999999992</v>
      </c>
    </row>
    <row r="651" spans="1:18" x14ac:dyDescent="0.3">
      <c r="A651" t="s">
        <v>3653</v>
      </c>
      <c r="B651" t="str">
        <f>TEXT(Raw_Data[[#This Row],[Order Date]],"mmm")</f>
        <v>Jan</v>
      </c>
      <c r="C651" t="s">
        <v>207</v>
      </c>
      <c r="D651" t="s">
        <v>3654</v>
      </c>
      <c r="E651" t="s">
        <v>35</v>
      </c>
      <c r="F651" t="s">
        <v>58</v>
      </c>
      <c r="G651" t="s">
        <v>290</v>
      </c>
      <c r="H651" t="s">
        <v>23</v>
      </c>
      <c r="I651" t="s">
        <v>49</v>
      </c>
      <c r="J651" t="s">
        <v>50</v>
      </c>
      <c r="K651" t="s">
        <v>3655</v>
      </c>
      <c r="L651">
        <v>0.05</v>
      </c>
      <c r="M651" t="s">
        <v>3656</v>
      </c>
      <c r="N651" t="s">
        <v>3657</v>
      </c>
      <c r="O651" t="s">
        <v>29</v>
      </c>
      <c r="P651" t="s">
        <v>30</v>
      </c>
      <c r="Q651" t="s">
        <v>65</v>
      </c>
      <c r="R651" s="3">
        <v>19444.505000000001</v>
      </c>
    </row>
    <row r="652" spans="1:18" x14ac:dyDescent="0.3">
      <c r="A652" t="s">
        <v>3658</v>
      </c>
      <c r="B652" t="str">
        <f>TEXT(Raw_Data[[#This Row],[Order Date]],"mmm")</f>
        <v>Nov</v>
      </c>
      <c r="C652" t="s">
        <v>3096</v>
      </c>
      <c r="D652" t="s">
        <v>3659</v>
      </c>
      <c r="E652" t="s">
        <v>48</v>
      </c>
      <c r="F652" t="s">
        <v>58</v>
      </c>
      <c r="G652" t="s">
        <v>812</v>
      </c>
      <c r="H652" t="s">
        <v>23</v>
      </c>
      <c r="I652" t="s">
        <v>183</v>
      </c>
      <c r="J652" t="s">
        <v>25</v>
      </c>
      <c r="K652" t="s">
        <v>3660</v>
      </c>
      <c r="L652">
        <v>0.05</v>
      </c>
      <c r="M652" t="s">
        <v>3661</v>
      </c>
      <c r="N652" t="s">
        <v>3662</v>
      </c>
      <c r="O652" t="s">
        <v>43</v>
      </c>
      <c r="P652" t="s">
        <v>30</v>
      </c>
      <c r="Q652" t="s">
        <v>31</v>
      </c>
      <c r="R652" s="3">
        <v>34298.315499999997</v>
      </c>
    </row>
    <row r="653" spans="1:18" x14ac:dyDescent="0.3">
      <c r="A653" t="s">
        <v>3663</v>
      </c>
      <c r="B653" t="str">
        <f>TEXT(Raw_Data[[#This Row],[Order Date]],"mmm")</f>
        <v>Jan</v>
      </c>
      <c r="C653" t="s">
        <v>207</v>
      </c>
      <c r="D653" t="s">
        <v>3664</v>
      </c>
      <c r="E653" t="s">
        <v>48</v>
      </c>
      <c r="F653" t="s">
        <v>215</v>
      </c>
      <c r="G653" t="s">
        <v>276</v>
      </c>
      <c r="H653" t="s">
        <v>80</v>
      </c>
      <c r="I653" t="s">
        <v>146</v>
      </c>
      <c r="J653" t="s">
        <v>82</v>
      </c>
      <c r="K653" t="s">
        <v>3665</v>
      </c>
      <c r="L653">
        <v>0.15</v>
      </c>
      <c r="M653" t="s">
        <v>3666</v>
      </c>
      <c r="N653" t="s">
        <v>3667</v>
      </c>
      <c r="O653" t="s">
        <v>64</v>
      </c>
      <c r="P653" t="s">
        <v>30</v>
      </c>
      <c r="Q653" t="s">
        <v>65</v>
      </c>
      <c r="R653" s="3">
        <v>16121.508</v>
      </c>
    </row>
    <row r="654" spans="1:18" x14ac:dyDescent="0.3">
      <c r="A654" t="s">
        <v>3668</v>
      </c>
      <c r="B654" t="str">
        <f>TEXT(Raw_Data[[#This Row],[Order Date]],"mmm")</f>
        <v>Mar</v>
      </c>
      <c r="C654" t="s">
        <v>3669</v>
      </c>
      <c r="D654" t="s">
        <v>3670</v>
      </c>
      <c r="E654" t="s">
        <v>35</v>
      </c>
      <c r="F654" t="s">
        <v>89</v>
      </c>
      <c r="G654" t="s">
        <v>230</v>
      </c>
      <c r="H654" t="s">
        <v>80</v>
      </c>
      <c r="I654" t="s">
        <v>91</v>
      </c>
      <c r="J654" t="s">
        <v>25</v>
      </c>
      <c r="K654" t="s">
        <v>3671</v>
      </c>
      <c r="L654">
        <v>0.1</v>
      </c>
      <c r="M654" t="s">
        <v>3672</v>
      </c>
      <c r="N654" t="s">
        <v>3673</v>
      </c>
      <c r="O654" t="s">
        <v>54</v>
      </c>
      <c r="P654" t="s">
        <v>112</v>
      </c>
      <c r="Q654" t="s">
        <v>65</v>
      </c>
      <c r="R654" s="3">
        <v>3004.9830000000002</v>
      </c>
    </row>
    <row r="655" spans="1:18" x14ac:dyDescent="0.3">
      <c r="A655" t="s">
        <v>3674</v>
      </c>
      <c r="B655" t="str">
        <f>TEXT(Raw_Data[[#This Row],[Order Date]],"mmm")</f>
        <v>Apr</v>
      </c>
      <c r="C655" t="s">
        <v>902</v>
      </c>
      <c r="D655" t="s">
        <v>3675</v>
      </c>
      <c r="E655" t="s">
        <v>35</v>
      </c>
      <c r="F655" t="s">
        <v>21</v>
      </c>
      <c r="G655" t="s">
        <v>130</v>
      </c>
      <c r="H655" t="s">
        <v>23</v>
      </c>
      <c r="I655" t="s">
        <v>24</v>
      </c>
      <c r="J655" t="s">
        <v>25</v>
      </c>
      <c r="K655" t="s">
        <v>3676</v>
      </c>
      <c r="L655">
        <v>0</v>
      </c>
      <c r="M655" t="s">
        <v>3677</v>
      </c>
      <c r="N655" t="s">
        <v>3678</v>
      </c>
      <c r="O655" t="s">
        <v>29</v>
      </c>
      <c r="P655" t="s">
        <v>30</v>
      </c>
      <c r="Q655" t="s">
        <v>44</v>
      </c>
      <c r="R655" s="3">
        <v>37280.769999999997</v>
      </c>
    </row>
    <row r="656" spans="1:18" x14ac:dyDescent="0.3">
      <c r="A656" t="s">
        <v>3679</v>
      </c>
      <c r="B656" t="str">
        <f>TEXT(Raw_Data[[#This Row],[Order Date]],"mmm")</f>
        <v>Jul</v>
      </c>
      <c r="C656" t="s">
        <v>412</v>
      </c>
      <c r="D656" t="s">
        <v>3680</v>
      </c>
      <c r="E656" t="s">
        <v>48</v>
      </c>
      <c r="F656" t="s">
        <v>106</v>
      </c>
      <c r="G656" t="s">
        <v>106</v>
      </c>
      <c r="H656" t="s">
        <v>23</v>
      </c>
      <c r="I656" t="s">
        <v>341</v>
      </c>
      <c r="J656" t="s">
        <v>50</v>
      </c>
      <c r="K656" t="s">
        <v>3681</v>
      </c>
      <c r="L656">
        <v>0.05</v>
      </c>
      <c r="M656" t="s">
        <v>3682</v>
      </c>
      <c r="N656" t="s">
        <v>3683</v>
      </c>
      <c r="O656" t="s">
        <v>3684</v>
      </c>
      <c r="P656" t="s">
        <v>30</v>
      </c>
      <c r="Q656" t="s">
        <v>65</v>
      </c>
      <c r="R656" s="3">
        <v>126330.69599999901</v>
      </c>
    </row>
    <row r="657" spans="1:18" x14ac:dyDescent="0.3">
      <c r="A657" t="s">
        <v>3685</v>
      </c>
      <c r="B657" t="str">
        <f>TEXT(Raw_Data[[#This Row],[Order Date]],"mmm")</f>
        <v>May</v>
      </c>
      <c r="C657" t="s">
        <v>2174</v>
      </c>
      <c r="D657" t="s">
        <v>3686</v>
      </c>
      <c r="E657" t="s">
        <v>35</v>
      </c>
      <c r="F657" t="s">
        <v>69</v>
      </c>
      <c r="G657" t="s">
        <v>139</v>
      </c>
      <c r="H657" t="s">
        <v>107</v>
      </c>
      <c r="I657" t="s">
        <v>378</v>
      </c>
      <c r="J657" t="s">
        <v>50</v>
      </c>
      <c r="K657" t="s">
        <v>3687</v>
      </c>
      <c r="L657">
        <v>0.15</v>
      </c>
      <c r="M657" t="s">
        <v>3688</v>
      </c>
      <c r="N657" t="s">
        <v>3689</v>
      </c>
      <c r="O657" t="s">
        <v>54</v>
      </c>
      <c r="P657" t="s">
        <v>95</v>
      </c>
      <c r="Q657" t="s">
        <v>65</v>
      </c>
      <c r="R657" s="3">
        <v>26059.673999999999</v>
      </c>
    </row>
    <row r="658" spans="1:18" x14ac:dyDescent="0.3">
      <c r="A658" t="s">
        <v>3690</v>
      </c>
      <c r="B658" t="str">
        <f>TEXT(Raw_Data[[#This Row],[Order Date]],"mmm")</f>
        <v>Apr</v>
      </c>
      <c r="C658" t="s">
        <v>352</v>
      </c>
      <c r="D658" t="s">
        <v>3691</v>
      </c>
      <c r="E658" t="s">
        <v>35</v>
      </c>
      <c r="F658" t="s">
        <v>21</v>
      </c>
      <c r="G658" t="s">
        <v>22</v>
      </c>
      <c r="H658" t="s">
        <v>107</v>
      </c>
      <c r="I658" t="s">
        <v>108</v>
      </c>
      <c r="J658" t="s">
        <v>100</v>
      </c>
      <c r="K658" t="s">
        <v>3692</v>
      </c>
      <c r="L658">
        <v>0.1</v>
      </c>
      <c r="M658" t="s">
        <v>3693</v>
      </c>
      <c r="N658" t="s">
        <v>3694</v>
      </c>
      <c r="O658" t="s">
        <v>64</v>
      </c>
      <c r="P658" t="s">
        <v>30</v>
      </c>
      <c r="Q658" t="s">
        <v>31</v>
      </c>
      <c r="R658" s="3">
        <v>38116.358999999997</v>
      </c>
    </row>
    <row r="659" spans="1:18" x14ac:dyDescent="0.3">
      <c r="A659" t="s">
        <v>3695</v>
      </c>
      <c r="B659" t="str">
        <f>TEXT(Raw_Data[[#This Row],[Order Date]],"mmm")</f>
        <v>Nov</v>
      </c>
      <c r="C659" t="s">
        <v>3696</v>
      </c>
      <c r="D659" t="s">
        <v>3697</v>
      </c>
      <c r="E659" t="s">
        <v>35</v>
      </c>
      <c r="F659" t="s">
        <v>69</v>
      </c>
      <c r="G659" t="s">
        <v>328</v>
      </c>
      <c r="H659" t="s">
        <v>80</v>
      </c>
      <c r="I659" t="s">
        <v>131</v>
      </c>
      <c r="J659" t="s">
        <v>25</v>
      </c>
      <c r="K659" t="s">
        <v>3698</v>
      </c>
      <c r="L659">
        <v>0.05</v>
      </c>
      <c r="M659" t="s">
        <v>3699</v>
      </c>
      <c r="N659" t="s">
        <v>3700</v>
      </c>
      <c r="O659" t="s">
        <v>64</v>
      </c>
      <c r="P659" t="s">
        <v>30</v>
      </c>
      <c r="Q659" t="s">
        <v>31</v>
      </c>
      <c r="R659" s="3">
        <v>2831.6365000000001</v>
      </c>
    </row>
    <row r="660" spans="1:18" x14ac:dyDescent="0.3">
      <c r="A660" t="s">
        <v>3701</v>
      </c>
      <c r="B660" t="str">
        <f>TEXT(Raw_Data[[#This Row],[Order Date]],"mmm")</f>
        <v>Mar</v>
      </c>
      <c r="C660" t="s">
        <v>556</v>
      </c>
      <c r="D660" t="s">
        <v>3702</v>
      </c>
      <c r="E660" t="s">
        <v>20</v>
      </c>
      <c r="F660" t="s">
        <v>89</v>
      </c>
      <c r="G660" t="s">
        <v>99</v>
      </c>
      <c r="H660" t="s">
        <v>107</v>
      </c>
      <c r="I660" t="s">
        <v>591</v>
      </c>
      <c r="J660" t="s">
        <v>82</v>
      </c>
      <c r="K660" t="s">
        <v>3703</v>
      </c>
      <c r="L660">
        <v>0.1</v>
      </c>
      <c r="M660" t="s">
        <v>3704</v>
      </c>
      <c r="N660" t="s">
        <v>3705</v>
      </c>
      <c r="O660" t="s">
        <v>54</v>
      </c>
      <c r="P660" t="s">
        <v>30</v>
      </c>
      <c r="Q660" t="s">
        <v>65</v>
      </c>
      <c r="R660" s="3">
        <v>8266.2839999999997</v>
      </c>
    </row>
    <row r="661" spans="1:18" x14ac:dyDescent="0.3">
      <c r="A661" t="s">
        <v>3706</v>
      </c>
      <c r="B661" t="str">
        <f>TEXT(Raw_Data[[#This Row],[Order Date]],"mmm")</f>
        <v>Oct</v>
      </c>
      <c r="C661" t="s">
        <v>3707</v>
      </c>
      <c r="D661" t="s">
        <v>3708</v>
      </c>
      <c r="E661" t="s">
        <v>48</v>
      </c>
      <c r="F661" t="s">
        <v>21</v>
      </c>
      <c r="G661" t="s">
        <v>22</v>
      </c>
      <c r="H661" t="s">
        <v>38</v>
      </c>
      <c r="I661" t="s">
        <v>39</v>
      </c>
      <c r="J661" t="s">
        <v>25</v>
      </c>
      <c r="K661" t="s">
        <v>3709</v>
      </c>
      <c r="L661">
        <v>0.05</v>
      </c>
      <c r="M661" t="s">
        <v>3710</v>
      </c>
      <c r="N661" t="s">
        <v>3711</v>
      </c>
      <c r="O661" t="s">
        <v>54</v>
      </c>
      <c r="P661" t="s">
        <v>30</v>
      </c>
      <c r="Q661" t="s">
        <v>44</v>
      </c>
      <c r="R661" s="3">
        <v>5465.4924999999903</v>
      </c>
    </row>
    <row r="662" spans="1:18" x14ac:dyDescent="0.3">
      <c r="A662" t="s">
        <v>3712</v>
      </c>
      <c r="B662" t="str">
        <f>TEXT(Raw_Data[[#This Row],[Order Date]],"mmm")</f>
        <v>Apr</v>
      </c>
      <c r="C662" t="s">
        <v>419</v>
      </c>
      <c r="D662" t="s">
        <v>3713</v>
      </c>
      <c r="E662" t="s">
        <v>48</v>
      </c>
      <c r="F662" t="s">
        <v>36</v>
      </c>
      <c r="G662" t="s">
        <v>153</v>
      </c>
      <c r="H662" t="s">
        <v>80</v>
      </c>
      <c r="I662" t="s">
        <v>131</v>
      </c>
      <c r="J662" t="s">
        <v>25</v>
      </c>
      <c r="K662" t="s">
        <v>3714</v>
      </c>
      <c r="L662">
        <v>0.1</v>
      </c>
      <c r="M662" t="s">
        <v>3715</v>
      </c>
      <c r="N662" t="s">
        <v>3716</v>
      </c>
      <c r="O662" t="s">
        <v>54</v>
      </c>
      <c r="P662" t="s">
        <v>30</v>
      </c>
      <c r="Q662" t="s">
        <v>31</v>
      </c>
      <c r="R662" s="3">
        <v>2200.6979999999999</v>
      </c>
    </row>
    <row r="663" spans="1:18" x14ac:dyDescent="0.3">
      <c r="A663" t="s">
        <v>3717</v>
      </c>
      <c r="B663" t="str">
        <f>TEXT(Raw_Data[[#This Row],[Order Date]],"mmm")</f>
        <v>Mar</v>
      </c>
      <c r="C663" t="s">
        <v>3718</v>
      </c>
      <c r="D663" t="s">
        <v>3719</v>
      </c>
      <c r="E663" t="s">
        <v>35</v>
      </c>
      <c r="F663" t="s">
        <v>69</v>
      </c>
      <c r="G663" t="s">
        <v>70</v>
      </c>
      <c r="H663" t="s">
        <v>23</v>
      </c>
      <c r="I663" t="s">
        <v>24</v>
      </c>
      <c r="J663" t="s">
        <v>25</v>
      </c>
      <c r="K663" t="s">
        <v>3720</v>
      </c>
      <c r="L663">
        <v>0</v>
      </c>
      <c r="M663" t="s">
        <v>3721</v>
      </c>
      <c r="N663" t="s">
        <v>3722</v>
      </c>
      <c r="O663" t="s">
        <v>54</v>
      </c>
      <c r="P663" t="s">
        <v>30</v>
      </c>
      <c r="Q663" t="s">
        <v>44</v>
      </c>
      <c r="R663" s="3">
        <v>53346.13</v>
      </c>
    </row>
    <row r="664" spans="1:18" x14ac:dyDescent="0.3">
      <c r="A664" t="s">
        <v>3723</v>
      </c>
      <c r="B664" t="str">
        <f>TEXT(Raw_Data[[#This Row],[Order Date]],"mmm")</f>
        <v>Oct</v>
      </c>
      <c r="C664" t="s">
        <v>3724</v>
      </c>
      <c r="D664" t="s">
        <v>3725</v>
      </c>
      <c r="E664" t="s">
        <v>35</v>
      </c>
      <c r="F664" t="s">
        <v>78</v>
      </c>
      <c r="G664" t="s">
        <v>79</v>
      </c>
      <c r="H664" t="s">
        <v>23</v>
      </c>
      <c r="I664" t="s">
        <v>341</v>
      </c>
      <c r="J664" t="s">
        <v>25</v>
      </c>
      <c r="K664" t="s">
        <v>3726</v>
      </c>
      <c r="L664">
        <v>0.05</v>
      </c>
      <c r="M664" t="s">
        <v>3727</v>
      </c>
      <c r="N664" t="s">
        <v>3728</v>
      </c>
      <c r="O664" t="s">
        <v>29</v>
      </c>
      <c r="P664" t="s">
        <v>30</v>
      </c>
      <c r="Q664" t="s">
        <v>31</v>
      </c>
      <c r="R664" s="3">
        <v>51245.327499999898</v>
      </c>
    </row>
    <row r="665" spans="1:18" x14ac:dyDescent="0.3">
      <c r="A665" t="s">
        <v>3729</v>
      </c>
      <c r="B665" t="str">
        <f>TEXT(Raw_Data[[#This Row],[Order Date]],"mmm")</f>
        <v>Apr</v>
      </c>
      <c r="C665" t="s">
        <v>2552</v>
      </c>
      <c r="D665" t="s">
        <v>3730</v>
      </c>
      <c r="E665" t="s">
        <v>48</v>
      </c>
      <c r="F665" t="s">
        <v>36</v>
      </c>
      <c r="G665" t="s">
        <v>123</v>
      </c>
      <c r="H665" t="s">
        <v>23</v>
      </c>
      <c r="I665" t="s">
        <v>49</v>
      </c>
      <c r="J665" t="s">
        <v>25</v>
      </c>
      <c r="K665" t="s">
        <v>3731</v>
      </c>
      <c r="L665">
        <v>0.2</v>
      </c>
      <c r="M665" t="s">
        <v>3732</v>
      </c>
      <c r="N665" t="s">
        <v>3733</v>
      </c>
      <c r="O665" t="s">
        <v>64</v>
      </c>
      <c r="P665" t="s">
        <v>95</v>
      </c>
      <c r="Q665" t="s">
        <v>44</v>
      </c>
      <c r="R665" s="3">
        <v>57575.199999999997</v>
      </c>
    </row>
    <row r="666" spans="1:18" x14ac:dyDescent="0.3">
      <c r="A666" t="s">
        <v>3734</v>
      </c>
      <c r="B666" t="str">
        <f>TEXT(Raw_Data[[#This Row],[Order Date]],"mmm")</f>
        <v>Jan</v>
      </c>
      <c r="C666" t="s">
        <v>2970</v>
      </c>
      <c r="D666" t="s">
        <v>3735</v>
      </c>
      <c r="E666" t="s">
        <v>35</v>
      </c>
      <c r="F666" t="s">
        <v>58</v>
      </c>
      <c r="G666" t="s">
        <v>812</v>
      </c>
      <c r="H666" t="s">
        <v>23</v>
      </c>
      <c r="I666" t="s">
        <v>49</v>
      </c>
      <c r="J666" t="s">
        <v>82</v>
      </c>
      <c r="K666" t="s">
        <v>3736</v>
      </c>
      <c r="L666">
        <v>0.1</v>
      </c>
      <c r="M666" t="s">
        <v>3737</v>
      </c>
      <c r="N666" t="s">
        <v>3738</v>
      </c>
      <c r="O666" t="s">
        <v>43</v>
      </c>
      <c r="P666" t="s">
        <v>30</v>
      </c>
      <c r="Q666" t="s">
        <v>31</v>
      </c>
      <c r="R666" s="3">
        <v>124803.144</v>
      </c>
    </row>
    <row r="667" spans="1:18" x14ac:dyDescent="0.3">
      <c r="A667" t="s">
        <v>3739</v>
      </c>
      <c r="B667" t="str">
        <f>TEXT(Raw_Data[[#This Row],[Order Date]],"mmm")</f>
        <v>Jun</v>
      </c>
      <c r="C667" t="s">
        <v>2223</v>
      </c>
      <c r="D667" t="s">
        <v>3740</v>
      </c>
      <c r="E667" t="s">
        <v>20</v>
      </c>
      <c r="F667" t="s">
        <v>69</v>
      </c>
      <c r="G667" t="s">
        <v>328</v>
      </c>
      <c r="H667" t="s">
        <v>23</v>
      </c>
      <c r="I667" t="s">
        <v>49</v>
      </c>
      <c r="J667" t="s">
        <v>100</v>
      </c>
      <c r="K667" t="s">
        <v>3741</v>
      </c>
      <c r="L667">
        <v>0</v>
      </c>
      <c r="M667" t="s">
        <v>3742</v>
      </c>
      <c r="N667" t="s">
        <v>3743</v>
      </c>
      <c r="O667" t="s">
        <v>173</v>
      </c>
      <c r="P667" t="s">
        <v>112</v>
      </c>
      <c r="Q667" t="s">
        <v>44</v>
      </c>
      <c r="R667" s="3">
        <v>23441.52</v>
      </c>
    </row>
    <row r="668" spans="1:18" x14ac:dyDescent="0.3">
      <c r="A668" t="s">
        <v>3744</v>
      </c>
      <c r="B668" t="str">
        <f>TEXT(Raw_Data[[#This Row],[Order Date]],"mmm")</f>
        <v>Feb</v>
      </c>
      <c r="C668" t="s">
        <v>1087</v>
      </c>
      <c r="D668" t="s">
        <v>3745</v>
      </c>
      <c r="E668" t="s">
        <v>20</v>
      </c>
      <c r="F668" t="s">
        <v>58</v>
      </c>
      <c r="G668" t="s">
        <v>59</v>
      </c>
      <c r="H668" t="s">
        <v>80</v>
      </c>
      <c r="I668" t="s">
        <v>81</v>
      </c>
      <c r="J668" t="s">
        <v>50</v>
      </c>
      <c r="K668" t="s">
        <v>3746</v>
      </c>
      <c r="L668">
        <v>0.15</v>
      </c>
      <c r="M668" t="s">
        <v>3747</v>
      </c>
      <c r="N668" t="s">
        <v>3748</v>
      </c>
      <c r="O668" t="s">
        <v>43</v>
      </c>
      <c r="P668" t="s">
        <v>30</v>
      </c>
      <c r="Q668" t="s">
        <v>44</v>
      </c>
      <c r="R668" s="3">
        <v>11315.727000000001</v>
      </c>
    </row>
    <row r="669" spans="1:18" x14ac:dyDescent="0.3">
      <c r="A669" t="s">
        <v>3749</v>
      </c>
      <c r="B669" t="str">
        <f>TEXT(Raw_Data[[#This Row],[Order Date]],"mmm")</f>
        <v>Sep</v>
      </c>
      <c r="C669" t="s">
        <v>1539</v>
      </c>
      <c r="D669" t="s">
        <v>3750</v>
      </c>
      <c r="E669" t="s">
        <v>20</v>
      </c>
      <c r="F669" t="s">
        <v>106</v>
      </c>
      <c r="G669" t="s">
        <v>163</v>
      </c>
      <c r="H669" t="s">
        <v>80</v>
      </c>
      <c r="I669" t="s">
        <v>131</v>
      </c>
      <c r="J669" t="s">
        <v>50</v>
      </c>
      <c r="K669" t="s">
        <v>3751</v>
      </c>
      <c r="L669">
        <v>0.05</v>
      </c>
      <c r="M669" t="s">
        <v>3752</v>
      </c>
      <c r="N669" t="s">
        <v>3753</v>
      </c>
      <c r="O669" t="s">
        <v>173</v>
      </c>
      <c r="P669" t="s">
        <v>95</v>
      </c>
      <c r="Q669" t="s">
        <v>44</v>
      </c>
      <c r="R669" s="3">
        <v>11957.3839999999</v>
      </c>
    </row>
    <row r="670" spans="1:18" x14ac:dyDescent="0.3">
      <c r="A670" t="s">
        <v>3754</v>
      </c>
      <c r="B670" t="str">
        <f>TEXT(Raw_Data[[#This Row],[Order Date]],"mmm")</f>
        <v>May</v>
      </c>
      <c r="C670" t="s">
        <v>3102</v>
      </c>
      <c r="D670" t="s">
        <v>3755</v>
      </c>
      <c r="E670" t="s">
        <v>20</v>
      </c>
      <c r="F670" t="s">
        <v>36</v>
      </c>
      <c r="G670" t="s">
        <v>37</v>
      </c>
      <c r="H670" t="s">
        <v>2581</v>
      </c>
      <c r="I670" t="s">
        <v>591</v>
      </c>
      <c r="J670" t="s">
        <v>50</v>
      </c>
      <c r="K670" t="s">
        <v>3756</v>
      </c>
      <c r="L670">
        <v>0.1</v>
      </c>
      <c r="M670" t="s">
        <v>3757</v>
      </c>
      <c r="N670" t="s">
        <v>3758</v>
      </c>
      <c r="O670" t="s">
        <v>64</v>
      </c>
      <c r="P670" t="s">
        <v>30</v>
      </c>
      <c r="Q670" t="s">
        <v>31</v>
      </c>
      <c r="R670" s="3">
        <v>15041.754000000001</v>
      </c>
    </row>
    <row r="671" spans="1:18" x14ac:dyDescent="0.3">
      <c r="A671" t="s">
        <v>3759</v>
      </c>
      <c r="B671" t="str">
        <f>TEXT(Raw_Data[[#This Row],[Order Date]],"mmm")</f>
        <v>Dec</v>
      </c>
      <c r="C671" t="s">
        <v>1003</v>
      </c>
      <c r="D671" t="s">
        <v>3760</v>
      </c>
      <c r="E671" t="s">
        <v>35</v>
      </c>
      <c r="F671" t="s">
        <v>106</v>
      </c>
      <c r="G671" t="s">
        <v>106</v>
      </c>
      <c r="H671" t="s">
        <v>107</v>
      </c>
      <c r="I671" t="s">
        <v>591</v>
      </c>
      <c r="J671" t="s">
        <v>50</v>
      </c>
      <c r="K671" t="s">
        <v>3761</v>
      </c>
      <c r="L671">
        <v>0.15</v>
      </c>
      <c r="M671" t="s">
        <v>3762</v>
      </c>
      <c r="N671" t="s">
        <v>3763</v>
      </c>
      <c r="O671" t="s">
        <v>43</v>
      </c>
      <c r="P671" t="s">
        <v>30</v>
      </c>
      <c r="Q671" t="s">
        <v>44</v>
      </c>
      <c r="R671" s="3">
        <v>3972.951</v>
      </c>
    </row>
    <row r="672" spans="1:18" x14ac:dyDescent="0.3">
      <c r="A672" t="s">
        <v>3764</v>
      </c>
      <c r="B672" t="str">
        <f>TEXT(Raw_Data[[#This Row],[Order Date]],"mmm")</f>
        <v>Nov</v>
      </c>
      <c r="C672" t="s">
        <v>3305</v>
      </c>
      <c r="D672" t="s">
        <v>3765</v>
      </c>
      <c r="E672" t="s">
        <v>48</v>
      </c>
      <c r="F672" t="s">
        <v>21</v>
      </c>
      <c r="G672" t="s">
        <v>130</v>
      </c>
      <c r="H672" t="s">
        <v>23</v>
      </c>
      <c r="I672" t="s">
        <v>341</v>
      </c>
      <c r="J672" t="s">
        <v>25</v>
      </c>
      <c r="K672" t="s">
        <v>3766</v>
      </c>
      <c r="L672">
        <v>0.05</v>
      </c>
      <c r="M672" t="s">
        <v>3767</v>
      </c>
      <c r="N672" t="s">
        <v>3768</v>
      </c>
      <c r="O672" t="s">
        <v>43</v>
      </c>
      <c r="P672" t="s">
        <v>159</v>
      </c>
      <c r="Q672" t="s">
        <v>31</v>
      </c>
      <c r="R672" s="3">
        <v>68983.708499999993</v>
      </c>
    </row>
    <row r="673" spans="1:18" x14ac:dyDescent="0.3">
      <c r="A673" t="s">
        <v>3769</v>
      </c>
      <c r="B673" t="str">
        <f>TEXT(Raw_Data[[#This Row],[Order Date]],"mmm")</f>
        <v>Sep</v>
      </c>
      <c r="C673" t="s">
        <v>2824</v>
      </c>
      <c r="D673" t="s">
        <v>3770</v>
      </c>
      <c r="E673" t="s">
        <v>35</v>
      </c>
      <c r="F673" t="s">
        <v>69</v>
      </c>
      <c r="G673" t="s">
        <v>70</v>
      </c>
      <c r="H673" t="s">
        <v>23</v>
      </c>
      <c r="I673" t="s">
        <v>49</v>
      </c>
      <c r="J673" t="s">
        <v>25</v>
      </c>
      <c r="K673" t="s">
        <v>3771</v>
      </c>
      <c r="L673">
        <v>0.2</v>
      </c>
      <c r="M673" t="s">
        <v>3772</v>
      </c>
      <c r="N673" t="s">
        <v>3773</v>
      </c>
      <c r="O673" t="s">
        <v>54</v>
      </c>
      <c r="P673" t="s">
        <v>30</v>
      </c>
      <c r="Q673" t="s">
        <v>65</v>
      </c>
      <c r="R673" s="3">
        <v>6498.7520000000004</v>
      </c>
    </row>
    <row r="674" spans="1:18" x14ac:dyDescent="0.3">
      <c r="A674" t="s">
        <v>3774</v>
      </c>
      <c r="B674" t="str">
        <f>TEXT(Raw_Data[[#This Row],[Order Date]],"mmm")</f>
        <v>Jan</v>
      </c>
      <c r="C674" t="s">
        <v>669</v>
      </c>
      <c r="D674" t="s">
        <v>3775</v>
      </c>
      <c r="E674" t="s">
        <v>48</v>
      </c>
      <c r="F674" t="s">
        <v>69</v>
      </c>
      <c r="G674" t="s">
        <v>328</v>
      </c>
      <c r="H674" t="s">
        <v>107</v>
      </c>
      <c r="I674" t="s">
        <v>378</v>
      </c>
      <c r="J674" t="s">
        <v>25</v>
      </c>
      <c r="K674" t="s">
        <v>3776</v>
      </c>
      <c r="L674">
        <v>0.1</v>
      </c>
      <c r="M674" t="s">
        <v>3777</v>
      </c>
      <c r="N674" t="s">
        <v>3778</v>
      </c>
      <c r="O674" t="s">
        <v>54</v>
      </c>
      <c r="P674" t="s">
        <v>30</v>
      </c>
      <c r="Q674" t="s">
        <v>44</v>
      </c>
      <c r="R674" s="3">
        <v>15909.939</v>
      </c>
    </row>
    <row r="675" spans="1:18" x14ac:dyDescent="0.3">
      <c r="A675" t="s">
        <v>3779</v>
      </c>
      <c r="B675" t="str">
        <f>TEXT(Raw_Data[[#This Row],[Order Date]],"mmm")</f>
        <v>Jun</v>
      </c>
      <c r="C675" t="s">
        <v>3780</v>
      </c>
      <c r="D675" t="s">
        <v>3781</v>
      </c>
      <c r="E675" t="s">
        <v>20</v>
      </c>
      <c r="F675" t="s">
        <v>58</v>
      </c>
      <c r="G675" t="s">
        <v>59</v>
      </c>
      <c r="H675" t="s">
        <v>107</v>
      </c>
      <c r="I675" t="s">
        <v>469</v>
      </c>
      <c r="J675" t="s">
        <v>25</v>
      </c>
      <c r="K675" t="s">
        <v>3782</v>
      </c>
      <c r="L675">
        <v>0.15</v>
      </c>
      <c r="M675" t="s">
        <v>3783</v>
      </c>
      <c r="N675" t="s">
        <v>3784</v>
      </c>
      <c r="O675" t="s">
        <v>173</v>
      </c>
      <c r="P675" t="s">
        <v>159</v>
      </c>
      <c r="Q675" t="s">
        <v>65</v>
      </c>
      <c r="R675" s="3">
        <v>11058.4744999999</v>
      </c>
    </row>
    <row r="676" spans="1:18" x14ac:dyDescent="0.3">
      <c r="A676" t="s">
        <v>3785</v>
      </c>
      <c r="B676" t="str">
        <f>TEXT(Raw_Data[[#This Row],[Order Date]],"mmm")</f>
        <v>Aug</v>
      </c>
      <c r="C676" t="s">
        <v>528</v>
      </c>
      <c r="D676" t="s">
        <v>3786</v>
      </c>
      <c r="E676" t="s">
        <v>20</v>
      </c>
      <c r="F676" t="s">
        <v>215</v>
      </c>
      <c r="G676" t="s">
        <v>276</v>
      </c>
      <c r="H676" t="s">
        <v>38</v>
      </c>
      <c r="I676" t="s">
        <v>71</v>
      </c>
      <c r="J676" t="s">
        <v>25</v>
      </c>
      <c r="K676" t="s">
        <v>3787</v>
      </c>
      <c r="L676">
        <v>0.1</v>
      </c>
      <c r="M676" t="s">
        <v>3788</v>
      </c>
      <c r="N676" t="s">
        <v>3789</v>
      </c>
      <c r="O676" t="s">
        <v>135</v>
      </c>
      <c r="P676" t="s">
        <v>30</v>
      </c>
      <c r="Q676" t="s">
        <v>44</v>
      </c>
      <c r="R676" s="3">
        <v>4193.46</v>
      </c>
    </row>
    <row r="677" spans="1:18" x14ac:dyDescent="0.3">
      <c r="A677" t="s">
        <v>3790</v>
      </c>
      <c r="B677" t="str">
        <f>TEXT(Raw_Data[[#This Row],[Order Date]],"mmm")</f>
        <v>Aug</v>
      </c>
      <c r="C677" t="s">
        <v>1053</v>
      </c>
      <c r="D677" t="s">
        <v>3791</v>
      </c>
      <c r="E677" t="s">
        <v>48</v>
      </c>
      <c r="F677" t="s">
        <v>89</v>
      </c>
      <c r="G677" t="s">
        <v>230</v>
      </c>
      <c r="H677" t="s">
        <v>80</v>
      </c>
      <c r="I677" t="s">
        <v>91</v>
      </c>
      <c r="J677" t="s">
        <v>25</v>
      </c>
      <c r="K677" t="s">
        <v>3792</v>
      </c>
      <c r="L677">
        <v>0.1</v>
      </c>
      <c r="M677" t="s">
        <v>3793</v>
      </c>
      <c r="N677" t="s">
        <v>3794</v>
      </c>
      <c r="O677" t="s">
        <v>54</v>
      </c>
      <c r="P677" t="s">
        <v>30</v>
      </c>
      <c r="Q677" t="s">
        <v>65</v>
      </c>
      <c r="R677" s="3">
        <v>2758.221</v>
      </c>
    </row>
    <row r="678" spans="1:18" x14ac:dyDescent="0.3">
      <c r="A678" t="s">
        <v>3795</v>
      </c>
      <c r="B678" t="str">
        <f>TEXT(Raw_Data[[#This Row],[Order Date]],"mmm")</f>
        <v>Dec</v>
      </c>
      <c r="C678" t="s">
        <v>786</v>
      </c>
      <c r="D678" t="s">
        <v>3796</v>
      </c>
      <c r="E678" t="s">
        <v>48</v>
      </c>
      <c r="F678" t="s">
        <v>215</v>
      </c>
      <c r="G678" t="s">
        <v>276</v>
      </c>
      <c r="H678" t="s">
        <v>80</v>
      </c>
      <c r="I678" t="s">
        <v>155</v>
      </c>
      <c r="J678" t="s">
        <v>25</v>
      </c>
      <c r="K678" t="s">
        <v>3797</v>
      </c>
      <c r="L678">
        <v>0.1</v>
      </c>
      <c r="M678" t="s">
        <v>3798</v>
      </c>
      <c r="N678" t="s">
        <v>3799</v>
      </c>
      <c r="O678" t="s">
        <v>64</v>
      </c>
      <c r="P678" t="s">
        <v>30</v>
      </c>
      <c r="Q678" t="s">
        <v>31</v>
      </c>
      <c r="R678" s="3">
        <v>8944.4609999999993</v>
      </c>
    </row>
    <row r="679" spans="1:18" x14ac:dyDescent="0.3">
      <c r="A679" t="s">
        <v>3800</v>
      </c>
      <c r="B679" t="str">
        <f>TEXT(Raw_Data[[#This Row],[Order Date]],"mmm")</f>
        <v>Feb</v>
      </c>
      <c r="C679" t="s">
        <v>845</v>
      </c>
      <c r="D679" t="s">
        <v>3801</v>
      </c>
      <c r="E679" t="s">
        <v>48</v>
      </c>
      <c r="F679" t="s">
        <v>215</v>
      </c>
      <c r="G679" t="s">
        <v>216</v>
      </c>
      <c r="H679" t="s">
        <v>107</v>
      </c>
      <c r="I679" t="s">
        <v>378</v>
      </c>
      <c r="J679" t="s">
        <v>82</v>
      </c>
      <c r="K679" t="s">
        <v>3802</v>
      </c>
      <c r="L679">
        <v>0.05</v>
      </c>
      <c r="M679" t="s">
        <v>3803</v>
      </c>
      <c r="N679" t="s">
        <v>3804</v>
      </c>
      <c r="O679" t="s">
        <v>173</v>
      </c>
      <c r="P679" t="s">
        <v>159</v>
      </c>
      <c r="Q679" t="s">
        <v>31</v>
      </c>
      <c r="R679" s="3">
        <v>4844.5059999999903</v>
      </c>
    </row>
    <row r="680" spans="1:18" x14ac:dyDescent="0.3">
      <c r="A680" t="s">
        <v>3805</v>
      </c>
      <c r="B680" t="str">
        <f>TEXT(Raw_Data[[#This Row],[Order Date]],"mmm")</f>
        <v>Nov</v>
      </c>
      <c r="C680" t="s">
        <v>1775</v>
      </c>
      <c r="D680" t="s">
        <v>3806</v>
      </c>
      <c r="E680" t="s">
        <v>48</v>
      </c>
      <c r="F680" t="s">
        <v>78</v>
      </c>
      <c r="G680" t="s">
        <v>79</v>
      </c>
      <c r="H680" t="s">
        <v>23</v>
      </c>
      <c r="I680" t="s">
        <v>263</v>
      </c>
      <c r="J680" t="s">
        <v>100</v>
      </c>
      <c r="K680" t="s">
        <v>3807</v>
      </c>
      <c r="L680">
        <v>0.1</v>
      </c>
      <c r="M680" t="s">
        <v>3808</v>
      </c>
      <c r="N680" t="s">
        <v>3809</v>
      </c>
      <c r="O680" t="s">
        <v>54</v>
      </c>
      <c r="P680" t="s">
        <v>112</v>
      </c>
      <c r="Q680" t="s">
        <v>44</v>
      </c>
      <c r="R680" s="3">
        <v>12834.3149999999</v>
      </c>
    </row>
    <row r="681" spans="1:18" x14ac:dyDescent="0.3">
      <c r="A681" t="s">
        <v>3810</v>
      </c>
      <c r="B681" t="str">
        <f>TEXT(Raw_Data[[#This Row],[Order Date]],"mmm")</f>
        <v>May</v>
      </c>
      <c r="C681" t="s">
        <v>2174</v>
      </c>
      <c r="D681" t="s">
        <v>3811</v>
      </c>
      <c r="E681" t="s">
        <v>20</v>
      </c>
      <c r="F681" t="s">
        <v>58</v>
      </c>
      <c r="G681" t="s">
        <v>290</v>
      </c>
      <c r="H681" t="s">
        <v>23</v>
      </c>
      <c r="I681" t="s">
        <v>341</v>
      </c>
      <c r="J681" t="s">
        <v>25</v>
      </c>
      <c r="K681" t="s">
        <v>3812</v>
      </c>
      <c r="L681">
        <v>0.2</v>
      </c>
      <c r="M681" t="s">
        <v>3813</v>
      </c>
      <c r="N681" t="s">
        <v>3814</v>
      </c>
      <c r="O681" t="s">
        <v>64</v>
      </c>
      <c r="P681" t="s">
        <v>30</v>
      </c>
      <c r="Q681" t="s">
        <v>31</v>
      </c>
      <c r="R681" s="3">
        <v>14463.856</v>
      </c>
    </row>
    <row r="682" spans="1:18" x14ac:dyDescent="0.3">
      <c r="A682" t="s">
        <v>3815</v>
      </c>
      <c r="B682" t="str">
        <f>TEXT(Raw_Data[[#This Row],[Order Date]],"mmm")</f>
        <v>Sep</v>
      </c>
      <c r="C682" t="s">
        <v>1586</v>
      </c>
      <c r="D682" t="s">
        <v>3816</v>
      </c>
      <c r="E682" t="s">
        <v>35</v>
      </c>
      <c r="F682" t="s">
        <v>106</v>
      </c>
      <c r="G682" t="s">
        <v>163</v>
      </c>
      <c r="H682" t="s">
        <v>23</v>
      </c>
      <c r="I682" t="s">
        <v>183</v>
      </c>
      <c r="J682" t="s">
        <v>25</v>
      </c>
      <c r="K682" t="s">
        <v>3817</v>
      </c>
      <c r="L682">
        <v>0.1</v>
      </c>
      <c r="M682" t="s">
        <v>3818</v>
      </c>
      <c r="N682" t="s">
        <v>3819</v>
      </c>
      <c r="O682" t="s">
        <v>173</v>
      </c>
      <c r="P682" t="s">
        <v>30</v>
      </c>
      <c r="Q682" t="s">
        <v>65</v>
      </c>
      <c r="R682" s="3">
        <v>37844.072999999997</v>
      </c>
    </row>
    <row r="683" spans="1:18" x14ac:dyDescent="0.3">
      <c r="A683" t="s">
        <v>3820</v>
      </c>
      <c r="B683" t="str">
        <f>TEXT(Raw_Data[[#This Row],[Order Date]],"mmm")</f>
        <v>Aug</v>
      </c>
      <c r="C683" t="s">
        <v>1943</v>
      </c>
      <c r="D683" t="s">
        <v>3821</v>
      </c>
      <c r="E683" t="s">
        <v>35</v>
      </c>
      <c r="F683" t="s">
        <v>21</v>
      </c>
      <c r="G683" t="s">
        <v>130</v>
      </c>
      <c r="H683" t="s">
        <v>38</v>
      </c>
      <c r="I683" t="s">
        <v>256</v>
      </c>
      <c r="J683" t="s">
        <v>25</v>
      </c>
      <c r="K683" t="s">
        <v>3822</v>
      </c>
      <c r="L683">
        <v>0</v>
      </c>
      <c r="M683" t="s">
        <v>3823</v>
      </c>
      <c r="N683" t="s">
        <v>3824</v>
      </c>
      <c r="O683" t="s">
        <v>29</v>
      </c>
      <c r="P683" t="s">
        <v>112</v>
      </c>
      <c r="Q683" t="s">
        <v>44</v>
      </c>
      <c r="R683" s="3">
        <v>3475.43</v>
      </c>
    </row>
    <row r="684" spans="1:18" x14ac:dyDescent="0.3">
      <c r="A684" t="s">
        <v>3825</v>
      </c>
      <c r="B684" t="str">
        <f>TEXT(Raw_Data[[#This Row],[Order Date]],"mmm")</f>
        <v>Mar</v>
      </c>
      <c r="C684" t="s">
        <v>2244</v>
      </c>
      <c r="D684" t="s">
        <v>3826</v>
      </c>
      <c r="E684" t="s">
        <v>48</v>
      </c>
      <c r="F684" t="s">
        <v>58</v>
      </c>
      <c r="G684" t="s">
        <v>812</v>
      </c>
      <c r="H684" t="s">
        <v>154</v>
      </c>
      <c r="I684" t="s">
        <v>155</v>
      </c>
      <c r="J684" t="s">
        <v>100</v>
      </c>
      <c r="K684" t="s">
        <v>3827</v>
      </c>
      <c r="L684">
        <v>0</v>
      </c>
      <c r="M684" t="s">
        <v>3828</v>
      </c>
      <c r="N684" t="s">
        <v>3829</v>
      </c>
      <c r="O684" t="s">
        <v>173</v>
      </c>
      <c r="P684" t="s">
        <v>30</v>
      </c>
      <c r="Q684" t="s">
        <v>31</v>
      </c>
      <c r="R684" s="3">
        <v>32883.599999999999</v>
      </c>
    </row>
    <row r="685" spans="1:18" x14ac:dyDescent="0.3">
      <c r="A685" t="s">
        <v>3830</v>
      </c>
      <c r="B685" t="str">
        <f>TEXT(Raw_Data[[#This Row],[Order Date]],"mmm")</f>
        <v>Sep</v>
      </c>
      <c r="C685" t="s">
        <v>1539</v>
      </c>
      <c r="D685" t="s">
        <v>3831</v>
      </c>
      <c r="E685" t="s">
        <v>35</v>
      </c>
      <c r="F685" t="s">
        <v>21</v>
      </c>
      <c r="G685" t="s">
        <v>130</v>
      </c>
      <c r="H685" t="s">
        <v>107</v>
      </c>
      <c r="I685" t="s">
        <v>591</v>
      </c>
      <c r="J685" t="s">
        <v>25</v>
      </c>
      <c r="K685" t="s">
        <v>3832</v>
      </c>
      <c r="L685">
        <v>0.15</v>
      </c>
      <c r="M685" t="s">
        <v>3833</v>
      </c>
      <c r="N685" t="s">
        <v>3834</v>
      </c>
      <c r="O685" t="s">
        <v>173</v>
      </c>
      <c r="P685" t="s">
        <v>30</v>
      </c>
      <c r="Q685" t="s">
        <v>31</v>
      </c>
      <c r="R685" s="3">
        <v>3475.0805</v>
      </c>
    </row>
    <row r="686" spans="1:18" x14ac:dyDescent="0.3">
      <c r="A686" t="s">
        <v>3835</v>
      </c>
      <c r="B686" t="str">
        <f>TEXT(Raw_Data[[#This Row],[Order Date]],"mmm")</f>
        <v>Jul</v>
      </c>
      <c r="C686" t="s">
        <v>3354</v>
      </c>
      <c r="D686" t="s">
        <v>3836</v>
      </c>
      <c r="E686" t="s">
        <v>20</v>
      </c>
      <c r="F686" t="s">
        <v>58</v>
      </c>
      <c r="G686" t="s">
        <v>812</v>
      </c>
      <c r="H686" t="s">
        <v>80</v>
      </c>
      <c r="I686" t="s">
        <v>116</v>
      </c>
      <c r="J686" t="s">
        <v>25</v>
      </c>
      <c r="K686" t="s">
        <v>3837</v>
      </c>
      <c r="L686">
        <v>0</v>
      </c>
      <c r="M686" t="s">
        <v>3838</v>
      </c>
      <c r="N686" t="s">
        <v>3839</v>
      </c>
      <c r="O686" t="s">
        <v>135</v>
      </c>
      <c r="P686" t="s">
        <v>112</v>
      </c>
      <c r="Q686" t="s">
        <v>44</v>
      </c>
      <c r="R686" s="3">
        <v>6831.78</v>
      </c>
    </row>
    <row r="687" spans="1:18" x14ac:dyDescent="0.3">
      <c r="A687" t="s">
        <v>3840</v>
      </c>
      <c r="B687" t="str">
        <f>TEXT(Raw_Data[[#This Row],[Order Date]],"mmm")</f>
        <v>Aug</v>
      </c>
      <c r="C687" t="s">
        <v>3841</v>
      </c>
      <c r="D687" t="s">
        <v>3842</v>
      </c>
      <c r="E687" t="s">
        <v>48</v>
      </c>
      <c r="F687" t="s">
        <v>78</v>
      </c>
      <c r="G687" t="s">
        <v>468</v>
      </c>
      <c r="H687" t="s">
        <v>23</v>
      </c>
      <c r="I687" t="s">
        <v>24</v>
      </c>
      <c r="J687" t="s">
        <v>25</v>
      </c>
      <c r="K687" t="s">
        <v>3843</v>
      </c>
      <c r="L687">
        <v>0</v>
      </c>
      <c r="M687" t="s">
        <v>3844</v>
      </c>
      <c r="N687" t="s">
        <v>3845</v>
      </c>
      <c r="O687" t="s">
        <v>54</v>
      </c>
      <c r="P687" t="s">
        <v>30</v>
      </c>
      <c r="Q687" t="s">
        <v>65</v>
      </c>
      <c r="R687" s="3">
        <v>61443.09</v>
      </c>
    </row>
    <row r="688" spans="1:18" x14ac:dyDescent="0.3">
      <c r="A688" t="s">
        <v>3846</v>
      </c>
      <c r="B688" t="str">
        <f>TEXT(Raw_Data[[#This Row],[Order Date]],"mmm")</f>
        <v>Dec</v>
      </c>
      <c r="C688" t="s">
        <v>2558</v>
      </c>
      <c r="D688" t="s">
        <v>3847</v>
      </c>
      <c r="E688" t="s">
        <v>20</v>
      </c>
      <c r="F688" t="s">
        <v>106</v>
      </c>
      <c r="G688" t="s">
        <v>106</v>
      </c>
      <c r="H688" t="s">
        <v>107</v>
      </c>
      <c r="I688" t="s">
        <v>378</v>
      </c>
      <c r="J688" t="s">
        <v>50</v>
      </c>
      <c r="K688" t="s">
        <v>3848</v>
      </c>
      <c r="L688">
        <v>0</v>
      </c>
      <c r="M688" t="s">
        <v>3849</v>
      </c>
      <c r="N688" t="s">
        <v>3850</v>
      </c>
      <c r="O688" t="s">
        <v>173</v>
      </c>
      <c r="P688" t="s">
        <v>30</v>
      </c>
      <c r="Q688" t="s">
        <v>31</v>
      </c>
      <c r="R688" s="3">
        <v>32737.98</v>
      </c>
    </row>
    <row r="689" spans="1:18" x14ac:dyDescent="0.3">
      <c r="A689" t="s">
        <v>3851</v>
      </c>
      <c r="B689" t="str">
        <f>TEXT(Raw_Data[[#This Row],[Order Date]],"mmm")</f>
        <v>Sep</v>
      </c>
      <c r="C689" t="s">
        <v>2151</v>
      </c>
      <c r="D689" t="s">
        <v>3852</v>
      </c>
      <c r="E689" t="s">
        <v>20</v>
      </c>
      <c r="F689" t="s">
        <v>215</v>
      </c>
      <c r="G689" t="s">
        <v>276</v>
      </c>
      <c r="H689" t="s">
        <v>107</v>
      </c>
      <c r="I689" t="s">
        <v>108</v>
      </c>
      <c r="J689" t="s">
        <v>25</v>
      </c>
      <c r="K689" t="s">
        <v>3853</v>
      </c>
      <c r="L689">
        <v>0.15</v>
      </c>
      <c r="M689" t="s">
        <v>3854</v>
      </c>
      <c r="N689" t="s">
        <v>3855</v>
      </c>
      <c r="O689" t="s">
        <v>29</v>
      </c>
      <c r="P689" t="s">
        <v>30</v>
      </c>
      <c r="Q689" t="s">
        <v>44</v>
      </c>
      <c r="R689" s="3">
        <v>9276.7895000000008</v>
      </c>
    </row>
    <row r="690" spans="1:18" x14ac:dyDescent="0.3">
      <c r="A690" t="s">
        <v>3856</v>
      </c>
      <c r="B690" t="str">
        <f>TEXT(Raw_Data[[#This Row],[Order Date]],"mmm")</f>
        <v>Jun</v>
      </c>
      <c r="C690" t="s">
        <v>1862</v>
      </c>
      <c r="D690" t="s">
        <v>3857</v>
      </c>
      <c r="E690" t="s">
        <v>35</v>
      </c>
      <c r="F690" t="s">
        <v>215</v>
      </c>
      <c r="G690" t="s">
        <v>216</v>
      </c>
      <c r="H690" t="s">
        <v>107</v>
      </c>
      <c r="I690" t="s">
        <v>108</v>
      </c>
      <c r="J690" t="s">
        <v>100</v>
      </c>
      <c r="K690" t="s">
        <v>3858</v>
      </c>
      <c r="L690">
        <v>0</v>
      </c>
      <c r="M690" t="s">
        <v>3859</v>
      </c>
      <c r="N690" t="s">
        <v>3860</v>
      </c>
      <c r="O690" t="s">
        <v>173</v>
      </c>
      <c r="P690" t="s">
        <v>30</v>
      </c>
      <c r="Q690" t="s">
        <v>44</v>
      </c>
      <c r="R690" s="3">
        <v>3739.98</v>
      </c>
    </row>
    <row r="691" spans="1:18" x14ac:dyDescent="0.3">
      <c r="A691" t="s">
        <v>3861</v>
      </c>
      <c r="B691" t="str">
        <f>TEXT(Raw_Data[[#This Row],[Order Date]],"mmm")</f>
        <v>Dec</v>
      </c>
      <c r="C691" t="s">
        <v>3862</v>
      </c>
      <c r="D691" t="s">
        <v>3863</v>
      </c>
      <c r="E691" t="s">
        <v>20</v>
      </c>
      <c r="F691" t="s">
        <v>106</v>
      </c>
      <c r="G691" t="s">
        <v>163</v>
      </c>
      <c r="H691" t="s">
        <v>2581</v>
      </c>
      <c r="I691" t="s">
        <v>277</v>
      </c>
      <c r="J691" t="s">
        <v>50</v>
      </c>
      <c r="K691" t="s">
        <v>3864</v>
      </c>
      <c r="L691">
        <v>0.1</v>
      </c>
      <c r="M691" t="s">
        <v>3865</v>
      </c>
      <c r="N691" t="s">
        <v>3866</v>
      </c>
      <c r="O691" t="s">
        <v>64</v>
      </c>
      <c r="P691" t="s">
        <v>30</v>
      </c>
      <c r="Q691" t="s">
        <v>65</v>
      </c>
      <c r="R691" s="3">
        <v>12861.918</v>
      </c>
    </row>
    <row r="692" spans="1:18" x14ac:dyDescent="0.3">
      <c r="A692" t="s">
        <v>3867</v>
      </c>
      <c r="B692" t="str">
        <f>TEXT(Raw_Data[[#This Row],[Order Date]],"mmm")</f>
        <v>Dec</v>
      </c>
      <c r="C692" t="s">
        <v>1003</v>
      </c>
      <c r="D692" t="s">
        <v>3868</v>
      </c>
      <c r="E692" t="s">
        <v>20</v>
      </c>
      <c r="F692" t="s">
        <v>89</v>
      </c>
      <c r="G692" t="s">
        <v>99</v>
      </c>
      <c r="H692" t="s">
        <v>23</v>
      </c>
      <c r="I692" t="s">
        <v>341</v>
      </c>
      <c r="J692" t="s">
        <v>100</v>
      </c>
      <c r="K692" t="s">
        <v>3869</v>
      </c>
      <c r="L692">
        <v>0.05</v>
      </c>
      <c r="M692" t="s">
        <v>3870</v>
      </c>
      <c r="N692" t="s">
        <v>3871</v>
      </c>
      <c r="O692" t="s">
        <v>43</v>
      </c>
      <c r="P692" t="s">
        <v>30</v>
      </c>
      <c r="Q692" t="s">
        <v>44</v>
      </c>
      <c r="R692" s="3">
        <v>196615.8</v>
      </c>
    </row>
    <row r="693" spans="1:18" x14ac:dyDescent="0.3">
      <c r="A693" t="s">
        <v>3872</v>
      </c>
      <c r="B693" t="str">
        <f>TEXT(Raw_Data[[#This Row],[Order Date]],"mmm")</f>
        <v>Jan</v>
      </c>
      <c r="C693" t="s">
        <v>1878</v>
      </c>
      <c r="D693" t="s">
        <v>3873</v>
      </c>
      <c r="E693" t="s">
        <v>48</v>
      </c>
      <c r="F693" t="s">
        <v>21</v>
      </c>
      <c r="G693" t="s">
        <v>130</v>
      </c>
      <c r="H693" t="s">
        <v>107</v>
      </c>
      <c r="I693" t="s">
        <v>378</v>
      </c>
      <c r="J693" t="s">
        <v>25</v>
      </c>
      <c r="K693" t="s">
        <v>3874</v>
      </c>
      <c r="L693">
        <v>0</v>
      </c>
      <c r="M693" t="s">
        <v>3875</v>
      </c>
      <c r="N693" t="s">
        <v>3876</v>
      </c>
      <c r="O693" t="s">
        <v>29</v>
      </c>
      <c r="P693" t="s">
        <v>30</v>
      </c>
      <c r="Q693" t="s">
        <v>31</v>
      </c>
      <c r="R693" s="3">
        <v>5715.73</v>
      </c>
    </row>
    <row r="694" spans="1:18" x14ac:dyDescent="0.3">
      <c r="A694" t="s">
        <v>3877</v>
      </c>
      <c r="B694" t="str">
        <f>TEXT(Raw_Data[[#This Row],[Order Date]],"mmm")</f>
        <v>Feb</v>
      </c>
      <c r="C694" t="s">
        <v>2676</v>
      </c>
      <c r="D694" t="s">
        <v>3878</v>
      </c>
      <c r="E694" t="s">
        <v>35</v>
      </c>
      <c r="F694" t="s">
        <v>58</v>
      </c>
      <c r="G694" t="s">
        <v>59</v>
      </c>
      <c r="H694" t="s">
        <v>80</v>
      </c>
      <c r="I694" t="s">
        <v>116</v>
      </c>
      <c r="J694" t="s">
        <v>100</v>
      </c>
      <c r="K694" t="s">
        <v>3879</v>
      </c>
      <c r="L694">
        <v>0.1</v>
      </c>
      <c r="M694" t="s">
        <v>3880</v>
      </c>
      <c r="N694" t="s">
        <v>3881</v>
      </c>
      <c r="O694" t="s">
        <v>173</v>
      </c>
      <c r="P694" t="s">
        <v>30</v>
      </c>
      <c r="Q694" t="s">
        <v>65</v>
      </c>
      <c r="R694" s="3">
        <v>14822.675999999999</v>
      </c>
    </row>
    <row r="695" spans="1:18" x14ac:dyDescent="0.3">
      <c r="A695" t="s">
        <v>3882</v>
      </c>
      <c r="B695" t="str">
        <f>TEXT(Raw_Data[[#This Row],[Order Date]],"mmm")</f>
        <v>Jan</v>
      </c>
      <c r="C695" t="s">
        <v>2886</v>
      </c>
      <c r="D695" t="s">
        <v>3883</v>
      </c>
      <c r="E695" t="s">
        <v>20</v>
      </c>
      <c r="F695" t="s">
        <v>215</v>
      </c>
      <c r="G695" t="s">
        <v>216</v>
      </c>
      <c r="H695" t="s">
        <v>107</v>
      </c>
      <c r="I695" t="s">
        <v>469</v>
      </c>
      <c r="J695" t="s">
        <v>82</v>
      </c>
      <c r="K695" t="s">
        <v>3884</v>
      </c>
      <c r="L695">
        <v>0</v>
      </c>
      <c r="M695" t="s">
        <v>3885</v>
      </c>
      <c r="N695" t="s">
        <v>3886</v>
      </c>
      <c r="O695" t="s">
        <v>173</v>
      </c>
      <c r="P695" t="s">
        <v>30</v>
      </c>
      <c r="Q695" t="s">
        <v>44</v>
      </c>
      <c r="R695" s="3">
        <v>41377.24</v>
      </c>
    </row>
    <row r="696" spans="1:18" x14ac:dyDescent="0.3">
      <c r="A696" t="s">
        <v>3887</v>
      </c>
      <c r="B696" t="str">
        <f>TEXT(Raw_Data[[#This Row],[Order Date]],"mmm")</f>
        <v>Oct</v>
      </c>
      <c r="C696" t="s">
        <v>2052</v>
      </c>
      <c r="D696" t="s">
        <v>3888</v>
      </c>
      <c r="E696" t="s">
        <v>20</v>
      </c>
      <c r="F696" t="s">
        <v>36</v>
      </c>
      <c r="G696" t="s">
        <v>37</v>
      </c>
      <c r="H696" t="s">
        <v>107</v>
      </c>
      <c r="I696" t="s">
        <v>277</v>
      </c>
      <c r="J696" t="s">
        <v>25</v>
      </c>
      <c r="K696" t="s">
        <v>3889</v>
      </c>
      <c r="L696">
        <v>0</v>
      </c>
      <c r="M696" t="s">
        <v>3890</v>
      </c>
      <c r="N696" t="s">
        <v>3891</v>
      </c>
      <c r="O696" t="s">
        <v>64</v>
      </c>
      <c r="P696" t="s">
        <v>30</v>
      </c>
      <c r="Q696" t="s">
        <v>31</v>
      </c>
      <c r="R696" s="3">
        <v>7795.48</v>
      </c>
    </row>
    <row r="697" spans="1:18" x14ac:dyDescent="0.3">
      <c r="A697" t="s">
        <v>3892</v>
      </c>
      <c r="B697" t="str">
        <f>TEXT(Raw_Data[[#This Row],[Order Date]],"mmm")</f>
        <v>Mar</v>
      </c>
      <c r="C697" t="s">
        <v>3893</v>
      </c>
      <c r="D697" t="s">
        <v>3894</v>
      </c>
      <c r="E697" t="s">
        <v>20</v>
      </c>
      <c r="F697" t="s">
        <v>215</v>
      </c>
      <c r="G697" t="s">
        <v>216</v>
      </c>
      <c r="H697" t="s">
        <v>38</v>
      </c>
      <c r="I697" t="s">
        <v>223</v>
      </c>
      <c r="J697" t="s">
        <v>25</v>
      </c>
      <c r="K697" t="s">
        <v>3895</v>
      </c>
      <c r="L697">
        <v>0.05</v>
      </c>
      <c r="M697" t="s">
        <v>3896</v>
      </c>
      <c r="N697" t="s">
        <v>3897</v>
      </c>
      <c r="O697" t="s">
        <v>54</v>
      </c>
      <c r="P697" t="s">
        <v>30</v>
      </c>
      <c r="Q697" t="s">
        <v>31</v>
      </c>
      <c r="R697" s="3">
        <v>3846.1605</v>
      </c>
    </row>
    <row r="698" spans="1:18" x14ac:dyDescent="0.3">
      <c r="A698" t="s">
        <v>3898</v>
      </c>
      <c r="B698" t="str">
        <f>TEXT(Raw_Data[[#This Row],[Order Date]],"mmm")</f>
        <v>May</v>
      </c>
      <c r="C698" t="s">
        <v>3899</v>
      </c>
      <c r="D698" t="s">
        <v>3900</v>
      </c>
      <c r="E698" t="s">
        <v>35</v>
      </c>
      <c r="F698" t="s">
        <v>215</v>
      </c>
      <c r="G698" t="s">
        <v>216</v>
      </c>
      <c r="H698" t="s">
        <v>23</v>
      </c>
      <c r="I698" t="s">
        <v>24</v>
      </c>
      <c r="J698" t="s">
        <v>50</v>
      </c>
      <c r="K698" t="s">
        <v>3901</v>
      </c>
      <c r="L698">
        <v>0.05</v>
      </c>
      <c r="M698" t="s">
        <v>3902</v>
      </c>
      <c r="N698" t="s">
        <v>3903</v>
      </c>
      <c r="O698" t="s">
        <v>64</v>
      </c>
      <c r="P698" t="s">
        <v>30</v>
      </c>
      <c r="Q698" t="s">
        <v>44</v>
      </c>
      <c r="R698" s="3">
        <v>68134.797999999995</v>
      </c>
    </row>
    <row r="699" spans="1:18" x14ac:dyDescent="0.3">
      <c r="A699" t="s">
        <v>3904</v>
      </c>
      <c r="B699" t="str">
        <f>TEXT(Raw_Data[[#This Row],[Order Date]],"mmm")</f>
        <v>May</v>
      </c>
      <c r="C699" t="s">
        <v>817</v>
      </c>
      <c r="D699" t="s">
        <v>3905</v>
      </c>
      <c r="E699" t="s">
        <v>20</v>
      </c>
      <c r="F699" t="s">
        <v>69</v>
      </c>
      <c r="G699" t="s">
        <v>328</v>
      </c>
      <c r="H699" t="s">
        <v>154</v>
      </c>
      <c r="I699" t="s">
        <v>155</v>
      </c>
      <c r="J699" t="s">
        <v>25</v>
      </c>
      <c r="K699" t="s">
        <v>3906</v>
      </c>
      <c r="L699">
        <v>0</v>
      </c>
      <c r="M699" t="s">
        <v>3907</v>
      </c>
      <c r="N699" t="s">
        <v>3908</v>
      </c>
      <c r="O699" t="s">
        <v>64</v>
      </c>
      <c r="P699" t="s">
        <v>30</v>
      </c>
      <c r="Q699" t="s">
        <v>44</v>
      </c>
      <c r="R699" s="3">
        <v>10355.200000000001</v>
      </c>
    </row>
    <row r="700" spans="1:18" x14ac:dyDescent="0.3">
      <c r="A700" t="s">
        <v>3909</v>
      </c>
      <c r="B700" t="str">
        <f>TEXT(Raw_Data[[#This Row],[Order Date]],"mmm")</f>
        <v>Oct</v>
      </c>
      <c r="C700" t="s">
        <v>3910</v>
      </c>
      <c r="D700" t="s">
        <v>3911</v>
      </c>
      <c r="E700" t="s">
        <v>48</v>
      </c>
      <c r="F700" t="s">
        <v>215</v>
      </c>
      <c r="G700" t="s">
        <v>216</v>
      </c>
      <c r="H700" t="s">
        <v>80</v>
      </c>
      <c r="I700" t="s">
        <v>131</v>
      </c>
      <c r="J700" t="s">
        <v>25</v>
      </c>
      <c r="K700" t="s">
        <v>3912</v>
      </c>
      <c r="L700">
        <v>0.05</v>
      </c>
      <c r="M700" t="s">
        <v>3913</v>
      </c>
      <c r="N700" t="s">
        <v>3914</v>
      </c>
      <c r="O700" t="s">
        <v>64</v>
      </c>
      <c r="P700" t="s">
        <v>30</v>
      </c>
      <c r="Q700" t="s">
        <v>31</v>
      </c>
      <c r="R700" s="3">
        <v>2510.7075</v>
      </c>
    </row>
    <row r="701" spans="1:18" x14ac:dyDescent="0.3">
      <c r="A701" t="s">
        <v>3915</v>
      </c>
      <c r="B701" t="str">
        <f>TEXT(Raw_Data[[#This Row],[Order Date]],"mmm")</f>
        <v>Jul</v>
      </c>
      <c r="C701" t="s">
        <v>3916</v>
      </c>
      <c r="D701" t="s">
        <v>3917</v>
      </c>
      <c r="E701" t="s">
        <v>48</v>
      </c>
      <c r="F701" t="s">
        <v>58</v>
      </c>
      <c r="G701" t="s">
        <v>812</v>
      </c>
      <c r="H701" t="s">
        <v>23</v>
      </c>
      <c r="I701" t="s">
        <v>341</v>
      </c>
      <c r="J701" t="s">
        <v>100</v>
      </c>
      <c r="K701" t="s">
        <v>3918</v>
      </c>
      <c r="L701">
        <v>0</v>
      </c>
      <c r="M701" t="s">
        <v>3919</v>
      </c>
      <c r="N701" t="s">
        <v>3920</v>
      </c>
      <c r="O701" t="s">
        <v>29</v>
      </c>
      <c r="P701" t="s">
        <v>30</v>
      </c>
      <c r="Q701" t="s">
        <v>44</v>
      </c>
      <c r="R701" s="3">
        <v>204139.56</v>
      </c>
    </row>
    <row r="702" spans="1:18" x14ac:dyDescent="0.3">
      <c r="A702" t="s">
        <v>3921</v>
      </c>
      <c r="B702" t="str">
        <f>TEXT(Raw_Data[[#This Row],[Order Date]],"mmm")</f>
        <v>Nov</v>
      </c>
      <c r="C702" t="s">
        <v>516</v>
      </c>
      <c r="D702" t="s">
        <v>3922</v>
      </c>
      <c r="E702" t="s">
        <v>20</v>
      </c>
      <c r="F702" t="s">
        <v>69</v>
      </c>
      <c r="G702" t="s">
        <v>328</v>
      </c>
      <c r="H702" t="s">
        <v>80</v>
      </c>
      <c r="I702" t="s">
        <v>91</v>
      </c>
      <c r="J702" t="s">
        <v>25</v>
      </c>
      <c r="K702" t="s">
        <v>3923</v>
      </c>
      <c r="L702">
        <v>0.1</v>
      </c>
      <c r="M702" t="s">
        <v>3924</v>
      </c>
      <c r="N702" t="s">
        <v>3925</v>
      </c>
      <c r="O702" t="s">
        <v>29</v>
      </c>
      <c r="P702" t="s">
        <v>3926</v>
      </c>
      <c r="Q702" t="s">
        <v>44</v>
      </c>
      <c r="R702" s="3">
        <v>2688.8310000000001</v>
      </c>
    </row>
    <row r="703" spans="1:18" x14ac:dyDescent="0.3">
      <c r="A703" t="s">
        <v>3927</v>
      </c>
      <c r="B703" t="str">
        <f>TEXT(Raw_Data[[#This Row],[Order Date]],"mmm")</f>
        <v>Dec</v>
      </c>
      <c r="C703" t="s">
        <v>1769</v>
      </c>
      <c r="D703" t="s">
        <v>3928</v>
      </c>
      <c r="E703" t="s">
        <v>48</v>
      </c>
      <c r="F703" t="s">
        <v>78</v>
      </c>
      <c r="G703" t="s">
        <v>79</v>
      </c>
      <c r="H703" t="s">
        <v>154</v>
      </c>
      <c r="I703" t="s">
        <v>365</v>
      </c>
      <c r="J703" t="s">
        <v>82</v>
      </c>
      <c r="K703" t="s">
        <v>3929</v>
      </c>
      <c r="L703">
        <v>0.05</v>
      </c>
      <c r="M703" t="s">
        <v>3930</v>
      </c>
      <c r="N703" t="s">
        <v>3931</v>
      </c>
      <c r="O703" t="s">
        <v>29</v>
      </c>
      <c r="P703" t="s">
        <v>30</v>
      </c>
      <c r="Q703" t="s">
        <v>44</v>
      </c>
      <c r="R703" s="3">
        <v>16611.396000000001</v>
      </c>
    </row>
    <row r="704" spans="1:18" x14ac:dyDescent="0.3">
      <c r="A704" t="s">
        <v>3932</v>
      </c>
      <c r="B704" t="str">
        <f>TEXT(Raw_Data[[#This Row],[Order Date]],"mmm")</f>
        <v>Aug</v>
      </c>
      <c r="C704" t="s">
        <v>3933</v>
      </c>
      <c r="D704" t="s">
        <v>3934</v>
      </c>
      <c r="E704" t="s">
        <v>20</v>
      </c>
      <c r="F704" t="s">
        <v>69</v>
      </c>
      <c r="G704" t="s">
        <v>139</v>
      </c>
      <c r="H704" t="s">
        <v>80</v>
      </c>
      <c r="I704" t="s">
        <v>116</v>
      </c>
      <c r="J704" t="s">
        <v>25</v>
      </c>
      <c r="K704" t="s">
        <v>3935</v>
      </c>
      <c r="L704">
        <v>0.1</v>
      </c>
      <c r="M704" t="s">
        <v>3936</v>
      </c>
      <c r="N704" t="s">
        <v>3937</v>
      </c>
      <c r="O704" t="s">
        <v>64</v>
      </c>
      <c r="P704" t="s">
        <v>30</v>
      </c>
      <c r="Q704" t="s">
        <v>44</v>
      </c>
      <c r="R704" s="3">
        <v>1646.442</v>
      </c>
    </row>
    <row r="705" spans="1:18" x14ac:dyDescent="0.3">
      <c r="A705" t="s">
        <v>3938</v>
      </c>
      <c r="B705" t="str">
        <f>TEXT(Raw_Data[[#This Row],[Order Date]],"mmm")</f>
        <v>Sep</v>
      </c>
      <c r="C705" t="s">
        <v>2824</v>
      </c>
      <c r="D705" t="s">
        <v>3939</v>
      </c>
      <c r="E705" t="s">
        <v>48</v>
      </c>
      <c r="F705" t="s">
        <v>89</v>
      </c>
      <c r="G705" t="s">
        <v>230</v>
      </c>
      <c r="H705" t="s">
        <v>107</v>
      </c>
      <c r="I705" t="s">
        <v>108</v>
      </c>
      <c r="J705" t="s">
        <v>25</v>
      </c>
      <c r="K705" t="s">
        <v>3940</v>
      </c>
      <c r="L705">
        <v>0.2</v>
      </c>
      <c r="M705" t="s">
        <v>3941</v>
      </c>
      <c r="N705" t="s">
        <v>3942</v>
      </c>
      <c r="O705" t="s">
        <v>54</v>
      </c>
      <c r="P705" t="s">
        <v>30</v>
      </c>
      <c r="Q705" t="s">
        <v>65</v>
      </c>
      <c r="R705" s="3">
        <v>12190.848</v>
      </c>
    </row>
    <row r="706" spans="1:18" x14ac:dyDescent="0.3">
      <c r="A706" t="s">
        <v>3943</v>
      </c>
      <c r="B706" t="str">
        <f>TEXT(Raw_Data[[#This Row],[Order Date]],"mmm")</f>
        <v>May</v>
      </c>
      <c r="C706" t="s">
        <v>2840</v>
      </c>
      <c r="D706" t="s">
        <v>3944</v>
      </c>
      <c r="E706" t="s">
        <v>48</v>
      </c>
      <c r="F706" t="s">
        <v>78</v>
      </c>
      <c r="G706" t="s">
        <v>468</v>
      </c>
      <c r="H706" t="s">
        <v>23</v>
      </c>
      <c r="I706" t="s">
        <v>183</v>
      </c>
      <c r="J706" t="s">
        <v>82</v>
      </c>
      <c r="K706" t="s">
        <v>3945</v>
      </c>
      <c r="L706">
        <v>0.1</v>
      </c>
      <c r="M706" t="s">
        <v>3946</v>
      </c>
      <c r="N706" t="s">
        <v>3947</v>
      </c>
      <c r="O706" t="s">
        <v>64</v>
      </c>
      <c r="P706" t="s">
        <v>30</v>
      </c>
      <c r="Q706" t="s">
        <v>65</v>
      </c>
      <c r="R706" s="3">
        <v>38241.324000000001</v>
      </c>
    </row>
    <row r="707" spans="1:18" x14ac:dyDescent="0.3">
      <c r="A707" t="s">
        <v>3948</v>
      </c>
      <c r="B707" t="str">
        <f>TEXT(Raw_Data[[#This Row],[Order Date]],"mmm")</f>
        <v>Jul</v>
      </c>
      <c r="C707" t="s">
        <v>3949</v>
      </c>
      <c r="D707" t="s">
        <v>3950</v>
      </c>
      <c r="E707" t="s">
        <v>35</v>
      </c>
      <c r="F707" t="s">
        <v>106</v>
      </c>
      <c r="G707" t="s">
        <v>106</v>
      </c>
      <c r="H707" t="s">
        <v>107</v>
      </c>
      <c r="I707" t="s">
        <v>469</v>
      </c>
      <c r="J707" t="s">
        <v>25</v>
      </c>
      <c r="K707" t="s">
        <v>3951</v>
      </c>
      <c r="L707">
        <v>0.2</v>
      </c>
      <c r="M707" t="s">
        <v>3952</v>
      </c>
      <c r="N707" t="s">
        <v>3953</v>
      </c>
      <c r="O707" t="s">
        <v>173</v>
      </c>
      <c r="P707" t="s">
        <v>30</v>
      </c>
      <c r="Q707" t="s">
        <v>31</v>
      </c>
      <c r="R707" s="3">
        <v>13419.896000000001</v>
      </c>
    </row>
    <row r="708" spans="1:18" x14ac:dyDescent="0.3">
      <c r="A708" t="s">
        <v>3954</v>
      </c>
      <c r="B708" t="str">
        <f>TEXT(Raw_Data[[#This Row],[Order Date]],"mmm")</f>
        <v>Oct</v>
      </c>
      <c r="C708" t="s">
        <v>383</v>
      </c>
      <c r="D708" t="s">
        <v>3955</v>
      </c>
      <c r="E708" t="s">
        <v>48</v>
      </c>
      <c r="F708" t="s">
        <v>69</v>
      </c>
      <c r="G708" t="s">
        <v>70</v>
      </c>
      <c r="H708" t="s">
        <v>107</v>
      </c>
      <c r="I708" t="s">
        <v>469</v>
      </c>
      <c r="J708" t="s">
        <v>50</v>
      </c>
      <c r="K708" t="s">
        <v>3956</v>
      </c>
      <c r="L708">
        <v>0.15</v>
      </c>
      <c r="M708" t="s">
        <v>3957</v>
      </c>
      <c r="N708" t="s">
        <v>3958</v>
      </c>
      <c r="O708" t="s">
        <v>54</v>
      </c>
      <c r="P708" t="s">
        <v>159</v>
      </c>
      <c r="Q708" t="s">
        <v>31</v>
      </c>
      <c r="R708" s="3">
        <v>14787.1269999999</v>
      </c>
    </row>
    <row r="709" spans="1:18" x14ac:dyDescent="0.3">
      <c r="A709" t="s">
        <v>3959</v>
      </c>
      <c r="B709" t="str">
        <f>TEXT(Raw_Data[[#This Row],[Order Date]],"mmm")</f>
        <v>Dec</v>
      </c>
      <c r="C709" t="s">
        <v>3960</v>
      </c>
      <c r="D709" t="s">
        <v>3961</v>
      </c>
      <c r="E709" t="s">
        <v>20</v>
      </c>
      <c r="F709" t="s">
        <v>21</v>
      </c>
      <c r="G709" t="s">
        <v>130</v>
      </c>
      <c r="H709" t="s">
        <v>154</v>
      </c>
      <c r="I709" t="s">
        <v>1061</v>
      </c>
      <c r="J709" t="s">
        <v>25</v>
      </c>
      <c r="K709" t="s">
        <v>3962</v>
      </c>
      <c r="L709">
        <v>0.1</v>
      </c>
      <c r="M709" t="s">
        <v>3963</v>
      </c>
      <c r="N709" t="s">
        <v>3964</v>
      </c>
      <c r="O709" t="s">
        <v>43</v>
      </c>
      <c r="P709" t="s">
        <v>30</v>
      </c>
      <c r="Q709" t="s">
        <v>31</v>
      </c>
      <c r="R709" s="3">
        <v>745.66800000000001</v>
      </c>
    </row>
    <row r="710" spans="1:18" x14ac:dyDescent="0.3">
      <c r="A710" t="s">
        <v>3965</v>
      </c>
      <c r="B710" t="str">
        <f>TEXT(Raw_Data[[#This Row],[Order Date]],"mmm")</f>
        <v>Jun</v>
      </c>
      <c r="C710" t="s">
        <v>3514</v>
      </c>
      <c r="D710" t="s">
        <v>3966</v>
      </c>
      <c r="E710" t="s">
        <v>20</v>
      </c>
      <c r="F710" t="s">
        <v>21</v>
      </c>
      <c r="G710" t="s">
        <v>130</v>
      </c>
      <c r="H710" t="s">
        <v>23</v>
      </c>
      <c r="I710" t="s">
        <v>341</v>
      </c>
      <c r="J710" t="s">
        <v>25</v>
      </c>
      <c r="K710" t="s">
        <v>3967</v>
      </c>
      <c r="L710">
        <v>0.05</v>
      </c>
      <c r="M710" t="s">
        <v>3968</v>
      </c>
      <c r="N710" t="s">
        <v>3969</v>
      </c>
      <c r="O710" t="s">
        <v>29</v>
      </c>
      <c r="P710" t="s">
        <v>30</v>
      </c>
      <c r="Q710" t="s">
        <v>44</v>
      </c>
      <c r="R710" s="3">
        <v>25963.6329999999</v>
      </c>
    </row>
    <row r="711" spans="1:18" x14ac:dyDescent="0.3">
      <c r="A711" t="s">
        <v>3970</v>
      </c>
      <c r="B711" t="str">
        <f>TEXT(Raw_Data[[#This Row],[Order Date]],"mmm")</f>
        <v>Sep</v>
      </c>
      <c r="C711" t="s">
        <v>1714</v>
      </c>
      <c r="D711" t="s">
        <v>3971</v>
      </c>
      <c r="E711" t="s">
        <v>48</v>
      </c>
      <c r="F711" t="s">
        <v>106</v>
      </c>
      <c r="G711" t="s">
        <v>106</v>
      </c>
      <c r="H711" t="s">
        <v>38</v>
      </c>
      <c r="I711" t="s">
        <v>39</v>
      </c>
      <c r="J711" t="s">
        <v>50</v>
      </c>
      <c r="K711" t="s">
        <v>3972</v>
      </c>
      <c r="L711">
        <v>0.15</v>
      </c>
      <c r="M711" t="s">
        <v>3973</v>
      </c>
      <c r="N711" t="s">
        <v>3974</v>
      </c>
      <c r="O711" t="s">
        <v>64</v>
      </c>
      <c r="P711" t="s">
        <v>30</v>
      </c>
      <c r="Q711" t="s">
        <v>65</v>
      </c>
      <c r="R711" s="3">
        <v>3681.8939999999998</v>
      </c>
    </row>
    <row r="712" spans="1:18" x14ac:dyDescent="0.3">
      <c r="A712" t="s">
        <v>3975</v>
      </c>
      <c r="B712" t="str">
        <f>TEXT(Raw_Data[[#This Row],[Order Date]],"mmm")</f>
        <v>Apr</v>
      </c>
      <c r="C712" t="s">
        <v>1686</v>
      </c>
      <c r="D712" t="s">
        <v>3976</v>
      </c>
      <c r="E712" t="s">
        <v>48</v>
      </c>
      <c r="F712" t="s">
        <v>215</v>
      </c>
      <c r="G712" t="s">
        <v>216</v>
      </c>
      <c r="H712" t="s">
        <v>154</v>
      </c>
      <c r="I712" t="s">
        <v>155</v>
      </c>
      <c r="J712" t="s">
        <v>25</v>
      </c>
      <c r="K712" t="s">
        <v>3977</v>
      </c>
      <c r="L712">
        <v>0.05</v>
      </c>
      <c r="M712" t="s">
        <v>3978</v>
      </c>
      <c r="N712" t="s">
        <v>3979</v>
      </c>
      <c r="O712" t="s">
        <v>43</v>
      </c>
      <c r="P712" t="s">
        <v>112</v>
      </c>
      <c r="Q712" t="s">
        <v>31</v>
      </c>
      <c r="R712" s="3">
        <v>916.68349999999896</v>
      </c>
    </row>
    <row r="713" spans="1:18" x14ac:dyDescent="0.3">
      <c r="A713" t="s">
        <v>3980</v>
      </c>
      <c r="B713" t="str">
        <f>TEXT(Raw_Data[[#This Row],[Order Date]],"mmm")</f>
        <v>Mar</v>
      </c>
      <c r="C713" t="s">
        <v>3981</v>
      </c>
      <c r="D713" t="s">
        <v>3982</v>
      </c>
      <c r="E713" t="s">
        <v>48</v>
      </c>
      <c r="F713" t="s">
        <v>78</v>
      </c>
      <c r="G713" t="s">
        <v>468</v>
      </c>
      <c r="H713" t="s">
        <v>107</v>
      </c>
      <c r="I713" t="s">
        <v>277</v>
      </c>
      <c r="J713" t="s">
        <v>25</v>
      </c>
      <c r="K713" t="s">
        <v>3983</v>
      </c>
      <c r="L713">
        <v>0.05</v>
      </c>
      <c r="M713" t="s">
        <v>3984</v>
      </c>
      <c r="N713" t="s">
        <v>3985</v>
      </c>
      <c r="O713" t="s">
        <v>173</v>
      </c>
      <c r="P713" t="s">
        <v>30</v>
      </c>
      <c r="Q713" t="s">
        <v>44</v>
      </c>
      <c r="R713" s="3">
        <v>9372.6999999999898</v>
      </c>
    </row>
    <row r="714" spans="1:18" x14ac:dyDescent="0.3">
      <c r="A714" t="s">
        <v>3986</v>
      </c>
      <c r="B714" t="str">
        <f>TEXT(Raw_Data[[#This Row],[Order Date]],"mmm")</f>
        <v>Sep</v>
      </c>
      <c r="C714" t="s">
        <v>3987</v>
      </c>
      <c r="D714" t="s">
        <v>3988</v>
      </c>
      <c r="E714" t="s">
        <v>48</v>
      </c>
      <c r="F714" t="s">
        <v>89</v>
      </c>
      <c r="G714" t="s">
        <v>99</v>
      </c>
      <c r="H714" t="s">
        <v>107</v>
      </c>
      <c r="I714" t="s">
        <v>591</v>
      </c>
      <c r="J714" t="s">
        <v>50</v>
      </c>
      <c r="K714" t="s">
        <v>3989</v>
      </c>
      <c r="L714">
        <v>0.15</v>
      </c>
      <c r="M714" t="s">
        <v>3990</v>
      </c>
      <c r="N714" t="s">
        <v>3991</v>
      </c>
      <c r="O714" t="s">
        <v>29</v>
      </c>
      <c r="P714" t="s">
        <v>112</v>
      </c>
      <c r="Q714" t="s">
        <v>44</v>
      </c>
      <c r="R714" s="3">
        <v>23016.282999999999</v>
      </c>
    </row>
    <row r="715" spans="1:18" x14ac:dyDescent="0.3">
      <c r="A715" t="s">
        <v>3992</v>
      </c>
      <c r="B715" t="str">
        <f>TEXT(Raw_Data[[#This Row],[Order Date]],"mmm")</f>
        <v>Jun</v>
      </c>
      <c r="C715" t="s">
        <v>3993</v>
      </c>
      <c r="D715" t="s">
        <v>3994</v>
      </c>
      <c r="E715" t="s">
        <v>20</v>
      </c>
      <c r="F715" t="s">
        <v>106</v>
      </c>
      <c r="G715" t="s">
        <v>106</v>
      </c>
      <c r="H715" t="s">
        <v>23</v>
      </c>
      <c r="I715" t="s">
        <v>263</v>
      </c>
      <c r="J715" t="s">
        <v>25</v>
      </c>
      <c r="K715" t="s">
        <v>3995</v>
      </c>
      <c r="L715">
        <v>0</v>
      </c>
      <c r="M715" t="s">
        <v>3996</v>
      </c>
      <c r="N715" t="s">
        <v>3997</v>
      </c>
      <c r="O715" t="s">
        <v>43</v>
      </c>
      <c r="P715" t="s">
        <v>30</v>
      </c>
      <c r="Q715" t="s">
        <v>31</v>
      </c>
      <c r="R715" s="3">
        <v>49858.31</v>
      </c>
    </row>
    <row r="716" spans="1:18" x14ac:dyDescent="0.3">
      <c r="A716" t="s">
        <v>3998</v>
      </c>
      <c r="B716" t="str">
        <f>TEXT(Raw_Data[[#This Row],[Order Date]],"mmm")</f>
        <v>Jan</v>
      </c>
      <c r="C716" t="s">
        <v>207</v>
      </c>
      <c r="D716" t="s">
        <v>3999</v>
      </c>
      <c r="E716" t="s">
        <v>20</v>
      </c>
      <c r="F716" t="s">
        <v>78</v>
      </c>
      <c r="G716" t="s">
        <v>731</v>
      </c>
      <c r="H716" t="s">
        <v>2581</v>
      </c>
      <c r="I716" t="s">
        <v>131</v>
      </c>
      <c r="J716" t="s">
        <v>25</v>
      </c>
      <c r="K716" t="s">
        <v>4000</v>
      </c>
      <c r="L716">
        <v>0.1</v>
      </c>
      <c r="M716" t="s">
        <v>4001</v>
      </c>
      <c r="N716" t="s">
        <v>4002</v>
      </c>
      <c r="O716" t="s">
        <v>173</v>
      </c>
      <c r="P716" t="s">
        <v>30</v>
      </c>
      <c r="Q716" t="s">
        <v>65</v>
      </c>
      <c r="R716" s="3">
        <v>317.051999999999</v>
      </c>
    </row>
    <row r="717" spans="1:18" x14ac:dyDescent="0.3">
      <c r="A717" t="s">
        <v>4003</v>
      </c>
      <c r="B717" t="str">
        <f>TEXT(Raw_Data[[#This Row],[Order Date]],"mmm")</f>
        <v>May</v>
      </c>
      <c r="C717" t="s">
        <v>1348</v>
      </c>
      <c r="D717" t="s">
        <v>4004</v>
      </c>
      <c r="E717" t="s">
        <v>35</v>
      </c>
      <c r="F717" t="s">
        <v>89</v>
      </c>
      <c r="G717" t="s">
        <v>99</v>
      </c>
      <c r="H717" t="s">
        <v>38</v>
      </c>
      <c r="I717" t="s">
        <v>256</v>
      </c>
      <c r="J717" t="s">
        <v>25</v>
      </c>
      <c r="K717" t="s">
        <v>4005</v>
      </c>
      <c r="L717">
        <v>0.1</v>
      </c>
      <c r="M717" t="s">
        <v>4006</v>
      </c>
      <c r="N717" t="s">
        <v>4007</v>
      </c>
      <c r="O717" t="s">
        <v>29</v>
      </c>
      <c r="P717" t="s">
        <v>30</v>
      </c>
      <c r="Q717" t="s">
        <v>65</v>
      </c>
      <c r="R717" s="3">
        <v>5255.1719999999996</v>
      </c>
    </row>
    <row r="718" spans="1:18" x14ac:dyDescent="0.3">
      <c r="A718" t="s">
        <v>4008</v>
      </c>
      <c r="B718" t="str">
        <f>TEXT(Raw_Data[[#This Row],[Order Date]],"mmm")</f>
        <v>May</v>
      </c>
      <c r="C718" t="s">
        <v>1509</v>
      </c>
      <c r="D718" t="s">
        <v>4009</v>
      </c>
      <c r="E718" t="s">
        <v>35</v>
      </c>
      <c r="F718" t="s">
        <v>78</v>
      </c>
      <c r="G718" t="s">
        <v>79</v>
      </c>
      <c r="H718" t="s">
        <v>154</v>
      </c>
      <c r="I718" t="s">
        <v>155</v>
      </c>
      <c r="J718" t="s">
        <v>25</v>
      </c>
      <c r="K718" t="s">
        <v>4010</v>
      </c>
      <c r="L718">
        <v>0.1</v>
      </c>
      <c r="M718" t="s">
        <v>4011</v>
      </c>
      <c r="N718" t="s">
        <v>4012</v>
      </c>
      <c r="O718" t="s">
        <v>64</v>
      </c>
      <c r="P718" t="s">
        <v>112</v>
      </c>
      <c r="Q718" t="s">
        <v>44</v>
      </c>
      <c r="R718" s="3">
        <v>1103.4359999999999</v>
      </c>
    </row>
    <row r="719" spans="1:18" x14ac:dyDescent="0.3">
      <c r="A719" t="s">
        <v>4013</v>
      </c>
      <c r="B719" t="str">
        <f>TEXT(Raw_Data[[#This Row],[Order Date]],"mmm")</f>
        <v>Dec</v>
      </c>
      <c r="C719" t="s">
        <v>3003</v>
      </c>
      <c r="D719" t="s">
        <v>4014</v>
      </c>
      <c r="E719" t="s">
        <v>48</v>
      </c>
      <c r="F719" t="s">
        <v>215</v>
      </c>
      <c r="G719" t="s">
        <v>216</v>
      </c>
      <c r="H719" t="s">
        <v>80</v>
      </c>
      <c r="I719" t="s">
        <v>81</v>
      </c>
      <c r="J719" t="s">
        <v>25</v>
      </c>
      <c r="K719" t="s">
        <v>4015</v>
      </c>
      <c r="L719">
        <v>0.15</v>
      </c>
      <c r="M719" t="s">
        <v>4016</v>
      </c>
      <c r="N719" t="s">
        <v>4017</v>
      </c>
      <c r="O719" t="s">
        <v>29</v>
      </c>
      <c r="P719" t="s">
        <v>30</v>
      </c>
      <c r="Q719" t="s">
        <v>65</v>
      </c>
      <c r="R719" s="3">
        <v>701.65800000000002</v>
      </c>
    </row>
    <row r="720" spans="1:18" x14ac:dyDescent="0.3">
      <c r="A720" t="s">
        <v>4018</v>
      </c>
      <c r="B720" t="str">
        <f>TEXT(Raw_Data[[#This Row],[Order Date]],"mmm")</f>
        <v>May</v>
      </c>
      <c r="C720" t="s">
        <v>885</v>
      </c>
      <c r="D720" t="s">
        <v>4019</v>
      </c>
      <c r="E720" t="s">
        <v>20</v>
      </c>
      <c r="F720" t="s">
        <v>58</v>
      </c>
      <c r="G720" t="s">
        <v>812</v>
      </c>
      <c r="H720" t="s">
        <v>80</v>
      </c>
      <c r="I720" t="s">
        <v>116</v>
      </c>
      <c r="J720" t="s">
        <v>25</v>
      </c>
      <c r="K720" t="s">
        <v>4020</v>
      </c>
      <c r="L720">
        <v>0.1</v>
      </c>
      <c r="M720" t="s">
        <v>4021</v>
      </c>
      <c r="N720" t="s">
        <v>4022</v>
      </c>
      <c r="O720" t="s">
        <v>43</v>
      </c>
      <c r="P720" t="s">
        <v>30</v>
      </c>
      <c r="Q720" t="s">
        <v>65</v>
      </c>
      <c r="R720" s="3">
        <v>5228.3339999999998</v>
      </c>
    </row>
    <row r="721" spans="1:18" x14ac:dyDescent="0.3">
      <c r="A721" t="s">
        <v>4023</v>
      </c>
      <c r="B721" t="str">
        <f>TEXT(Raw_Data[[#This Row],[Order Date]],"mmm")</f>
        <v>Sep</v>
      </c>
      <c r="C721" t="s">
        <v>1192</v>
      </c>
      <c r="D721" t="s">
        <v>4024</v>
      </c>
      <c r="E721" t="s">
        <v>48</v>
      </c>
      <c r="F721" t="s">
        <v>78</v>
      </c>
      <c r="G721" t="s">
        <v>468</v>
      </c>
      <c r="H721" t="s">
        <v>23</v>
      </c>
      <c r="I721" t="s">
        <v>263</v>
      </c>
      <c r="J721" t="s">
        <v>100</v>
      </c>
      <c r="K721" t="s">
        <v>4025</v>
      </c>
      <c r="L721">
        <v>0</v>
      </c>
      <c r="M721" t="s">
        <v>4026</v>
      </c>
      <c r="N721" t="s">
        <v>4027</v>
      </c>
      <c r="O721" t="s">
        <v>43</v>
      </c>
      <c r="P721" t="s">
        <v>30</v>
      </c>
      <c r="Q721" t="s">
        <v>65</v>
      </c>
      <c r="R721" s="3">
        <v>48793.8</v>
      </c>
    </row>
    <row r="722" spans="1:18" x14ac:dyDescent="0.3">
      <c r="A722" t="s">
        <v>4028</v>
      </c>
      <c r="B722" t="str">
        <f>TEXT(Raw_Data[[#This Row],[Order Date]],"mmm")</f>
        <v>Nov</v>
      </c>
      <c r="C722" t="s">
        <v>918</v>
      </c>
      <c r="D722" t="s">
        <v>4029</v>
      </c>
      <c r="E722" t="s">
        <v>48</v>
      </c>
      <c r="F722" t="s">
        <v>36</v>
      </c>
      <c r="G722" t="s">
        <v>37</v>
      </c>
      <c r="H722" t="s">
        <v>154</v>
      </c>
      <c r="I722" t="s">
        <v>237</v>
      </c>
      <c r="J722" t="s">
        <v>25</v>
      </c>
      <c r="K722" t="s">
        <v>4030</v>
      </c>
      <c r="L722">
        <v>0.1</v>
      </c>
      <c r="M722" t="s">
        <v>4031</v>
      </c>
      <c r="N722" t="s">
        <v>4032</v>
      </c>
      <c r="O722" t="s">
        <v>64</v>
      </c>
      <c r="P722" t="s">
        <v>30</v>
      </c>
      <c r="Q722" t="s">
        <v>44</v>
      </c>
      <c r="R722" s="3">
        <v>7182.2969999999996</v>
      </c>
    </row>
    <row r="723" spans="1:18" x14ac:dyDescent="0.3">
      <c r="A723" t="s">
        <v>4033</v>
      </c>
      <c r="B723" t="str">
        <f>TEXT(Raw_Data[[#This Row],[Order Date]],"mmm")</f>
        <v>Dec</v>
      </c>
      <c r="C723" t="s">
        <v>540</v>
      </c>
      <c r="D723" t="s">
        <v>4034</v>
      </c>
      <c r="E723" t="s">
        <v>48</v>
      </c>
      <c r="F723" t="s">
        <v>78</v>
      </c>
      <c r="G723" t="s">
        <v>731</v>
      </c>
      <c r="H723" t="s">
        <v>154</v>
      </c>
      <c r="I723" t="s">
        <v>309</v>
      </c>
      <c r="J723" t="s">
        <v>25</v>
      </c>
      <c r="K723" t="s">
        <v>4035</v>
      </c>
      <c r="L723">
        <v>0.05</v>
      </c>
      <c r="M723" t="s">
        <v>4036</v>
      </c>
      <c r="N723" t="s">
        <v>4037</v>
      </c>
      <c r="O723" t="s">
        <v>64</v>
      </c>
      <c r="P723" t="s">
        <v>30</v>
      </c>
      <c r="Q723" t="s">
        <v>31</v>
      </c>
      <c r="R723" s="3">
        <v>8708.7354999999898</v>
      </c>
    </row>
    <row r="724" spans="1:18" x14ac:dyDescent="0.3">
      <c r="A724" t="s">
        <v>4038</v>
      </c>
      <c r="B724" t="str">
        <f>TEXT(Raw_Data[[#This Row],[Order Date]],"mmm")</f>
        <v>Jul</v>
      </c>
      <c r="C724" t="s">
        <v>3575</v>
      </c>
      <c r="D724" t="s">
        <v>4039</v>
      </c>
      <c r="E724" t="s">
        <v>20</v>
      </c>
      <c r="F724" t="s">
        <v>78</v>
      </c>
      <c r="G724" t="s">
        <v>731</v>
      </c>
      <c r="H724" t="s">
        <v>154</v>
      </c>
      <c r="I724" t="s">
        <v>155</v>
      </c>
      <c r="J724" t="s">
        <v>25</v>
      </c>
      <c r="K724" t="s">
        <v>4040</v>
      </c>
      <c r="L724">
        <v>0</v>
      </c>
      <c r="M724" t="s">
        <v>4041</v>
      </c>
      <c r="N724" t="s">
        <v>4042</v>
      </c>
      <c r="O724" t="s">
        <v>43</v>
      </c>
      <c r="P724" t="s">
        <v>30</v>
      </c>
      <c r="Q724" t="s">
        <v>65</v>
      </c>
      <c r="R724" s="3">
        <v>1839.96</v>
      </c>
    </row>
    <row r="725" spans="1:18" x14ac:dyDescent="0.3">
      <c r="A725" t="s">
        <v>4043</v>
      </c>
      <c r="B725" t="str">
        <f>TEXT(Raw_Data[[#This Row],[Order Date]],"mmm")</f>
        <v>Jan</v>
      </c>
      <c r="C725" t="s">
        <v>1296</v>
      </c>
      <c r="D725" t="s">
        <v>4044</v>
      </c>
      <c r="E725" t="s">
        <v>48</v>
      </c>
      <c r="F725" t="s">
        <v>89</v>
      </c>
      <c r="G725" t="s">
        <v>90</v>
      </c>
      <c r="H725" t="s">
        <v>23</v>
      </c>
      <c r="I725" t="s">
        <v>263</v>
      </c>
      <c r="J725" t="s">
        <v>82</v>
      </c>
      <c r="K725" t="s">
        <v>4045</v>
      </c>
      <c r="L725">
        <v>0.05</v>
      </c>
      <c r="M725" t="s">
        <v>4046</v>
      </c>
      <c r="N725" t="s">
        <v>4047</v>
      </c>
      <c r="O725" t="s">
        <v>54</v>
      </c>
      <c r="P725" t="s">
        <v>159</v>
      </c>
      <c r="Q725" t="s">
        <v>44</v>
      </c>
      <c r="R725" s="3">
        <v>208730.46599999999</v>
      </c>
    </row>
    <row r="726" spans="1:18" x14ac:dyDescent="0.3">
      <c r="A726" t="s">
        <v>4048</v>
      </c>
      <c r="B726" t="str">
        <f>TEXT(Raw_Data[[#This Row],[Order Date]],"mmm")</f>
        <v>Mar</v>
      </c>
      <c r="C726" t="s">
        <v>194</v>
      </c>
      <c r="D726" t="s">
        <v>4049</v>
      </c>
      <c r="E726" t="s">
        <v>48</v>
      </c>
      <c r="F726" t="s">
        <v>21</v>
      </c>
      <c r="G726" t="s">
        <v>22</v>
      </c>
      <c r="H726" t="s">
        <v>154</v>
      </c>
      <c r="I726" t="s">
        <v>155</v>
      </c>
      <c r="J726" t="s">
        <v>100</v>
      </c>
      <c r="K726" t="s">
        <v>4050</v>
      </c>
      <c r="L726">
        <v>0</v>
      </c>
      <c r="M726" t="s">
        <v>4051</v>
      </c>
      <c r="N726" t="s">
        <v>4052</v>
      </c>
      <c r="O726" t="s">
        <v>29</v>
      </c>
      <c r="P726" t="s">
        <v>30</v>
      </c>
      <c r="Q726" t="s">
        <v>31</v>
      </c>
      <c r="R726" s="3">
        <v>3787.6499999999901</v>
      </c>
    </row>
    <row r="727" spans="1:18" x14ac:dyDescent="0.3">
      <c r="A727" t="s">
        <v>4053</v>
      </c>
      <c r="B727" t="str">
        <f>TEXT(Raw_Data[[#This Row],[Order Date]],"mmm")</f>
        <v>Nov</v>
      </c>
      <c r="C727" t="s">
        <v>1116</v>
      </c>
      <c r="D727" t="s">
        <v>4054</v>
      </c>
      <c r="E727" t="s">
        <v>20</v>
      </c>
      <c r="F727" t="s">
        <v>78</v>
      </c>
      <c r="G727" t="s">
        <v>79</v>
      </c>
      <c r="H727" t="s">
        <v>80</v>
      </c>
      <c r="I727" t="s">
        <v>146</v>
      </c>
      <c r="J727" t="s">
        <v>25</v>
      </c>
      <c r="K727" t="s">
        <v>4055</v>
      </c>
      <c r="L727">
        <v>0.15</v>
      </c>
      <c r="M727" t="s">
        <v>4056</v>
      </c>
      <c r="N727" t="s">
        <v>4057</v>
      </c>
      <c r="O727" t="s">
        <v>29</v>
      </c>
      <c r="P727" t="s">
        <v>30</v>
      </c>
      <c r="Q727" t="s">
        <v>31</v>
      </c>
      <c r="R727" s="3">
        <v>3485.30599999999</v>
      </c>
    </row>
    <row r="728" spans="1:18" x14ac:dyDescent="0.3">
      <c r="A728" t="s">
        <v>4058</v>
      </c>
      <c r="B728" t="str">
        <f>TEXT(Raw_Data[[#This Row],[Order Date]],"mmm")</f>
        <v>Apr</v>
      </c>
      <c r="C728" t="s">
        <v>4059</v>
      </c>
      <c r="D728" t="s">
        <v>4060</v>
      </c>
      <c r="E728" t="s">
        <v>20</v>
      </c>
      <c r="F728" t="s">
        <v>69</v>
      </c>
      <c r="G728" t="s">
        <v>328</v>
      </c>
      <c r="H728" t="s">
        <v>80</v>
      </c>
      <c r="I728" t="s">
        <v>146</v>
      </c>
      <c r="J728" t="s">
        <v>25</v>
      </c>
      <c r="K728" t="s">
        <v>4061</v>
      </c>
      <c r="L728">
        <v>0</v>
      </c>
      <c r="M728" t="s">
        <v>4062</v>
      </c>
      <c r="N728" t="s">
        <v>4063</v>
      </c>
      <c r="O728" t="s">
        <v>64</v>
      </c>
      <c r="P728" t="s">
        <v>30</v>
      </c>
      <c r="Q728" t="s">
        <v>44</v>
      </c>
      <c r="R728" s="3">
        <v>421.92</v>
      </c>
    </row>
    <row r="729" spans="1:18" x14ac:dyDescent="0.3">
      <c r="A729" t="s">
        <v>4064</v>
      </c>
      <c r="B729" t="str">
        <f>TEXT(Raw_Data[[#This Row],[Order Date]],"mmm")</f>
        <v>Sep</v>
      </c>
      <c r="C729" t="s">
        <v>742</v>
      </c>
      <c r="D729" t="s">
        <v>4065</v>
      </c>
      <c r="E729" t="s">
        <v>35</v>
      </c>
      <c r="F729" t="s">
        <v>106</v>
      </c>
      <c r="G729" t="s">
        <v>106</v>
      </c>
      <c r="H729" t="s">
        <v>23</v>
      </c>
      <c r="I729" t="s">
        <v>49</v>
      </c>
      <c r="J729" t="s">
        <v>25</v>
      </c>
      <c r="K729" t="s">
        <v>4066</v>
      </c>
      <c r="L729">
        <v>0.1</v>
      </c>
      <c r="M729" t="s">
        <v>4067</v>
      </c>
      <c r="N729" t="s">
        <v>4068</v>
      </c>
      <c r="O729" t="s">
        <v>173</v>
      </c>
      <c r="P729" t="s">
        <v>30</v>
      </c>
      <c r="Q729" t="s">
        <v>65</v>
      </c>
      <c r="R729" s="3">
        <v>25781.598000000002</v>
      </c>
    </row>
    <row r="730" spans="1:18" x14ac:dyDescent="0.3">
      <c r="A730" t="s">
        <v>4069</v>
      </c>
      <c r="B730" t="str">
        <f>TEXT(Raw_Data[[#This Row],[Order Date]],"mmm")</f>
        <v>Mar</v>
      </c>
      <c r="C730" t="s">
        <v>282</v>
      </c>
      <c r="D730" t="s">
        <v>4070</v>
      </c>
      <c r="E730" t="s">
        <v>35</v>
      </c>
      <c r="F730" t="s">
        <v>89</v>
      </c>
      <c r="G730" t="s">
        <v>99</v>
      </c>
      <c r="H730" t="s">
        <v>107</v>
      </c>
      <c r="I730" t="s">
        <v>277</v>
      </c>
      <c r="J730" t="s">
        <v>25</v>
      </c>
      <c r="K730" t="s">
        <v>4071</v>
      </c>
      <c r="L730">
        <v>0.1</v>
      </c>
      <c r="M730" t="s">
        <v>4072</v>
      </c>
      <c r="N730" t="s">
        <v>4073</v>
      </c>
      <c r="O730" t="s">
        <v>173</v>
      </c>
      <c r="P730" t="s">
        <v>112</v>
      </c>
      <c r="Q730" t="s">
        <v>31</v>
      </c>
      <c r="R730" s="3">
        <v>4713.0659999999998</v>
      </c>
    </row>
    <row r="731" spans="1:18" x14ac:dyDescent="0.3">
      <c r="A731" t="s">
        <v>4074</v>
      </c>
      <c r="B731" t="str">
        <f>TEXT(Raw_Data[[#This Row],[Order Date]],"mmm")</f>
        <v>Aug</v>
      </c>
      <c r="C731" t="s">
        <v>1104</v>
      </c>
      <c r="D731" t="s">
        <v>4075</v>
      </c>
      <c r="E731" t="s">
        <v>20</v>
      </c>
      <c r="F731" t="s">
        <v>215</v>
      </c>
      <c r="G731" t="s">
        <v>216</v>
      </c>
      <c r="H731" t="s">
        <v>38</v>
      </c>
      <c r="I731" t="s">
        <v>39</v>
      </c>
      <c r="J731" t="s">
        <v>25</v>
      </c>
      <c r="K731" t="s">
        <v>4076</v>
      </c>
      <c r="L731">
        <v>0.1</v>
      </c>
      <c r="M731" t="s">
        <v>4077</v>
      </c>
      <c r="N731" t="s">
        <v>4078</v>
      </c>
      <c r="O731" t="s">
        <v>4079</v>
      </c>
      <c r="P731" t="s">
        <v>112</v>
      </c>
      <c r="Q731" t="s">
        <v>65</v>
      </c>
      <c r="R731" s="3">
        <v>3900.1680000000001</v>
      </c>
    </row>
    <row r="732" spans="1:18" x14ac:dyDescent="0.3">
      <c r="A732" t="s">
        <v>4080</v>
      </c>
      <c r="B732" t="str">
        <f>TEXT(Raw_Data[[#This Row],[Order Date]],"mmm")</f>
        <v>Feb</v>
      </c>
      <c r="C732" t="s">
        <v>2892</v>
      </c>
      <c r="D732" t="s">
        <v>4081</v>
      </c>
      <c r="E732" t="s">
        <v>20</v>
      </c>
      <c r="F732" t="s">
        <v>36</v>
      </c>
      <c r="G732" t="s">
        <v>123</v>
      </c>
      <c r="H732" t="s">
        <v>154</v>
      </c>
      <c r="I732" t="s">
        <v>155</v>
      </c>
      <c r="J732" t="s">
        <v>100</v>
      </c>
      <c r="K732" t="s">
        <v>4082</v>
      </c>
      <c r="L732">
        <v>0.1</v>
      </c>
      <c r="M732" t="s">
        <v>4083</v>
      </c>
      <c r="N732" t="s">
        <v>4084</v>
      </c>
      <c r="O732" t="s">
        <v>29</v>
      </c>
      <c r="P732" t="s">
        <v>112</v>
      </c>
      <c r="Q732" t="s">
        <v>65</v>
      </c>
      <c r="R732" s="3">
        <v>27003.483</v>
      </c>
    </row>
    <row r="733" spans="1:18" x14ac:dyDescent="0.3">
      <c r="A733" t="s">
        <v>4085</v>
      </c>
      <c r="B733" t="str">
        <f>TEXT(Raw_Data[[#This Row],[Order Date]],"mmm")</f>
        <v>Apr</v>
      </c>
      <c r="C733" t="s">
        <v>1686</v>
      </c>
      <c r="D733" t="s">
        <v>4086</v>
      </c>
      <c r="E733" t="s">
        <v>48</v>
      </c>
      <c r="F733" t="s">
        <v>58</v>
      </c>
      <c r="G733" t="s">
        <v>59</v>
      </c>
      <c r="H733" t="s">
        <v>38</v>
      </c>
      <c r="I733" t="s">
        <v>256</v>
      </c>
      <c r="J733" t="s">
        <v>50</v>
      </c>
      <c r="K733" t="s">
        <v>4087</v>
      </c>
      <c r="L733">
        <v>0.1</v>
      </c>
      <c r="M733" t="s">
        <v>4088</v>
      </c>
      <c r="N733" t="s">
        <v>4089</v>
      </c>
      <c r="O733" t="s">
        <v>29</v>
      </c>
      <c r="P733" t="s">
        <v>30</v>
      </c>
      <c r="Q733" t="s">
        <v>31</v>
      </c>
      <c r="R733" s="3">
        <v>9912.5820000000003</v>
      </c>
    </row>
    <row r="734" spans="1:18" x14ac:dyDescent="0.3">
      <c r="A734" t="s">
        <v>4090</v>
      </c>
      <c r="B734" t="str">
        <f>TEXT(Raw_Data[[#This Row],[Order Date]],"mmm")</f>
        <v>Jan</v>
      </c>
      <c r="C734" t="s">
        <v>320</v>
      </c>
      <c r="D734" t="s">
        <v>4091</v>
      </c>
      <c r="E734" t="s">
        <v>20</v>
      </c>
      <c r="F734" t="s">
        <v>215</v>
      </c>
      <c r="G734" t="s">
        <v>276</v>
      </c>
      <c r="H734" t="s">
        <v>107</v>
      </c>
      <c r="I734" t="s">
        <v>108</v>
      </c>
      <c r="J734" t="s">
        <v>25</v>
      </c>
      <c r="K734" t="s">
        <v>4092</v>
      </c>
      <c r="L734">
        <v>0.1</v>
      </c>
      <c r="M734" t="s">
        <v>4093</v>
      </c>
      <c r="N734" t="s">
        <v>4094</v>
      </c>
      <c r="O734" t="s">
        <v>173</v>
      </c>
      <c r="P734" t="s">
        <v>112</v>
      </c>
      <c r="Q734" t="s">
        <v>44</v>
      </c>
      <c r="R734" s="3">
        <v>15901.236000000001</v>
      </c>
    </row>
    <row r="735" spans="1:18" x14ac:dyDescent="0.3">
      <c r="A735" t="s">
        <v>4095</v>
      </c>
      <c r="B735" t="str">
        <f>TEXT(Raw_Data[[#This Row],[Order Date]],"mmm")</f>
        <v>Jul</v>
      </c>
      <c r="C735" t="s">
        <v>3049</v>
      </c>
      <c r="D735" t="s">
        <v>4096</v>
      </c>
      <c r="E735" t="s">
        <v>48</v>
      </c>
      <c r="F735" t="s">
        <v>106</v>
      </c>
      <c r="G735" t="s">
        <v>106</v>
      </c>
      <c r="H735" t="s">
        <v>23</v>
      </c>
      <c r="I735" t="s">
        <v>183</v>
      </c>
      <c r="J735" t="s">
        <v>50</v>
      </c>
      <c r="K735" t="s">
        <v>4097</v>
      </c>
      <c r="L735">
        <v>0.2</v>
      </c>
      <c r="M735" t="s">
        <v>4098</v>
      </c>
      <c r="N735" t="s">
        <v>4099</v>
      </c>
      <c r="O735" t="s">
        <v>43</v>
      </c>
      <c r="P735" t="s">
        <v>30</v>
      </c>
      <c r="Q735" t="s">
        <v>65</v>
      </c>
      <c r="R735" s="3">
        <v>106846.25599999999</v>
      </c>
    </row>
    <row r="736" spans="1:18" x14ac:dyDescent="0.3">
      <c r="A736" t="s">
        <v>4100</v>
      </c>
      <c r="B736" t="str">
        <f>TEXT(Raw_Data[[#This Row],[Order Date]],"mmm")</f>
        <v>Nov</v>
      </c>
      <c r="C736" t="s">
        <v>510</v>
      </c>
      <c r="D736" t="s">
        <v>4101</v>
      </c>
      <c r="E736" t="s">
        <v>35</v>
      </c>
      <c r="F736" t="s">
        <v>106</v>
      </c>
      <c r="G736" t="s">
        <v>106</v>
      </c>
      <c r="H736" t="s">
        <v>107</v>
      </c>
      <c r="I736" t="s">
        <v>469</v>
      </c>
      <c r="J736" t="s">
        <v>50</v>
      </c>
      <c r="K736" t="s">
        <v>4102</v>
      </c>
      <c r="L736">
        <v>0.05</v>
      </c>
      <c r="M736" t="s">
        <v>4103</v>
      </c>
      <c r="N736" t="s">
        <v>4104</v>
      </c>
      <c r="O736" t="s">
        <v>64</v>
      </c>
      <c r="P736" t="s">
        <v>112</v>
      </c>
      <c r="Q736" t="s">
        <v>65</v>
      </c>
      <c r="R736" s="3">
        <v>3993.15399999999</v>
      </c>
    </row>
    <row r="737" spans="1:18" x14ac:dyDescent="0.3">
      <c r="A737" t="s">
        <v>4105</v>
      </c>
      <c r="B737" t="str">
        <f>TEXT(Raw_Data[[#This Row],[Order Date]],"mmm")</f>
        <v>Jan</v>
      </c>
      <c r="C737" t="s">
        <v>175</v>
      </c>
      <c r="D737" t="s">
        <v>4106</v>
      </c>
      <c r="E737" t="s">
        <v>48</v>
      </c>
      <c r="F737" t="s">
        <v>69</v>
      </c>
      <c r="G737" t="s">
        <v>139</v>
      </c>
      <c r="H737" t="s">
        <v>107</v>
      </c>
      <c r="I737" t="s">
        <v>277</v>
      </c>
      <c r="J737" t="s">
        <v>50</v>
      </c>
      <c r="K737" t="s">
        <v>4107</v>
      </c>
      <c r="L737">
        <v>0.1</v>
      </c>
      <c r="M737" t="s">
        <v>4108</v>
      </c>
      <c r="N737" t="s">
        <v>4109</v>
      </c>
      <c r="O737" t="s">
        <v>29</v>
      </c>
      <c r="P737" t="s">
        <v>30</v>
      </c>
      <c r="Q737" t="s">
        <v>65</v>
      </c>
      <c r="R737" s="3">
        <v>8379.4860000000008</v>
      </c>
    </row>
    <row r="738" spans="1:18" x14ac:dyDescent="0.3">
      <c r="A738" t="s">
        <v>4110</v>
      </c>
      <c r="B738" t="str">
        <f>TEXT(Raw_Data[[#This Row],[Order Date]],"mmm")</f>
        <v>Jul</v>
      </c>
      <c r="C738" t="s">
        <v>128</v>
      </c>
      <c r="D738" t="s">
        <v>4111</v>
      </c>
      <c r="E738" t="s">
        <v>48</v>
      </c>
      <c r="F738" t="s">
        <v>36</v>
      </c>
      <c r="G738" t="s">
        <v>414</v>
      </c>
      <c r="H738" t="s">
        <v>80</v>
      </c>
      <c r="I738" t="s">
        <v>146</v>
      </c>
      <c r="J738" t="s">
        <v>100</v>
      </c>
      <c r="K738" t="s">
        <v>4112</v>
      </c>
      <c r="L738">
        <v>0.15</v>
      </c>
      <c r="M738" t="s">
        <v>4113</v>
      </c>
      <c r="N738" t="s">
        <v>4114</v>
      </c>
      <c r="O738" t="s">
        <v>64</v>
      </c>
      <c r="P738" t="s">
        <v>30</v>
      </c>
      <c r="Q738" t="s">
        <v>31</v>
      </c>
      <c r="R738" s="3">
        <v>2650.4189999999999</v>
      </c>
    </row>
    <row r="739" spans="1:18" x14ac:dyDescent="0.3">
      <c r="A739" t="s">
        <v>4115</v>
      </c>
      <c r="B739" t="str">
        <f>TEXT(Raw_Data[[#This Row],[Order Date]],"mmm")</f>
        <v>Aug</v>
      </c>
      <c r="C739" t="s">
        <v>1703</v>
      </c>
      <c r="D739" t="s">
        <v>4116</v>
      </c>
      <c r="E739" t="s">
        <v>35</v>
      </c>
      <c r="F739" t="s">
        <v>36</v>
      </c>
      <c r="G739" t="s">
        <v>153</v>
      </c>
      <c r="H739" t="s">
        <v>23</v>
      </c>
      <c r="I739" t="s">
        <v>183</v>
      </c>
      <c r="J739" t="s">
        <v>50</v>
      </c>
      <c r="K739" t="s">
        <v>4117</v>
      </c>
      <c r="L739">
        <v>0.2</v>
      </c>
      <c r="M739" t="s">
        <v>4118</v>
      </c>
      <c r="N739" t="s">
        <v>4119</v>
      </c>
      <c r="O739" t="s">
        <v>29</v>
      </c>
      <c r="P739" t="s">
        <v>30</v>
      </c>
      <c r="Q739" t="s">
        <v>44</v>
      </c>
      <c r="R739" s="3">
        <v>88581.952000000005</v>
      </c>
    </row>
    <row r="740" spans="1:18" x14ac:dyDescent="0.3">
      <c r="A740" t="s">
        <v>4120</v>
      </c>
      <c r="B740" t="str">
        <f>TEXT(Raw_Data[[#This Row],[Order Date]],"mmm")</f>
        <v>Jul</v>
      </c>
      <c r="C740" t="s">
        <v>2670</v>
      </c>
      <c r="D740" t="s">
        <v>4121</v>
      </c>
      <c r="E740" t="s">
        <v>48</v>
      </c>
      <c r="F740" t="s">
        <v>215</v>
      </c>
      <c r="G740" t="s">
        <v>216</v>
      </c>
      <c r="H740" t="s">
        <v>80</v>
      </c>
      <c r="I740" t="s">
        <v>81</v>
      </c>
      <c r="J740" t="s">
        <v>25</v>
      </c>
      <c r="K740" t="s">
        <v>4122</v>
      </c>
      <c r="L740">
        <v>0.15</v>
      </c>
      <c r="M740" t="s">
        <v>4123</v>
      </c>
      <c r="N740" t="s">
        <v>4124</v>
      </c>
      <c r="O740" t="s">
        <v>54</v>
      </c>
      <c r="P740" t="s">
        <v>30</v>
      </c>
      <c r="Q740" t="s">
        <v>44</v>
      </c>
      <c r="R740" s="3">
        <v>5443.4425000000001</v>
      </c>
    </row>
    <row r="741" spans="1:18" x14ac:dyDescent="0.3">
      <c r="A741" t="s">
        <v>4125</v>
      </c>
      <c r="B741" t="str">
        <f>TEXT(Raw_Data[[#This Row],[Order Date]],"mmm")</f>
        <v>Jul</v>
      </c>
      <c r="C741" t="s">
        <v>3949</v>
      </c>
      <c r="D741" t="s">
        <v>4126</v>
      </c>
      <c r="E741" t="s">
        <v>35</v>
      </c>
      <c r="F741" t="s">
        <v>78</v>
      </c>
      <c r="G741" t="s">
        <v>731</v>
      </c>
      <c r="H741" t="s">
        <v>107</v>
      </c>
      <c r="I741" t="s">
        <v>469</v>
      </c>
      <c r="J741" t="s">
        <v>25</v>
      </c>
      <c r="K741" t="s">
        <v>4127</v>
      </c>
      <c r="L741">
        <v>0.1</v>
      </c>
      <c r="M741" t="s">
        <v>4128</v>
      </c>
      <c r="N741" t="s">
        <v>4129</v>
      </c>
      <c r="O741" t="s">
        <v>173</v>
      </c>
      <c r="P741" t="s">
        <v>30</v>
      </c>
      <c r="Q741" t="s">
        <v>65</v>
      </c>
      <c r="R741" s="3">
        <v>13261.004999999999</v>
      </c>
    </row>
    <row r="742" spans="1:18" x14ac:dyDescent="0.3">
      <c r="A742" t="s">
        <v>4130</v>
      </c>
      <c r="B742" t="str">
        <f>TEXT(Raw_Data[[#This Row],[Order Date]],"mmm")</f>
        <v>Apr</v>
      </c>
      <c r="C742" t="s">
        <v>97</v>
      </c>
      <c r="D742" t="s">
        <v>4131</v>
      </c>
      <c r="E742" t="s">
        <v>20</v>
      </c>
      <c r="F742" t="s">
        <v>21</v>
      </c>
      <c r="G742" t="s">
        <v>130</v>
      </c>
      <c r="H742" t="s">
        <v>154</v>
      </c>
      <c r="I742" t="s">
        <v>155</v>
      </c>
      <c r="J742" t="s">
        <v>25</v>
      </c>
      <c r="K742" t="s">
        <v>4132</v>
      </c>
      <c r="L742">
        <v>0</v>
      </c>
      <c r="M742" t="s">
        <v>4133</v>
      </c>
      <c r="N742" t="s">
        <v>4134</v>
      </c>
      <c r="O742" t="s">
        <v>29</v>
      </c>
      <c r="P742" t="s">
        <v>30</v>
      </c>
      <c r="Q742" t="s">
        <v>31</v>
      </c>
      <c r="R742" s="3">
        <v>9881.7999999999993</v>
      </c>
    </row>
    <row r="743" spans="1:18" x14ac:dyDescent="0.3">
      <c r="A743" t="s">
        <v>4135</v>
      </c>
      <c r="B743" t="str">
        <f>TEXT(Raw_Data[[#This Row],[Order Date]],"mmm")</f>
        <v>Mar</v>
      </c>
      <c r="C743" t="s">
        <v>194</v>
      </c>
      <c r="D743" t="s">
        <v>4136</v>
      </c>
      <c r="E743" t="s">
        <v>35</v>
      </c>
      <c r="F743" t="s">
        <v>69</v>
      </c>
      <c r="G743" t="s">
        <v>328</v>
      </c>
      <c r="H743" t="s">
        <v>107</v>
      </c>
      <c r="I743" t="s">
        <v>378</v>
      </c>
      <c r="J743" t="s">
        <v>25</v>
      </c>
      <c r="K743" t="s">
        <v>4137</v>
      </c>
      <c r="L743">
        <v>0.1</v>
      </c>
      <c r="M743" t="s">
        <v>4138</v>
      </c>
      <c r="N743" t="s">
        <v>4139</v>
      </c>
      <c r="O743" t="s">
        <v>54</v>
      </c>
      <c r="P743" t="s">
        <v>30</v>
      </c>
      <c r="Q743" t="s">
        <v>44</v>
      </c>
      <c r="R743" s="3">
        <v>15594.543</v>
      </c>
    </row>
    <row r="744" spans="1:18" x14ac:dyDescent="0.3">
      <c r="A744" t="s">
        <v>4140</v>
      </c>
      <c r="B744" t="str">
        <f>TEXT(Raw_Data[[#This Row],[Order Date]],"mmm")</f>
        <v>Jan</v>
      </c>
      <c r="C744" t="s">
        <v>780</v>
      </c>
      <c r="D744" t="s">
        <v>4141</v>
      </c>
      <c r="E744" t="s">
        <v>20</v>
      </c>
      <c r="F744" t="s">
        <v>89</v>
      </c>
      <c r="G744" t="s">
        <v>90</v>
      </c>
      <c r="H744" t="s">
        <v>107</v>
      </c>
      <c r="I744" t="s">
        <v>591</v>
      </c>
      <c r="J744" t="s">
        <v>50</v>
      </c>
      <c r="K744" t="s">
        <v>4142</v>
      </c>
      <c r="L744">
        <v>0.1</v>
      </c>
      <c r="M744" t="s">
        <v>4143</v>
      </c>
      <c r="N744" t="s">
        <v>4144</v>
      </c>
      <c r="O744" t="s">
        <v>54</v>
      </c>
      <c r="P744" t="s">
        <v>95</v>
      </c>
      <c r="Q744" t="s">
        <v>31</v>
      </c>
      <c r="R744" s="3">
        <v>1875.492</v>
      </c>
    </row>
    <row r="745" spans="1:18" x14ac:dyDescent="0.3">
      <c r="A745" t="s">
        <v>4145</v>
      </c>
      <c r="B745" t="str">
        <f>TEXT(Raw_Data[[#This Row],[Order Date]],"mmm")</f>
        <v>Jan</v>
      </c>
      <c r="C745" t="s">
        <v>2752</v>
      </c>
      <c r="D745" t="s">
        <v>4146</v>
      </c>
      <c r="E745" t="s">
        <v>48</v>
      </c>
      <c r="F745" t="s">
        <v>21</v>
      </c>
      <c r="G745" t="s">
        <v>22</v>
      </c>
      <c r="H745" t="s">
        <v>23</v>
      </c>
      <c r="I745" t="s">
        <v>24</v>
      </c>
      <c r="J745" t="s">
        <v>25</v>
      </c>
      <c r="K745" t="s">
        <v>4147</v>
      </c>
      <c r="L745">
        <v>0.1</v>
      </c>
      <c r="M745" t="s">
        <v>4148</v>
      </c>
      <c r="N745" t="s">
        <v>4149</v>
      </c>
      <c r="O745" t="s">
        <v>54</v>
      </c>
      <c r="P745" t="s">
        <v>112</v>
      </c>
      <c r="Q745" t="s">
        <v>65</v>
      </c>
      <c r="R745" s="3">
        <v>10331.172</v>
      </c>
    </row>
    <row r="746" spans="1:18" x14ac:dyDescent="0.3">
      <c r="A746" t="s">
        <v>4150</v>
      </c>
      <c r="B746" t="str">
        <f>TEXT(Raw_Data[[#This Row],[Order Date]],"mmm")</f>
        <v>Jun</v>
      </c>
      <c r="C746" t="s">
        <v>1862</v>
      </c>
      <c r="D746" t="s">
        <v>4151</v>
      </c>
      <c r="E746" t="s">
        <v>48</v>
      </c>
      <c r="F746" t="s">
        <v>89</v>
      </c>
      <c r="G746" t="s">
        <v>230</v>
      </c>
      <c r="H746" t="s">
        <v>80</v>
      </c>
      <c r="I746" t="s">
        <v>91</v>
      </c>
      <c r="J746" t="s">
        <v>25</v>
      </c>
      <c r="K746" t="s">
        <v>4152</v>
      </c>
      <c r="L746">
        <v>0.1</v>
      </c>
      <c r="M746" t="s">
        <v>4153</v>
      </c>
      <c r="N746" t="s">
        <v>4154</v>
      </c>
      <c r="O746" t="s">
        <v>54</v>
      </c>
      <c r="P746" t="s">
        <v>112</v>
      </c>
      <c r="Q746" t="s">
        <v>44</v>
      </c>
      <c r="R746" s="3">
        <v>5120.2889999999998</v>
      </c>
    </row>
    <row r="747" spans="1:18" x14ac:dyDescent="0.3">
      <c r="A747" t="s">
        <v>4155</v>
      </c>
      <c r="B747" t="str">
        <f>TEXT(Raw_Data[[#This Row],[Order Date]],"mmm")</f>
        <v>Oct</v>
      </c>
      <c r="C747" t="s">
        <v>460</v>
      </c>
      <c r="D747" t="s">
        <v>4156</v>
      </c>
      <c r="E747" t="s">
        <v>20</v>
      </c>
      <c r="F747" t="s">
        <v>69</v>
      </c>
      <c r="G747" t="s">
        <v>328</v>
      </c>
      <c r="H747" t="s">
        <v>23</v>
      </c>
      <c r="I747" t="s">
        <v>24</v>
      </c>
      <c r="J747" t="s">
        <v>25</v>
      </c>
      <c r="K747" t="s">
        <v>4157</v>
      </c>
      <c r="L747">
        <v>0.05</v>
      </c>
      <c r="M747" t="s">
        <v>4158</v>
      </c>
      <c r="N747" t="s">
        <v>4159</v>
      </c>
      <c r="O747" t="s">
        <v>29</v>
      </c>
      <c r="P747" t="s">
        <v>112</v>
      </c>
      <c r="Q747" t="s">
        <v>65</v>
      </c>
      <c r="R747" s="3">
        <v>8492.3065000000006</v>
      </c>
    </row>
    <row r="748" spans="1:18" x14ac:dyDescent="0.3">
      <c r="A748" t="s">
        <v>4160</v>
      </c>
      <c r="B748" t="str">
        <f>TEXT(Raw_Data[[#This Row],[Order Date]],"mmm")</f>
        <v>Jun</v>
      </c>
      <c r="C748" t="s">
        <v>370</v>
      </c>
      <c r="D748" t="s">
        <v>4161</v>
      </c>
      <c r="E748" t="s">
        <v>35</v>
      </c>
      <c r="F748" t="s">
        <v>106</v>
      </c>
      <c r="G748" t="s">
        <v>106</v>
      </c>
      <c r="H748" t="s">
        <v>38</v>
      </c>
      <c r="I748" t="s">
        <v>39</v>
      </c>
      <c r="J748" t="s">
        <v>82</v>
      </c>
      <c r="K748" t="s">
        <v>4162</v>
      </c>
      <c r="L748">
        <v>0.1</v>
      </c>
      <c r="M748" t="s">
        <v>4163</v>
      </c>
      <c r="N748" t="s">
        <v>4164</v>
      </c>
      <c r="O748" t="s">
        <v>43</v>
      </c>
      <c r="P748" t="s">
        <v>30</v>
      </c>
      <c r="Q748" t="s">
        <v>31</v>
      </c>
      <c r="R748" s="3">
        <v>7179.192</v>
      </c>
    </row>
    <row r="749" spans="1:18" x14ac:dyDescent="0.3">
      <c r="A749" t="s">
        <v>4165</v>
      </c>
      <c r="B749" t="str">
        <f>TEXT(Raw_Data[[#This Row],[Order Date]],"mmm")</f>
        <v>Apr</v>
      </c>
      <c r="C749" t="s">
        <v>4059</v>
      </c>
      <c r="D749" t="s">
        <v>4166</v>
      </c>
      <c r="E749" t="s">
        <v>48</v>
      </c>
      <c r="F749" t="s">
        <v>21</v>
      </c>
      <c r="G749" t="s">
        <v>22</v>
      </c>
      <c r="H749" t="s">
        <v>80</v>
      </c>
      <c r="I749" t="s">
        <v>116</v>
      </c>
      <c r="J749" t="s">
        <v>25</v>
      </c>
      <c r="K749" t="s">
        <v>4167</v>
      </c>
      <c r="L749">
        <v>0</v>
      </c>
      <c r="M749" t="s">
        <v>4168</v>
      </c>
      <c r="N749" t="s">
        <v>4169</v>
      </c>
      <c r="O749" t="s">
        <v>54</v>
      </c>
      <c r="P749" t="s">
        <v>30</v>
      </c>
      <c r="Q749" t="s">
        <v>65</v>
      </c>
      <c r="R749" s="3">
        <v>2165.34</v>
      </c>
    </row>
    <row r="750" spans="1:18" x14ac:dyDescent="0.3">
      <c r="A750" t="s">
        <v>4170</v>
      </c>
      <c r="B750" t="str">
        <f>TEXT(Raw_Data[[#This Row],[Order Date]],"mmm")</f>
        <v>Oct</v>
      </c>
      <c r="C750" t="s">
        <v>235</v>
      </c>
      <c r="D750" t="s">
        <v>4171</v>
      </c>
      <c r="E750" t="s">
        <v>35</v>
      </c>
      <c r="F750" t="s">
        <v>215</v>
      </c>
      <c r="G750" t="s">
        <v>216</v>
      </c>
      <c r="H750" t="s">
        <v>38</v>
      </c>
      <c r="I750" t="s">
        <v>39</v>
      </c>
      <c r="J750" t="s">
        <v>82</v>
      </c>
      <c r="K750" t="s">
        <v>4172</v>
      </c>
      <c r="L750">
        <v>0.1</v>
      </c>
      <c r="M750" t="s">
        <v>4173</v>
      </c>
      <c r="N750" t="s">
        <v>4174</v>
      </c>
      <c r="O750" t="s">
        <v>64</v>
      </c>
      <c r="P750" t="s">
        <v>30</v>
      </c>
      <c r="Q750" t="s">
        <v>44</v>
      </c>
      <c r="R750" s="3">
        <v>16731.396000000001</v>
      </c>
    </row>
    <row r="751" spans="1:18" x14ac:dyDescent="0.3">
      <c r="A751" t="s">
        <v>4175</v>
      </c>
      <c r="B751" t="str">
        <f>TEXT(Raw_Data[[#This Row],[Order Date]],"mmm")</f>
        <v>Nov</v>
      </c>
      <c r="C751" t="s">
        <v>3096</v>
      </c>
      <c r="D751" t="s">
        <v>4176</v>
      </c>
      <c r="E751" t="s">
        <v>20</v>
      </c>
      <c r="F751" t="s">
        <v>58</v>
      </c>
      <c r="G751" t="s">
        <v>290</v>
      </c>
      <c r="H751" t="s">
        <v>107</v>
      </c>
      <c r="I751" t="s">
        <v>591</v>
      </c>
      <c r="J751" t="s">
        <v>82</v>
      </c>
      <c r="K751" t="s">
        <v>4177</v>
      </c>
      <c r="L751">
        <v>0.1</v>
      </c>
      <c r="M751" t="s">
        <v>4178</v>
      </c>
      <c r="N751" t="s">
        <v>4179</v>
      </c>
      <c r="O751" t="s">
        <v>43</v>
      </c>
      <c r="P751" t="s">
        <v>112</v>
      </c>
      <c r="Q751" t="s">
        <v>65</v>
      </c>
      <c r="R751" s="3">
        <v>26771.687999999998</v>
      </c>
    </row>
    <row r="752" spans="1:18" x14ac:dyDescent="0.3">
      <c r="A752" t="s">
        <v>4180</v>
      </c>
      <c r="B752" t="str">
        <f>TEXT(Raw_Data[[#This Row],[Order Date]],"mmm")</f>
        <v>Feb</v>
      </c>
      <c r="C752" t="s">
        <v>702</v>
      </c>
      <c r="D752" t="s">
        <v>4181</v>
      </c>
      <c r="E752" t="s">
        <v>20</v>
      </c>
      <c r="F752" t="s">
        <v>215</v>
      </c>
      <c r="G752" t="s">
        <v>216</v>
      </c>
      <c r="H752" t="s">
        <v>80</v>
      </c>
      <c r="I752" t="s">
        <v>91</v>
      </c>
      <c r="J752" t="s">
        <v>25</v>
      </c>
      <c r="K752" t="s">
        <v>4182</v>
      </c>
      <c r="L752">
        <v>0</v>
      </c>
      <c r="M752" t="s">
        <v>4183</v>
      </c>
      <c r="N752" t="s">
        <v>4184</v>
      </c>
      <c r="O752" t="s">
        <v>43</v>
      </c>
      <c r="P752" t="s">
        <v>30</v>
      </c>
      <c r="Q752" t="s">
        <v>65</v>
      </c>
      <c r="R752" s="3">
        <v>3128.26</v>
      </c>
    </row>
    <row r="753" spans="1:18" x14ac:dyDescent="0.3">
      <c r="A753" t="s">
        <v>4185</v>
      </c>
      <c r="B753" t="str">
        <f>TEXT(Raw_Data[[#This Row],[Order Date]],"mmm")</f>
        <v>Oct</v>
      </c>
      <c r="C753" t="s">
        <v>2432</v>
      </c>
      <c r="D753" t="s">
        <v>4186</v>
      </c>
      <c r="E753" t="s">
        <v>35</v>
      </c>
      <c r="F753" t="s">
        <v>89</v>
      </c>
      <c r="G753" t="s">
        <v>90</v>
      </c>
      <c r="H753" t="s">
        <v>80</v>
      </c>
      <c r="I753" t="s">
        <v>146</v>
      </c>
      <c r="J753" t="s">
        <v>50</v>
      </c>
      <c r="K753" t="s">
        <v>4187</v>
      </c>
      <c r="L753">
        <v>0.1</v>
      </c>
      <c r="M753" t="s">
        <v>4188</v>
      </c>
      <c r="N753" t="s">
        <v>4189</v>
      </c>
      <c r="O753" t="s">
        <v>173</v>
      </c>
      <c r="P753" t="s">
        <v>112</v>
      </c>
      <c r="Q753" t="s">
        <v>44</v>
      </c>
      <c r="R753" s="3">
        <v>5789.3220000000001</v>
      </c>
    </row>
    <row r="754" spans="1:18" x14ac:dyDescent="0.3">
      <c r="A754" t="s">
        <v>4190</v>
      </c>
      <c r="B754" t="str">
        <f>TEXT(Raw_Data[[#This Row],[Order Date]],"mmm")</f>
        <v>Jun</v>
      </c>
      <c r="C754" t="s">
        <v>1047</v>
      </c>
      <c r="D754" t="s">
        <v>4191</v>
      </c>
      <c r="E754" t="s">
        <v>48</v>
      </c>
      <c r="F754" t="s">
        <v>36</v>
      </c>
      <c r="G754" t="s">
        <v>153</v>
      </c>
      <c r="H754" t="s">
        <v>23</v>
      </c>
      <c r="I754" t="s">
        <v>263</v>
      </c>
      <c r="J754" t="s">
        <v>25</v>
      </c>
      <c r="K754" t="s">
        <v>4192</v>
      </c>
      <c r="L754">
        <v>0</v>
      </c>
      <c r="M754" t="s">
        <v>4193</v>
      </c>
      <c r="N754" t="s">
        <v>4194</v>
      </c>
      <c r="O754" t="s">
        <v>43</v>
      </c>
      <c r="P754" t="s">
        <v>30</v>
      </c>
      <c r="Q754" t="s">
        <v>44</v>
      </c>
      <c r="R754" s="3">
        <v>25176.65</v>
      </c>
    </row>
    <row r="755" spans="1:18" x14ac:dyDescent="0.3">
      <c r="A755" t="s">
        <v>4195</v>
      </c>
      <c r="B755" t="str">
        <f>TEXT(Raw_Data[[#This Row],[Order Date]],"mmm")</f>
        <v>Jul</v>
      </c>
      <c r="C755" t="s">
        <v>2305</v>
      </c>
      <c r="D755" t="s">
        <v>4196</v>
      </c>
      <c r="E755" t="s">
        <v>48</v>
      </c>
      <c r="F755" t="s">
        <v>78</v>
      </c>
      <c r="G755" t="s">
        <v>731</v>
      </c>
      <c r="H755" t="s">
        <v>107</v>
      </c>
      <c r="I755" t="s">
        <v>108</v>
      </c>
      <c r="J755" t="s">
        <v>100</v>
      </c>
      <c r="K755" t="s">
        <v>4197</v>
      </c>
      <c r="L755">
        <v>0</v>
      </c>
      <c r="M755" t="s">
        <v>4198</v>
      </c>
      <c r="N755" t="s">
        <v>4199</v>
      </c>
      <c r="O755" t="s">
        <v>29</v>
      </c>
      <c r="P755" t="s">
        <v>112</v>
      </c>
      <c r="Q755" t="s">
        <v>44</v>
      </c>
      <c r="R755" s="3">
        <v>25835.25</v>
      </c>
    </row>
    <row r="756" spans="1:18" x14ac:dyDescent="0.3">
      <c r="A756" t="s">
        <v>4200</v>
      </c>
      <c r="B756" t="str">
        <f>TEXT(Raw_Data[[#This Row],[Order Date]],"mmm")</f>
        <v>Aug</v>
      </c>
      <c r="C756" t="s">
        <v>1155</v>
      </c>
      <c r="D756" t="s">
        <v>4201</v>
      </c>
      <c r="E756" t="s">
        <v>20</v>
      </c>
      <c r="F756" t="s">
        <v>89</v>
      </c>
      <c r="G756" t="s">
        <v>230</v>
      </c>
      <c r="H756" t="s">
        <v>107</v>
      </c>
      <c r="I756" t="s">
        <v>108</v>
      </c>
      <c r="J756" t="s">
        <v>25</v>
      </c>
      <c r="K756" t="s">
        <v>4202</v>
      </c>
      <c r="L756">
        <v>0.05</v>
      </c>
      <c r="M756" t="s">
        <v>4203</v>
      </c>
      <c r="N756" t="s">
        <v>4204</v>
      </c>
      <c r="O756" t="s">
        <v>54</v>
      </c>
      <c r="P756" t="s">
        <v>30</v>
      </c>
      <c r="Q756" t="s">
        <v>31</v>
      </c>
      <c r="R756" s="3">
        <v>11573.8214999999</v>
      </c>
    </row>
    <row r="757" spans="1:18" x14ac:dyDescent="0.3">
      <c r="A757" t="s">
        <v>4205</v>
      </c>
      <c r="B757" t="str">
        <f>TEXT(Raw_Data[[#This Row],[Order Date]],"mmm")</f>
        <v>Nov</v>
      </c>
      <c r="C757" t="s">
        <v>4206</v>
      </c>
      <c r="D757" t="s">
        <v>4207</v>
      </c>
      <c r="E757" t="s">
        <v>20</v>
      </c>
      <c r="F757" t="s">
        <v>89</v>
      </c>
      <c r="G757" t="s">
        <v>230</v>
      </c>
      <c r="H757" t="s">
        <v>38</v>
      </c>
      <c r="I757" t="s">
        <v>256</v>
      </c>
      <c r="J757" t="s">
        <v>50</v>
      </c>
      <c r="K757" t="s">
        <v>4208</v>
      </c>
      <c r="L757">
        <v>0.1</v>
      </c>
      <c r="M757" t="s">
        <v>4209</v>
      </c>
      <c r="N757" t="s">
        <v>4210</v>
      </c>
      <c r="O757" t="s">
        <v>29</v>
      </c>
      <c r="P757" t="s">
        <v>112</v>
      </c>
      <c r="Q757" t="s">
        <v>44</v>
      </c>
      <c r="R757" s="3">
        <v>9110.8259999999991</v>
      </c>
    </row>
    <row r="758" spans="1:18" x14ac:dyDescent="0.3">
      <c r="A758" t="s">
        <v>4211</v>
      </c>
      <c r="B758" t="str">
        <f>TEXT(Raw_Data[[#This Row],[Order Date]],"mmm")</f>
        <v>Jun</v>
      </c>
      <c r="C758" t="s">
        <v>2758</v>
      </c>
      <c r="D758" t="s">
        <v>4212</v>
      </c>
      <c r="E758" t="s">
        <v>48</v>
      </c>
      <c r="F758" t="s">
        <v>69</v>
      </c>
      <c r="G758" t="s">
        <v>139</v>
      </c>
      <c r="H758" t="s">
        <v>107</v>
      </c>
      <c r="I758" t="s">
        <v>469</v>
      </c>
      <c r="J758" t="s">
        <v>25</v>
      </c>
      <c r="K758" t="s">
        <v>4213</v>
      </c>
      <c r="L758">
        <v>0</v>
      </c>
      <c r="M758" t="s">
        <v>4214</v>
      </c>
      <c r="N758" t="s">
        <v>4215</v>
      </c>
      <c r="O758" t="s">
        <v>64</v>
      </c>
      <c r="P758" t="s">
        <v>30</v>
      </c>
      <c r="Q758" t="s">
        <v>65</v>
      </c>
      <c r="R758" s="3">
        <v>1711.16</v>
      </c>
    </row>
    <row r="759" spans="1:18" x14ac:dyDescent="0.3">
      <c r="A759" t="s">
        <v>4216</v>
      </c>
      <c r="B759" t="str">
        <f>TEXT(Raw_Data[[#This Row],[Order Date]],"mmm")</f>
        <v>Nov</v>
      </c>
      <c r="C759" t="s">
        <v>1204</v>
      </c>
      <c r="D759" t="s">
        <v>4217</v>
      </c>
      <c r="E759" t="s">
        <v>20</v>
      </c>
      <c r="F759" t="s">
        <v>58</v>
      </c>
      <c r="G759" t="s">
        <v>59</v>
      </c>
      <c r="H759" t="s">
        <v>38</v>
      </c>
      <c r="I759" t="s">
        <v>71</v>
      </c>
      <c r="J759" t="s">
        <v>25</v>
      </c>
      <c r="K759" t="s">
        <v>4218</v>
      </c>
      <c r="L759">
        <v>0</v>
      </c>
      <c r="M759" t="s">
        <v>4219</v>
      </c>
      <c r="N759" t="s">
        <v>4220</v>
      </c>
      <c r="O759" t="s">
        <v>64</v>
      </c>
      <c r="P759" t="s">
        <v>30</v>
      </c>
      <c r="Q759" t="s">
        <v>44</v>
      </c>
      <c r="R759" s="3">
        <v>3018.31</v>
      </c>
    </row>
    <row r="760" spans="1:18" x14ac:dyDescent="0.3">
      <c r="A760" t="s">
        <v>4221</v>
      </c>
      <c r="B760" t="str">
        <f>TEXT(Raw_Data[[#This Row],[Order Date]],"mmm")</f>
        <v>Jun</v>
      </c>
      <c r="C760" t="s">
        <v>370</v>
      </c>
      <c r="D760" t="s">
        <v>4222</v>
      </c>
      <c r="E760" t="s">
        <v>20</v>
      </c>
      <c r="F760" t="s">
        <v>58</v>
      </c>
      <c r="G760" t="s">
        <v>59</v>
      </c>
      <c r="H760" t="s">
        <v>107</v>
      </c>
      <c r="I760" t="s">
        <v>108</v>
      </c>
      <c r="J760" t="s">
        <v>50</v>
      </c>
      <c r="K760" t="s">
        <v>4223</v>
      </c>
      <c r="L760">
        <v>0.05</v>
      </c>
      <c r="M760" t="s">
        <v>4224</v>
      </c>
      <c r="N760" t="s">
        <v>4225</v>
      </c>
      <c r="O760" t="s">
        <v>64</v>
      </c>
      <c r="P760" t="s">
        <v>30</v>
      </c>
      <c r="Q760" t="s">
        <v>31</v>
      </c>
      <c r="R760" s="3">
        <v>18071.964</v>
      </c>
    </row>
    <row r="761" spans="1:18" x14ac:dyDescent="0.3">
      <c r="A761" t="s">
        <v>4226</v>
      </c>
      <c r="B761" t="str">
        <f>TEXT(Raw_Data[[#This Row],[Order Date]],"mmm")</f>
        <v>Aug</v>
      </c>
      <c r="C761" t="s">
        <v>4227</v>
      </c>
      <c r="D761" t="s">
        <v>4228</v>
      </c>
      <c r="E761" t="s">
        <v>20</v>
      </c>
      <c r="F761" t="s">
        <v>58</v>
      </c>
      <c r="G761" t="s">
        <v>59</v>
      </c>
      <c r="H761" t="s">
        <v>80</v>
      </c>
      <c r="I761" t="s">
        <v>131</v>
      </c>
      <c r="J761" t="s">
        <v>25</v>
      </c>
      <c r="K761" t="s">
        <v>4229</v>
      </c>
      <c r="L761">
        <v>0</v>
      </c>
      <c r="M761" t="s">
        <v>4230</v>
      </c>
      <c r="N761" t="s">
        <v>4231</v>
      </c>
      <c r="O761" t="s">
        <v>64</v>
      </c>
      <c r="P761" t="s">
        <v>112</v>
      </c>
      <c r="Q761" t="s">
        <v>44</v>
      </c>
      <c r="R761" s="3">
        <v>3841.14</v>
      </c>
    </row>
    <row r="762" spans="1:18" x14ac:dyDescent="0.3">
      <c r="A762" t="s">
        <v>4232</v>
      </c>
      <c r="B762" t="str">
        <f>TEXT(Raw_Data[[#This Row],[Order Date]],"mmm")</f>
        <v>Jul</v>
      </c>
      <c r="C762" t="s">
        <v>3390</v>
      </c>
      <c r="D762" t="s">
        <v>4233</v>
      </c>
      <c r="E762" t="s">
        <v>48</v>
      </c>
      <c r="F762" t="s">
        <v>215</v>
      </c>
      <c r="G762" t="s">
        <v>216</v>
      </c>
      <c r="H762" t="s">
        <v>23</v>
      </c>
      <c r="I762" t="s">
        <v>24</v>
      </c>
      <c r="J762" t="s">
        <v>25</v>
      </c>
      <c r="K762" t="s">
        <v>4234</v>
      </c>
      <c r="L762">
        <v>0.1</v>
      </c>
      <c r="M762" t="s">
        <v>4235</v>
      </c>
      <c r="N762" t="s">
        <v>4236</v>
      </c>
      <c r="O762" t="s">
        <v>29</v>
      </c>
      <c r="P762" t="s">
        <v>30</v>
      </c>
      <c r="Q762" t="s">
        <v>31</v>
      </c>
      <c r="R762" s="3">
        <v>17527.994999999999</v>
      </c>
    </row>
    <row r="763" spans="1:18" x14ac:dyDescent="0.3">
      <c r="A763" t="s">
        <v>4237</v>
      </c>
      <c r="B763" t="str">
        <f>TEXT(Raw_Data[[#This Row],[Order Date]],"mmm")</f>
        <v>Feb</v>
      </c>
      <c r="C763" t="s">
        <v>1268</v>
      </c>
      <c r="D763" t="s">
        <v>4238</v>
      </c>
      <c r="E763" t="s">
        <v>35</v>
      </c>
      <c r="F763" t="s">
        <v>89</v>
      </c>
      <c r="G763" t="s">
        <v>99</v>
      </c>
      <c r="H763" t="s">
        <v>38</v>
      </c>
      <c r="I763" t="s">
        <v>256</v>
      </c>
      <c r="J763" t="s">
        <v>50</v>
      </c>
      <c r="K763" t="s">
        <v>4239</v>
      </c>
      <c r="L763">
        <v>0.15</v>
      </c>
      <c r="M763" t="s">
        <v>4240</v>
      </c>
      <c r="N763" t="s">
        <v>4241</v>
      </c>
      <c r="O763" t="s">
        <v>64</v>
      </c>
      <c r="P763" t="s">
        <v>95</v>
      </c>
      <c r="Q763" t="s">
        <v>44</v>
      </c>
      <c r="R763" s="3">
        <v>2485.1959999999999</v>
      </c>
    </row>
    <row r="764" spans="1:18" x14ac:dyDescent="0.3">
      <c r="A764" t="s">
        <v>4242</v>
      </c>
      <c r="B764" t="str">
        <f>TEXT(Raw_Data[[#This Row],[Order Date]],"mmm")</f>
        <v>Apr</v>
      </c>
      <c r="C764" t="s">
        <v>804</v>
      </c>
      <c r="D764" t="s">
        <v>4243</v>
      </c>
      <c r="E764" t="s">
        <v>35</v>
      </c>
      <c r="F764" t="s">
        <v>36</v>
      </c>
      <c r="G764" t="s">
        <v>153</v>
      </c>
      <c r="H764" t="s">
        <v>80</v>
      </c>
      <c r="I764" t="s">
        <v>91</v>
      </c>
      <c r="J764" t="s">
        <v>25</v>
      </c>
      <c r="K764" t="s">
        <v>4244</v>
      </c>
      <c r="L764">
        <v>0.2</v>
      </c>
      <c r="M764" t="s">
        <v>4245</v>
      </c>
      <c r="N764" t="s">
        <v>4246</v>
      </c>
      <c r="O764" t="s">
        <v>54</v>
      </c>
      <c r="P764" t="s">
        <v>30</v>
      </c>
      <c r="Q764" t="s">
        <v>65</v>
      </c>
      <c r="R764" s="3">
        <v>838.07999999999902</v>
      </c>
    </row>
    <row r="765" spans="1:18" x14ac:dyDescent="0.3">
      <c r="A765" t="s">
        <v>4247</v>
      </c>
      <c r="B765" t="str">
        <f>TEXT(Raw_Data[[#This Row],[Order Date]],"mmm")</f>
        <v>Sep</v>
      </c>
      <c r="C765" t="s">
        <v>339</v>
      </c>
      <c r="D765" t="s">
        <v>4248</v>
      </c>
      <c r="E765" t="s">
        <v>20</v>
      </c>
      <c r="F765" t="s">
        <v>36</v>
      </c>
      <c r="G765" t="s">
        <v>37</v>
      </c>
      <c r="H765" t="s">
        <v>107</v>
      </c>
      <c r="I765" t="s">
        <v>591</v>
      </c>
      <c r="J765" t="s">
        <v>50</v>
      </c>
      <c r="K765" t="s">
        <v>4249</v>
      </c>
      <c r="L765">
        <v>0.15</v>
      </c>
      <c r="M765" t="s">
        <v>4250</v>
      </c>
      <c r="N765" t="s">
        <v>4251</v>
      </c>
      <c r="O765" t="s">
        <v>43</v>
      </c>
      <c r="P765" t="s">
        <v>159</v>
      </c>
      <c r="Q765" t="s">
        <v>44</v>
      </c>
      <c r="R765" s="3">
        <v>26242.713</v>
      </c>
    </row>
    <row r="766" spans="1:18" x14ac:dyDescent="0.3">
      <c r="A766" t="s">
        <v>4252</v>
      </c>
      <c r="B766" t="str">
        <f>TEXT(Raw_Data[[#This Row],[Order Date]],"mmm")</f>
        <v>Mar</v>
      </c>
      <c r="C766" t="s">
        <v>282</v>
      </c>
      <c r="D766" t="s">
        <v>4253</v>
      </c>
      <c r="E766" t="s">
        <v>35</v>
      </c>
      <c r="F766" t="s">
        <v>106</v>
      </c>
      <c r="G766" t="s">
        <v>163</v>
      </c>
      <c r="H766" t="s">
        <v>80</v>
      </c>
      <c r="I766" t="s">
        <v>116</v>
      </c>
      <c r="J766" t="s">
        <v>82</v>
      </c>
      <c r="K766" t="s">
        <v>4254</v>
      </c>
      <c r="L766">
        <v>0.1</v>
      </c>
      <c r="M766" t="s">
        <v>4255</v>
      </c>
      <c r="N766" t="s">
        <v>4256</v>
      </c>
      <c r="O766" t="s">
        <v>29</v>
      </c>
      <c r="P766" t="s">
        <v>30</v>
      </c>
      <c r="Q766" t="s">
        <v>65</v>
      </c>
      <c r="R766" s="3">
        <v>17558.495999999999</v>
      </c>
    </row>
    <row r="767" spans="1:18" x14ac:dyDescent="0.3">
      <c r="A767" t="s">
        <v>4257</v>
      </c>
      <c r="B767" t="str">
        <f>TEXT(Raw_Data[[#This Row],[Order Date]],"mmm")</f>
        <v>Feb</v>
      </c>
      <c r="C767" t="s">
        <v>845</v>
      </c>
      <c r="D767" t="s">
        <v>4258</v>
      </c>
      <c r="E767" t="s">
        <v>20</v>
      </c>
      <c r="F767" t="s">
        <v>78</v>
      </c>
      <c r="G767" t="s">
        <v>79</v>
      </c>
      <c r="H767" t="s">
        <v>23</v>
      </c>
      <c r="I767" t="s">
        <v>49</v>
      </c>
      <c r="J767" t="s">
        <v>25</v>
      </c>
      <c r="K767" t="s">
        <v>4259</v>
      </c>
      <c r="L767">
        <v>0.15</v>
      </c>
      <c r="M767" t="s">
        <v>4260</v>
      </c>
      <c r="N767" t="s">
        <v>4261</v>
      </c>
      <c r="O767" t="s">
        <v>54</v>
      </c>
      <c r="P767" t="s">
        <v>159</v>
      </c>
      <c r="Q767" t="s">
        <v>31</v>
      </c>
      <c r="R767" s="3">
        <v>45614.349000000002</v>
      </c>
    </row>
    <row r="768" spans="1:18" x14ac:dyDescent="0.3">
      <c r="A768" t="s">
        <v>4262</v>
      </c>
      <c r="B768" t="str">
        <f>TEXT(Raw_Data[[#This Row],[Order Date]],"mmm")</f>
        <v>Aug</v>
      </c>
      <c r="C768" t="s">
        <v>4263</v>
      </c>
      <c r="D768" t="s">
        <v>4264</v>
      </c>
      <c r="E768" t="s">
        <v>35</v>
      </c>
      <c r="F768" t="s">
        <v>21</v>
      </c>
      <c r="G768" t="s">
        <v>22</v>
      </c>
      <c r="H768" t="s">
        <v>154</v>
      </c>
      <c r="I768" t="s">
        <v>365</v>
      </c>
      <c r="J768" t="s">
        <v>100</v>
      </c>
      <c r="K768" t="s">
        <v>4265</v>
      </c>
      <c r="L768">
        <v>0.1</v>
      </c>
      <c r="M768" t="s">
        <v>4266</v>
      </c>
      <c r="N768" t="s">
        <v>4267</v>
      </c>
      <c r="O768" t="s">
        <v>54</v>
      </c>
      <c r="P768" t="s">
        <v>95</v>
      </c>
      <c r="Q768" t="s">
        <v>65</v>
      </c>
      <c r="R768" s="3">
        <v>1354.5360000000001</v>
      </c>
    </row>
    <row r="769" spans="1:18" x14ac:dyDescent="0.3">
      <c r="A769" t="s">
        <v>4268</v>
      </c>
      <c r="B769" t="str">
        <f>TEXT(Raw_Data[[#This Row],[Order Date]],"mmm")</f>
        <v>Jun</v>
      </c>
      <c r="C769" t="s">
        <v>1725</v>
      </c>
      <c r="D769" t="s">
        <v>4269</v>
      </c>
      <c r="E769" t="s">
        <v>48</v>
      </c>
      <c r="F769" t="s">
        <v>106</v>
      </c>
      <c r="G769" t="s">
        <v>163</v>
      </c>
      <c r="H769" t="s">
        <v>23</v>
      </c>
      <c r="I769" t="s">
        <v>183</v>
      </c>
      <c r="J769" t="s">
        <v>25</v>
      </c>
      <c r="K769" t="s">
        <v>4270</v>
      </c>
      <c r="L769">
        <v>0.1</v>
      </c>
      <c r="M769" t="s">
        <v>4271</v>
      </c>
      <c r="N769" t="s">
        <v>4272</v>
      </c>
      <c r="O769" t="s">
        <v>64</v>
      </c>
      <c r="P769" t="s">
        <v>30</v>
      </c>
      <c r="Q769" t="s">
        <v>44</v>
      </c>
      <c r="R769" s="3">
        <v>26843.67</v>
      </c>
    </row>
    <row r="770" spans="1:18" x14ac:dyDescent="0.3">
      <c r="A770" t="s">
        <v>4273</v>
      </c>
      <c r="B770" t="str">
        <f>TEXT(Raw_Data[[#This Row],[Order Date]],"mmm")</f>
        <v>May</v>
      </c>
      <c r="C770" t="s">
        <v>810</v>
      </c>
      <c r="D770" t="s">
        <v>4274</v>
      </c>
      <c r="E770" t="s">
        <v>48</v>
      </c>
      <c r="F770" t="s">
        <v>89</v>
      </c>
      <c r="G770" t="s">
        <v>99</v>
      </c>
      <c r="H770" t="s">
        <v>23</v>
      </c>
      <c r="I770" t="s">
        <v>49</v>
      </c>
      <c r="J770" t="s">
        <v>25</v>
      </c>
      <c r="K770" t="s">
        <v>4275</v>
      </c>
      <c r="L770">
        <v>0</v>
      </c>
      <c r="M770" t="s">
        <v>4276</v>
      </c>
      <c r="N770" t="s">
        <v>4277</v>
      </c>
      <c r="O770" t="s">
        <v>173</v>
      </c>
      <c r="P770" t="s">
        <v>30</v>
      </c>
      <c r="Q770" t="s">
        <v>31</v>
      </c>
      <c r="R770" s="3">
        <v>3889.4</v>
      </c>
    </row>
    <row r="771" spans="1:18" x14ac:dyDescent="0.3">
      <c r="A771" t="s">
        <v>4278</v>
      </c>
      <c r="B771" t="str">
        <f>TEXT(Raw_Data[[#This Row],[Order Date]],"mmm")</f>
        <v>Dec</v>
      </c>
      <c r="C771" t="s">
        <v>534</v>
      </c>
      <c r="D771" t="s">
        <v>4279</v>
      </c>
      <c r="E771" t="s">
        <v>48</v>
      </c>
      <c r="F771" t="s">
        <v>215</v>
      </c>
      <c r="G771" t="s">
        <v>276</v>
      </c>
      <c r="H771" t="s">
        <v>154</v>
      </c>
      <c r="I771" t="s">
        <v>155</v>
      </c>
      <c r="J771" t="s">
        <v>25</v>
      </c>
      <c r="K771" t="s">
        <v>4280</v>
      </c>
      <c r="L771">
        <v>0.05</v>
      </c>
      <c r="M771" t="s">
        <v>4281</v>
      </c>
      <c r="N771" t="s">
        <v>4282</v>
      </c>
      <c r="O771" t="s">
        <v>29</v>
      </c>
      <c r="P771" t="s">
        <v>30</v>
      </c>
      <c r="Q771" t="s">
        <v>31</v>
      </c>
      <c r="R771" s="3">
        <v>6282.3215</v>
      </c>
    </row>
    <row r="772" spans="1:18" x14ac:dyDescent="0.3">
      <c r="A772" t="s">
        <v>4283</v>
      </c>
      <c r="B772" t="str">
        <f>TEXT(Raw_Data[[#This Row],[Order Date]],"mmm")</f>
        <v>Feb</v>
      </c>
      <c r="C772" t="s">
        <v>4284</v>
      </c>
      <c r="D772" t="s">
        <v>4285</v>
      </c>
      <c r="E772" t="s">
        <v>20</v>
      </c>
      <c r="F772" t="s">
        <v>78</v>
      </c>
      <c r="G772" t="s">
        <v>468</v>
      </c>
      <c r="H772" t="s">
        <v>23</v>
      </c>
      <c r="I772" t="s">
        <v>263</v>
      </c>
      <c r="J772" t="s">
        <v>25</v>
      </c>
      <c r="K772" t="s">
        <v>4286</v>
      </c>
      <c r="L772">
        <v>0.2</v>
      </c>
      <c r="M772" t="s">
        <v>4287</v>
      </c>
      <c r="N772" t="s">
        <v>4288</v>
      </c>
      <c r="O772" t="s">
        <v>43</v>
      </c>
      <c r="P772" t="s">
        <v>112</v>
      </c>
      <c r="Q772" t="s">
        <v>65</v>
      </c>
      <c r="R772" s="3">
        <v>13702.272000000001</v>
      </c>
    </row>
    <row r="773" spans="1:18" x14ac:dyDescent="0.3">
      <c r="A773" t="s">
        <v>4289</v>
      </c>
      <c r="B773" t="str">
        <f>TEXT(Raw_Data[[#This Row],[Order Date]],"mmm")</f>
        <v>Aug</v>
      </c>
      <c r="C773" t="s">
        <v>1943</v>
      </c>
      <c r="D773" t="s">
        <v>4290</v>
      </c>
      <c r="E773" t="s">
        <v>35</v>
      </c>
      <c r="F773" t="s">
        <v>106</v>
      </c>
      <c r="G773" t="s">
        <v>163</v>
      </c>
      <c r="H773" t="s">
        <v>80</v>
      </c>
      <c r="I773" t="s">
        <v>131</v>
      </c>
      <c r="J773" t="s">
        <v>25</v>
      </c>
      <c r="K773" t="s">
        <v>4291</v>
      </c>
      <c r="L773">
        <v>0.05</v>
      </c>
      <c r="M773" t="s">
        <v>4292</v>
      </c>
      <c r="N773" t="s">
        <v>4293</v>
      </c>
      <c r="O773" t="s">
        <v>43</v>
      </c>
      <c r="P773" t="s">
        <v>30</v>
      </c>
      <c r="Q773" t="s">
        <v>65</v>
      </c>
      <c r="R773" s="3">
        <v>3137.7264999999902</v>
      </c>
    </row>
    <row r="774" spans="1:18" x14ac:dyDescent="0.3">
      <c r="A774" t="s">
        <v>4294</v>
      </c>
      <c r="B774" t="str">
        <f>TEXT(Raw_Data[[#This Row],[Order Date]],"mmm")</f>
        <v>Feb</v>
      </c>
      <c r="C774" t="s">
        <v>2399</v>
      </c>
      <c r="D774" t="s">
        <v>4295</v>
      </c>
      <c r="E774" t="s">
        <v>35</v>
      </c>
      <c r="F774" t="s">
        <v>69</v>
      </c>
      <c r="G774" t="s">
        <v>328</v>
      </c>
      <c r="H774" t="s">
        <v>107</v>
      </c>
      <c r="I774" t="s">
        <v>108</v>
      </c>
      <c r="J774" t="s">
        <v>50</v>
      </c>
      <c r="K774" t="s">
        <v>4296</v>
      </c>
      <c r="L774">
        <v>0.1</v>
      </c>
      <c r="M774" t="s">
        <v>4297</v>
      </c>
      <c r="N774" t="s">
        <v>4298</v>
      </c>
      <c r="O774" t="s">
        <v>173</v>
      </c>
      <c r="P774" t="s">
        <v>30</v>
      </c>
      <c r="Q774" t="s">
        <v>44</v>
      </c>
      <c r="R774" s="3">
        <v>7736.0940000000001</v>
      </c>
    </row>
    <row r="775" spans="1:18" x14ac:dyDescent="0.3">
      <c r="A775" t="s">
        <v>4299</v>
      </c>
      <c r="B775" t="str">
        <f>TEXT(Raw_Data[[#This Row],[Order Date]],"mmm")</f>
        <v>Jun</v>
      </c>
      <c r="C775" t="s">
        <v>3263</v>
      </c>
      <c r="D775" t="s">
        <v>4300</v>
      </c>
      <c r="E775" t="s">
        <v>48</v>
      </c>
      <c r="F775" t="s">
        <v>78</v>
      </c>
      <c r="G775" t="s">
        <v>468</v>
      </c>
      <c r="H775" t="s">
        <v>154</v>
      </c>
      <c r="I775" t="s">
        <v>365</v>
      </c>
      <c r="J775" t="s">
        <v>25</v>
      </c>
      <c r="K775" t="s">
        <v>4301</v>
      </c>
      <c r="L775">
        <v>0.05</v>
      </c>
      <c r="M775" t="s">
        <v>4302</v>
      </c>
      <c r="N775" t="s">
        <v>4303</v>
      </c>
      <c r="O775" t="s">
        <v>173</v>
      </c>
      <c r="P775" t="s">
        <v>30</v>
      </c>
      <c r="Q775" t="s">
        <v>65</v>
      </c>
      <c r="R775" s="3">
        <v>10159.166999999999</v>
      </c>
    </row>
    <row r="776" spans="1:18" x14ac:dyDescent="0.3">
      <c r="A776" t="s">
        <v>4304</v>
      </c>
      <c r="B776" t="str">
        <f>TEXT(Raw_Data[[#This Row],[Order Date]],"mmm")</f>
        <v>Jun</v>
      </c>
      <c r="C776" t="s">
        <v>2272</v>
      </c>
      <c r="D776" t="s">
        <v>4305</v>
      </c>
      <c r="E776" t="s">
        <v>35</v>
      </c>
      <c r="F776" t="s">
        <v>215</v>
      </c>
      <c r="G776" t="s">
        <v>276</v>
      </c>
      <c r="H776" t="s">
        <v>80</v>
      </c>
      <c r="I776" t="s">
        <v>116</v>
      </c>
      <c r="J776" t="s">
        <v>25</v>
      </c>
      <c r="K776" t="s">
        <v>4306</v>
      </c>
      <c r="L776">
        <v>0</v>
      </c>
      <c r="M776" t="s">
        <v>4307</v>
      </c>
      <c r="N776" t="s">
        <v>4308</v>
      </c>
      <c r="O776" t="s">
        <v>64</v>
      </c>
      <c r="P776" t="s">
        <v>30</v>
      </c>
      <c r="Q776" t="s">
        <v>65</v>
      </c>
      <c r="R776" s="3">
        <v>1246.5999999999999</v>
      </c>
    </row>
    <row r="777" spans="1:18" x14ac:dyDescent="0.3">
      <c r="A777" t="s">
        <v>4309</v>
      </c>
      <c r="B777" t="str">
        <f>TEXT(Raw_Data[[#This Row],[Order Date]],"mmm")</f>
        <v>May</v>
      </c>
      <c r="C777" t="s">
        <v>301</v>
      </c>
      <c r="D777" t="s">
        <v>4310</v>
      </c>
      <c r="E777" t="s">
        <v>35</v>
      </c>
      <c r="F777" t="s">
        <v>89</v>
      </c>
      <c r="G777" t="s">
        <v>90</v>
      </c>
      <c r="H777" t="s">
        <v>80</v>
      </c>
      <c r="I777" t="s">
        <v>91</v>
      </c>
      <c r="J777" t="s">
        <v>25</v>
      </c>
      <c r="K777" t="s">
        <v>4311</v>
      </c>
      <c r="L777">
        <v>0.05</v>
      </c>
      <c r="M777" t="s">
        <v>4312</v>
      </c>
      <c r="N777" t="s">
        <v>4313</v>
      </c>
      <c r="O777" t="s">
        <v>29</v>
      </c>
      <c r="P777" t="s">
        <v>30</v>
      </c>
      <c r="Q777" t="s">
        <v>31</v>
      </c>
      <c r="R777" s="3">
        <v>1862.9024999999999</v>
      </c>
    </row>
    <row r="778" spans="1:18" x14ac:dyDescent="0.3">
      <c r="A778" t="s">
        <v>4314</v>
      </c>
      <c r="B778" t="str">
        <f>TEXT(Raw_Data[[#This Row],[Order Date]],"mmm")</f>
        <v>Jul</v>
      </c>
      <c r="C778" t="s">
        <v>1921</v>
      </c>
      <c r="D778" t="s">
        <v>4315</v>
      </c>
      <c r="E778" t="s">
        <v>20</v>
      </c>
      <c r="F778" t="s">
        <v>89</v>
      </c>
      <c r="G778" t="s">
        <v>99</v>
      </c>
      <c r="H778" t="s">
        <v>154</v>
      </c>
      <c r="I778" t="s">
        <v>1061</v>
      </c>
      <c r="J778" t="s">
        <v>50</v>
      </c>
      <c r="K778" t="s">
        <v>4316</v>
      </c>
      <c r="L778">
        <v>0.05</v>
      </c>
      <c r="M778" t="s">
        <v>4317</v>
      </c>
      <c r="N778" t="s">
        <v>4318</v>
      </c>
      <c r="O778" t="s">
        <v>43</v>
      </c>
      <c r="P778" t="s">
        <v>159</v>
      </c>
      <c r="Q778" t="s">
        <v>31</v>
      </c>
      <c r="R778" s="3">
        <v>3147.3119999999999</v>
      </c>
    </row>
    <row r="779" spans="1:18" x14ac:dyDescent="0.3">
      <c r="A779" t="s">
        <v>4319</v>
      </c>
      <c r="B779" t="str">
        <f>TEXT(Raw_Data[[#This Row],[Order Date]],"mmm")</f>
        <v>Dec</v>
      </c>
      <c r="C779" t="s">
        <v>965</v>
      </c>
      <c r="D779" t="s">
        <v>4320</v>
      </c>
      <c r="E779" t="s">
        <v>20</v>
      </c>
      <c r="F779" t="s">
        <v>89</v>
      </c>
      <c r="G779" t="s">
        <v>99</v>
      </c>
      <c r="H779" t="s">
        <v>154</v>
      </c>
      <c r="I779" t="s">
        <v>309</v>
      </c>
      <c r="J779" t="s">
        <v>25</v>
      </c>
      <c r="K779" t="s">
        <v>4321</v>
      </c>
      <c r="L779">
        <v>0.1</v>
      </c>
      <c r="M779" t="s">
        <v>4322</v>
      </c>
      <c r="N779" t="s">
        <v>4323</v>
      </c>
      <c r="O779" t="s">
        <v>173</v>
      </c>
      <c r="P779" t="s">
        <v>30</v>
      </c>
      <c r="Q779" t="s">
        <v>65</v>
      </c>
      <c r="R779" s="3">
        <v>6102.18</v>
      </c>
    </row>
    <row r="780" spans="1:18" x14ac:dyDescent="0.3">
      <c r="A780" t="s">
        <v>4324</v>
      </c>
      <c r="B780" t="str">
        <f>TEXT(Raw_Data[[#This Row],[Order Date]],"mmm")</f>
        <v>Jul</v>
      </c>
      <c r="C780" t="s">
        <v>412</v>
      </c>
      <c r="D780" t="s">
        <v>4325</v>
      </c>
      <c r="E780" t="s">
        <v>48</v>
      </c>
      <c r="F780" t="s">
        <v>78</v>
      </c>
      <c r="G780" t="s">
        <v>79</v>
      </c>
      <c r="H780" t="s">
        <v>23</v>
      </c>
      <c r="I780" t="s">
        <v>24</v>
      </c>
      <c r="J780" t="s">
        <v>25</v>
      </c>
      <c r="K780" t="s">
        <v>4326</v>
      </c>
      <c r="L780">
        <v>0.2</v>
      </c>
      <c r="M780" t="s">
        <v>4327</v>
      </c>
      <c r="N780" t="s">
        <v>4328</v>
      </c>
      <c r="O780" t="s">
        <v>43</v>
      </c>
      <c r="P780" t="s">
        <v>30</v>
      </c>
      <c r="Q780" t="s">
        <v>44</v>
      </c>
      <c r="R780" s="3">
        <v>5175.3519999999999</v>
      </c>
    </row>
    <row r="781" spans="1:18" x14ac:dyDescent="0.3">
      <c r="A781" t="s">
        <v>4329</v>
      </c>
      <c r="B781" t="str">
        <f>TEXT(Raw_Data[[#This Row],[Order Date]],"mmm")</f>
        <v>Jul</v>
      </c>
      <c r="C781" t="s">
        <v>2261</v>
      </c>
      <c r="D781" t="s">
        <v>4330</v>
      </c>
      <c r="E781" t="s">
        <v>35</v>
      </c>
      <c r="F781" t="s">
        <v>69</v>
      </c>
      <c r="G781" t="s">
        <v>139</v>
      </c>
      <c r="H781" t="s">
        <v>154</v>
      </c>
      <c r="I781" t="s">
        <v>237</v>
      </c>
      <c r="J781" t="s">
        <v>25</v>
      </c>
      <c r="K781" t="s">
        <v>4331</v>
      </c>
      <c r="L781">
        <v>0.05</v>
      </c>
      <c r="M781" t="s">
        <v>4332</v>
      </c>
      <c r="N781" t="s">
        <v>4333</v>
      </c>
      <c r="O781" t="s">
        <v>43</v>
      </c>
      <c r="P781" t="s">
        <v>30</v>
      </c>
      <c r="Q781" t="s">
        <v>31</v>
      </c>
      <c r="R781" s="3">
        <v>3020.0879999999902</v>
      </c>
    </row>
    <row r="782" spans="1:18" x14ac:dyDescent="0.3">
      <c r="A782" t="s">
        <v>4334</v>
      </c>
      <c r="B782" t="str">
        <f>TEXT(Raw_Data[[#This Row],[Order Date]],"mmm")</f>
        <v>Mar</v>
      </c>
      <c r="C782" t="s">
        <v>2959</v>
      </c>
      <c r="D782" t="s">
        <v>4335</v>
      </c>
      <c r="E782" t="s">
        <v>35</v>
      </c>
      <c r="F782" t="s">
        <v>69</v>
      </c>
      <c r="G782" t="s">
        <v>70</v>
      </c>
      <c r="H782" t="s">
        <v>80</v>
      </c>
      <c r="I782" t="s">
        <v>116</v>
      </c>
      <c r="J782" t="s">
        <v>82</v>
      </c>
      <c r="K782" t="s">
        <v>4336</v>
      </c>
      <c r="L782">
        <v>0.1</v>
      </c>
      <c r="M782" t="s">
        <v>4337</v>
      </c>
      <c r="N782" t="s">
        <v>4338</v>
      </c>
      <c r="O782" t="s">
        <v>173</v>
      </c>
      <c r="P782" t="s">
        <v>30</v>
      </c>
      <c r="Q782" t="s">
        <v>44</v>
      </c>
      <c r="R782" s="3">
        <v>15662.304</v>
      </c>
    </row>
    <row r="783" spans="1:18" x14ac:dyDescent="0.3">
      <c r="A783" t="s">
        <v>4339</v>
      </c>
      <c r="B783" t="str">
        <f>TEXT(Raw_Data[[#This Row],[Order Date]],"mmm")</f>
        <v>Apr</v>
      </c>
      <c r="C783" t="s">
        <v>902</v>
      </c>
      <c r="D783" t="s">
        <v>4340</v>
      </c>
      <c r="E783" t="s">
        <v>35</v>
      </c>
      <c r="F783" t="s">
        <v>106</v>
      </c>
      <c r="G783" t="s">
        <v>106</v>
      </c>
      <c r="H783" t="s">
        <v>23</v>
      </c>
      <c r="I783" t="s">
        <v>263</v>
      </c>
      <c r="J783" t="s">
        <v>25</v>
      </c>
      <c r="K783" t="s">
        <v>4341</v>
      </c>
      <c r="L783">
        <v>0.1</v>
      </c>
      <c r="M783" t="s">
        <v>4342</v>
      </c>
      <c r="N783" t="s">
        <v>4343</v>
      </c>
      <c r="O783" t="s">
        <v>54</v>
      </c>
      <c r="P783" t="s">
        <v>30</v>
      </c>
      <c r="Q783" t="s">
        <v>44</v>
      </c>
      <c r="R783" s="3">
        <v>29611.827000000001</v>
      </c>
    </row>
    <row r="784" spans="1:18" x14ac:dyDescent="0.3">
      <c r="A784" t="s">
        <v>4344</v>
      </c>
      <c r="B784" t="str">
        <f>TEXT(Raw_Data[[#This Row],[Order Date]],"mmm")</f>
        <v>Jul</v>
      </c>
      <c r="C784" t="s">
        <v>2416</v>
      </c>
      <c r="D784" t="s">
        <v>4345</v>
      </c>
      <c r="E784" t="s">
        <v>35</v>
      </c>
      <c r="F784" t="s">
        <v>89</v>
      </c>
      <c r="G784" t="s">
        <v>230</v>
      </c>
      <c r="H784" t="s">
        <v>23</v>
      </c>
      <c r="I784" t="s">
        <v>341</v>
      </c>
      <c r="J784" t="s">
        <v>50</v>
      </c>
      <c r="K784" t="s">
        <v>4346</v>
      </c>
      <c r="L784">
        <v>0.15</v>
      </c>
      <c r="M784" t="s">
        <v>4347</v>
      </c>
      <c r="N784" t="s">
        <v>4348</v>
      </c>
      <c r="O784" t="s">
        <v>64</v>
      </c>
      <c r="P784" t="s">
        <v>30</v>
      </c>
      <c r="Q784" t="s">
        <v>31</v>
      </c>
      <c r="R784" s="3">
        <v>120484.91599999899</v>
      </c>
    </row>
    <row r="785" spans="1:18" x14ac:dyDescent="0.3">
      <c r="A785" t="s">
        <v>4349</v>
      </c>
      <c r="B785" t="str">
        <f>TEXT(Raw_Data[[#This Row],[Order Date]],"mmm")</f>
        <v>Apr</v>
      </c>
      <c r="C785" t="s">
        <v>2649</v>
      </c>
      <c r="D785" t="s">
        <v>4350</v>
      </c>
      <c r="E785" t="s">
        <v>20</v>
      </c>
      <c r="F785" t="s">
        <v>69</v>
      </c>
      <c r="G785" t="s">
        <v>328</v>
      </c>
      <c r="H785" t="s">
        <v>23</v>
      </c>
      <c r="I785" t="s">
        <v>24</v>
      </c>
      <c r="J785" t="s">
        <v>25</v>
      </c>
      <c r="K785" t="s">
        <v>4351</v>
      </c>
      <c r="L785">
        <v>0.15</v>
      </c>
      <c r="M785" t="s">
        <v>4352</v>
      </c>
      <c r="N785" t="s">
        <v>4353</v>
      </c>
      <c r="O785" t="s">
        <v>64</v>
      </c>
      <c r="P785" t="s">
        <v>30</v>
      </c>
      <c r="Q785" t="s">
        <v>65</v>
      </c>
      <c r="R785" s="3">
        <v>14987.692999999999</v>
      </c>
    </row>
    <row r="786" spans="1:18" x14ac:dyDescent="0.3">
      <c r="A786" t="s">
        <v>4354</v>
      </c>
      <c r="B786" t="str">
        <f>TEXT(Raw_Data[[#This Row],[Order Date]],"mmm")</f>
        <v>Oct</v>
      </c>
      <c r="C786" t="s">
        <v>584</v>
      </c>
      <c r="D786" t="s">
        <v>4355</v>
      </c>
      <c r="E786" t="s">
        <v>35</v>
      </c>
      <c r="F786" t="s">
        <v>78</v>
      </c>
      <c r="G786" t="s">
        <v>79</v>
      </c>
      <c r="H786" t="s">
        <v>107</v>
      </c>
      <c r="I786" t="s">
        <v>277</v>
      </c>
      <c r="J786" t="s">
        <v>82</v>
      </c>
      <c r="K786" t="s">
        <v>4356</v>
      </c>
      <c r="L786">
        <v>0.1</v>
      </c>
      <c r="M786" t="s">
        <v>4357</v>
      </c>
      <c r="N786" t="s">
        <v>4358</v>
      </c>
      <c r="O786" t="s">
        <v>64</v>
      </c>
      <c r="P786" t="s">
        <v>30</v>
      </c>
      <c r="Q786" t="s">
        <v>65</v>
      </c>
      <c r="R786" s="3">
        <v>60888.167999999998</v>
      </c>
    </row>
    <row r="787" spans="1:18" x14ac:dyDescent="0.3">
      <c r="A787" t="s">
        <v>4359</v>
      </c>
      <c r="B787" t="str">
        <f>TEXT(Raw_Data[[#This Row],[Order Date]],"mmm")</f>
        <v>Feb</v>
      </c>
      <c r="C787" t="s">
        <v>201</v>
      </c>
      <c r="D787" t="s">
        <v>4360</v>
      </c>
      <c r="E787" t="s">
        <v>35</v>
      </c>
      <c r="F787" t="s">
        <v>89</v>
      </c>
      <c r="G787" t="s">
        <v>230</v>
      </c>
      <c r="H787" t="s">
        <v>23</v>
      </c>
      <c r="I787" t="s">
        <v>263</v>
      </c>
      <c r="J787" t="s">
        <v>100</v>
      </c>
      <c r="K787" t="s">
        <v>4361</v>
      </c>
      <c r="L787">
        <v>0.1</v>
      </c>
      <c r="M787" t="s">
        <v>4362</v>
      </c>
      <c r="N787" t="s">
        <v>4363</v>
      </c>
      <c r="O787" t="s">
        <v>43</v>
      </c>
      <c r="P787" t="s">
        <v>30</v>
      </c>
      <c r="Q787" t="s">
        <v>31</v>
      </c>
      <c r="R787" s="3">
        <v>12388.5719999999</v>
      </c>
    </row>
    <row r="788" spans="1:18" x14ac:dyDescent="0.3">
      <c r="A788" t="s">
        <v>4364</v>
      </c>
      <c r="B788" t="str">
        <f>TEXT(Raw_Data[[#This Row],[Order Date]],"mmm")</f>
        <v>Jan</v>
      </c>
      <c r="C788" t="s">
        <v>4365</v>
      </c>
      <c r="D788" t="s">
        <v>4366</v>
      </c>
      <c r="E788" t="s">
        <v>48</v>
      </c>
      <c r="F788" t="s">
        <v>89</v>
      </c>
      <c r="G788" t="s">
        <v>230</v>
      </c>
      <c r="H788" t="s">
        <v>23</v>
      </c>
      <c r="I788" t="s">
        <v>263</v>
      </c>
      <c r="J788" t="s">
        <v>50</v>
      </c>
      <c r="K788" t="s">
        <v>4367</v>
      </c>
      <c r="L788">
        <v>0.1</v>
      </c>
      <c r="M788" t="s">
        <v>4368</v>
      </c>
      <c r="N788" t="s">
        <v>4369</v>
      </c>
      <c r="O788" t="s">
        <v>29</v>
      </c>
      <c r="P788" t="s">
        <v>30</v>
      </c>
      <c r="Q788" t="s">
        <v>31</v>
      </c>
      <c r="R788" s="3">
        <v>44340.408000000003</v>
      </c>
    </row>
    <row r="789" spans="1:18" x14ac:dyDescent="0.3">
      <c r="A789" t="s">
        <v>4370</v>
      </c>
      <c r="B789" t="str">
        <f>TEXT(Raw_Data[[#This Row],[Order Date]],"mmm")</f>
        <v>Sep</v>
      </c>
      <c r="C789" t="s">
        <v>1397</v>
      </c>
      <c r="D789" t="s">
        <v>4371</v>
      </c>
      <c r="E789" t="s">
        <v>20</v>
      </c>
      <c r="F789" t="s">
        <v>36</v>
      </c>
      <c r="G789" t="s">
        <v>196</v>
      </c>
      <c r="H789" t="s">
        <v>80</v>
      </c>
      <c r="I789" t="s">
        <v>81</v>
      </c>
      <c r="J789" t="s">
        <v>25</v>
      </c>
      <c r="K789" t="s">
        <v>4372</v>
      </c>
      <c r="L789">
        <v>0.1</v>
      </c>
      <c r="M789" t="s">
        <v>4373</v>
      </c>
      <c r="N789" t="s">
        <v>4374</v>
      </c>
      <c r="O789" t="s">
        <v>43</v>
      </c>
      <c r="P789" t="s">
        <v>30</v>
      </c>
      <c r="Q789" t="s">
        <v>65</v>
      </c>
      <c r="R789" s="3">
        <v>4546.3050000000003</v>
      </c>
    </row>
    <row r="790" spans="1:18" x14ac:dyDescent="0.3">
      <c r="A790" t="s">
        <v>4375</v>
      </c>
      <c r="B790" t="str">
        <f>TEXT(Raw_Data[[#This Row],[Order Date]],"mmm")</f>
        <v>Oct</v>
      </c>
      <c r="C790" t="s">
        <v>584</v>
      </c>
      <c r="D790" t="s">
        <v>4376</v>
      </c>
      <c r="E790" t="s">
        <v>35</v>
      </c>
      <c r="F790" t="s">
        <v>78</v>
      </c>
      <c r="G790" t="s">
        <v>731</v>
      </c>
      <c r="H790" t="s">
        <v>80</v>
      </c>
      <c r="I790" t="s">
        <v>81</v>
      </c>
      <c r="J790" t="s">
        <v>50</v>
      </c>
      <c r="K790" t="s">
        <v>4377</v>
      </c>
      <c r="L790">
        <v>0.05</v>
      </c>
      <c r="M790" t="s">
        <v>4378</v>
      </c>
      <c r="N790" t="s">
        <v>4379</v>
      </c>
      <c r="O790" t="s">
        <v>43</v>
      </c>
      <c r="P790" t="s">
        <v>112</v>
      </c>
      <c r="Q790" t="s">
        <v>44</v>
      </c>
      <c r="R790" s="3">
        <v>11440.925999999999</v>
      </c>
    </row>
    <row r="791" spans="1:18" x14ac:dyDescent="0.3">
      <c r="A791" t="s">
        <v>4380</v>
      </c>
      <c r="B791" t="str">
        <f>TEXT(Raw_Data[[#This Row],[Order Date]],"mmm")</f>
        <v>Feb</v>
      </c>
      <c r="C791" t="s">
        <v>702</v>
      </c>
      <c r="D791" t="s">
        <v>4381</v>
      </c>
      <c r="E791" t="s">
        <v>35</v>
      </c>
      <c r="F791" t="s">
        <v>36</v>
      </c>
      <c r="G791" t="s">
        <v>153</v>
      </c>
      <c r="H791" t="s">
        <v>23</v>
      </c>
      <c r="I791" t="s">
        <v>263</v>
      </c>
      <c r="J791" t="s">
        <v>25</v>
      </c>
      <c r="K791" t="s">
        <v>4382</v>
      </c>
      <c r="L791">
        <v>0.1</v>
      </c>
      <c r="M791" t="s">
        <v>4383</v>
      </c>
      <c r="N791" t="s">
        <v>4384</v>
      </c>
      <c r="O791" t="s">
        <v>173</v>
      </c>
      <c r="P791" t="s">
        <v>30</v>
      </c>
      <c r="Q791" t="s">
        <v>44</v>
      </c>
      <c r="R791" s="3">
        <v>33597.54</v>
      </c>
    </row>
    <row r="792" spans="1:18" x14ac:dyDescent="0.3">
      <c r="A792" t="s">
        <v>4385</v>
      </c>
      <c r="B792" t="str">
        <f>TEXT(Raw_Data[[#This Row],[Order Date]],"mmm")</f>
        <v>Nov</v>
      </c>
      <c r="C792" t="s">
        <v>4386</v>
      </c>
      <c r="D792" t="s">
        <v>4387</v>
      </c>
      <c r="E792" t="s">
        <v>35</v>
      </c>
      <c r="F792" t="s">
        <v>89</v>
      </c>
      <c r="G792" t="s">
        <v>99</v>
      </c>
      <c r="H792" t="s">
        <v>154</v>
      </c>
      <c r="I792" t="s">
        <v>1061</v>
      </c>
      <c r="J792" t="s">
        <v>25</v>
      </c>
      <c r="K792" t="s">
        <v>4388</v>
      </c>
      <c r="L792">
        <v>0.15</v>
      </c>
      <c r="M792" t="s">
        <v>4389</v>
      </c>
      <c r="N792" t="s">
        <v>4390</v>
      </c>
      <c r="O792" t="s">
        <v>43</v>
      </c>
      <c r="P792" t="s">
        <v>112</v>
      </c>
      <c r="Q792" t="s">
        <v>44</v>
      </c>
      <c r="R792" s="3">
        <v>6365.2079999999996</v>
      </c>
    </row>
    <row r="793" spans="1:18" x14ac:dyDescent="0.3">
      <c r="A793" t="s">
        <v>4391</v>
      </c>
      <c r="B793" t="str">
        <f>TEXT(Raw_Data[[#This Row],[Order Date]],"mmm")</f>
        <v>Oct</v>
      </c>
      <c r="C793" t="s">
        <v>3707</v>
      </c>
      <c r="D793" t="s">
        <v>4392</v>
      </c>
      <c r="E793" t="s">
        <v>20</v>
      </c>
      <c r="F793" t="s">
        <v>78</v>
      </c>
      <c r="G793" t="s">
        <v>468</v>
      </c>
      <c r="H793" t="s">
        <v>23</v>
      </c>
      <c r="I793" t="s">
        <v>24</v>
      </c>
      <c r="J793" t="s">
        <v>25</v>
      </c>
      <c r="K793" t="s">
        <v>4393</v>
      </c>
      <c r="L793">
        <v>0.15</v>
      </c>
      <c r="M793" t="s">
        <v>4394</v>
      </c>
      <c r="N793" t="s">
        <v>4395</v>
      </c>
      <c r="O793" t="s">
        <v>64</v>
      </c>
      <c r="P793" t="s">
        <v>30</v>
      </c>
      <c r="Q793" t="s">
        <v>31</v>
      </c>
      <c r="R793" s="3">
        <v>24418.0095</v>
      </c>
    </row>
    <row r="794" spans="1:18" x14ac:dyDescent="0.3">
      <c r="A794" t="s">
        <v>4396</v>
      </c>
      <c r="B794" t="str">
        <f>TEXT(Raw_Data[[#This Row],[Order Date]],"mmm")</f>
        <v>Nov</v>
      </c>
      <c r="C794" t="s">
        <v>1330</v>
      </c>
      <c r="D794" t="s">
        <v>4397</v>
      </c>
      <c r="E794" t="s">
        <v>48</v>
      </c>
      <c r="F794" t="s">
        <v>36</v>
      </c>
      <c r="G794" t="s">
        <v>37</v>
      </c>
      <c r="H794" t="s">
        <v>80</v>
      </c>
      <c r="I794" t="s">
        <v>116</v>
      </c>
      <c r="J794" t="s">
        <v>100</v>
      </c>
      <c r="K794" t="s">
        <v>4398</v>
      </c>
      <c r="L794">
        <v>0.15</v>
      </c>
      <c r="M794" t="s">
        <v>4399</v>
      </c>
      <c r="N794" t="s">
        <v>4400</v>
      </c>
      <c r="O794" t="s">
        <v>43</v>
      </c>
      <c r="P794" t="s">
        <v>30</v>
      </c>
      <c r="Q794" t="s">
        <v>31</v>
      </c>
      <c r="R794" s="3">
        <v>17650.844999999899</v>
      </c>
    </row>
    <row r="795" spans="1:18" x14ac:dyDescent="0.3">
      <c r="A795" t="s">
        <v>4401</v>
      </c>
      <c r="B795" t="str">
        <f>TEXT(Raw_Data[[#This Row],[Order Date]],"mmm")</f>
        <v>Dec</v>
      </c>
      <c r="C795" t="s">
        <v>2206</v>
      </c>
      <c r="D795" t="s">
        <v>4402</v>
      </c>
      <c r="E795" t="s">
        <v>20</v>
      </c>
      <c r="F795" t="s">
        <v>36</v>
      </c>
      <c r="G795" t="s">
        <v>37</v>
      </c>
      <c r="H795" t="s">
        <v>80</v>
      </c>
      <c r="I795" t="s">
        <v>91</v>
      </c>
      <c r="J795" t="s">
        <v>100</v>
      </c>
      <c r="K795" t="s">
        <v>4403</v>
      </c>
      <c r="L795">
        <v>0.05</v>
      </c>
      <c r="M795" t="s">
        <v>4404</v>
      </c>
      <c r="N795" t="s">
        <v>4405</v>
      </c>
      <c r="O795" t="s">
        <v>43</v>
      </c>
      <c r="P795" t="s">
        <v>95</v>
      </c>
      <c r="Q795" t="s">
        <v>65</v>
      </c>
      <c r="R795" s="3">
        <v>17589.145499999999</v>
      </c>
    </row>
    <row r="796" spans="1:18" x14ac:dyDescent="0.3">
      <c r="A796" t="s">
        <v>4406</v>
      </c>
      <c r="B796" t="str">
        <f>TEXT(Raw_Data[[#This Row],[Order Date]],"mmm")</f>
        <v>Mar</v>
      </c>
      <c r="C796" t="s">
        <v>2180</v>
      </c>
      <c r="D796" t="s">
        <v>4407</v>
      </c>
      <c r="E796" t="s">
        <v>20</v>
      </c>
      <c r="F796" t="s">
        <v>89</v>
      </c>
      <c r="G796" t="s">
        <v>230</v>
      </c>
      <c r="H796" t="s">
        <v>38</v>
      </c>
      <c r="I796" t="s">
        <v>256</v>
      </c>
      <c r="J796" t="s">
        <v>25</v>
      </c>
      <c r="K796" t="s">
        <v>4408</v>
      </c>
      <c r="L796">
        <v>0.05</v>
      </c>
      <c r="M796" t="s">
        <v>4409</v>
      </c>
      <c r="N796" t="s">
        <v>4410</v>
      </c>
      <c r="O796" t="s">
        <v>29</v>
      </c>
      <c r="P796" t="s">
        <v>30</v>
      </c>
      <c r="Q796" t="s">
        <v>65</v>
      </c>
      <c r="R796" s="3">
        <v>272.76400000000001</v>
      </c>
    </row>
    <row r="797" spans="1:18" x14ac:dyDescent="0.3">
      <c r="A797" t="s">
        <v>4411</v>
      </c>
      <c r="B797" t="str">
        <f>TEXT(Raw_Data[[#This Row],[Order Date]],"mmm")</f>
        <v>Dec</v>
      </c>
      <c r="C797" t="s">
        <v>1233</v>
      </c>
      <c r="D797" t="s">
        <v>4412</v>
      </c>
      <c r="E797" t="s">
        <v>20</v>
      </c>
      <c r="F797" t="s">
        <v>69</v>
      </c>
      <c r="G797" t="s">
        <v>328</v>
      </c>
      <c r="H797" t="s">
        <v>23</v>
      </c>
      <c r="I797" t="s">
        <v>341</v>
      </c>
      <c r="J797" t="s">
        <v>100</v>
      </c>
      <c r="K797" t="s">
        <v>4413</v>
      </c>
      <c r="L797">
        <v>0.1</v>
      </c>
      <c r="M797" t="s">
        <v>4414</v>
      </c>
      <c r="N797" t="s">
        <v>4415</v>
      </c>
      <c r="O797" t="s">
        <v>54</v>
      </c>
      <c r="P797" t="s">
        <v>30</v>
      </c>
      <c r="Q797" t="s">
        <v>44</v>
      </c>
      <c r="R797" s="3">
        <v>64278.252</v>
      </c>
    </row>
    <row r="798" spans="1:18" x14ac:dyDescent="0.3">
      <c r="A798" t="s">
        <v>4416</v>
      </c>
      <c r="B798" t="str">
        <f>TEXT(Raw_Data[[#This Row],[Order Date]],"mmm")</f>
        <v>Mar</v>
      </c>
      <c r="C798" t="s">
        <v>1216</v>
      </c>
      <c r="D798" t="s">
        <v>4417</v>
      </c>
      <c r="E798" t="s">
        <v>20</v>
      </c>
      <c r="F798" t="s">
        <v>106</v>
      </c>
      <c r="G798" t="s">
        <v>163</v>
      </c>
      <c r="H798" t="s">
        <v>23</v>
      </c>
      <c r="I798" t="s">
        <v>24</v>
      </c>
      <c r="J798" t="s">
        <v>50</v>
      </c>
      <c r="K798" t="s">
        <v>4418</v>
      </c>
      <c r="L798">
        <v>0.15</v>
      </c>
      <c r="M798" t="s">
        <v>4419</v>
      </c>
      <c r="N798" t="s">
        <v>4420</v>
      </c>
      <c r="O798" t="s">
        <v>29</v>
      </c>
      <c r="P798" t="s">
        <v>30</v>
      </c>
      <c r="Q798" t="s">
        <v>65</v>
      </c>
      <c r="R798" s="3">
        <v>86772.641000000003</v>
      </c>
    </row>
    <row r="799" spans="1:18" x14ac:dyDescent="0.3">
      <c r="A799" t="s">
        <v>4421</v>
      </c>
      <c r="B799" t="str">
        <f>TEXT(Raw_Data[[#This Row],[Order Date]],"mmm")</f>
        <v>Aug</v>
      </c>
      <c r="C799" t="s">
        <v>4422</v>
      </c>
      <c r="D799" t="s">
        <v>4423</v>
      </c>
      <c r="E799" t="s">
        <v>20</v>
      </c>
      <c r="F799" t="s">
        <v>36</v>
      </c>
      <c r="G799" t="s">
        <v>153</v>
      </c>
      <c r="H799" t="s">
        <v>23</v>
      </c>
      <c r="I799" t="s">
        <v>49</v>
      </c>
      <c r="J799" t="s">
        <v>100</v>
      </c>
      <c r="K799" t="s">
        <v>4424</v>
      </c>
      <c r="L799">
        <v>0</v>
      </c>
      <c r="M799" t="s">
        <v>4425</v>
      </c>
      <c r="N799" t="s">
        <v>4426</v>
      </c>
      <c r="O799" t="s">
        <v>29</v>
      </c>
      <c r="P799" t="s">
        <v>30</v>
      </c>
      <c r="Q799" t="s">
        <v>31</v>
      </c>
      <c r="R799" s="3">
        <v>68731.319999999905</v>
      </c>
    </row>
    <row r="800" spans="1:18" x14ac:dyDescent="0.3">
      <c r="A800" t="s">
        <v>4427</v>
      </c>
      <c r="B800" t="str">
        <f>TEXT(Raw_Data[[#This Row],[Order Date]],"mmm")</f>
        <v>Nov</v>
      </c>
      <c r="C800" t="s">
        <v>851</v>
      </c>
      <c r="D800" t="s">
        <v>4428</v>
      </c>
      <c r="E800" t="s">
        <v>48</v>
      </c>
      <c r="F800" t="s">
        <v>21</v>
      </c>
      <c r="G800" t="s">
        <v>22</v>
      </c>
      <c r="H800" t="s">
        <v>154</v>
      </c>
      <c r="I800" t="s">
        <v>237</v>
      </c>
      <c r="J800" t="s">
        <v>100</v>
      </c>
      <c r="K800" t="s">
        <v>4429</v>
      </c>
      <c r="L800">
        <v>0.05</v>
      </c>
      <c r="M800" t="s">
        <v>4430</v>
      </c>
      <c r="N800" t="s">
        <v>4431</v>
      </c>
      <c r="O800" t="s">
        <v>43</v>
      </c>
      <c r="P800" t="s">
        <v>30</v>
      </c>
      <c r="Q800" t="s">
        <v>65</v>
      </c>
      <c r="R800" s="3">
        <v>32884.952999999899</v>
      </c>
    </row>
    <row r="801" spans="1:18" x14ac:dyDescent="0.3">
      <c r="A801" t="s">
        <v>4432</v>
      </c>
      <c r="B801" t="str">
        <f>TEXT(Raw_Data[[#This Row],[Order Date]],"mmm")</f>
        <v>Dec</v>
      </c>
      <c r="C801" t="s">
        <v>640</v>
      </c>
      <c r="D801" t="s">
        <v>4433</v>
      </c>
      <c r="E801" t="s">
        <v>20</v>
      </c>
      <c r="F801" t="s">
        <v>36</v>
      </c>
      <c r="G801" t="s">
        <v>123</v>
      </c>
      <c r="H801" t="s">
        <v>107</v>
      </c>
      <c r="I801" t="s">
        <v>277</v>
      </c>
      <c r="J801" t="s">
        <v>100</v>
      </c>
      <c r="K801" t="s">
        <v>4434</v>
      </c>
      <c r="L801">
        <v>0.15</v>
      </c>
      <c r="M801" t="s">
        <v>4435</v>
      </c>
      <c r="N801" t="s">
        <v>4436</v>
      </c>
      <c r="O801" t="s">
        <v>43</v>
      </c>
      <c r="P801" t="s">
        <v>30</v>
      </c>
      <c r="Q801" t="s">
        <v>31</v>
      </c>
      <c r="R801" s="3">
        <v>41970.756000000001</v>
      </c>
    </row>
    <row r="802" spans="1:18" x14ac:dyDescent="0.3">
      <c r="A802" t="s">
        <v>4437</v>
      </c>
      <c r="B802" t="str">
        <f>TEXT(Raw_Data[[#This Row],[Order Date]],"mmm")</f>
        <v>Feb</v>
      </c>
      <c r="C802" t="s">
        <v>862</v>
      </c>
      <c r="D802" t="s">
        <v>4438</v>
      </c>
      <c r="E802" t="s">
        <v>48</v>
      </c>
      <c r="F802" t="s">
        <v>106</v>
      </c>
      <c r="G802" t="s">
        <v>163</v>
      </c>
      <c r="H802" t="s">
        <v>107</v>
      </c>
      <c r="I802" t="s">
        <v>469</v>
      </c>
      <c r="J802" t="s">
        <v>25</v>
      </c>
      <c r="K802" t="s">
        <v>4439</v>
      </c>
      <c r="L802">
        <v>0.2</v>
      </c>
      <c r="M802" t="s">
        <v>4440</v>
      </c>
      <c r="N802" t="s">
        <v>4441</v>
      </c>
      <c r="O802" t="s">
        <v>54</v>
      </c>
      <c r="P802" t="s">
        <v>30</v>
      </c>
      <c r="Q802" t="s">
        <v>31</v>
      </c>
      <c r="R802" s="3">
        <v>9624.5280000000002</v>
      </c>
    </row>
    <row r="803" spans="1:18" x14ac:dyDescent="0.3">
      <c r="A803" t="s">
        <v>4442</v>
      </c>
      <c r="B803" t="str">
        <f>TEXT(Raw_Data[[#This Row],[Order Date]],"mmm")</f>
        <v>Nov</v>
      </c>
      <c r="C803" t="s">
        <v>1731</v>
      </c>
      <c r="D803" t="s">
        <v>4443</v>
      </c>
      <c r="E803" t="s">
        <v>48</v>
      </c>
      <c r="F803" t="s">
        <v>58</v>
      </c>
      <c r="G803" t="s">
        <v>290</v>
      </c>
      <c r="H803" t="s">
        <v>80</v>
      </c>
      <c r="I803" t="s">
        <v>116</v>
      </c>
      <c r="J803" t="s">
        <v>50</v>
      </c>
      <c r="K803" t="s">
        <v>4444</v>
      </c>
      <c r="L803">
        <v>0.15</v>
      </c>
      <c r="M803" t="s">
        <v>4445</v>
      </c>
      <c r="N803" t="s">
        <v>4446</v>
      </c>
      <c r="O803" t="s">
        <v>54</v>
      </c>
      <c r="P803" t="s">
        <v>30</v>
      </c>
      <c r="Q803" t="s">
        <v>44</v>
      </c>
      <c r="R803" s="3">
        <v>2296.6489999999999</v>
      </c>
    </row>
    <row r="804" spans="1:18" x14ac:dyDescent="0.3">
      <c r="A804" t="s">
        <v>4447</v>
      </c>
      <c r="B804" t="str">
        <f>TEXT(Raw_Data[[#This Row],[Order Date]],"mmm")</f>
        <v>Oct</v>
      </c>
      <c r="C804" t="s">
        <v>1991</v>
      </c>
      <c r="D804" t="s">
        <v>4448</v>
      </c>
      <c r="E804" t="s">
        <v>20</v>
      </c>
      <c r="F804" t="s">
        <v>69</v>
      </c>
      <c r="G804" t="s">
        <v>139</v>
      </c>
      <c r="H804" t="s">
        <v>154</v>
      </c>
      <c r="I804" t="s">
        <v>237</v>
      </c>
      <c r="J804" t="s">
        <v>25</v>
      </c>
      <c r="K804" t="s">
        <v>4449</v>
      </c>
      <c r="L804">
        <v>0.15</v>
      </c>
      <c r="M804" t="s">
        <v>4450</v>
      </c>
      <c r="N804" t="s">
        <v>4451</v>
      </c>
      <c r="O804" t="s">
        <v>64</v>
      </c>
      <c r="P804" t="s">
        <v>159</v>
      </c>
      <c r="Q804" t="s">
        <v>65</v>
      </c>
      <c r="R804" s="3">
        <v>4457.8334999999997</v>
      </c>
    </row>
    <row r="805" spans="1:18" x14ac:dyDescent="0.3">
      <c r="A805" t="s">
        <v>4452</v>
      </c>
      <c r="B805" t="str">
        <f>TEXT(Raw_Data[[#This Row],[Order Date]],"mmm")</f>
        <v>Feb</v>
      </c>
      <c r="C805" t="s">
        <v>4453</v>
      </c>
      <c r="D805" t="s">
        <v>4454</v>
      </c>
      <c r="E805" t="s">
        <v>20</v>
      </c>
      <c r="F805" t="s">
        <v>36</v>
      </c>
      <c r="G805" t="s">
        <v>196</v>
      </c>
      <c r="H805" t="s">
        <v>107</v>
      </c>
      <c r="I805" t="s">
        <v>591</v>
      </c>
      <c r="J805" t="s">
        <v>50</v>
      </c>
      <c r="K805" t="s">
        <v>4455</v>
      </c>
      <c r="L805">
        <v>0.1</v>
      </c>
      <c r="M805" t="s">
        <v>4456</v>
      </c>
      <c r="N805" t="s">
        <v>4457</v>
      </c>
      <c r="O805" t="s">
        <v>173</v>
      </c>
      <c r="P805" t="s">
        <v>95</v>
      </c>
      <c r="Q805" t="s">
        <v>44</v>
      </c>
      <c r="R805" s="3">
        <v>23519.772000000001</v>
      </c>
    </row>
    <row r="806" spans="1:18" x14ac:dyDescent="0.3">
      <c r="A806" t="s">
        <v>4458</v>
      </c>
      <c r="B806" t="str">
        <f>TEXT(Raw_Data[[#This Row],[Order Date]],"mmm")</f>
        <v>Mar</v>
      </c>
      <c r="C806" t="s">
        <v>1808</v>
      </c>
      <c r="D806" t="s">
        <v>4459</v>
      </c>
      <c r="E806" t="s">
        <v>48</v>
      </c>
      <c r="F806" t="s">
        <v>36</v>
      </c>
      <c r="G806" t="s">
        <v>153</v>
      </c>
      <c r="H806" t="s">
        <v>154</v>
      </c>
      <c r="I806" t="s">
        <v>155</v>
      </c>
      <c r="J806" t="s">
        <v>25</v>
      </c>
      <c r="K806" t="s">
        <v>4460</v>
      </c>
      <c r="L806">
        <v>0.2</v>
      </c>
      <c r="M806" t="s">
        <v>4461</v>
      </c>
      <c r="N806" t="s">
        <v>4462</v>
      </c>
      <c r="O806" t="s">
        <v>29</v>
      </c>
      <c r="P806" t="s">
        <v>30</v>
      </c>
      <c r="Q806" t="s">
        <v>44</v>
      </c>
      <c r="R806" s="3">
        <v>5362.0640000000003</v>
      </c>
    </row>
    <row r="807" spans="1:18" x14ac:dyDescent="0.3">
      <c r="A807" t="s">
        <v>4463</v>
      </c>
      <c r="B807" t="str">
        <f>TEXT(Raw_Data[[#This Row],[Order Date]],"mmm")</f>
        <v>Feb</v>
      </c>
      <c r="C807" t="s">
        <v>1268</v>
      </c>
      <c r="D807" t="s">
        <v>4464</v>
      </c>
      <c r="E807" t="s">
        <v>35</v>
      </c>
      <c r="F807" t="s">
        <v>36</v>
      </c>
      <c r="G807" t="s">
        <v>153</v>
      </c>
      <c r="H807" t="s">
        <v>107</v>
      </c>
      <c r="I807" t="s">
        <v>108</v>
      </c>
      <c r="J807" t="s">
        <v>25</v>
      </c>
      <c r="K807" t="s">
        <v>4465</v>
      </c>
      <c r="L807">
        <v>0.1</v>
      </c>
      <c r="M807" t="s">
        <v>4466</v>
      </c>
      <c r="N807" t="s">
        <v>4467</v>
      </c>
      <c r="O807" t="s">
        <v>54</v>
      </c>
      <c r="P807" t="s">
        <v>30</v>
      </c>
      <c r="Q807" t="s">
        <v>65</v>
      </c>
      <c r="R807" s="3">
        <v>6492.5370000000003</v>
      </c>
    </row>
    <row r="808" spans="1:18" x14ac:dyDescent="0.3">
      <c r="A808" t="s">
        <v>4468</v>
      </c>
      <c r="B808" t="str">
        <f>TEXT(Raw_Data[[#This Row],[Order Date]],"mmm")</f>
        <v>Jun</v>
      </c>
      <c r="C808" t="s">
        <v>1521</v>
      </c>
      <c r="D808" t="s">
        <v>4469</v>
      </c>
      <c r="E808" t="s">
        <v>20</v>
      </c>
      <c r="F808" t="s">
        <v>21</v>
      </c>
      <c r="G808" t="s">
        <v>130</v>
      </c>
      <c r="H808" t="s">
        <v>23</v>
      </c>
      <c r="I808" t="s">
        <v>263</v>
      </c>
      <c r="J808" t="s">
        <v>50</v>
      </c>
      <c r="K808" t="s">
        <v>4470</v>
      </c>
      <c r="L808">
        <v>0.1</v>
      </c>
      <c r="M808" t="s">
        <v>4471</v>
      </c>
      <c r="N808" t="s">
        <v>4472</v>
      </c>
      <c r="O808" t="s">
        <v>64</v>
      </c>
      <c r="P808" t="s">
        <v>30</v>
      </c>
      <c r="Q808" t="s">
        <v>65</v>
      </c>
      <c r="R808" s="3">
        <v>113661.27</v>
      </c>
    </row>
    <row r="809" spans="1:18" x14ac:dyDescent="0.3">
      <c r="A809" t="s">
        <v>4473</v>
      </c>
      <c r="B809" t="str">
        <f>TEXT(Raw_Data[[#This Row],[Order Date]],"mmm")</f>
        <v>Oct</v>
      </c>
      <c r="C809" t="s">
        <v>4474</v>
      </c>
      <c r="D809" t="s">
        <v>4475</v>
      </c>
      <c r="E809" t="s">
        <v>20</v>
      </c>
      <c r="F809" t="s">
        <v>106</v>
      </c>
      <c r="G809" t="s">
        <v>106</v>
      </c>
      <c r="H809" t="s">
        <v>23</v>
      </c>
      <c r="I809" t="s">
        <v>49</v>
      </c>
      <c r="J809" t="s">
        <v>100</v>
      </c>
      <c r="K809" t="s">
        <v>4476</v>
      </c>
      <c r="L809">
        <v>0.1</v>
      </c>
      <c r="M809" t="s">
        <v>4477</v>
      </c>
      <c r="N809" t="s">
        <v>4478</v>
      </c>
      <c r="O809" t="s">
        <v>54</v>
      </c>
      <c r="P809" t="s">
        <v>30</v>
      </c>
      <c r="Q809" t="s">
        <v>31</v>
      </c>
      <c r="R809" s="3">
        <v>186749.38800000001</v>
      </c>
    </row>
    <row r="810" spans="1:18" x14ac:dyDescent="0.3">
      <c r="A810" t="s">
        <v>4479</v>
      </c>
      <c r="B810" t="str">
        <f>TEXT(Raw_Data[[#This Row],[Order Date]],"mmm")</f>
        <v>May</v>
      </c>
      <c r="C810" t="s">
        <v>1985</v>
      </c>
      <c r="D810" t="s">
        <v>4480</v>
      </c>
      <c r="E810" t="s">
        <v>20</v>
      </c>
      <c r="F810" t="s">
        <v>21</v>
      </c>
      <c r="G810" t="s">
        <v>22</v>
      </c>
      <c r="H810" t="s">
        <v>23</v>
      </c>
      <c r="I810" t="s">
        <v>263</v>
      </c>
      <c r="J810" t="s">
        <v>25</v>
      </c>
      <c r="K810" t="s">
        <v>4481</v>
      </c>
      <c r="L810">
        <v>0.2</v>
      </c>
      <c r="M810" t="s">
        <v>4482</v>
      </c>
      <c r="N810" t="s">
        <v>4483</v>
      </c>
      <c r="O810" t="s">
        <v>173</v>
      </c>
      <c r="P810" t="s">
        <v>30</v>
      </c>
      <c r="Q810" t="s">
        <v>31</v>
      </c>
      <c r="R810" s="3">
        <v>47012.784</v>
      </c>
    </row>
    <row r="811" spans="1:18" x14ac:dyDescent="0.3">
      <c r="A811" t="s">
        <v>4484</v>
      </c>
      <c r="B811" t="str">
        <f>TEXT(Raw_Data[[#This Row],[Order Date]],"mmm")</f>
        <v>May</v>
      </c>
      <c r="C811" t="s">
        <v>4485</v>
      </c>
      <c r="D811" t="s">
        <v>4486</v>
      </c>
      <c r="E811" t="s">
        <v>48</v>
      </c>
      <c r="F811" t="s">
        <v>21</v>
      </c>
      <c r="G811" t="s">
        <v>22</v>
      </c>
      <c r="H811" t="s">
        <v>154</v>
      </c>
      <c r="I811" t="s">
        <v>309</v>
      </c>
      <c r="J811" t="s">
        <v>25</v>
      </c>
      <c r="K811" t="s">
        <v>4487</v>
      </c>
      <c r="L811">
        <v>0.1</v>
      </c>
      <c r="M811" t="s">
        <v>4488</v>
      </c>
      <c r="N811" t="s">
        <v>4489</v>
      </c>
      <c r="O811" t="s">
        <v>54</v>
      </c>
      <c r="P811" t="s">
        <v>30</v>
      </c>
      <c r="Q811" t="s">
        <v>31</v>
      </c>
      <c r="R811" s="3">
        <v>3322.989</v>
      </c>
    </row>
    <row r="812" spans="1:18" x14ac:dyDescent="0.3">
      <c r="A812" t="s">
        <v>4490</v>
      </c>
      <c r="B812" t="str">
        <f>TEXT(Raw_Data[[#This Row],[Order Date]],"mmm")</f>
        <v>Mar</v>
      </c>
      <c r="C812" t="s">
        <v>3893</v>
      </c>
      <c r="D812" t="s">
        <v>4491</v>
      </c>
      <c r="E812" t="s">
        <v>20</v>
      </c>
      <c r="F812" t="s">
        <v>21</v>
      </c>
      <c r="G812" t="s">
        <v>130</v>
      </c>
      <c r="H812" t="s">
        <v>154</v>
      </c>
      <c r="I812" t="s">
        <v>1061</v>
      </c>
      <c r="J812" t="s">
        <v>100</v>
      </c>
      <c r="K812" t="s">
        <v>4492</v>
      </c>
      <c r="L812">
        <v>0.05</v>
      </c>
      <c r="M812" t="s">
        <v>4493</v>
      </c>
      <c r="N812" t="s">
        <v>4494</v>
      </c>
      <c r="O812" t="s">
        <v>43</v>
      </c>
      <c r="P812" t="s">
        <v>30</v>
      </c>
      <c r="Q812" t="s">
        <v>65</v>
      </c>
      <c r="R812" s="3">
        <v>26585.683499999999</v>
      </c>
    </row>
    <row r="813" spans="1:18" x14ac:dyDescent="0.3">
      <c r="A813" t="s">
        <v>4495</v>
      </c>
      <c r="B813" t="str">
        <f>TEXT(Raw_Data[[#This Row],[Order Date]],"mmm")</f>
        <v>Aug</v>
      </c>
      <c r="C813" t="s">
        <v>1649</v>
      </c>
      <c r="D813" t="s">
        <v>4496</v>
      </c>
      <c r="E813" t="s">
        <v>20</v>
      </c>
      <c r="F813" t="s">
        <v>215</v>
      </c>
      <c r="G813" t="s">
        <v>276</v>
      </c>
      <c r="H813" t="s">
        <v>23</v>
      </c>
      <c r="I813" t="s">
        <v>49</v>
      </c>
      <c r="J813" t="s">
        <v>50</v>
      </c>
      <c r="K813" t="s">
        <v>4497</v>
      </c>
      <c r="L813">
        <v>0.1</v>
      </c>
      <c r="M813" t="s">
        <v>4498</v>
      </c>
      <c r="N813" t="s">
        <v>2864</v>
      </c>
      <c r="O813" t="s">
        <v>29</v>
      </c>
      <c r="P813" t="s">
        <v>30</v>
      </c>
      <c r="Q813" t="s">
        <v>65</v>
      </c>
      <c r="R813" s="3">
        <v>13735.691999999999</v>
      </c>
    </row>
    <row r="814" spans="1:18" x14ac:dyDescent="0.3">
      <c r="A814" t="s">
        <v>4499</v>
      </c>
      <c r="B814" t="str">
        <f>TEXT(Raw_Data[[#This Row],[Order Date]],"mmm")</f>
        <v>May</v>
      </c>
      <c r="C814" t="s">
        <v>2355</v>
      </c>
      <c r="D814" t="s">
        <v>4500</v>
      </c>
      <c r="E814" t="s">
        <v>20</v>
      </c>
      <c r="F814" t="s">
        <v>21</v>
      </c>
      <c r="G814" t="s">
        <v>22</v>
      </c>
      <c r="H814" t="s">
        <v>107</v>
      </c>
      <c r="I814" t="s">
        <v>591</v>
      </c>
      <c r="J814" t="s">
        <v>25</v>
      </c>
      <c r="K814" t="s">
        <v>4501</v>
      </c>
      <c r="L814">
        <v>0.05</v>
      </c>
      <c r="M814" t="s">
        <v>4502</v>
      </c>
      <c r="N814" t="s">
        <v>4503</v>
      </c>
      <c r="O814" t="s">
        <v>29</v>
      </c>
      <c r="P814" t="s">
        <v>30</v>
      </c>
      <c r="Q814" t="s">
        <v>31</v>
      </c>
      <c r="R814" s="3">
        <v>11900.5359999999</v>
      </c>
    </row>
    <row r="815" spans="1:18" x14ac:dyDescent="0.3">
      <c r="A815" t="s">
        <v>4504</v>
      </c>
      <c r="B815" t="str">
        <f>TEXT(Raw_Data[[#This Row],[Order Date]],"mmm")</f>
        <v>Jun</v>
      </c>
      <c r="C815" t="s">
        <v>1725</v>
      </c>
      <c r="D815" t="s">
        <v>4505</v>
      </c>
      <c r="E815" t="s">
        <v>35</v>
      </c>
      <c r="F815" t="s">
        <v>36</v>
      </c>
      <c r="G815" t="s">
        <v>123</v>
      </c>
      <c r="H815" t="s">
        <v>38</v>
      </c>
      <c r="I815" t="s">
        <v>223</v>
      </c>
      <c r="J815" t="s">
        <v>50</v>
      </c>
      <c r="K815" t="s">
        <v>4506</v>
      </c>
      <c r="L815">
        <v>0.05</v>
      </c>
      <c r="M815" t="s">
        <v>4507</v>
      </c>
      <c r="N815" t="s">
        <v>4508</v>
      </c>
      <c r="O815" t="s">
        <v>64</v>
      </c>
      <c r="P815" t="s">
        <v>30</v>
      </c>
      <c r="Q815" t="s">
        <v>44</v>
      </c>
      <c r="R815" s="3">
        <v>4107.5529999999999</v>
      </c>
    </row>
    <row r="816" spans="1:18" x14ac:dyDescent="0.3">
      <c r="A816" t="s">
        <v>4509</v>
      </c>
      <c r="B816" t="str">
        <f>TEXT(Raw_Data[[#This Row],[Order Date]],"mmm")</f>
        <v>Jun</v>
      </c>
      <c r="C816" t="s">
        <v>4510</v>
      </c>
      <c r="D816" t="s">
        <v>4511</v>
      </c>
      <c r="E816" t="s">
        <v>20</v>
      </c>
      <c r="F816" t="s">
        <v>69</v>
      </c>
      <c r="G816" t="s">
        <v>139</v>
      </c>
      <c r="H816" t="s">
        <v>80</v>
      </c>
      <c r="I816" t="s">
        <v>91</v>
      </c>
      <c r="J816" t="s">
        <v>25</v>
      </c>
      <c r="K816" t="s">
        <v>4512</v>
      </c>
      <c r="L816">
        <v>0.05</v>
      </c>
      <c r="M816" t="s">
        <v>4513</v>
      </c>
      <c r="N816" t="s">
        <v>4514</v>
      </c>
      <c r="O816" t="s">
        <v>54</v>
      </c>
      <c r="P816" t="s">
        <v>159</v>
      </c>
      <c r="Q816" t="s">
        <v>44</v>
      </c>
      <c r="R816" s="3">
        <v>5805.5450000000001</v>
      </c>
    </row>
    <row r="817" spans="1:18" x14ac:dyDescent="0.3">
      <c r="A817" t="s">
        <v>4515</v>
      </c>
      <c r="B817" t="str">
        <f>TEXT(Raw_Data[[#This Row],[Order Date]],"mmm")</f>
        <v>Feb</v>
      </c>
      <c r="C817" t="s">
        <v>1087</v>
      </c>
      <c r="D817" t="s">
        <v>4516</v>
      </c>
      <c r="E817" t="s">
        <v>35</v>
      </c>
      <c r="F817" t="s">
        <v>78</v>
      </c>
      <c r="G817" t="s">
        <v>468</v>
      </c>
      <c r="H817" t="s">
        <v>107</v>
      </c>
      <c r="I817" t="s">
        <v>108</v>
      </c>
      <c r="J817" t="s">
        <v>25</v>
      </c>
      <c r="K817" t="s">
        <v>4517</v>
      </c>
      <c r="L817">
        <v>0</v>
      </c>
      <c r="M817" t="s">
        <v>4518</v>
      </c>
      <c r="N817" t="s">
        <v>4519</v>
      </c>
      <c r="O817" t="s">
        <v>29</v>
      </c>
      <c r="P817" t="s">
        <v>30</v>
      </c>
      <c r="Q817" t="s">
        <v>31</v>
      </c>
      <c r="R817" s="3">
        <v>2163.48</v>
      </c>
    </row>
    <row r="818" spans="1:18" x14ac:dyDescent="0.3">
      <c r="A818" t="s">
        <v>4520</v>
      </c>
      <c r="B818" t="str">
        <f>TEXT(Raw_Data[[#This Row],[Order Date]],"mmm")</f>
        <v>Feb</v>
      </c>
      <c r="C818" t="s">
        <v>2361</v>
      </c>
      <c r="D818" t="s">
        <v>4521</v>
      </c>
      <c r="E818" t="s">
        <v>48</v>
      </c>
      <c r="F818" t="s">
        <v>78</v>
      </c>
      <c r="G818" t="s">
        <v>79</v>
      </c>
      <c r="H818" t="s">
        <v>80</v>
      </c>
      <c r="I818" t="s">
        <v>146</v>
      </c>
      <c r="J818" t="s">
        <v>25</v>
      </c>
      <c r="K818" t="s">
        <v>4522</v>
      </c>
      <c r="L818">
        <v>0.2</v>
      </c>
      <c r="M818" t="s">
        <v>4523</v>
      </c>
      <c r="N818" t="s">
        <v>4524</v>
      </c>
      <c r="O818" t="s">
        <v>54</v>
      </c>
      <c r="P818" t="s">
        <v>30</v>
      </c>
      <c r="Q818" t="s">
        <v>44</v>
      </c>
      <c r="R818" s="3">
        <v>2480.9760000000001</v>
      </c>
    </row>
    <row r="819" spans="1:18" x14ac:dyDescent="0.3">
      <c r="A819" t="s">
        <v>4525</v>
      </c>
      <c r="B819" t="str">
        <f>TEXT(Raw_Data[[#This Row],[Order Date]],"mmm")</f>
        <v>Sep</v>
      </c>
      <c r="C819" t="s">
        <v>1397</v>
      </c>
      <c r="D819" t="s">
        <v>4526</v>
      </c>
      <c r="E819" t="s">
        <v>20</v>
      </c>
      <c r="F819" t="s">
        <v>78</v>
      </c>
      <c r="G819" t="s">
        <v>731</v>
      </c>
      <c r="H819" t="s">
        <v>80</v>
      </c>
      <c r="I819" t="s">
        <v>146</v>
      </c>
      <c r="J819" t="s">
        <v>25</v>
      </c>
      <c r="K819" t="s">
        <v>4527</v>
      </c>
      <c r="L819">
        <v>0.1</v>
      </c>
      <c r="M819" t="s">
        <v>4528</v>
      </c>
      <c r="N819" t="s">
        <v>4529</v>
      </c>
      <c r="O819" t="s">
        <v>43</v>
      </c>
      <c r="P819" t="s">
        <v>30</v>
      </c>
      <c r="Q819" t="s">
        <v>44</v>
      </c>
      <c r="R819" s="3">
        <v>3078.72</v>
      </c>
    </row>
    <row r="820" spans="1:18" x14ac:dyDescent="0.3">
      <c r="A820" t="s">
        <v>4530</v>
      </c>
      <c r="B820" t="str">
        <f>TEXT(Raw_Data[[#This Row],[Order Date]],"mmm")</f>
        <v>Jun</v>
      </c>
      <c r="C820" t="s">
        <v>2272</v>
      </c>
      <c r="D820" t="s">
        <v>4531</v>
      </c>
      <c r="E820" t="s">
        <v>48</v>
      </c>
      <c r="F820" t="s">
        <v>215</v>
      </c>
      <c r="G820" t="s">
        <v>216</v>
      </c>
      <c r="H820" t="s">
        <v>107</v>
      </c>
      <c r="I820" t="s">
        <v>108</v>
      </c>
      <c r="J820" t="s">
        <v>25</v>
      </c>
      <c r="K820" t="s">
        <v>4532</v>
      </c>
      <c r="L820">
        <v>0.15</v>
      </c>
      <c r="M820" t="s">
        <v>4533</v>
      </c>
      <c r="N820" t="s">
        <v>4534</v>
      </c>
      <c r="O820" t="s">
        <v>29</v>
      </c>
      <c r="P820" t="s">
        <v>30</v>
      </c>
      <c r="Q820" t="s">
        <v>31</v>
      </c>
      <c r="R820" s="3">
        <v>9203.8424999999897</v>
      </c>
    </row>
    <row r="821" spans="1:18" x14ac:dyDescent="0.3">
      <c r="A821" t="s">
        <v>4535</v>
      </c>
      <c r="B821" t="str">
        <f>TEXT(Raw_Data[[#This Row],[Order Date]],"mmm")</f>
        <v>Feb</v>
      </c>
      <c r="C821" t="s">
        <v>2399</v>
      </c>
      <c r="D821" t="s">
        <v>4536</v>
      </c>
      <c r="E821" t="s">
        <v>20</v>
      </c>
      <c r="F821" t="s">
        <v>21</v>
      </c>
      <c r="G821" t="s">
        <v>130</v>
      </c>
      <c r="H821" t="s">
        <v>23</v>
      </c>
      <c r="I821" t="s">
        <v>263</v>
      </c>
      <c r="J821" t="s">
        <v>50</v>
      </c>
      <c r="K821" t="s">
        <v>4537</v>
      </c>
      <c r="L821">
        <v>0.1</v>
      </c>
      <c r="M821" t="s">
        <v>4538</v>
      </c>
      <c r="N821" t="s">
        <v>4539</v>
      </c>
      <c r="O821" t="s">
        <v>29</v>
      </c>
      <c r="P821" t="s">
        <v>30</v>
      </c>
      <c r="Q821" t="s">
        <v>65</v>
      </c>
      <c r="R821" s="3">
        <v>86741.135999999999</v>
      </c>
    </row>
    <row r="822" spans="1:18" x14ac:dyDescent="0.3">
      <c r="A822" t="s">
        <v>4540</v>
      </c>
      <c r="B822" t="str">
        <f>TEXT(Raw_Data[[#This Row],[Order Date]],"mmm")</f>
        <v>May</v>
      </c>
      <c r="C822" t="s">
        <v>498</v>
      </c>
      <c r="D822" t="s">
        <v>4541</v>
      </c>
      <c r="E822" t="s">
        <v>35</v>
      </c>
      <c r="F822" t="s">
        <v>21</v>
      </c>
      <c r="G822" t="s">
        <v>22</v>
      </c>
      <c r="H822" t="s">
        <v>80</v>
      </c>
      <c r="I822" t="s">
        <v>146</v>
      </c>
      <c r="J822" t="s">
        <v>25</v>
      </c>
      <c r="K822" t="s">
        <v>4542</v>
      </c>
      <c r="L822">
        <v>0.15</v>
      </c>
      <c r="M822" t="s">
        <v>4543</v>
      </c>
      <c r="N822" t="s">
        <v>4544</v>
      </c>
      <c r="O822" t="s">
        <v>173</v>
      </c>
      <c r="P822" t="s">
        <v>30</v>
      </c>
      <c r="Q822" t="s">
        <v>65</v>
      </c>
      <c r="R822" s="3">
        <v>503.95649999999898</v>
      </c>
    </row>
    <row r="823" spans="1:18" x14ac:dyDescent="0.3">
      <c r="A823" t="s">
        <v>4545</v>
      </c>
      <c r="B823" t="str">
        <f>TEXT(Raw_Data[[#This Row],[Order Date]],"mmm")</f>
        <v>Oct</v>
      </c>
      <c r="C823" t="s">
        <v>2316</v>
      </c>
      <c r="D823" t="s">
        <v>4546</v>
      </c>
      <c r="E823" t="s">
        <v>35</v>
      </c>
      <c r="F823" t="s">
        <v>106</v>
      </c>
      <c r="G823" t="s">
        <v>163</v>
      </c>
      <c r="H823" t="s">
        <v>23</v>
      </c>
      <c r="I823" t="s">
        <v>341</v>
      </c>
      <c r="J823" t="s">
        <v>25</v>
      </c>
      <c r="K823" t="s">
        <v>4547</v>
      </c>
      <c r="L823">
        <v>0.1</v>
      </c>
      <c r="M823" t="s">
        <v>4548</v>
      </c>
      <c r="N823" t="s">
        <v>4549</v>
      </c>
      <c r="O823" t="s">
        <v>43</v>
      </c>
      <c r="P823" t="s">
        <v>30</v>
      </c>
      <c r="Q823" t="s">
        <v>65</v>
      </c>
      <c r="R823" s="3">
        <v>59171.94</v>
      </c>
    </row>
    <row r="824" spans="1:18" x14ac:dyDescent="0.3">
      <c r="A824" t="s">
        <v>4550</v>
      </c>
      <c r="B824" t="str">
        <f>TEXT(Raw_Data[[#This Row],[Order Date]],"mmm")</f>
        <v>Jan</v>
      </c>
      <c r="C824" t="s">
        <v>4551</v>
      </c>
      <c r="D824" t="s">
        <v>4552</v>
      </c>
      <c r="E824" t="s">
        <v>48</v>
      </c>
      <c r="F824" t="s">
        <v>58</v>
      </c>
      <c r="G824" t="s">
        <v>290</v>
      </c>
      <c r="H824" t="s">
        <v>23</v>
      </c>
      <c r="I824" t="s">
        <v>341</v>
      </c>
      <c r="J824" t="s">
        <v>50</v>
      </c>
      <c r="K824" t="s">
        <v>4553</v>
      </c>
      <c r="L824">
        <v>0.15</v>
      </c>
      <c r="M824" t="s">
        <v>4554</v>
      </c>
      <c r="N824" t="s">
        <v>4555</v>
      </c>
      <c r="O824" t="s">
        <v>4079</v>
      </c>
      <c r="P824" t="s">
        <v>159</v>
      </c>
      <c r="Q824" t="s">
        <v>31</v>
      </c>
      <c r="R824" s="3">
        <v>3091.4160000000002</v>
      </c>
    </row>
    <row r="825" spans="1:18" x14ac:dyDescent="0.3">
      <c r="A825" t="s">
        <v>4556</v>
      </c>
      <c r="B825" t="str">
        <f>TEXT(Raw_Data[[#This Row],[Order Date]],"mmm")</f>
        <v>Jun</v>
      </c>
      <c r="C825" t="s">
        <v>1251</v>
      </c>
      <c r="D825" t="s">
        <v>4557</v>
      </c>
      <c r="E825" t="s">
        <v>48</v>
      </c>
      <c r="F825" t="s">
        <v>69</v>
      </c>
      <c r="G825" t="s">
        <v>139</v>
      </c>
      <c r="H825" t="s">
        <v>107</v>
      </c>
      <c r="I825" t="s">
        <v>591</v>
      </c>
      <c r="J825" t="s">
        <v>50</v>
      </c>
      <c r="K825" t="s">
        <v>4558</v>
      </c>
      <c r="L825">
        <v>0.1</v>
      </c>
      <c r="M825" t="s">
        <v>4559</v>
      </c>
      <c r="N825" t="s">
        <v>4560</v>
      </c>
      <c r="O825" t="s">
        <v>64</v>
      </c>
      <c r="P825" t="s">
        <v>30</v>
      </c>
      <c r="Q825" t="s">
        <v>31</v>
      </c>
      <c r="R825" s="3">
        <v>25828.056</v>
      </c>
    </row>
    <row r="826" spans="1:18" x14ac:dyDescent="0.3">
      <c r="A826" t="s">
        <v>4561</v>
      </c>
      <c r="B826" t="str">
        <f>TEXT(Raw_Data[[#This Row],[Order Date]],"mmm")</f>
        <v>Nov</v>
      </c>
      <c r="C826" t="s">
        <v>3305</v>
      </c>
      <c r="D826" t="s">
        <v>4562</v>
      </c>
      <c r="E826" t="s">
        <v>48</v>
      </c>
      <c r="F826" t="s">
        <v>58</v>
      </c>
      <c r="G826" t="s">
        <v>290</v>
      </c>
      <c r="H826" t="s">
        <v>80</v>
      </c>
      <c r="I826" t="s">
        <v>131</v>
      </c>
      <c r="J826" t="s">
        <v>25</v>
      </c>
      <c r="K826" t="s">
        <v>4563</v>
      </c>
      <c r="L826">
        <v>0.15</v>
      </c>
      <c r="M826" t="s">
        <v>4564</v>
      </c>
      <c r="N826" t="s">
        <v>4565</v>
      </c>
      <c r="O826" t="s">
        <v>43</v>
      </c>
      <c r="P826" t="s">
        <v>112</v>
      </c>
      <c r="Q826" t="s">
        <v>31</v>
      </c>
      <c r="R826" s="3">
        <v>4866.4624999999996</v>
      </c>
    </row>
    <row r="827" spans="1:18" x14ac:dyDescent="0.3">
      <c r="A827" t="s">
        <v>4566</v>
      </c>
      <c r="B827" t="str">
        <f>TEXT(Raw_Data[[#This Row],[Order Date]],"mmm")</f>
        <v>Dec</v>
      </c>
      <c r="C827" t="s">
        <v>1769</v>
      </c>
      <c r="D827" t="s">
        <v>4567</v>
      </c>
      <c r="E827" t="s">
        <v>48</v>
      </c>
      <c r="F827" t="s">
        <v>21</v>
      </c>
      <c r="G827" t="s">
        <v>22</v>
      </c>
      <c r="H827" t="s">
        <v>107</v>
      </c>
      <c r="I827" t="s">
        <v>108</v>
      </c>
      <c r="J827" t="s">
        <v>25</v>
      </c>
      <c r="K827" t="s">
        <v>4568</v>
      </c>
      <c r="L827">
        <v>0</v>
      </c>
      <c r="M827" t="s">
        <v>4569</v>
      </c>
      <c r="N827" t="s">
        <v>4570</v>
      </c>
      <c r="O827" t="s">
        <v>29</v>
      </c>
      <c r="P827" t="s">
        <v>159</v>
      </c>
      <c r="Q827" t="s">
        <v>31</v>
      </c>
      <c r="R827" s="3">
        <v>15008.74</v>
      </c>
    </row>
    <row r="828" spans="1:18" x14ac:dyDescent="0.3">
      <c r="A828" t="s">
        <v>4571</v>
      </c>
      <c r="B828" t="str">
        <f>TEXT(Raw_Data[[#This Row],[Order Date]],"mmm")</f>
        <v>Aug</v>
      </c>
      <c r="C828" t="s">
        <v>1649</v>
      </c>
      <c r="D828" t="s">
        <v>4572</v>
      </c>
      <c r="E828" t="s">
        <v>48</v>
      </c>
      <c r="F828" t="s">
        <v>58</v>
      </c>
      <c r="G828" t="s">
        <v>812</v>
      </c>
      <c r="H828" t="s">
        <v>23</v>
      </c>
      <c r="I828" t="s">
        <v>341</v>
      </c>
      <c r="J828" t="s">
        <v>25</v>
      </c>
      <c r="K828" t="s">
        <v>4573</v>
      </c>
      <c r="L828">
        <v>0</v>
      </c>
      <c r="M828" t="s">
        <v>4574</v>
      </c>
      <c r="N828" t="s">
        <v>4575</v>
      </c>
      <c r="O828" t="s">
        <v>43</v>
      </c>
      <c r="P828" t="s">
        <v>30</v>
      </c>
      <c r="Q828" t="s">
        <v>44</v>
      </c>
      <c r="R828" s="3">
        <v>59664.22</v>
      </c>
    </row>
    <row r="829" spans="1:18" x14ac:dyDescent="0.3">
      <c r="A829" t="s">
        <v>4576</v>
      </c>
      <c r="B829" t="str">
        <f>TEXT(Raw_Data[[#This Row],[Order Date]],"mmm")</f>
        <v>Apr</v>
      </c>
      <c r="C829" t="s">
        <v>1686</v>
      </c>
      <c r="D829" t="s">
        <v>4577</v>
      </c>
      <c r="E829" t="s">
        <v>48</v>
      </c>
      <c r="F829" t="s">
        <v>21</v>
      </c>
      <c r="G829" t="s">
        <v>130</v>
      </c>
      <c r="H829" t="s">
        <v>80</v>
      </c>
      <c r="I829" t="s">
        <v>116</v>
      </c>
      <c r="J829" t="s">
        <v>50</v>
      </c>
      <c r="K829" t="s">
        <v>4578</v>
      </c>
      <c r="L829">
        <v>0.15</v>
      </c>
      <c r="M829" t="s">
        <v>4579</v>
      </c>
      <c r="N829" t="s">
        <v>4580</v>
      </c>
      <c r="O829" t="s">
        <v>29</v>
      </c>
      <c r="P829" t="s">
        <v>30</v>
      </c>
      <c r="Q829" t="s">
        <v>44</v>
      </c>
      <c r="R829" s="3">
        <v>3352.23</v>
      </c>
    </row>
    <row r="830" spans="1:18" x14ac:dyDescent="0.3">
      <c r="A830" t="s">
        <v>4581</v>
      </c>
      <c r="B830" t="str">
        <f>TEXT(Raw_Data[[#This Row],[Order Date]],"mmm")</f>
        <v>Jul</v>
      </c>
      <c r="C830" t="s">
        <v>389</v>
      </c>
      <c r="D830" t="s">
        <v>4582</v>
      </c>
      <c r="E830" t="s">
        <v>35</v>
      </c>
      <c r="F830" t="s">
        <v>106</v>
      </c>
      <c r="G830" t="s">
        <v>163</v>
      </c>
      <c r="H830" t="s">
        <v>23</v>
      </c>
      <c r="I830" t="s">
        <v>24</v>
      </c>
      <c r="J830" t="s">
        <v>25</v>
      </c>
      <c r="K830" t="s">
        <v>4583</v>
      </c>
      <c r="L830">
        <v>0.05</v>
      </c>
      <c r="M830" t="s">
        <v>4584</v>
      </c>
      <c r="N830" t="s">
        <v>4585</v>
      </c>
      <c r="O830" t="s">
        <v>43</v>
      </c>
      <c r="P830" t="s">
        <v>30</v>
      </c>
      <c r="Q830" t="s">
        <v>31</v>
      </c>
      <c r="R830" s="3">
        <v>57468.188499999997</v>
      </c>
    </row>
    <row r="831" spans="1:18" x14ac:dyDescent="0.3">
      <c r="A831" t="s">
        <v>4586</v>
      </c>
      <c r="B831" t="str">
        <f>TEXT(Raw_Data[[#This Row],[Order Date]],"mmm")</f>
        <v>Nov</v>
      </c>
      <c r="C831" t="s">
        <v>3096</v>
      </c>
      <c r="D831" t="s">
        <v>4587</v>
      </c>
      <c r="E831" t="s">
        <v>35</v>
      </c>
      <c r="F831" t="s">
        <v>36</v>
      </c>
      <c r="G831" t="s">
        <v>153</v>
      </c>
      <c r="H831" t="s">
        <v>154</v>
      </c>
      <c r="I831" t="s">
        <v>365</v>
      </c>
      <c r="J831" t="s">
        <v>100</v>
      </c>
      <c r="K831" t="s">
        <v>4588</v>
      </c>
      <c r="L831">
        <v>0</v>
      </c>
      <c r="M831" t="s">
        <v>4589</v>
      </c>
      <c r="N831" t="s">
        <v>4590</v>
      </c>
      <c r="O831" t="s">
        <v>43</v>
      </c>
      <c r="P831" t="s">
        <v>30</v>
      </c>
      <c r="Q831" t="s">
        <v>31</v>
      </c>
      <c r="R831" s="3">
        <v>13401.6899999999</v>
      </c>
    </row>
    <row r="832" spans="1:18" x14ac:dyDescent="0.3">
      <c r="A832" t="s">
        <v>4591</v>
      </c>
      <c r="B832" t="str">
        <f>TEXT(Raw_Data[[#This Row],[Order Date]],"mmm")</f>
        <v>Feb</v>
      </c>
      <c r="C832" t="s">
        <v>4592</v>
      </c>
      <c r="D832" t="s">
        <v>4593</v>
      </c>
      <c r="E832" t="s">
        <v>20</v>
      </c>
      <c r="F832" t="s">
        <v>89</v>
      </c>
      <c r="G832" t="s">
        <v>230</v>
      </c>
      <c r="H832" t="s">
        <v>38</v>
      </c>
      <c r="I832" t="s">
        <v>256</v>
      </c>
      <c r="J832" t="s">
        <v>25</v>
      </c>
      <c r="K832" t="s">
        <v>4594</v>
      </c>
      <c r="L832">
        <v>0</v>
      </c>
      <c r="M832" t="s">
        <v>4595</v>
      </c>
      <c r="N832" t="s">
        <v>4596</v>
      </c>
      <c r="O832" t="s">
        <v>173</v>
      </c>
      <c r="P832" t="s">
        <v>30</v>
      </c>
      <c r="Q832" t="s">
        <v>65</v>
      </c>
      <c r="R832" s="3">
        <v>5002.99</v>
      </c>
    </row>
    <row r="833" spans="1:18" x14ac:dyDescent="0.3">
      <c r="A833" t="s">
        <v>4597</v>
      </c>
      <c r="B833" t="str">
        <f>TEXT(Raw_Data[[#This Row],[Order Date]],"mmm")</f>
        <v>Oct</v>
      </c>
      <c r="C833" t="s">
        <v>460</v>
      </c>
      <c r="D833" t="s">
        <v>4598</v>
      </c>
      <c r="E833" t="s">
        <v>20</v>
      </c>
      <c r="F833" t="s">
        <v>21</v>
      </c>
      <c r="G833" t="s">
        <v>130</v>
      </c>
      <c r="H833" t="s">
        <v>23</v>
      </c>
      <c r="I833" t="s">
        <v>49</v>
      </c>
      <c r="J833" t="s">
        <v>25</v>
      </c>
      <c r="K833" t="s">
        <v>4599</v>
      </c>
      <c r="L833">
        <v>0.1</v>
      </c>
      <c r="M833" t="s">
        <v>4600</v>
      </c>
      <c r="N833" t="s">
        <v>4601</v>
      </c>
      <c r="O833" t="s">
        <v>29</v>
      </c>
      <c r="P833" t="s">
        <v>30</v>
      </c>
      <c r="Q833" t="s">
        <v>44</v>
      </c>
      <c r="R833" s="3">
        <v>61557.534</v>
      </c>
    </row>
    <row r="834" spans="1:18" x14ac:dyDescent="0.3">
      <c r="A834" t="s">
        <v>4602</v>
      </c>
      <c r="B834" t="str">
        <f>TEXT(Raw_Data[[#This Row],[Order Date]],"mmm")</f>
        <v>Feb</v>
      </c>
      <c r="C834" t="s">
        <v>33</v>
      </c>
      <c r="D834" t="s">
        <v>4603</v>
      </c>
      <c r="E834" t="s">
        <v>48</v>
      </c>
      <c r="F834" t="s">
        <v>215</v>
      </c>
      <c r="G834" t="s">
        <v>216</v>
      </c>
      <c r="H834" t="s">
        <v>154</v>
      </c>
      <c r="I834" t="s">
        <v>155</v>
      </c>
      <c r="J834" t="s">
        <v>50</v>
      </c>
      <c r="K834" t="s">
        <v>4604</v>
      </c>
      <c r="L834">
        <v>0</v>
      </c>
      <c r="M834" t="s">
        <v>4605</v>
      </c>
      <c r="N834" t="s">
        <v>4606</v>
      </c>
      <c r="O834" t="s">
        <v>29</v>
      </c>
      <c r="P834" t="s">
        <v>30</v>
      </c>
      <c r="Q834" t="s">
        <v>65</v>
      </c>
      <c r="R834" s="3">
        <v>16484.98</v>
      </c>
    </row>
    <row r="835" spans="1:18" x14ac:dyDescent="0.3">
      <c r="A835" t="s">
        <v>4607</v>
      </c>
      <c r="B835" t="str">
        <f>TEXT(Raw_Data[[#This Row],[Order Date]],"mmm")</f>
        <v>Oct</v>
      </c>
      <c r="C835" t="s">
        <v>1846</v>
      </c>
      <c r="D835" t="s">
        <v>4608</v>
      </c>
      <c r="E835" t="s">
        <v>35</v>
      </c>
      <c r="F835" t="s">
        <v>36</v>
      </c>
      <c r="G835" t="s">
        <v>153</v>
      </c>
      <c r="H835" t="s">
        <v>23</v>
      </c>
      <c r="I835" t="s">
        <v>341</v>
      </c>
      <c r="J835" t="s">
        <v>50</v>
      </c>
      <c r="K835" t="s">
        <v>4609</v>
      </c>
      <c r="L835">
        <v>0.05</v>
      </c>
      <c r="M835" t="s">
        <v>4610</v>
      </c>
      <c r="N835" t="s">
        <v>4611</v>
      </c>
      <c r="O835" t="s">
        <v>43</v>
      </c>
      <c r="P835" t="s">
        <v>30</v>
      </c>
      <c r="Q835" t="s">
        <v>44</v>
      </c>
      <c r="R835" s="3">
        <v>137768.86699999901</v>
      </c>
    </row>
    <row r="836" spans="1:18" x14ac:dyDescent="0.3">
      <c r="A836" t="s">
        <v>4612</v>
      </c>
      <c r="B836" t="str">
        <f>TEXT(Raw_Data[[#This Row],[Order Date]],"mmm")</f>
        <v>Jan</v>
      </c>
      <c r="C836" t="s">
        <v>2970</v>
      </c>
      <c r="D836" t="s">
        <v>4613</v>
      </c>
      <c r="E836" t="s">
        <v>20</v>
      </c>
      <c r="F836" t="s">
        <v>106</v>
      </c>
      <c r="G836" t="s">
        <v>163</v>
      </c>
      <c r="H836" t="s">
        <v>23</v>
      </c>
      <c r="I836" t="s">
        <v>183</v>
      </c>
      <c r="J836" t="s">
        <v>25</v>
      </c>
      <c r="K836" t="s">
        <v>4614</v>
      </c>
      <c r="L836">
        <v>0.05</v>
      </c>
      <c r="M836" t="s">
        <v>4615</v>
      </c>
      <c r="N836" t="s">
        <v>4616</v>
      </c>
      <c r="O836" t="s">
        <v>64</v>
      </c>
      <c r="P836" t="s">
        <v>30</v>
      </c>
      <c r="Q836" t="s">
        <v>31</v>
      </c>
      <c r="R836" s="3">
        <v>61458.197999999997</v>
      </c>
    </row>
    <row r="837" spans="1:18" x14ac:dyDescent="0.3">
      <c r="A837" t="s">
        <v>4617</v>
      </c>
      <c r="B837" t="str">
        <f>TEXT(Raw_Data[[#This Row],[Order Date]],"mmm")</f>
        <v>Dec</v>
      </c>
      <c r="C837" t="s">
        <v>646</v>
      </c>
      <c r="D837" t="s">
        <v>4618</v>
      </c>
      <c r="E837" t="s">
        <v>20</v>
      </c>
      <c r="F837" t="s">
        <v>69</v>
      </c>
      <c r="G837" t="s">
        <v>139</v>
      </c>
      <c r="H837" t="s">
        <v>107</v>
      </c>
      <c r="I837" t="s">
        <v>108</v>
      </c>
      <c r="J837" t="s">
        <v>82</v>
      </c>
      <c r="K837" t="s">
        <v>4619</v>
      </c>
      <c r="L837">
        <v>0.15</v>
      </c>
      <c r="M837" t="s">
        <v>4620</v>
      </c>
      <c r="N837" t="s">
        <v>4621</v>
      </c>
      <c r="O837" t="s">
        <v>29</v>
      </c>
      <c r="P837" t="s">
        <v>30</v>
      </c>
      <c r="Q837" t="s">
        <v>31</v>
      </c>
      <c r="R837" s="3">
        <v>44401.415999999997</v>
      </c>
    </row>
    <row r="838" spans="1:18" x14ac:dyDescent="0.3">
      <c r="A838" t="s">
        <v>4622</v>
      </c>
      <c r="B838" t="str">
        <f>TEXT(Raw_Data[[#This Row],[Order Date]],"mmm")</f>
        <v>Sep</v>
      </c>
      <c r="C838" t="s">
        <v>2824</v>
      </c>
      <c r="D838" t="s">
        <v>4623</v>
      </c>
      <c r="E838" t="s">
        <v>48</v>
      </c>
      <c r="F838" t="s">
        <v>36</v>
      </c>
      <c r="G838" t="s">
        <v>123</v>
      </c>
      <c r="H838" t="s">
        <v>23</v>
      </c>
      <c r="I838" t="s">
        <v>49</v>
      </c>
      <c r="J838" t="s">
        <v>25</v>
      </c>
      <c r="K838" t="s">
        <v>4624</v>
      </c>
      <c r="L838">
        <v>0.1</v>
      </c>
      <c r="M838" t="s">
        <v>4625</v>
      </c>
      <c r="N838" t="s">
        <v>4626</v>
      </c>
      <c r="O838" t="s">
        <v>43</v>
      </c>
      <c r="P838" t="s">
        <v>30</v>
      </c>
      <c r="Q838" t="s">
        <v>44</v>
      </c>
      <c r="R838" s="3">
        <v>49372.550999999999</v>
      </c>
    </row>
    <row r="839" spans="1:18" x14ac:dyDescent="0.3">
      <c r="A839" t="s">
        <v>4627</v>
      </c>
      <c r="B839" t="str">
        <f>TEXT(Raw_Data[[#This Row],[Order Date]],"mmm")</f>
        <v>Aug</v>
      </c>
      <c r="C839" t="s">
        <v>1245</v>
      </c>
      <c r="D839" t="s">
        <v>4628</v>
      </c>
      <c r="E839" t="s">
        <v>20</v>
      </c>
      <c r="F839" t="s">
        <v>106</v>
      </c>
      <c r="G839" t="s">
        <v>106</v>
      </c>
      <c r="H839" t="s">
        <v>23</v>
      </c>
      <c r="I839" t="s">
        <v>183</v>
      </c>
      <c r="J839" t="s">
        <v>25</v>
      </c>
      <c r="K839" t="s">
        <v>4629</v>
      </c>
      <c r="L839">
        <v>0.15</v>
      </c>
      <c r="M839" t="s">
        <v>4630</v>
      </c>
      <c r="N839" t="s">
        <v>4631</v>
      </c>
      <c r="O839" t="s">
        <v>173</v>
      </c>
      <c r="P839" t="s">
        <v>159</v>
      </c>
      <c r="Q839" t="s">
        <v>44</v>
      </c>
      <c r="R839" s="3">
        <v>14209.96</v>
      </c>
    </row>
    <row r="840" spans="1:18" x14ac:dyDescent="0.3">
      <c r="A840" t="s">
        <v>4632</v>
      </c>
      <c r="B840" t="str">
        <f>TEXT(Raw_Data[[#This Row],[Order Date]],"mmm")</f>
        <v>Nov</v>
      </c>
      <c r="C840" t="s">
        <v>4633</v>
      </c>
      <c r="D840" t="s">
        <v>4634</v>
      </c>
      <c r="E840" t="s">
        <v>20</v>
      </c>
      <c r="F840" t="s">
        <v>69</v>
      </c>
      <c r="G840" t="s">
        <v>139</v>
      </c>
      <c r="H840" t="s">
        <v>80</v>
      </c>
      <c r="I840" t="s">
        <v>146</v>
      </c>
      <c r="J840" t="s">
        <v>25</v>
      </c>
      <c r="K840" t="s">
        <v>4635</v>
      </c>
      <c r="L840">
        <v>0</v>
      </c>
      <c r="M840" t="s">
        <v>4636</v>
      </c>
      <c r="N840" t="s">
        <v>4637</v>
      </c>
      <c r="O840" t="s">
        <v>43</v>
      </c>
      <c r="P840" t="s">
        <v>30</v>
      </c>
      <c r="Q840" t="s">
        <v>65</v>
      </c>
      <c r="R840" s="3">
        <v>1320.78</v>
      </c>
    </row>
    <row r="841" spans="1:18" x14ac:dyDescent="0.3">
      <c r="A841" t="s">
        <v>4638</v>
      </c>
      <c r="B841" t="str">
        <f>TEXT(Raw_Data[[#This Row],[Order Date]],"mmm")</f>
        <v>Sep</v>
      </c>
      <c r="C841" t="s">
        <v>4639</v>
      </c>
      <c r="D841" t="s">
        <v>4640</v>
      </c>
      <c r="E841" t="s">
        <v>48</v>
      </c>
      <c r="F841" t="s">
        <v>58</v>
      </c>
      <c r="G841" t="s">
        <v>290</v>
      </c>
      <c r="H841" t="s">
        <v>154</v>
      </c>
      <c r="I841" t="s">
        <v>1061</v>
      </c>
      <c r="J841" t="s">
        <v>25</v>
      </c>
      <c r="K841" t="s">
        <v>4641</v>
      </c>
      <c r="L841">
        <v>0.15</v>
      </c>
      <c r="M841" t="s">
        <v>4642</v>
      </c>
      <c r="N841" t="s">
        <v>4643</v>
      </c>
      <c r="O841" t="s">
        <v>54</v>
      </c>
      <c r="P841" t="s">
        <v>30</v>
      </c>
      <c r="Q841" t="s">
        <v>44</v>
      </c>
      <c r="R841" s="3">
        <v>6258.4565000000002</v>
      </c>
    </row>
    <row r="842" spans="1:18" x14ac:dyDescent="0.3">
      <c r="A842" t="s">
        <v>4644</v>
      </c>
      <c r="B842" t="str">
        <f>TEXT(Raw_Data[[#This Row],[Order Date]],"mmm")</f>
        <v>Jul</v>
      </c>
      <c r="C842" t="s">
        <v>333</v>
      </c>
      <c r="D842" t="s">
        <v>4645</v>
      </c>
      <c r="E842" t="s">
        <v>35</v>
      </c>
      <c r="F842" t="s">
        <v>106</v>
      </c>
      <c r="G842" t="s">
        <v>106</v>
      </c>
      <c r="H842" t="s">
        <v>154</v>
      </c>
      <c r="I842" t="s">
        <v>309</v>
      </c>
      <c r="J842" t="s">
        <v>50</v>
      </c>
      <c r="K842" t="s">
        <v>4646</v>
      </c>
      <c r="L842">
        <v>0.2</v>
      </c>
      <c r="M842" t="s">
        <v>4647</v>
      </c>
      <c r="N842" t="s">
        <v>4648</v>
      </c>
      <c r="O842" t="s">
        <v>29</v>
      </c>
      <c r="P842" t="s">
        <v>112</v>
      </c>
      <c r="Q842" t="s">
        <v>65</v>
      </c>
      <c r="R842" s="3">
        <v>8123.2160000000003</v>
      </c>
    </row>
    <row r="843" spans="1:18" x14ac:dyDescent="0.3">
      <c r="A843" t="s">
        <v>4649</v>
      </c>
      <c r="B843" t="str">
        <f>TEXT(Raw_Data[[#This Row],[Order Date]],"mmm")</f>
        <v>Apr</v>
      </c>
      <c r="C843" t="s">
        <v>798</v>
      </c>
      <c r="D843" t="s">
        <v>4650</v>
      </c>
      <c r="E843" t="s">
        <v>35</v>
      </c>
      <c r="F843" t="s">
        <v>89</v>
      </c>
      <c r="G843" t="s">
        <v>90</v>
      </c>
      <c r="H843" t="s">
        <v>80</v>
      </c>
      <c r="I843" t="s">
        <v>81</v>
      </c>
      <c r="J843" t="s">
        <v>100</v>
      </c>
      <c r="K843" t="s">
        <v>4651</v>
      </c>
      <c r="L843">
        <v>0</v>
      </c>
      <c r="M843" t="s">
        <v>4652</v>
      </c>
      <c r="N843" t="s">
        <v>4653</v>
      </c>
      <c r="O843" t="s">
        <v>64</v>
      </c>
      <c r="P843" t="s">
        <v>30</v>
      </c>
      <c r="Q843" t="s">
        <v>44</v>
      </c>
      <c r="R843" s="3">
        <v>14931.5999999999</v>
      </c>
    </row>
    <row r="844" spans="1:18" x14ac:dyDescent="0.3">
      <c r="A844" t="s">
        <v>4654</v>
      </c>
      <c r="B844" t="str">
        <f>TEXT(Raw_Data[[#This Row],[Order Date]],"mmm")</f>
        <v>Jun</v>
      </c>
      <c r="C844" t="s">
        <v>3993</v>
      </c>
      <c r="D844" t="s">
        <v>4655</v>
      </c>
      <c r="E844" t="s">
        <v>48</v>
      </c>
      <c r="F844" t="s">
        <v>58</v>
      </c>
      <c r="G844" t="s">
        <v>812</v>
      </c>
      <c r="H844" t="s">
        <v>23</v>
      </c>
      <c r="I844" t="s">
        <v>24</v>
      </c>
      <c r="J844" t="s">
        <v>50</v>
      </c>
      <c r="K844" t="s">
        <v>4656</v>
      </c>
      <c r="L844">
        <v>0.1</v>
      </c>
      <c r="M844" t="s">
        <v>4657</v>
      </c>
      <c r="N844" t="s">
        <v>4658</v>
      </c>
      <c r="O844" t="s">
        <v>54</v>
      </c>
      <c r="P844" t="s">
        <v>112</v>
      </c>
      <c r="Q844" t="s">
        <v>65</v>
      </c>
      <c r="R844" s="3">
        <v>35388.936000000002</v>
      </c>
    </row>
    <row r="845" spans="1:18" x14ac:dyDescent="0.3">
      <c r="A845" t="s">
        <v>4659</v>
      </c>
      <c r="B845" t="str">
        <f>TEXT(Raw_Data[[#This Row],[Order Date]],"mmm")</f>
        <v>Jun</v>
      </c>
      <c r="C845" t="s">
        <v>181</v>
      </c>
      <c r="D845" t="s">
        <v>4660</v>
      </c>
      <c r="E845" t="s">
        <v>20</v>
      </c>
      <c r="F845" t="s">
        <v>78</v>
      </c>
      <c r="G845" t="s">
        <v>79</v>
      </c>
      <c r="H845" t="s">
        <v>23</v>
      </c>
      <c r="I845" t="s">
        <v>49</v>
      </c>
      <c r="J845" t="s">
        <v>25</v>
      </c>
      <c r="K845" t="s">
        <v>4661</v>
      </c>
      <c r="L845">
        <v>0.1</v>
      </c>
      <c r="M845" t="s">
        <v>4662</v>
      </c>
      <c r="N845" t="s">
        <v>4663</v>
      </c>
      <c r="O845" t="s">
        <v>29</v>
      </c>
      <c r="P845" t="s">
        <v>30</v>
      </c>
      <c r="Q845" t="s">
        <v>44</v>
      </c>
      <c r="R845" s="3">
        <v>50658.686999999998</v>
      </c>
    </row>
    <row r="846" spans="1:18" x14ac:dyDescent="0.3">
      <c r="A846" t="s">
        <v>4664</v>
      </c>
      <c r="B846" t="str">
        <f>TEXT(Raw_Data[[#This Row],[Order Date]],"mmm")</f>
        <v>Aug</v>
      </c>
      <c r="C846" t="s">
        <v>1757</v>
      </c>
      <c r="D846" t="s">
        <v>4665</v>
      </c>
      <c r="E846" t="s">
        <v>48</v>
      </c>
      <c r="F846" t="s">
        <v>69</v>
      </c>
      <c r="G846" t="s">
        <v>328</v>
      </c>
      <c r="H846" t="s">
        <v>38</v>
      </c>
      <c r="I846" t="s">
        <v>60</v>
      </c>
      <c r="J846" t="s">
        <v>25</v>
      </c>
      <c r="K846" t="s">
        <v>4666</v>
      </c>
      <c r="L846">
        <v>0.1</v>
      </c>
      <c r="M846" t="s">
        <v>4667</v>
      </c>
      <c r="N846" t="s">
        <v>4668</v>
      </c>
      <c r="O846" t="s">
        <v>43</v>
      </c>
      <c r="P846" t="s">
        <v>30</v>
      </c>
      <c r="Q846" t="s">
        <v>31</v>
      </c>
      <c r="R846" s="3">
        <v>918.30600000000004</v>
      </c>
    </row>
    <row r="847" spans="1:18" x14ac:dyDescent="0.3">
      <c r="A847" t="s">
        <v>4669</v>
      </c>
      <c r="B847" t="str">
        <f>TEXT(Raw_Data[[#This Row],[Order Date]],"mmm")</f>
        <v>Mar</v>
      </c>
      <c r="C847" t="s">
        <v>4670</v>
      </c>
      <c r="D847" t="s">
        <v>4671</v>
      </c>
      <c r="E847" t="s">
        <v>20</v>
      </c>
      <c r="F847" t="s">
        <v>78</v>
      </c>
      <c r="G847" t="s">
        <v>468</v>
      </c>
      <c r="H847" t="s">
        <v>107</v>
      </c>
      <c r="I847" t="s">
        <v>108</v>
      </c>
      <c r="J847" t="s">
        <v>100</v>
      </c>
      <c r="K847" t="s">
        <v>4672</v>
      </c>
      <c r="L847">
        <v>0.1</v>
      </c>
      <c r="M847" t="s">
        <v>4673</v>
      </c>
      <c r="N847" t="s">
        <v>4674</v>
      </c>
      <c r="O847" t="s">
        <v>173</v>
      </c>
      <c r="P847" t="s">
        <v>112</v>
      </c>
      <c r="Q847" t="s">
        <v>44</v>
      </c>
      <c r="R847" s="3">
        <v>35575.010999999999</v>
      </c>
    </row>
    <row r="848" spans="1:18" x14ac:dyDescent="0.3">
      <c r="A848" t="s">
        <v>4675</v>
      </c>
      <c r="B848" t="str">
        <f>TEXT(Raw_Data[[#This Row],[Order Date]],"mmm")</f>
        <v>Nov</v>
      </c>
      <c r="C848" t="s">
        <v>1122</v>
      </c>
      <c r="D848" t="s">
        <v>4676</v>
      </c>
      <c r="E848" t="s">
        <v>20</v>
      </c>
      <c r="F848" t="s">
        <v>58</v>
      </c>
      <c r="G848" t="s">
        <v>290</v>
      </c>
      <c r="H848" t="s">
        <v>80</v>
      </c>
      <c r="I848" t="s">
        <v>146</v>
      </c>
      <c r="J848" t="s">
        <v>50</v>
      </c>
      <c r="K848" t="s">
        <v>4677</v>
      </c>
      <c r="L848">
        <v>0.15</v>
      </c>
      <c r="M848" t="s">
        <v>4678</v>
      </c>
      <c r="N848" t="s">
        <v>4679</v>
      </c>
      <c r="O848" t="s">
        <v>43</v>
      </c>
      <c r="P848" t="s">
        <v>30</v>
      </c>
      <c r="Q848" t="s">
        <v>44</v>
      </c>
      <c r="R848" s="3">
        <v>3193.518</v>
      </c>
    </row>
    <row r="849" spans="1:18" x14ac:dyDescent="0.3">
      <c r="A849" t="s">
        <v>4680</v>
      </c>
      <c r="B849" t="str">
        <f>TEXT(Raw_Data[[#This Row],[Order Date]],"mmm")</f>
        <v>Dec</v>
      </c>
      <c r="C849" t="s">
        <v>868</v>
      </c>
      <c r="D849" t="s">
        <v>4681</v>
      </c>
      <c r="E849" t="s">
        <v>20</v>
      </c>
      <c r="F849" t="s">
        <v>69</v>
      </c>
      <c r="G849" t="s">
        <v>70</v>
      </c>
      <c r="H849" t="s">
        <v>23</v>
      </c>
      <c r="I849" t="s">
        <v>49</v>
      </c>
      <c r="J849" t="s">
        <v>25</v>
      </c>
      <c r="K849" t="s">
        <v>4682</v>
      </c>
      <c r="L849">
        <v>0.2</v>
      </c>
      <c r="M849" t="s">
        <v>4683</v>
      </c>
      <c r="N849" t="s">
        <v>4684</v>
      </c>
      <c r="O849" t="s">
        <v>54</v>
      </c>
      <c r="P849" t="s">
        <v>95</v>
      </c>
      <c r="Q849" t="s">
        <v>31</v>
      </c>
      <c r="R849" s="3">
        <v>27081.144</v>
      </c>
    </row>
    <row r="850" spans="1:18" x14ac:dyDescent="0.3">
      <c r="A850" t="s">
        <v>4685</v>
      </c>
      <c r="B850" t="str">
        <f>TEXT(Raw_Data[[#This Row],[Order Date]],"mmm")</f>
        <v>Jan</v>
      </c>
      <c r="C850" t="s">
        <v>3252</v>
      </c>
      <c r="D850" t="s">
        <v>4686</v>
      </c>
      <c r="E850" t="s">
        <v>35</v>
      </c>
      <c r="F850" t="s">
        <v>36</v>
      </c>
      <c r="G850" t="s">
        <v>196</v>
      </c>
      <c r="H850" t="s">
        <v>107</v>
      </c>
      <c r="I850" t="s">
        <v>277</v>
      </c>
      <c r="J850" t="s">
        <v>50</v>
      </c>
      <c r="K850" t="s">
        <v>4687</v>
      </c>
      <c r="L850">
        <v>0.2</v>
      </c>
      <c r="M850" t="s">
        <v>4688</v>
      </c>
      <c r="N850" t="s">
        <v>4689</v>
      </c>
      <c r="O850" t="s">
        <v>54</v>
      </c>
      <c r="P850" t="s">
        <v>30</v>
      </c>
      <c r="Q850" t="s">
        <v>44</v>
      </c>
      <c r="R850" s="3">
        <v>17039.743999999999</v>
      </c>
    </row>
    <row r="851" spans="1:18" x14ac:dyDescent="0.3">
      <c r="A851" t="s">
        <v>4690</v>
      </c>
      <c r="B851" t="str">
        <f>TEXT(Raw_Data[[#This Row],[Order Date]],"mmm")</f>
        <v>Jun</v>
      </c>
      <c r="C851" t="s">
        <v>2546</v>
      </c>
      <c r="D851" t="s">
        <v>4691</v>
      </c>
      <c r="E851" t="s">
        <v>20</v>
      </c>
      <c r="F851" t="s">
        <v>78</v>
      </c>
      <c r="G851" t="s">
        <v>468</v>
      </c>
      <c r="H851" t="s">
        <v>80</v>
      </c>
      <c r="I851" t="s">
        <v>131</v>
      </c>
      <c r="J851" t="s">
        <v>25</v>
      </c>
      <c r="K851" t="s">
        <v>4692</v>
      </c>
      <c r="L851">
        <v>0.1</v>
      </c>
      <c r="M851" t="s">
        <v>4693</v>
      </c>
      <c r="N851" t="s">
        <v>4694</v>
      </c>
      <c r="O851" t="s">
        <v>43</v>
      </c>
      <c r="P851" t="s">
        <v>30</v>
      </c>
      <c r="Q851" t="s">
        <v>44</v>
      </c>
      <c r="R851" s="3">
        <v>5108.1120000000001</v>
      </c>
    </row>
    <row r="852" spans="1:18" x14ac:dyDescent="0.3">
      <c r="A852" t="s">
        <v>4695</v>
      </c>
      <c r="B852" t="str">
        <f>TEXT(Raw_Data[[#This Row],[Order Date]],"mmm")</f>
        <v>Jun</v>
      </c>
      <c r="C852" t="s">
        <v>2758</v>
      </c>
      <c r="D852" t="s">
        <v>4696</v>
      </c>
      <c r="E852" t="s">
        <v>48</v>
      </c>
      <c r="F852" t="s">
        <v>215</v>
      </c>
      <c r="G852" t="s">
        <v>216</v>
      </c>
      <c r="H852" t="s">
        <v>107</v>
      </c>
      <c r="I852" t="s">
        <v>108</v>
      </c>
      <c r="J852" t="s">
        <v>25</v>
      </c>
      <c r="K852" t="s">
        <v>4697</v>
      </c>
      <c r="L852">
        <v>0</v>
      </c>
      <c r="M852" t="s">
        <v>4698</v>
      </c>
      <c r="N852" t="s">
        <v>4699</v>
      </c>
      <c r="O852" t="s">
        <v>64</v>
      </c>
      <c r="P852" t="s">
        <v>30</v>
      </c>
      <c r="Q852" t="s">
        <v>44</v>
      </c>
      <c r="R852" s="3">
        <v>16790.57</v>
      </c>
    </row>
    <row r="853" spans="1:18" x14ac:dyDescent="0.3">
      <c r="A853" t="s">
        <v>4700</v>
      </c>
      <c r="B853" t="str">
        <f>TEXT(Raw_Data[[#This Row],[Order Date]],"mmm")</f>
        <v>Feb</v>
      </c>
      <c r="C853" t="s">
        <v>1268</v>
      </c>
      <c r="D853" t="s">
        <v>4701</v>
      </c>
      <c r="E853" t="s">
        <v>48</v>
      </c>
      <c r="F853" t="s">
        <v>21</v>
      </c>
      <c r="G853" t="s">
        <v>130</v>
      </c>
      <c r="H853" t="s">
        <v>80</v>
      </c>
      <c r="I853" t="s">
        <v>116</v>
      </c>
      <c r="J853" t="s">
        <v>50</v>
      </c>
      <c r="K853" t="s">
        <v>4702</v>
      </c>
      <c r="L853">
        <v>0</v>
      </c>
      <c r="M853" t="s">
        <v>4703</v>
      </c>
      <c r="N853" t="s">
        <v>4704</v>
      </c>
      <c r="O853" t="s">
        <v>64</v>
      </c>
      <c r="P853" t="s">
        <v>30</v>
      </c>
      <c r="Q853" t="s">
        <v>65</v>
      </c>
      <c r="R853" s="3">
        <v>6320.02</v>
      </c>
    </row>
    <row r="854" spans="1:18" x14ac:dyDescent="0.3">
      <c r="A854" t="s">
        <v>4705</v>
      </c>
      <c r="B854" t="str">
        <f>TEXT(Raw_Data[[#This Row],[Order Date]],"mmm")</f>
        <v>Aug</v>
      </c>
      <c r="C854" t="s">
        <v>1313</v>
      </c>
      <c r="D854" t="s">
        <v>4706</v>
      </c>
      <c r="E854" t="s">
        <v>35</v>
      </c>
      <c r="F854" t="s">
        <v>89</v>
      </c>
      <c r="G854" t="s">
        <v>99</v>
      </c>
      <c r="H854" t="s">
        <v>23</v>
      </c>
      <c r="I854" t="s">
        <v>49</v>
      </c>
      <c r="J854" t="s">
        <v>50</v>
      </c>
      <c r="K854" t="s">
        <v>4707</v>
      </c>
      <c r="L854">
        <v>0.1</v>
      </c>
      <c r="M854" t="s">
        <v>4708</v>
      </c>
      <c r="N854" t="s">
        <v>4709</v>
      </c>
      <c r="O854" t="s">
        <v>173</v>
      </c>
      <c r="P854" t="s">
        <v>30</v>
      </c>
      <c r="Q854" t="s">
        <v>44</v>
      </c>
      <c r="R854" s="3">
        <v>115887.45600000001</v>
      </c>
    </row>
    <row r="855" spans="1:18" x14ac:dyDescent="0.3">
      <c r="A855" t="s">
        <v>4710</v>
      </c>
      <c r="B855" t="str">
        <f>TEXT(Raw_Data[[#This Row],[Order Date]],"mmm")</f>
        <v>Sep</v>
      </c>
      <c r="C855" t="s">
        <v>719</v>
      </c>
      <c r="D855" t="s">
        <v>4711</v>
      </c>
      <c r="E855" t="s">
        <v>20</v>
      </c>
      <c r="F855" t="s">
        <v>215</v>
      </c>
      <c r="G855" t="s">
        <v>276</v>
      </c>
      <c r="H855" t="s">
        <v>107</v>
      </c>
      <c r="I855" t="s">
        <v>378</v>
      </c>
      <c r="J855" t="s">
        <v>25</v>
      </c>
      <c r="K855" t="s">
        <v>4712</v>
      </c>
      <c r="L855">
        <v>0.1</v>
      </c>
      <c r="M855" t="s">
        <v>4713</v>
      </c>
      <c r="N855" t="s">
        <v>4714</v>
      </c>
      <c r="O855" t="s">
        <v>29</v>
      </c>
      <c r="P855" t="s">
        <v>30</v>
      </c>
      <c r="Q855" t="s">
        <v>44</v>
      </c>
      <c r="R855" s="3">
        <v>9413.5409999999993</v>
      </c>
    </row>
    <row r="856" spans="1:18" x14ac:dyDescent="0.3">
      <c r="A856" t="s">
        <v>4715</v>
      </c>
      <c r="B856" t="str">
        <f>TEXT(Raw_Data[[#This Row],[Order Date]],"mmm")</f>
        <v>Jun</v>
      </c>
      <c r="C856" t="s">
        <v>764</v>
      </c>
      <c r="D856" t="s">
        <v>4716</v>
      </c>
      <c r="E856" t="s">
        <v>48</v>
      </c>
      <c r="F856" t="s">
        <v>78</v>
      </c>
      <c r="G856" t="s">
        <v>79</v>
      </c>
      <c r="H856" t="s">
        <v>23</v>
      </c>
      <c r="I856" t="s">
        <v>49</v>
      </c>
      <c r="J856" t="s">
        <v>50</v>
      </c>
      <c r="K856" t="s">
        <v>4717</v>
      </c>
      <c r="L856">
        <v>0.05</v>
      </c>
      <c r="M856" t="s">
        <v>4718</v>
      </c>
      <c r="N856" t="s">
        <v>4719</v>
      </c>
      <c r="O856" t="s">
        <v>43</v>
      </c>
      <c r="P856" t="s">
        <v>112</v>
      </c>
      <c r="Q856" t="s">
        <v>31</v>
      </c>
      <c r="R856" s="3">
        <v>118906.141999999</v>
      </c>
    </row>
    <row r="857" spans="1:18" x14ac:dyDescent="0.3">
      <c r="A857" t="s">
        <v>4720</v>
      </c>
      <c r="B857" t="str">
        <f>TEXT(Raw_Data[[#This Row],[Order Date]],"mmm")</f>
        <v>Apr</v>
      </c>
      <c r="C857" t="s">
        <v>2687</v>
      </c>
      <c r="D857" t="s">
        <v>4721</v>
      </c>
      <c r="E857" t="s">
        <v>35</v>
      </c>
      <c r="F857" t="s">
        <v>215</v>
      </c>
      <c r="G857" t="s">
        <v>276</v>
      </c>
      <c r="H857" t="s">
        <v>80</v>
      </c>
      <c r="I857" t="s">
        <v>116</v>
      </c>
      <c r="J857" t="s">
        <v>25</v>
      </c>
      <c r="K857" t="s">
        <v>4722</v>
      </c>
      <c r="L857">
        <v>0.1</v>
      </c>
      <c r="M857" t="s">
        <v>4723</v>
      </c>
      <c r="N857" t="s">
        <v>4724</v>
      </c>
      <c r="O857" t="s">
        <v>43</v>
      </c>
      <c r="P857" t="s">
        <v>30</v>
      </c>
      <c r="Q857" t="s">
        <v>31</v>
      </c>
      <c r="R857" s="3">
        <v>1059.3720000000001</v>
      </c>
    </row>
    <row r="858" spans="1:18" x14ac:dyDescent="0.3">
      <c r="A858" t="s">
        <v>4725</v>
      </c>
      <c r="B858" t="str">
        <f>TEXT(Raw_Data[[#This Row],[Order Date]],"mmm")</f>
        <v>Apr</v>
      </c>
      <c r="C858" t="s">
        <v>2101</v>
      </c>
      <c r="D858" t="s">
        <v>4726</v>
      </c>
      <c r="E858" t="s">
        <v>20</v>
      </c>
      <c r="F858" t="s">
        <v>58</v>
      </c>
      <c r="G858" t="s">
        <v>59</v>
      </c>
      <c r="H858" t="s">
        <v>23</v>
      </c>
      <c r="I858" t="s">
        <v>263</v>
      </c>
      <c r="J858" t="s">
        <v>25</v>
      </c>
      <c r="K858" t="s">
        <v>4727</v>
      </c>
      <c r="L858">
        <v>0.15</v>
      </c>
      <c r="M858" t="s">
        <v>4728</v>
      </c>
      <c r="N858" t="s">
        <v>4729</v>
      </c>
      <c r="O858" t="s">
        <v>54</v>
      </c>
      <c r="P858" t="s">
        <v>112</v>
      </c>
      <c r="Q858" t="s">
        <v>31</v>
      </c>
      <c r="R858" s="3">
        <v>17414.876499999998</v>
      </c>
    </row>
    <row r="859" spans="1:18" x14ac:dyDescent="0.3">
      <c r="A859" t="s">
        <v>4730</v>
      </c>
      <c r="B859" t="str">
        <f>TEXT(Raw_Data[[#This Row],[Order Date]],"mmm")</f>
        <v>Nov</v>
      </c>
      <c r="C859" t="s">
        <v>221</v>
      </c>
      <c r="D859" t="s">
        <v>4731</v>
      </c>
      <c r="E859" t="s">
        <v>20</v>
      </c>
      <c r="F859" t="s">
        <v>36</v>
      </c>
      <c r="G859" t="s">
        <v>123</v>
      </c>
      <c r="H859" t="s">
        <v>154</v>
      </c>
      <c r="I859" t="s">
        <v>309</v>
      </c>
      <c r="J859" t="s">
        <v>25</v>
      </c>
      <c r="K859" t="s">
        <v>4732</v>
      </c>
      <c r="L859">
        <v>0</v>
      </c>
      <c r="M859" t="s">
        <v>4733</v>
      </c>
      <c r="N859" t="s">
        <v>4734</v>
      </c>
      <c r="O859" t="s">
        <v>43</v>
      </c>
      <c r="P859" t="s">
        <v>30</v>
      </c>
      <c r="Q859" t="s">
        <v>65</v>
      </c>
      <c r="R859" s="3">
        <v>1391.96</v>
      </c>
    </row>
    <row r="860" spans="1:18" x14ac:dyDescent="0.3">
      <c r="A860" t="s">
        <v>4735</v>
      </c>
      <c r="B860" t="str">
        <f>TEXT(Raw_Data[[#This Row],[Order Date]],"mmm")</f>
        <v>Jul</v>
      </c>
      <c r="C860" t="s">
        <v>3916</v>
      </c>
      <c r="D860" t="s">
        <v>4736</v>
      </c>
      <c r="E860" t="s">
        <v>48</v>
      </c>
      <c r="F860" t="s">
        <v>58</v>
      </c>
      <c r="G860" t="s">
        <v>59</v>
      </c>
      <c r="H860" t="s">
        <v>107</v>
      </c>
      <c r="I860" t="s">
        <v>378</v>
      </c>
      <c r="J860" t="s">
        <v>50</v>
      </c>
      <c r="K860" t="s">
        <v>4737</v>
      </c>
      <c r="L860">
        <v>0.15</v>
      </c>
      <c r="M860" t="s">
        <v>4738</v>
      </c>
      <c r="N860" t="s">
        <v>4739</v>
      </c>
      <c r="O860" t="s">
        <v>29</v>
      </c>
      <c r="P860" t="s">
        <v>30</v>
      </c>
      <c r="Q860" t="s">
        <v>44</v>
      </c>
      <c r="R860" s="3">
        <v>4181.7109999999902</v>
      </c>
    </row>
    <row r="861" spans="1:18" x14ac:dyDescent="0.3">
      <c r="A861" t="s">
        <v>4740</v>
      </c>
      <c r="B861" t="str">
        <f>TEXT(Raw_Data[[#This Row],[Order Date]],"mmm")</f>
        <v>Apr</v>
      </c>
      <c r="C861" t="s">
        <v>2552</v>
      </c>
      <c r="D861" t="s">
        <v>4741</v>
      </c>
      <c r="E861" t="s">
        <v>48</v>
      </c>
      <c r="F861" t="s">
        <v>58</v>
      </c>
      <c r="G861" t="s">
        <v>290</v>
      </c>
      <c r="H861" t="s">
        <v>107</v>
      </c>
      <c r="I861" t="s">
        <v>277</v>
      </c>
      <c r="J861" t="s">
        <v>82</v>
      </c>
      <c r="K861" t="s">
        <v>4742</v>
      </c>
      <c r="L861">
        <v>0.05</v>
      </c>
      <c r="M861" t="s">
        <v>4743</v>
      </c>
      <c r="N861" t="s">
        <v>4744</v>
      </c>
      <c r="O861" t="s">
        <v>54</v>
      </c>
      <c r="P861" t="s">
        <v>95</v>
      </c>
      <c r="Q861" t="s">
        <v>44</v>
      </c>
      <c r="R861" s="3">
        <v>47213.784</v>
      </c>
    </row>
    <row r="862" spans="1:18" x14ac:dyDescent="0.3">
      <c r="A862" t="s">
        <v>4745</v>
      </c>
      <c r="B862" t="str">
        <f>TEXT(Raw_Data[[#This Row],[Order Date]],"mmm")</f>
        <v>Dec</v>
      </c>
      <c r="C862" t="s">
        <v>2792</v>
      </c>
      <c r="D862" t="s">
        <v>4746</v>
      </c>
      <c r="E862" t="s">
        <v>20</v>
      </c>
      <c r="F862" t="s">
        <v>58</v>
      </c>
      <c r="G862" t="s">
        <v>290</v>
      </c>
      <c r="H862" t="s">
        <v>38</v>
      </c>
      <c r="I862" t="s">
        <v>60</v>
      </c>
      <c r="J862" t="s">
        <v>25</v>
      </c>
      <c r="K862" t="s">
        <v>4747</v>
      </c>
      <c r="L862">
        <v>0</v>
      </c>
      <c r="M862" t="s">
        <v>4748</v>
      </c>
      <c r="N862" t="s">
        <v>4749</v>
      </c>
      <c r="O862" t="s">
        <v>43</v>
      </c>
      <c r="P862" t="s">
        <v>30</v>
      </c>
      <c r="Q862" t="s">
        <v>31</v>
      </c>
      <c r="R862" s="3">
        <v>4644.57</v>
      </c>
    </row>
    <row r="863" spans="1:18" x14ac:dyDescent="0.3">
      <c r="A863" t="s">
        <v>4750</v>
      </c>
      <c r="B863" t="str">
        <f>TEXT(Raw_Data[[#This Row],[Order Date]],"mmm")</f>
        <v>Apr</v>
      </c>
      <c r="C863" t="s">
        <v>4751</v>
      </c>
      <c r="D863" t="s">
        <v>4752</v>
      </c>
      <c r="E863" t="s">
        <v>35</v>
      </c>
      <c r="F863" t="s">
        <v>58</v>
      </c>
      <c r="G863" t="s">
        <v>812</v>
      </c>
      <c r="H863" t="s">
        <v>80</v>
      </c>
      <c r="I863" t="s">
        <v>81</v>
      </c>
      <c r="J863" t="s">
        <v>25</v>
      </c>
      <c r="K863" t="s">
        <v>4753</v>
      </c>
      <c r="L863">
        <v>0</v>
      </c>
      <c r="M863" t="s">
        <v>4754</v>
      </c>
      <c r="N863" t="s">
        <v>4755</v>
      </c>
      <c r="O863" t="s">
        <v>64</v>
      </c>
      <c r="P863" t="s">
        <v>30</v>
      </c>
      <c r="Q863" t="s">
        <v>65</v>
      </c>
      <c r="R863" s="3">
        <v>5416.46</v>
      </c>
    </row>
    <row r="864" spans="1:18" x14ac:dyDescent="0.3">
      <c r="A864" t="s">
        <v>4756</v>
      </c>
      <c r="B864" t="str">
        <f>TEXT(Raw_Data[[#This Row],[Order Date]],"mmm")</f>
        <v>Jan</v>
      </c>
      <c r="C864" t="s">
        <v>1414</v>
      </c>
      <c r="D864" t="s">
        <v>4757</v>
      </c>
      <c r="E864" t="s">
        <v>48</v>
      </c>
      <c r="F864" t="s">
        <v>106</v>
      </c>
      <c r="G864" t="s">
        <v>163</v>
      </c>
      <c r="H864" t="s">
        <v>23</v>
      </c>
      <c r="I864" t="s">
        <v>49</v>
      </c>
      <c r="J864" t="s">
        <v>50</v>
      </c>
      <c r="K864" t="s">
        <v>4758</v>
      </c>
      <c r="L864">
        <v>0</v>
      </c>
      <c r="M864" t="s">
        <v>4759</v>
      </c>
      <c r="N864" t="s">
        <v>4760</v>
      </c>
      <c r="O864" t="s">
        <v>54</v>
      </c>
      <c r="P864" t="s">
        <v>112</v>
      </c>
      <c r="Q864" t="s">
        <v>65</v>
      </c>
      <c r="R864" s="3">
        <v>72045.919999999998</v>
      </c>
    </row>
    <row r="865" spans="1:18" x14ac:dyDescent="0.3">
      <c r="A865" t="s">
        <v>4761</v>
      </c>
      <c r="B865" t="str">
        <f>TEXT(Raw_Data[[#This Row],[Order Date]],"mmm")</f>
        <v>Sep</v>
      </c>
      <c r="C865" t="s">
        <v>1397</v>
      </c>
      <c r="D865" t="s">
        <v>4762</v>
      </c>
      <c r="E865" t="s">
        <v>48</v>
      </c>
      <c r="F865" t="s">
        <v>21</v>
      </c>
      <c r="G865" t="s">
        <v>22</v>
      </c>
      <c r="H865" t="s">
        <v>80</v>
      </c>
      <c r="I865" t="s">
        <v>146</v>
      </c>
      <c r="J865" t="s">
        <v>25</v>
      </c>
      <c r="K865" t="s">
        <v>4763</v>
      </c>
      <c r="L865">
        <v>0.1</v>
      </c>
      <c r="M865" t="s">
        <v>4764</v>
      </c>
      <c r="N865" t="s">
        <v>4765</v>
      </c>
      <c r="O865" t="s">
        <v>64</v>
      </c>
      <c r="P865" t="s">
        <v>159</v>
      </c>
      <c r="Q865" t="s">
        <v>44</v>
      </c>
      <c r="R865" s="3">
        <v>3911.9489999999901</v>
      </c>
    </row>
    <row r="866" spans="1:18" x14ac:dyDescent="0.3">
      <c r="A866" t="s">
        <v>4766</v>
      </c>
      <c r="B866" t="str">
        <f>TEXT(Raw_Data[[#This Row],[Order Date]],"mmm")</f>
        <v>Dec</v>
      </c>
      <c r="C866" t="s">
        <v>1003</v>
      </c>
      <c r="D866" t="s">
        <v>4767</v>
      </c>
      <c r="E866" t="s">
        <v>35</v>
      </c>
      <c r="F866" t="s">
        <v>215</v>
      </c>
      <c r="G866" t="s">
        <v>216</v>
      </c>
      <c r="H866" t="s">
        <v>80</v>
      </c>
      <c r="I866" t="s">
        <v>131</v>
      </c>
      <c r="J866" t="s">
        <v>82</v>
      </c>
      <c r="K866" t="s">
        <v>4768</v>
      </c>
      <c r="L866">
        <v>0</v>
      </c>
      <c r="M866" t="s">
        <v>4769</v>
      </c>
      <c r="N866" t="s">
        <v>4770</v>
      </c>
      <c r="O866" t="s">
        <v>64</v>
      </c>
      <c r="P866" t="s">
        <v>112</v>
      </c>
      <c r="Q866" t="s">
        <v>44</v>
      </c>
      <c r="R866" s="3">
        <v>19882.560000000001</v>
      </c>
    </row>
    <row r="867" spans="1:18" x14ac:dyDescent="0.3">
      <c r="A867" t="s">
        <v>4771</v>
      </c>
      <c r="B867" t="str">
        <f>TEXT(Raw_Data[[#This Row],[Order Date]],"mmm")</f>
        <v>Jun</v>
      </c>
      <c r="C867" t="s">
        <v>1521</v>
      </c>
      <c r="D867" t="s">
        <v>4772</v>
      </c>
      <c r="E867" t="s">
        <v>35</v>
      </c>
      <c r="F867" t="s">
        <v>21</v>
      </c>
      <c r="G867" t="s">
        <v>130</v>
      </c>
      <c r="H867" t="s">
        <v>23</v>
      </c>
      <c r="I867" t="s">
        <v>263</v>
      </c>
      <c r="J867" t="s">
        <v>25</v>
      </c>
      <c r="K867" t="s">
        <v>4773</v>
      </c>
      <c r="L867">
        <v>0.1</v>
      </c>
      <c r="M867" t="s">
        <v>4774</v>
      </c>
      <c r="N867" t="s">
        <v>4775</v>
      </c>
      <c r="O867" t="s">
        <v>64</v>
      </c>
      <c r="P867" t="s">
        <v>30</v>
      </c>
      <c r="Q867" t="s">
        <v>65</v>
      </c>
      <c r="R867" s="3">
        <v>2863.5479999999998</v>
      </c>
    </row>
    <row r="868" spans="1:18" x14ac:dyDescent="0.3">
      <c r="A868" t="s">
        <v>4776</v>
      </c>
      <c r="B868" t="str">
        <f>TEXT(Raw_Data[[#This Row],[Order Date]],"mmm")</f>
        <v>Jun</v>
      </c>
      <c r="C868" t="s">
        <v>181</v>
      </c>
      <c r="D868" t="s">
        <v>4777</v>
      </c>
      <c r="E868" t="s">
        <v>35</v>
      </c>
      <c r="F868" t="s">
        <v>36</v>
      </c>
      <c r="G868" t="s">
        <v>414</v>
      </c>
      <c r="H868" t="s">
        <v>23</v>
      </c>
      <c r="I868" t="s">
        <v>49</v>
      </c>
      <c r="J868" t="s">
        <v>82</v>
      </c>
      <c r="K868" t="s">
        <v>4778</v>
      </c>
      <c r="L868">
        <v>0.05</v>
      </c>
      <c r="M868" t="s">
        <v>4779</v>
      </c>
      <c r="N868" t="s">
        <v>4780</v>
      </c>
      <c r="O868" t="s">
        <v>64</v>
      </c>
      <c r="P868" t="s">
        <v>95</v>
      </c>
      <c r="Q868" t="s">
        <v>65</v>
      </c>
      <c r="R868" s="3">
        <v>81562.781999999905</v>
      </c>
    </row>
    <row r="869" spans="1:18" x14ac:dyDescent="0.3">
      <c r="A869" t="s">
        <v>4781</v>
      </c>
      <c r="B869" t="str">
        <f>TEXT(Raw_Data[[#This Row],[Order Date]],"mmm")</f>
        <v>Sep</v>
      </c>
      <c r="C869" t="s">
        <v>4782</v>
      </c>
      <c r="D869" t="s">
        <v>4783</v>
      </c>
      <c r="E869" t="s">
        <v>20</v>
      </c>
      <c r="F869" t="s">
        <v>89</v>
      </c>
      <c r="G869" t="s">
        <v>99</v>
      </c>
      <c r="H869" t="s">
        <v>38</v>
      </c>
      <c r="I869" t="s">
        <v>71</v>
      </c>
      <c r="J869" t="s">
        <v>100</v>
      </c>
      <c r="K869" t="s">
        <v>4784</v>
      </c>
      <c r="L869">
        <v>0.1</v>
      </c>
      <c r="M869" t="s">
        <v>4785</v>
      </c>
      <c r="N869" t="s">
        <v>4786</v>
      </c>
      <c r="O869" t="s">
        <v>29</v>
      </c>
      <c r="P869" t="s">
        <v>30</v>
      </c>
      <c r="Q869" t="s">
        <v>31</v>
      </c>
      <c r="R869" s="3">
        <v>8984.78999999999</v>
      </c>
    </row>
    <row r="870" spans="1:18" x14ac:dyDescent="0.3">
      <c r="A870" t="s">
        <v>4787</v>
      </c>
      <c r="B870" t="str">
        <f>TEXT(Raw_Data[[#This Row],[Order Date]],"mmm")</f>
        <v>Jan</v>
      </c>
      <c r="C870" t="s">
        <v>320</v>
      </c>
      <c r="D870" t="s">
        <v>4788</v>
      </c>
      <c r="E870" t="s">
        <v>35</v>
      </c>
      <c r="F870" t="s">
        <v>21</v>
      </c>
      <c r="G870" t="s">
        <v>22</v>
      </c>
      <c r="H870" t="s">
        <v>38</v>
      </c>
      <c r="I870" t="s">
        <v>39</v>
      </c>
      <c r="J870" t="s">
        <v>25</v>
      </c>
      <c r="K870" t="s">
        <v>4789</v>
      </c>
      <c r="L870">
        <v>0.15</v>
      </c>
      <c r="M870" t="s">
        <v>4790</v>
      </c>
      <c r="N870" t="s">
        <v>4791</v>
      </c>
      <c r="O870" t="s">
        <v>173</v>
      </c>
      <c r="P870" t="s">
        <v>30</v>
      </c>
      <c r="Q870" t="s">
        <v>65</v>
      </c>
      <c r="R870" s="3">
        <v>4689.2629999999999</v>
      </c>
    </row>
    <row r="871" spans="1:18" x14ac:dyDescent="0.3">
      <c r="A871" t="s">
        <v>4792</v>
      </c>
      <c r="B871" t="str">
        <f>TEXT(Raw_Data[[#This Row],[Order Date]],"mmm")</f>
        <v>May</v>
      </c>
      <c r="C871" t="s">
        <v>1420</v>
      </c>
      <c r="D871" t="s">
        <v>4793</v>
      </c>
      <c r="E871" t="s">
        <v>35</v>
      </c>
      <c r="F871" t="s">
        <v>78</v>
      </c>
      <c r="G871" t="s">
        <v>79</v>
      </c>
      <c r="H871" t="s">
        <v>4794</v>
      </c>
      <c r="I871" t="s">
        <v>263</v>
      </c>
      <c r="J871" t="s">
        <v>25</v>
      </c>
      <c r="K871" t="s">
        <v>4795</v>
      </c>
      <c r="L871">
        <v>0.1</v>
      </c>
      <c r="M871" t="s">
        <v>4796</v>
      </c>
      <c r="N871" t="s">
        <v>4797</v>
      </c>
      <c r="O871" t="s">
        <v>64</v>
      </c>
      <c r="P871" t="s">
        <v>30</v>
      </c>
      <c r="Q871" t="s">
        <v>31</v>
      </c>
      <c r="R871" s="3">
        <v>25509.06</v>
      </c>
    </row>
    <row r="872" spans="1:18" x14ac:dyDescent="0.3">
      <c r="A872" t="s">
        <v>4798</v>
      </c>
      <c r="B872" t="str">
        <f>TEXT(Raw_Data[[#This Row],[Order Date]],"mmm")</f>
        <v>Aug</v>
      </c>
      <c r="C872" t="s">
        <v>1649</v>
      </c>
      <c r="D872" t="s">
        <v>4799</v>
      </c>
      <c r="E872" t="s">
        <v>48</v>
      </c>
      <c r="F872" t="s">
        <v>36</v>
      </c>
      <c r="G872" t="s">
        <v>196</v>
      </c>
      <c r="H872" t="s">
        <v>107</v>
      </c>
      <c r="I872" t="s">
        <v>591</v>
      </c>
      <c r="J872" t="s">
        <v>50</v>
      </c>
      <c r="K872" t="s">
        <v>4800</v>
      </c>
      <c r="L872">
        <v>0.1</v>
      </c>
      <c r="M872" t="s">
        <v>4801</v>
      </c>
      <c r="N872" t="s">
        <v>4802</v>
      </c>
      <c r="O872" t="s">
        <v>54</v>
      </c>
      <c r="P872" t="s">
        <v>30</v>
      </c>
      <c r="Q872" t="s">
        <v>44</v>
      </c>
      <c r="R872" s="3">
        <v>29875.428</v>
      </c>
    </row>
    <row r="873" spans="1:18" x14ac:dyDescent="0.3">
      <c r="A873" t="s">
        <v>4803</v>
      </c>
      <c r="B873" t="str">
        <f>TEXT(Raw_Data[[#This Row],[Order Date]],"mmm")</f>
        <v>Jul</v>
      </c>
      <c r="C873" t="s">
        <v>562</v>
      </c>
      <c r="D873" t="s">
        <v>4804</v>
      </c>
      <c r="E873" t="s">
        <v>48</v>
      </c>
      <c r="F873" t="s">
        <v>106</v>
      </c>
      <c r="G873" t="s">
        <v>106</v>
      </c>
      <c r="H873" t="s">
        <v>107</v>
      </c>
      <c r="I873" t="s">
        <v>277</v>
      </c>
      <c r="J873" t="s">
        <v>25</v>
      </c>
      <c r="K873" t="s">
        <v>4805</v>
      </c>
      <c r="L873">
        <v>0.05</v>
      </c>
      <c r="M873" t="s">
        <v>4806</v>
      </c>
      <c r="N873" t="s">
        <v>4807</v>
      </c>
      <c r="O873" t="s">
        <v>43</v>
      </c>
      <c r="P873" t="s">
        <v>30</v>
      </c>
      <c r="Q873" t="s">
        <v>31</v>
      </c>
      <c r="R873" s="3">
        <v>11890.4755</v>
      </c>
    </row>
    <row r="874" spans="1:18" x14ac:dyDescent="0.3">
      <c r="A874" t="s">
        <v>4808</v>
      </c>
      <c r="B874" t="str">
        <f>TEXT(Raw_Data[[#This Row],[Order Date]],"mmm")</f>
        <v>Aug</v>
      </c>
      <c r="C874" t="s">
        <v>1403</v>
      </c>
      <c r="D874" t="s">
        <v>4809</v>
      </c>
      <c r="E874" t="s">
        <v>48</v>
      </c>
      <c r="F874" t="s">
        <v>36</v>
      </c>
      <c r="G874" t="s">
        <v>414</v>
      </c>
      <c r="H874" t="s">
        <v>38</v>
      </c>
      <c r="I874" t="s">
        <v>60</v>
      </c>
      <c r="J874" t="s">
        <v>50</v>
      </c>
      <c r="K874" t="s">
        <v>4810</v>
      </c>
      <c r="L874">
        <v>0.1</v>
      </c>
      <c r="M874" t="s">
        <v>4811</v>
      </c>
      <c r="N874" t="s">
        <v>4812</v>
      </c>
      <c r="O874" t="s">
        <v>64</v>
      </c>
      <c r="P874" t="s">
        <v>30</v>
      </c>
      <c r="Q874" t="s">
        <v>44</v>
      </c>
      <c r="R874" s="3">
        <v>4420.08</v>
      </c>
    </row>
    <row r="875" spans="1:18" x14ac:dyDescent="0.3">
      <c r="A875" t="s">
        <v>4813</v>
      </c>
      <c r="B875" t="str">
        <f>TEXT(Raw_Data[[#This Row],[Order Date]],"mmm")</f>
        <v>Dec</v>
      </c>
      <c r="C875" t="s">
        <v>3862</v>
      </c>
      <c r="D875" t="s">
        <v>4814</v>
      </c>
      <c r="E875" t="s">
        <v>48</v>
      </c>
      <c r="F875" t="s">
        <v>106</v>
      </c>
      <c r="G875" t="s">
        <v>106</v>
      </c>
      <c r="H875" t="s">
        <v>23</v>
      </c>
      <c r="I875" t="s">
        <v>341</v>
      </c>
      <c r="J875" t="s">
        <v>25</v>
      </c>
      <c r="K875" t="s">
        <v>4815</v>
      </c>
      <c r="L875">
        <v>0.15</v>
      </c>
      <c r="M875" t="s">
        <v>4816</v>
      </c>
      <c r="N875" t="s">
        <v>4817</v>
      </c>
      <c r="O875" t="s">
        <v>54</v>
      </c>
      <c r="P875" t="s">
        <v>30</v>
      </c>
      <c r="Q875" t="s">
        <v>31</v>
      </c>
      <c r="R875" s="3">
        <v>11452.8149999999</v>
      </c>
    </row>
    <row r="876" spans="1:18" x14ac:dyDescent="0.3">
      <c r="A876" t="s">
        <v>4818</v>
      </c>
      <c r="B876" t="str">
        <f>TEXT(Raw_Data[[#This Row],[Order Date]],"mmm")</f>
        <v>Apr</v>
      </c>
      <c r="C876" t="s">
        <v>2903</v>
      </c>
      <c r="D876" t="s">
        <v>4819</v>
      </c>
      <c r="E876" t="s">
        <v>35</v>
      </c>
      <c r="F876" t="s">
        <v>36</v>
      </c>
      <c r="G876" t="s">
        <v>37</v>
      </c>
      <c r="H876" t="s">
        <v>107</v>
      </c>
      <c r="I876" t="s">
        <v>108</v>
      </c>
      <c r="J876" t="s">
        <v>50</v>
      </c>
      <c r="K876" t="s">
        <v>4820</v>
      </c>
      <c r="L876">
        <v>0</v>
      </c>
      <c r="M876" t="s">
        <v>4821</v>
      </c>
      <c r="N876" t="s">
        <v>4822</v>
      </c>
      <c r="O876" t="s">
        <v>43</v>
      </c>
      <c r="P876" t="s">
        <v>30</v>
      </c>
      <c r="Q876" t="s">
        <v>44</v>
      </c>
      <c r="R876" s="3">
        <v>11487.5</v>
      </c>
    </row>
    <row r="877" spans="1:18" x14ac:dyDescent="0.3">
      <c r="A877" t="s">
        <v>4823</v>
      </c>
      <c r="B877" t="str">
        <f>TEXT(Raw_Data[[#This Row],[Order Date]],"mmm")</f>
        <v>Aug</v>
      </c>
      <c r="C877" t="s">
        <v>4824</v>
      </c>
      <c r="D877" t="s">
        <v>4825</v>
      </c>
      <c r="E877" t="s">
        <v>35</v>
      </c>
      <c r="F877" t="s">
        <v>215</v>
      </c>
      <c r="G877" t="s">
        <v>276</v>
      </c>
      <c r="H877" t="s">
        <v>23</v>
      </c>
      <c r="I877" t="s">
        <v>49</v>
      </c>
      <c r="J877" t="s">
        <v>25</v>
      </c>
      <c r="K877" t="s">
        <v>4826</v>
      </c>
      <c r="L877">
        <v>0</v>
      </c>
      <c r="M877" t="s">
        <v>4827</v>
      </c>
      <c r="N877" t="s">
        <v>4828</v>
      </c>
      <c r="O877" t="s">
        <v>43</v>
      </c>
      <c r="P877" t="s">
        <v>30</v>
      </c>
      <c r="Q877" t="s">
        <v>65</v>
      </c>
      <c r="R877" s="3">
        <v>52553.18</v>
      </c>
    </row>
    <row r="878" spans="1:18" x14ac:dyDescent="0.3">
      <c r="A878" t="s">
        <v>4829</v>
      </c>
      <c r="B878" t="str">
        <f>TEXT(Raw_Data[[#This Row],[Order Date]],"mmm")</f>
        <v>Aug</v>
      </c>
      <c r="C878" t="s">
        <v>528</v>
      </c>
      <c r="D878" t="s">
        <v>4830</v>
      </c>
      <c r="E878" t="s">
        <v>35</v>
      </c>
      <c r="F878" t="s">
        <v>36</v>
      </c>
      <c r="G878" t="s">
        <v>37</v>
      </c>
      <c r="H878" t="s">
        <v>80</v>
      </c>
      <c r="I878" t="s">
        <v>91</v>
      </c>
      <c r="J878" t="s">
        <v>25</v>
      </c>
      <c r="K878" t="s">
        <v>4831</v>
      </c>
      <c r="L878">
        <v>0.05</v>
      </c>
      <c r="M878" t="s">
        <v>4832</v>
      </c>
      <c r="N878" t="s">
        <v>4833</v>
      </c>
      <c r="O878" t="s">
        <v>64</v>
      </c>
      <c r="P878" t="s">
        <v>30</v>
      </c>
      <c r="Q878" t="s">
        <v>31</v>
      </c>
      <c r="R878" s="3">
        <v>2910.002</v>
      </c>
    </row>
    <row r="879" spans="1:18" x14ac:dyDescent="0.3">
      <c r="A879" t="s">
        <v>4834</v>
      </c>
      <c r="B879" t="str">
        <f>TEXT(Raw_Data[[#This Row],[Order Date]],"mmm")</f>
        <v>Feb</v>
      </c>
      <c r="C879" t="s">
        <v>936</v>
      </c>
      <c r="D879" t="s">
        <v>4835</v>
      </c>
      <c r="E879" t="s">
        <v>48</v>
      </c>
      <c r="F879" t="s">
        <v>58</v>
      </c>
      <c r="G879" t="s">
        <v>59</v>
      </c>
      <c r="H879" t="s">
        <v>23</v>
      </c>
      <c r="I879" t="s">
        <v>49</v>
      </c>
      <c r="J879" t="s">
        <v>25</v>
      </c>
      <c r="K879" t="s">
        <v>4836</v>
      </c>
      <c r="L879">
        <v>0.15</v>
      </c>
      <c r="M879" t="s">
        <v>4837</v>
      </c>
      <c r="N879" t="s">
        <v>4838</v>
      </c>
      <c r="O879" t="s">
        <v>173</v>
      </c>
      <c r="P879" t="s">
        <v>30</v>
      </c>
      <c r="Q879" t="s">
        <v>31</v>
      </c>
      <c r="R879" s="3">
        <v>27281.234499999999</v>
      </c>
    </row>
    <row r="880" spans="1:18" x14ac:dyDescent="0.3">
      <c r="A880" t="s">
        <v>4839</v>
      </c>
      <c r="B880" t="str">
        <f>TEXT(Raw_Data[[#This Row],[Order Date]],"mmm")</f>
        <v>May</v>
      </c>
      <c r="C880" t="s">
        <v>4840</v>
      </c>
      <c r="D880" t="s">
        <v>4841</v>
      </c>
      <c r="E880" t="s">
        <v>20</v>
      </c>
      <c r="F880" t="s">
        <v>215</v>
      </c>
      <c r="G880" t="s">
        <v>216</v>
      </c>
      <c r="H880" t="s">
        <v>23</v>
      </c>
      <c r="I880" t="s">
        <v>263</v>
      </c>
      <c r="J880" t="s">
        <v>25</v>
      </c>
      <c r="K880" t="s">
        <v>4842</v>
      </c>
      <c r="L880">
        <v>0.15</v>
      </c>
      <c r="M880" t="s">
        <v>4843</v>
      </c>
      <c r="N880" t="s">
        <v>4844</v>
      </c>
      <c r="O880" t="s">
        <v>54</v>
      </c>
      <c r="P880" t="s">
        <v>30</v>
      </c>
      <c r="Q880" t="s">
        <v>65</v>
      </c>
      <c r="R880" s="3">
        <v>58710.137499999997</v>
      </c>
    </row>
    <row r="881" spans="1:18" x14ac:dyDescent="0.3">
      <c r="A881" t="s">
        <v>4845</v>
      </c>
      <c r="B881" t="str">
        <f>TEXT(Raw_Data[[#This Row],[Order Date]],"mmm")</f>
        <v>Nov</v>
      </c>
      <c r="C881" t="s">
        <v>4633</v>
      </c>
      <c r="D881" t="s">
        <v>4846</v>
      </c>
      <c r="E881" t="s">
        <v>20</v>
      </c>
      <c r="F881" t="s">
        <v>106</v>
      </c>
      <c r="G881" t="s">
        <v>163</v>
      </c>
      <c r="H881" t="s">
        <v>154</v>
      </c>
      <c r="I881" t="s">
        <v>309</v>
      </c>
      <c r="J881" t="s">
        <v>100</v>
      </c>
      <c r="K881" t="s">
        <v>4847</v>
      </c>
      <c r="L881">
        <v>0.05</v>
      </c>
      <c r="M881" t="s">
        <v>4848</v>
      </c>
      <c r="N881" t="s">
        <v>4849</v>
      </c>
      <c r="O881" t="s">
        <v>173</v>
      </c>
      <c r="P881" t="s">
        <v>30</v>
      </c>
      <c r="Q881" t="s">
        <v>31</v>
      </c>
      <c r="R881" s="3">
        <v>21811.05</v>
      </c>
    </row>
    <row r="882" spans="1:18" x14ac:dyDescent="0.3">
      <c r="A882" t="s">
        <v>4850</v>
      </c>
      <c r="B882" t="str">
        <f>TEXT(Raw_Data[[#This Row],[Order Date]],"mmm")</f>
        <v>Dec</v>
      </c>
      <c r="C882" t="s">
        <v>640</v>
      </c>
      <c r="D882" t="s">
        <v>4851</v>
      </c>
      <c r="E882" t="s">
        <v>48</v>
      </c>
      <c r="F882" t="s">
        <v>69</v>
      </c>
      <c r="G882" t="s">
        <v>139</v>
      </c>
      <c r="H882" t="s">
        <v>23</v>
      </c>
      <c r="I882" t="s">
        <v>263</v>
      </c>
      <c r="J882" t="s">
        <v>25</v>
      </c>
      <c r="K882" t="s">
        <v>4852</v>
      </c>
      <c r="L882">
        <v>0.1</v>
      </c>
      <c r="M882" t="s">
        <v>4853</v>
      </c>
      <c r="N882" t="s">
        <v>4854</v>
      </c>
      <c r="O882" t="s">
        <v>173</v>
      </c>
      <c r="P882" t="s">
        <v>30</v>
      </c>
      <c r="Q882" t="s">
        <v>44</v>
      </c>
      <c r="R882" s="3">
        <v>30656.888999999999</v>
      </c>
    </row>
    <row r="883" spans="1:18" x14ac:dyDescent="0.3">
      <c r="A883" t="s">
        <v>4855</v>
      </c>
      <c r="B883" t="str">
        <f>TEXT(Raw_Data[[#This Row],[Order Date]],"mmm")</f>
        <v>Oct</v>
      </c>
      <c r="C883" t="s">
        <v>460</v>
      </c>
      <c r="D883" t="s">
        <v>4856</v>
      </c>
      <c r="E883" t="s">
        <v>20</v>
      </c>
      <c r="F883" t="s">
        <v>106</v>
      </c>
      <c r="G883" t="s">
        <v>106</v>
      </c>
      <c r="H883" t="s">
        <v>38</v>
      </c>
      <c r="I883" t="s">
        <v>39</v>
      </c>
      <c r="J883" t="s">
        <v>25</v>
      </c>
      <c r="K883" t="s">
        <v>4857</v>
      </c>
      <c r="L883">
        <v>0.05</v>
      </c>
      <c r="M883" t="s">
        <v>4858</v>
      </c>
      <c r="N883" t="s">
        <v>4859</v>
      </c>
      <c r="O883" t="s">
        <v>173</v>
      </c>
      <c r="P883" t="s">
        <v>30</v>
      </c>
      <c r="Q883" t="s">
        <v>31</v>
      </c>
      <c r="R883" s="3">
        <v>2812.0949999999998</v>
      </c>
    </row>
    <row r="884" spans="1:18" x14ac:dyDescent="0.3">
      <c r="A884" t="s">
        <v>4860</v>
      </c>
      <c r="B884" t="str">
        <f>TEXT(Raw_Data[[#This Row],[Order Date]],"mmm")</f>
        <v>Sep</v>
      </c>
      <c r="C884" t="s">
        <v>2151</v>
      </c>
      <c r="D884" t="s">
        <v>4861</v>
      </c>
      <c r="E884" t="s">
        <v>35</v>
      </c>
      <c r="F884" t="s">
        <v>89</v>
      </c>
      <c r="G884" t="s">
        <v>99</v>
      </c>
      <c r="H884" t="s">
        <v>23</v>
      </c>
      <c r="I884" t="s">
        <v>49</v>
      </c>
      <c r="J884" t="s">
        <v>25</v>
      </c>
      <c r="K884" t="s">
        <v>4862</v>
      </c>
      <c r="L884">
        <v>0.05</v>
      </c>
      <c r="M884" t="s">
        <v>4863</v>
      </c>
      <c r="N884" t="s">
        <v>4864</v>
      </c>
      <c r="O884" t="s">
        <v>43</v>
      </c>
      <c r="P884" t="s">
        <v>112</v>
      </c>
      <c r="Q884" t="s">
        <v>31</v>
      </c>
      <c r="R884" s="3">
        <v>20898.137999999999</v>
      </c>
    </row>
    <row r="885" spans="1:18" x14ac:dyDescent="0.3">
      <c r="A885" t="s">
        <v>4865</v>
      </c>
      <c r="B885" t="str">
        <f>TEXT(Raw_Data[[#This Row],[Order Date]],"mmm")</f>
        <v>Jun</v>
      </c>
      <c r="C885" t="s">
        <v>3514</v>
      </c>
      <c r="D885" t="s">
        <v>4866</v>
      </c>
      <c r="E885" t="s">
        <v>48</v>
      </c>
      <c r="F885" t="s">
        <v>106</v>
      </c>
      <c r="G885" t="s">
        <v>106</v>
      </c>
      <c r="H885" t="s">
        <v>38</v>
      </c>
      <c r="I885" t="s">
        <v>71</v>
      </c>
      <c r="J885" t="s">
        <v>25</v>
      </c>
      <c r="K885" t="s">
        <v>4867</v>
      </c>
      <c r="L885">
        <v>0.15</v>
      </c>
      <c r="M885" t="s">
        <v>4868</v>
      </c>
      <c r="N885" t="s">
        <v>4869</v>
      </c>
      <c r="O885" t="s">
        <v>54</v>
      </c>
      <c r="P885" t="s">
        <v>112</v>
      </c>
      <c r="Q885" t="s">
        <v>44</v>
      </c>
      <c r="R885" s="3">
        <v>4818.1570000000002</v>
      </c>
    </row>
    <row r="886" spans="1:18" x14ac:dyDescent="0.3">
      <c r="A886" t="s">
        <v>4870</v>
      </c>
      <c r="B886" t="str">
        <f>TEXT(Raw_Data[[#This Row],[Order Date]],"mmm")</f>
        <v>Mar</v>
      </c>
      <c r="C886" t="s">
        <v>2293</v>
      </c>
      <c r="D886" t="s">
        <v>4871</v>
      </c>
      <c r="E886" t="s">
        <v>48</v>
      </c>
      <c r="F886" t="s">
        <v>106</v>
      </c>
      <c r="G886" t="s">
        <v>163</v>
      </c>
      <c r="H886" t="s">
        <v>23</v>
      </c>
      <c r="I886" t="s">
        <v>183</v>
      </c>
      <c r="J886" t="s">
        <v>25</v>
      </c>
      <c r="K886" t="s">
        <v>4872</v>
      </c>
      <c r="L886">
        <v>0.05</v>
      </c>
      <c r="M886" t="s">
        <v>4873</v>
      </c>
      <c r="N886" t="s">
        <v>4874</v>
      </c>
      <c r="O886" t="s">
        <v>29</v>
      </c>
      <c r="P886" t="s">
        <v>159</v>
      </c>
      <c r="Q886" t="s">
        <v>31</v>
      </c>
      <c r="R886" s="3">
        <v>50323.4284999999</v>
      </c>
    </row>
    <row r="887" spans="1:18" x14ac:dyDescent="0.3">
      <c r="A887" t="s">
        <v>4875</v>
      </c>
      <c r="B887" t="str">
        <f>TEXT(Raw_Data[[#This Row],[Order Date]],"mmm")</f>
        <v>Jun</v>
      </c>
      <c r="C887" t="s">
        <v>1047</v>
      </c>
      <c r="D887" t="s">
        <v>4876</v>
      </c>
      <c r="E887" t="s">
        <v>20</v>
      </c>
      <c r="F887" t="s">
        <v>215</v>
      </c>
      <c r="G887" t="s">
        <v>216</v>
      </c>
      <c r="H887" t="s">
        <v>23</v>
      </c>
      <c r="I887" t="s">
        <v>24</v>
      </c>
      <c r="J887" t="s">
        <v>25</v>
      </c>
      <c r="K887" t="s">
        <v>4877</v>
      </c>
      <c r="L887">
        <v>0.2</v>
      </c>
      <c r="M887" t="s">
        <v>4878</v>
      </c>
      <c r="N887" t="s">
        <v>4879</v>
      </c>
      <c r="O887" t="s">
        <v>64</v>
      </c>
      <c r="P887" t="s">
        <v>30</v>
      </c>
      <c r="Q887" t="s">
        <v>65</v>
      </c>
      <c r="R887" s="3">
        <v>29583.632000000001</v>
      </c>
    </row>
    <row r="888" spans="1:18" x14ac:dyDescent="0.3">
      <c r="A888" t="s">
        <v>4880</v>
      </c>
      <c r="B888" t="str">
        <f>TEXT(Raw_Data[[#This Row],[Order Date]],"mmm")</f>
        <v>Jun</v>
      </c>
      <c r="C888" t="s">
        <v>370</v>
      </c>
      <c r="D888" t="s">
        <v>4881</v>
      </c>
      <c r="E888" t="s">
        <v>20</v>
      </c>
      <c r="F888" t="s">
        <v>69</v>
      </c>
      <c r="G888" t="s">
        <v>328</v>
      </c>
      <c r="H888" t="s">
        <v>38</v>
      </c>
      <c r="I888" t="s">
        <v>71</v>
      </c>
      <c r="J888" t="s">
        <v>25</v>
      </c>
      <c r="K888" t="s">
        <v>4882</v>
      </c>
      <c r="L888">
        <v>0.05</v>
      </c>
      <c r="M888" t="s">
        <v>4883</v>
      </c>
      <c r="N888" t="s">
        <v>4884</v>
      </c>
      <c r="O888" t="s">
        <v>29</v>
      </c>
      <c r="P888" t="s">
        <v>30</v>
      </c>
      <c r="Q888" t="s">
        <v>44</v>
      </c>
      <c r="R888" s="3">
        <v>966.19749999999897</v>
      </c>
    </row>
    <row r="889" spans="1:18" x14ac:dyDescent="0.3">
      <c r="A889" t="s">
        <v>4885</v>
      </c>
      <c r="B889" t="str">
        <f>TEXT(Raw_Data[[#This Row],[Order Date]],"mmm")</f>
        <v>Feb</v>
      </c>
      <c r="C889" t="s">
        <v>2410</v>
      </c>
      <c r="D889" t="s">
        <v>4886</v>
      </c>
      <c r="E889" t="s">
        <v>35</v>
      </c>
      <c r="F889" t="s">
        <v>215</v>
      </c>
      <c r="G889" t="s">
        <v>276</v>
      </c>
      <c r="H889" t="s">
        <v>23</v>
      </c>
      <c r="I889" t="s">
        <v>24</v>
      </c>
      <c r="J889" t="s">
        <v>100</v>
      </c>
      <c r="K889" t="s">
        <v>4887</v>
      </c>
      <c r="L889">
        <v>0.15</v>
      </c>
      <c r="M889" t="s">
        <v>4888</v>
      </c>
      <c r="N889" t="s">
        <v>4889</v>
      </c>
      <c r="O889" t="s">
        <v>173</v>
      </c>
      <c r="P889" t="s">
        <v>30</v>
      </c>
      <c r="Q889" t="s">
        <v>31</v>
      </c>
      <c r="R889" s="3">
        <v>55539.484499999897</v>
      </c>
    </row>
    <row r="890" spans="1:18" x14ac:dyDescent="0.3">
      <c r="A890" t="s">
        <v>4890</v>
      </c>
      <c r="B890" t="str">
        <f>TEXT(Raw_Data[[#This Row],[Order Date]],"mmm")</f>
        <v>Dec</v>
      </c>
      <c r="C890" t="s">
        <v>1380</v>
      </c>
      <c r="D890" t="s">
        <v>4891</v>
      </c>
      <c r="E890" t="s">
        <v>35</v>
      </c>
      <c r="F890" t="s">
        <v>215</v>
      </c>
      <c r="G890" t="s">
        <v>276</v>
      </c>
      <c r="H890" t="s">
        <v>107</v>
      </c>
      <c r="I890" t="s">
        <v>469</v>
      </c>
      <c r="J890" t="s">
        <v>25</v>
      </c>
      <c r="K890" t="s">
        <v>4892</v>
      </c>
      <c r="L890">
        <v>0.2</v>
      </c>
      <c r="M890" t="s">
        <v>4893</v>
      </c>
      <c r="N890" t="s">
        <v>4894</v>
      </c>
      <c r="O890" t="s">
        <v>29</v>
      </c>
      <c r="P890" t="s">
        <v>30</v>
      </c>
      <c r="Q890" t="s">
        <v>31</v>
      </c>
      <c r="R890" s="3">
        <v>7294.6080000000002</v>
      </c>
    </row>
    <row r="891" spans="1:18" x14ac:dyDescent="0.3">
      <c r="A891" t="s">
        <v>4895</v>
      </c>
      <c r="B891" t="str">
        <f>TEXT(Raw_Data[[#This Row],[Order Date]],"mmm")</f>
        <v>Apr</v>
      </c>
      <c r="C891" t="s">
        <v>454</v>
      </c>
      <c r="D891" t="s">
        <v>4896</v>
      </c>
      <c r="E891" t="s">
        <v>48</v>
      </c>
      <c r="F891" t="s">
        <v>106</v>
      </c>
      <c r="G891" t="s">
        <v>163</v>
      </c>
      <c r="H891" t="s">
        <v>80</v>
      </c>
      <c r="I891" t="s">
        <v>146</v>
      </c>
      <c r="J891" t="s">
        <v>25</v>
      </c>
      <c r="K891" t="s">
        <v>4897</v>
      </c>
      <c r="L891">
        <v>0</v>
      </c>
      <c r="M891" t="s">
        <v>4898</v>
      </c>
      <c r="N891" t="s">
        <v>4899</v>
      </c>
      <c r="O891" t="s">
        <v>54</v>
      </c>
      <c r="P891" t="s">
        <v>30</v>
      </c>
      <c r="Q891" t="s">
        <v>31</v>
      </c>
      <c r="R891" s="3">
        <v>6074.9</v>
      </c>
    </row>
    <row r="892" spans="1:18" x14ac:dyDescent="0.3">
      <c r="A892" t="s">
        <v>4900</v>
      </c>
      <c r="B892" t="str">
        <f>TEXT(Raw_Data[[#This Row],[Order Date]],"mmm")</f>
        <v>Jun</v>
      </c>
      <c r="C892" t="s">
        <v>1274</v>
      </c>
      <c r="D892" t="s">
        <v>4901</v>
      </c>
      <c r="E892" t="s">
        <v>35</v>
      </c>
      <c r="F892" t="s">
        <v>69</v>
      </c>
      <c r="G892" t="s">
        <v>139</v>
      </c>
      <c r="H892" t="s">
        <v>23</v>
      </c>
      <c r="I892" t="s">
        <v>341</v>
      </c>
      <c r="J892" t="s">
        <v>25</v>
      </c>
      <c r="K892" t="s">
        <v>4902</v>
      </c>
      <c r="L892">
        <v>0.05</v>
      </c>
      <c r="M892" t="s">
        <v>4903</v>
      </c>
      <c r="N892" t="s">
        <v>4904</v>
      </c>
      <c r="O892" t="s">
        <v>173</v>
      </c>
      <c r="P892" t="s">
        <v>30</v>
      </c>
      <c r="Q892" t="s">
        <v>65</v>
      </c>
      <c r="R892" s="3">
        <v>17730.913999999899</v>
      </c>
    </row>
    <row r="893" spans="1:18" x14ac:dyDescent="0.3">
      <c r="A893" t="s">
        <v>4905</v>
      </c>
      <c r="B893" t="str">
        <f>TEXT(Raw_Data[[#This Row],[Order Date]],"mmm")</f>
        <v>Oct</v>
      </c>
      <c r="C893" t="s">
        <v>3707</v>
      </c>
      <c r="D893" t="s">
        <v>4906</v>
      </c>
      <c r="E893" t="s">
        <v>20</v>
      </c>
      <c r="F893" t="s">
        <v>58</v>
      </c>
      <c r="G893" t="s">
        <v>812</v>
      </c>
      <c r="H893" t="s">
        <v>154</v>
      </c>
      <c r="I893" t="s">
        <v>155</v>
      </c>
      <c r="J893" t="s">
        <v>25</v>
      </c>
      <c r="K893" t="s">
        <v>4907</v>
      </c>
      <c r="L893">
        <v>0.05</v>
      </c>
      <c r="M893" t="s">
        <v>4908</v>
      </c>
      <c r="N893" t="s">
        <v>4909</v>
      </c>
      <c r="O893" t="s">
        <v>43</v>
      </c>
      <c r="P893" t="s">
        <v>30</v>
      </c>
      <c r="Q893" t="s">
        <v>44</v>
      </c>
      <c r="R893" s="3">
        <v>10109.567499999999</v>
      </c>
    </row>
    <row r="894" spans="1:18" x14ac:dyDescent="0.3">
      <c r="A894" t="s">
        <v>4910</v>
      </c>
      <c r="B894" t="str">
        <f>TEXT(Raw_Data[[#This Row],[Order Date]],"mmm")</f>
        <v>Sep</v>
      </c>
      <c r="C894" t="s">
        <v>1570</v>
      </c>
      <c r="D894" t="s">
        <v>4911</v>
      </c>
      <c r="E894" t="s">
        <v>35</v>
      </c>
      <c r="F894" t="s">
        <v>106</v>
      </c>
      <c r="G894" t="s">
        <v>163</v>
      </c>
      <c r="H894" t="s">
        <v>107</v>
      </c>
      <c r="I894" t="s">
        <v>591</v>
      </c>
      <c r="J894" t="s">
        <v>25</v>
      </c>
      <c r="K894" t="s">
        <v>4912</v>
      </c>
      <c r="L894">
        <v>0.1</v>
      </c>
      <c r="M894" t="s">
        <v>4913</v>
      </c>
      <c r="N894" t="s">
        <v>4914</v>
      </c>
      <c r="O894" t="s">
        <v>64</v>
      </c>
      <c r="P894" t="s">
        <v>30</v>
      </c>
      <c r="Q894" t="s">
        <v>31</v>
      </c>
      <c r="R894" s="3">
        <v>1132.992</v>
      </c>
    </row>
    <row r="895" spans="1:18" x14ac:dyDescent="0.3">
      <c r="A895" t="s">
        <v>4915</v>
      </c>
      <c r="B895" t="str">
        <f>TEXT(Raw_Data[[#This Row],[Order Date]],"mmm")</f>
        <v>May</v>
      </c>
      <c r="C895" t="s">
        <v>810</v>
      </c>
      <c r="D895" t="s">
        <v>4916</v>
      </c>
      <c r="E895" t="s">
        <v>35</v>
      </c>
      <c r="F895" t="s">
        <v>69</v>
      </c>
      <c r="G895" t="s">
        <v>70</v>
      </c>
      <c r="H895" t="s">
        <v>23</v>
      </c>
      <c r="I895" t="s">
        <v>341</v>
      </c>
      <c r="J895" t="s">
        <v>25</v>
      </c>
      <c r="K895" t="s">
        <v>4917</v>
      </c>
      <c r="L895">
        <v>0</v>
      </c>
      <c r="M895" t="s">
        <v>4918</v>
      </c>
      <c r="N895" t="s">
        <v>4919</v>
      </c>
      <c r="O895" t="s">
        <v>173</v>
      </c>
      <c r="P895" t="s">
        <v>30</v>
      </c>
      <c r="Q895" t="s">
        <v>31</v>
      </c>
      <c r="R895" s="3">
        <v>57623.11</v>
      </c>
    </row>
    <row r="896" spans="1:18" x14ac:dyDescent="0.3">
      <c r="A896" t="s">
        <v>4920</v>
      </c>
      <c r="B896" t="str">
        <f>TEXT(Raw_Data[[#This Row],[Order Date]],"mmm")</f>
        <v>Dec</v>
      </c>
      <c r="C896" t="s">
        <v>786</v>
      </c>
      <c r="D896" t="s">
        <v>4921</v>
      </c>
      <c r="E896" t="s">
        <v>35</v>
      </c>
      <c r="F896" t="s">
        <v>78</v>
      </c>
      <c r="G896" t="s">
        <v>79</v>
      </c>
      <c r="H896" t="s">
        <v>80</v>
      </c>
      <c r="I896" t="s">
        <v>131</v>
      </c>
      <c r="J896" t="s">
        <v>25</v>
      </c>
      <c r="K896" t="s">
        <v>4922</v>
      </c>
      <c r="L896">
        <v>0</v>
      </c>
      <c r="M896" t="s">
        <v>4923</v>
      </c>
      <c r="N896" t="s">
        <v>4924</v>
      </c>
      <c r="O896" t="s">
        <v>29</v>
      </c>
      <c r="P896" t="s">
        <v>30</v>
      </c>
      <c r="Q896" t="s">
        <v>31</v>
      </c>
      <c r="R896" s="3">
        <v>6571.29</v>
      </c>
    </row>
    <row r="897" spans="1:18" x14ac:dyDescent="0.3">
      <c r="A897" t="s">
        <v>4925</v>
      </c>
      <c r="B897" t="str">
        <f>TEXT(Raw_Data[[#This Row],[Order Date]],"mmm")</f>
        <v>May</v>
      </c>
      <c r="C897" t="s">
        <v>2693</v>
      </c>
      <c r="D897" t="s">
        <v>4926</v>
      </c>
      <c r="E897" t="s">
        <v>35</v>
      </c>
      <c r="F897" t="s">
        <v>21</v>
      </c>
      <c r="G897" t="s">
        <v>22</v>
      </c>
      <c r="H897" t="s">
        <v>23</v>
      </c>
      <c r="I897" t="s">
        <v>24</v>
      </c>
      <c r="J897" t="s">
        <v>25</v>
      </c>
      <c r="K897" t="s">
        <v>4927</v>
      </c>
      <c r="L897">
        <v>0</v>
      </c>
      <c r="M897" t="s">
        <v>4928</v>
      </c>
      <c r="N897" t="s">
        <v>4929</v>
      </c>
      <c r="O897" t="s">
        <v>54</v>
      </c>
      <c r="P897" t="s">
        <v>95</v>
      </c>
      <c r="Q897" t="s">
        <v>31</v>
      </c>
      <c r="R897" s="3">
        <v>49115.78</v>
      </c>
    </row>
    <row r="898" spans="1:18" x14ac:dyDescent="0.3">
      <c r="A898" t="s">
        <v>4930</v>
      </c>
      <c r="B898" t="str">
        <f>TEXT(Raw_Data[[#This Row],[Order Date]],"mmm")</f>
        <v>Sep</v>
      </c>
      <c r="C898" t="s">
        <v>1570</v>
      </c>
      <c r="D898" t="s">
        <v>4931</v>
      </c>
      <c r="E898" t="s">
        <v>48</v>
      </c>
      <c r="F898" t="s">
        <v>58</v>
      </c>
      <c r="G898" t="s">
        <v>290</v>
      </c>
      <c r="H898" t="s">
        <v>80</v>
      </c>
      <c r="I898" t="s">
        <v>146</v>
      </c>
      <c r="J898" t="s">
        <v>25</v>
      </c>
      <c r="K898" t="s">
        <v>4932</v>
      </c>
      <c r="L898">
        <v>0.05</v>
      </c>
      <c r="M898" t="s">
        <v>4933</v>
      </c>
      <c r="N898" t="s">
        <v>4934</v>
      </c>
      <c r="O898" t="s">
        <v>54</v>
      </c>
      <c r="P898" t="s">
        <v>30</v>
      </c>
      <c r="Q898" t="s">
        <v>31</v>
      </c>
      <c r="R898" s="3">
        <v>6304.0764999999901</v>
      </c>
    </row>
    <row r="899" spans="1:18" x14ac:dyDescent="0.3">
      <c r="A899" t="s">
        <v>4935</v>
      </c>
      <c r="B899" t="str">
        <f>TEXT(Raw_Data[[#This Row],[Order Date]],"mmm")</f>
        <v>Jan</v>
      </c>
      <c r="C899" t="s">
        <v>2765</v>
      </c>
      <c r="D899" t="s">
        <v>4936</v>
      </c>
      <c r="E899" t="s">
        <v>20</v>
      </c>
      <c r="F899" t="s">
        <v>21</v>
      </c>
      <c r="G899" t="s">
        <v>22</v>
      </c>
      <c r="H899" t="s">
        <v>107</v>
      </c>
      <c r="I899" t="s">
        <v>469</v>
      </c>
      <c r="J899" t="s">
        <v>25</v>
      </c>
      <c r="K899" t="s">
        <v>4937</v>
      </c>
      <c r="L899">
        <v>0.15</v>
      </c>
      <c r="M899" t="s">
        <v>4938</v>
      </c>
      <c r="N899" t="s">
        <v>4939</v>
      </c>
      <c r="O899" t="s">
        <v>54</v>
      </c>
      <c r="P899" t="s">
        <v>30</v>
      </c>
      <c r="Q899" t="s">
        <v>31</v>
      </c>
      <c r="R899" s="3">
        <v>709.58849999999995</v>
      </c>
    </row>
    <row r="900" spans="1:18" x14ac:dyDescent="0.3">
      <c r="A900" t="s">
        <v>4940</v>
      </c>
      <c r="B900" t="str">
        <f>TEXT(Raw_Data[[#This Row],[Order Date]],"mmm")</f>
        <v>Apr</v>
      </c>
      <c r="C900" t="s">
        <v>1466</v>
      </c>
      <c r="D900" t="s">
        <v>4941</v>
      </c>
      <c r="E900" t="s">
        <v>48</v>
      </c>
      <c r="F900" t="s">
        <v>21</v>
      </c>
      <c r="G900" t="s">
        <v>130</v>
      </c>
      <c r="H900" t="s">
        <v>80</v>
      </c>
      <c r="I900" t="s">
        <v>116</v>
      </c>
      <c r="J900" t="s">
        <v>25</v>
      </c>
      <c r="K900" t="s">
        <v>4942</v>
      </c>
      <c r="L900">
        <v>0</v>
      </c>
      <c r="M900" t="s">
        <v>4943</v>
      </c>
      <c r="N900" t="s">
        <v>4944</v>
      </c>
      <c r="O900" t="s">
        <v>173</v>
      </c>
      <c r="P900" t="s">
        <v>30</v>
      </c>
      <c r="Q900" t="s">
        <v>31</v>
      </c>
      <c r="R900" s="3">
        <v>574.69000000000005</v>
      </c>
    </row>
    <row r="901" spans="1:18" x14ac:dyDescent="0.3">
      <c r="A901" t="s">
        <v>4945</v>
      </c>
      <c r="B901" t="str">
        <f>TEXT(Raw_Data[[#This Row],[Order Date]],"mmm")</f>
        <v>Aug</v>
      </c>
      <c r="C901" t="s">
        <v>1680</v>
      </c>
      <c r="D901" t="s">
        <v>4946</v>
      </c>
      <c r="E901" t="s">
        <v>48</v>
      </c>
      <c r="F901" t="s">
        <v>58</v>
      </c>
      <c r="G901" t="s">
        <v>812</v>
      </c>
      <c r="H901" t="s">
        <v>80</v>
      </c>
      <c r="I901" t="s">
        <v>91</v>
      </c>
      <c r="J901" t="s">
        <v>25</v>
      </c>
      <c r="K901" t="s">
        <v>4947</v>
      </c>
      <c r="L901">
        <v>0</v>
      </c>
      <c r="M901" t="s">
        <v>4948</v>
      </c>
      <c r="N901" t="s">
        <v>4949</v>
      </c>
      <c r="O901" t="s">
        <v>64</v>
      </c>
      <c r="P901" t="s">
        <v>30</v>
      </c>
      <c r="Q901" t="s">
        <v>44</v>
      </c>
      <c r="R901" s="3">
        <v>5998.81</v>
      </c>
    </row>
    <row r="902" spans="1:18" x14ac:dyDescent="0.3">
      <c r="A902" t="s">
        <v>4950</v>
      </c>
      <c r="B902" t="str">
        <f>TEXT(Raw_Data[[#This Row],[Order Date]],"mmm")</f>
        <v>Dec</v>
      </c>
      <c r="C902" t="s">
        <v>1769</v>
      </c>
      <c r="D902" t="s">
        <v>4951</v>
      </c>
      <c r="E902" t="s">
        <v>20</v>
      </c>
      <c r="F902" t="s">
        <v>21</v>
      </c>
      <c r="G902" t="s">
        <v>22</v>
      </c>
      <c r="H902" t="s">
        <v>38</v>
      </c>
      <c r="I902" t="s">
        <v>60</v>
      </c>
      <c r="J902" t="s">
        <v>50</v>
      </c>
      <c r="K902" t="s">
        <v>4952</v>
      </c>
      <c r="L902">
        <v>0.1</v>
      </c>
      <c r="M902" t="s">
        <v>4953</v>
      </c>
      <c r="N902" t="s">
        <v>4954</v>
      </c>
      <c r="O902" t="s">
        <v>173</v>
      </c>
      <c r="P902" t="s">
        <v>159</v>
      </c>
      <c r="Q902" t="s">
        <v>65</v>
      </c>
      <c r="R902" s="3">
        <v>4546.3680000000004</v>
      </c>
    </row>
    <row r="903" spans="1:18" x14ac:dyDescent="0.3">
      <c r="A903" t="s">
        <v>4955</v>
      </c>
      <c r="B903" t="str">
        <f>TEXT(Raw_Data[[#This Row],[Order Date]],"mmm")</f>
        <v>Sep</v>
      </c>
      <c r="C903" t="s">
        <v>1632</v>
      </c>
      <c r="D903" t="s">
        <v>4956</v>
      </c>
      <c r="E903" t="s">
        <v>48</v>
      </c>
      <c r="F903" t="s">
        <v>215</v>
      </c>
      <c r="G903" t="s">
        <v>216</v>
      </c>
      <c r="H903" t="s">
        <v>107</v>
      </c>
      <c r="I903" t="s">
        <v>108</v>
      </c>
      <c r="J903" t="s">
        <v>100</v>
      </c>
      <c r="K903" t="s">
        <v>4957</v>
      </c>
      <c r="L903">
        <v>0.05</v>
      </c>
      <c r="M903" t="s">
        <v>4958</v>
      </c>
      <c r="N903" t="s">
        <v>4959</v>
      </c>
      <c r="O903" t="s">
        <v>64</v>
      </c>
      <c r="P903" t="s">
        <v>112</v>
      </c>
      <c r="Q903" t="s">
        <v>31</v>
      </c>
      <c r="R903" s="3">
        <v>7093.5929999999998</v>
      </c>
    </row>
    <row r="904" spans="1:18" x14ac:dyDescent="0.3">
      <c r="A904" t="s">
        <v>4960</v>
      </c>
      <c r="B904" t="str">
        <f>TEXT(Raw_Data[[#This Row],[Order Date]],"mmm")</f>
        <v>Feb</v>
      </c>
      <c r="C904" t="s">
        <v>2361</v>
      </c>
      <c r="D904" t="s">
        <v>4961</v>
      </c>
      <c r="E904" t="s">
        <v>35</v>
      </c>
      <c r="F904" t="s">
        <v>58</v>
      </c>
      <c r="G904" t="s">
        <v>290</v>
      </c>
      <c r="H904" t="s">
        <v>80</v>
      </c>
      <c r="I904" t="s">
        <v>131</v>
      </c>
      <c r="J904" t="s">
        <v>25</v>
      </c>
      <c r="K904" t="s">
        <v>4962</v>
      </c>
      <c r="L904">
        <v>0.1</v>
      </c>
      <c r="M904" t="s">
        <v>4963</v>
      </c>
      <c r="N904" t="s">
        <v>4964</v>
      </c>
      <c r="O904" t="s">
        <v>64</v>
      </c>
      <c r="P904" t="s">
        <v>30</v>
      </c>
      <c r="Q904" t="s">
        <v>31</v>
      </c>
      <c r="R904" s="3">
        <v>3983.5169999999998</v>
      </c>
    </row>
    <row r="905" spans="1:18" x14ac:dyDescent="0.3">
      <c r="A905" t="s">
        <v>4965</v>
      </c>
      <c r="B905" t="str">
        <f>TEXT(Raw_Data[[#This Row],[Order Date]],"mmm")</f>
        <v>Apr</v>
      </c>
      <c r="C905" t="s">
        <v>4059</v>
      </c>
      <c r="D905" t="s">
        <v>4966</v>
      </c>
      <c r="E905" t="s">
        <v>35</v>
      </c>
      <c r="F905" t="s">
        <v>21</v>
      </c>
      <c r="G905" t="s">
        <v>22</v>
      </c>
      <c r="H905" t="s">
        <v>80</v>
      </c>
      <c r="I905" t="s">
        <v>91</v>
      </c>
      <c r="J905" t="s">
        <v>50</v>
      </c>
      <c r="K905" t="s">
        <v>4967</v>
      </c>
      <c r="L905">
        <v>0.05</v>
      </c>
      <c r="M905" t="s">
        <v>4968</v>
      </c>
      <c r="N905" t="s">
        <v>4969</v>
      </c>
      <c r="O905" t="s">
        <v>64</v>
      </c>
      <c r="P905" t="s">
        <v>30</v>
      </c>
      <c r="Q905" t="s">
        <v>31</v>
      </c>
      <c r="R905" s="3">
        <v>11407.333999999901</v>
      </c>
    </row>
    <row r="906" spans="1:18" x14ac:dyDescent="0.3">
      <c r="A906" t="s">
        <v>4970</v>
      </c>
      <c r="B906" t="str">
        <f>TEXT(Raw_Data[[#This Row],[Order Date]],"mmm")</f>
        <v>Jan</v>
      </c>
      <c r="C906" t="s">
        <v>3337</v>
      </c>
      <c r="D906" t="s">
        <v>4971</v>
      </c>
      <c r="E906" t="s">
        <v>20</v>
      </c>
      <c r="F906" t="s">
        <v>89</v>
      </c>
      <c r="G906" t="s">
        <v>99</v>
      </c>
      <c r="H906" t="s">
        <v>107</v>
      </c>
      <c r="I906" t="s">
        <v>378</v>
      </c>
      <c r="J906" t="s">
        <v>25</v>
      </c>
      <c r="K906" t="s">
        <v>4972</v>
      </c>
      <c r="L906">
        <v>0.15</v>
      </c>
      <c r="M906" t="s">
        <v>4973</v>
      </c>
      <c r="N906" t="s">
        <v>4974</v>
      </c>
      <c r="O906" t="s">
        <v>43</v>
      </c>
      <c r="P906" t="s">
        <v>30</v>
      </c>
      <c r="Q906" t="s">
        <v>65</v>
      </c>
      <c r="R906" s="3">
        <v>2549.5749999999998</v>
      </c>
    </row>
    <row r="907" spans="1:18" x14ac:dyDescent="0.3">
      <c r="A907" t="s">
        <v>4975</v>
      </c>
      <c r="B907" t="str">
        <f>TEXT(Raw_Data[[#This Row],[Order Date]],"mmm")</f>
        <v>Jul</v>
      </c>
      <c r="C907" t="s">
        <v>333</v>
      </c>
      <c r="D907" t="s">
        <v>4976</v>
      </c>
      <c r="E907" t="s">
        <v>48</v>
      </c>
      <c r="F907" t="s">
        <v>21</v>
      </c>
      <c r="G907" t="s">
        <v>130</v>
      </c>
      <c r="H907" t="s">
        <v>23</v>
      </c>
      <c r="I907" t="s">
        <v>341</v>
      </c>
      <c r="J907" t="s">
        <v>50</v>
      </c>
      <c r="K907" t="s">
        <v>4977</v>
      </c>
      <c r="L907">
        <v>0.15</v>
      </c>
      <c r="M907" t="s">
        <v>4978</v>
      </c>
      <c r="N907" t="s">
        <v>4979</v>
      </c>
      <c r="O907" t="s">
        <v>43</v>
      </c>
      <c r="P907" t="s">
        <v>30</v>
      </c>
      <c r="Q907" t="s">
        <v>31</v>
      </c>
      <c r="R907" s="3">
        <v>71284.807999999903</v>
      </c>
    </row>
    <row r="908" spans="1:18" x14ac:dyDescent="0.3">
      <c r="A908" t="s">
        <v>4980</v>
      </c>
      <c r="B908" t="str">
        <f>TEXT(Raw_Data[[#This Row],[Order Date]],"mmm")</f>
        <v>Mar</v>
      </c>
      <c r="C908" t="s">
        <v>1527</v>
      </c>
      <c r="D908" t="s">
        <v>4981</v>
      </c>
      <c r="E908" t="s">
        <v>20</v>
      </c>
      <c r="F908" t="s">
        <v>21</v>
      </c>
      <c r="G908" t="s">
        <v>22</v>
      </c>
      <c r="H908" t="s">
        <v>38</v>
      </c>
      <c r="I908" t="s">
        <v>60</v>
      </c>
      <c r="J908" t="s">
        <v>25</v>
      </c>
      <c r="K908" t="s">
        <v>4982</v>
      </c>
      <c r="L908">
        <v>0.1</v>
      </c>
      <c r="M908" t="s">
        <v>4983</v>
      </c>
      <c r="N908" t="s">
        <v>4984</v>
      </c>
      <c r="O908" t="s">
        <v>173</v>
      </c>
      <c r="P908" t="s">
        <v>30</v>
      </c>
      <c r="Q908" t="s">
        <v>31</v>
      </c>
      <c r="R908" s="3">
        <v>2320.4969999999998</v>
      </c>
    </row>
    <row r="909" spans="1:18" x14ac:dyDescent="0.3">
      <c r="A909" t="s">
        <v>4985</v>
      </c>
      <c r="B909" t="str">
        <f>TEXT(Raw_Data[[#This Row],[Order Date]],"mmm")</f>
        <v>Aug</v>
      </c>
      <c r="C909" t="s">
        <v>954</v>
      </c>
      <c r="D909" t="s">
        <v>4986</v>
      </c>
      <c r="E909" t="s">
        <v>20</v>
      </c>
      <c r="F909" t="s">
        <v>69</v>
      </c>
      <c r="G909" t="s">
        <v>328</v>
      </c>
      <c r="H909" t="s">
        <v>80</v>
      </c>
      <c r="I909" t="s">
        <v>146</v>
      </c>
      <c r="J909" t="s">
        <v>50</v>
      </c>
      <c r="K909" t="s">
        <v>4987</v>
      </c>
      <c r="L909">
        <v>0</v>
      </c>
      <c r="M909" t="s">
        <v>4988</v>
      </c>
      <c r="N909" t="s">
        <v>4989</v>
      </c>
      <c r="O909" t="s">
        <v>173</v>
      </c>
      <c r="P909" t="s">
        <v>30</v>
      </c>
      <c r="Q909" t="s">
        <v>44</v>
      </c>
      <c r="R909" s="3">
        <v>9564.7999999999993</v>
      </c>
    </row>
    <row r="910" spans="1:18" x14ac:dyDescent="0.3">
      <c r="A910" t="s">
        <v>4990</v>
      </c>
      <c r="B910" t="str">
        <f>TEXT(Raw_Data[[#This Row],[Order Date]],"mmm")</f>
        <v>Mar</v>
      </c>
      <c r="C910" t="s">
        <v>1460</v>
      </c>
      <c r="D910" t="s">
        <v>4991</v>
      </c>
      <c r="E910" t="s">
        <v>20</v>
      </c>
      <c r="F910" t="s">
        <v>21</v>
      </c>
      <c r="G910" t="s">
        <v>130</v>
      </c>
      <c r="H910" t="s">
        <v>23</v>
      </c>
      <c r="I910" t="s">
        <v>49</v>
      </c>
      <c r="J910" t="s">
        <v>25</v>
      </c>
      <c r="K910" t="s">
        <v>4992</v>
      </c>
      <c r="L910">
        <v>0</v>
      </c>
      <c r="M910" t="s">
        <v>4993</v>
      </c>
      <c r="N910" t="s">
        <v>4994</v>
      </c>
      <c r="O910" t="s">
        <v>29</v>
      </c>
      <c r="P910" t="s">
        <v>30</v>
      </c>
      <c r="Q910" t="s">
        <v>31</v>
      </c>
      <c r="R910" s="3">
        <v>63161.760000000002</v>
      </c>
    </row>
    <row r="911" spans="1:18" x14ac:dyDescent="0.3">
      <c r="A911" t="s">
        <v>4995</v>
      </c>
      <c r="B911" t="str">
        <f>TEXT(Raw_Data[[#This Row],[Order Date]],"mmm")</f>
        <v>Mar</v>
      </c>
      <c r="C911" t="s">
        <v>492</v>
      </c>
      <c r="D911" t="s">
        <v>4996</v>
      </c>
      <c r="E911" t="s">
        <v>20</v>
      </c>
      <c r="F911" t="s">
        <v>106</v>
      </c>
      <c r="G911" t="s">
        <v>163</v>
      </c>
      <c r="H911" t="s">
        <v>107</v>
      </c>
      <c r="I911" t="s">
        <v>469</v>
      </c>
      <c r="J911" t="s">
        <v>25</v>
      </c>
      <c r="K911" t="s">
        <v>4997</v>
      </c>
      <c r="L911">
        <v>0.1</v>
      </c>
      <c r="M911" t="s">
        <v>4998</v>
      </c>
      <c r="N911" t="s">
        <v>4999</v>
      </c>
      <c r="O911" t="s">
        <v>29</v>
      </c>
      <c r="P911" t="s">
        <v>30</v>
      </c>
      <c r="Q911" t="s">
        <v>31</v>
      </c>
      <c r="R911" s="3">
        <v>13319.847</v>
      </c>
    </row>
    <row r="912" spans="1:18" x14ac:dyDescent="0.3">
      <c r="A912" t="s">
        <v>5000</v>
      </c>
      <c r="B912" t="str">
        <f>TEXT(Raw_Data[[#This Row],[Order Date]],"mmm")</f>
        <v>May</v>
      </c>
      <c r="C912" t="s">
        <v>3102</v>
      </c>
      <c r="D912" t="s">
        <v>5001</v>
      </c>
      <c r="E912" t="s">
        <v>48</v>
      </c>
      <c r="F912" t="s">
        <v>89</v>
      </c>
      <c r="G912" t="s">
        <v>90</v>
      </c>
      <c r="H912" t="s">
        <v>23</v>
      </c>
      <c r="I912" t="s">
        <v>49</v>
      </c>
      <c r="J912" t="s">
        <v>50</v>
      </c>
      <c r="K912" t="s">
        <v>5002</v>
      </c>
      <c r="L912">
        <v>0.1</v>
      </c>
      <c r="M912" t="s">
        <v>5003</v>
      </c>
      <c r="N912" t="s">
        <v>5004</v>
      </c>
      <c r="O912" t="s">
        <v>43</v>
      </c>
      <c r="P912" t="s">
        <v>95</v>
      </c>
      <c r="Q912" t="s">
        <v>44</v>
      </c>
      <c r="R912" s="3">
        <v>116796.798</v>
      </c>
    </row>
    <row r="913" spans="1:18" x14ac:dyDescent="0.3">
      <c r="A913" t="s">
        <v>5005</v>
      </c>
      <c r="B913" t="str">
        <f>TEXT(Raw_Data[[#This Row],[Order Date]],"mmm")</f>
        <v>Jul</v>
      </c>
      <c r="C913" t="s">
        <v>295</v>
      </c>
      <c r="D913" t="s">
        <v>5006</v>
      </c>
      <c r="E913" t="s">
        <v>35</v>
      </c>
      <c r="F913" t="s">
        <v>21</v>
      </c>
      <c r="G913" t="s">
        <v>130</v>
      </c>
      <c r="H913" t="s">
        <v>23</v>
      </c>
      <c r="I913" t="s">
        <v>49</v>
      </c>
      <c r="J913" t="s">
        <v>25</v>
      </c>
      <c r="K913" t="s">
        <v>5007</v>
      </c>
      <c r="L913">
        <v>0.1</v>
      </c>
      <c r="M913" t="s">
        <v>5008</v>
      </c>
      <c r="N913" t="s">
        <v>5009</v>
      </c>
      <c r="O913" t="s">
        <v>173</v>
      </c>
      <c r="P913" t="s">
        <v>30</v>
      </c>
      <c r="Q913" t="s">
        <v>44</v>
      </c>
      <c r="R913" s="3">
        <v>65539.502999999997</v>
      </c>
    </row>
    <row r="914" spans="1:18" x14ac:dyDescent="0.3">
      <c r="A914" t="s">
        <v>5010</v>
      </c>
      <c r="B914" t="str">
        <f>TEXT(Raw_Data[[#This Row],[Order Date]],"mmm")</f>
        <v>Aug</v>
      </c>
      <c r="C914" t="s">
        <v>3933</v>
      </c>
      <c r="D914" t="s">
        <v>5011</v>
      </c>
      <c r="E914" t="s">
        <v>35</v>
      </c>
      <c r="F914" t="s">
        <v>215</v>
      </c>
      <c r="G914" t="s">
        <v>276</v>
      </c>
      <c r="H914" t="s">
        <v>80</v>
      </c>
      <c r="I914" t="s">
        <v>131</v>
      </c>
      <c r="J914" t="s">
        <v>100</v>
      </c>
      <c r="K914" t="s">
        <v>5012</v>
      </c>
      <c r="L914">
        <v>0</v>
      </c>
      <c r="M914" t="s">
        <v>5013</v>
      </c>
      <c r="N914" t="s">
        <v>5014</v>
      </c>
      <c r="O914" t="s">
        <v>29</v>
      </c>
      <c r="P914" t="s">
        <v>30</v>
      </c>
      <c r="Q914" t="s">
        <v>31</v>
      </c>
      <c r="R914" s="3">
        <v>4638.3900000000003</v>
      </c>
    </row>
    <row r="915" spans="1:18" x14ac:dyDescent="0.3">
      <c r="A915" t="s">
        <v>5015</v>
      </c>
      <c r="B915" t="str">
        <f>TEXT(Raw_Data[[#This Row],[Order Date]],"mmm")</f>
        <v>Dec</v>
      </c>
      <c r="C915" t="s">
        <v>534</v>
      </c>
      <c r="D915" t="s">
        <v>5016</v>
      </c>
      <c r="E915" t="s">
        <v>48</v>
      </c>
      <c r="F915" t="s">
        <v>89</v>
      </c>
      <c r="G915" t="s">
        <v>99</v>
      </c>
      <c r="H915" t="s">
        <v>38</v>
      </c>
      <c r="I915" t="s">
        <v>71</v>
      </c>
      <c r="J915" t="s">
        <v>25</v>
      </c>
      <c r="K915" t="s">
        <v>5017</v>
      </c>
      <c r="L915">
        <v>0.2</v>
      </c>
      <c r="M915" t="s">
        <v>5018</v>
      </c>
      <c r="N915" t="s">
        <v>5019</v>
      </c>
      <c r="O915" t="s">
        <v>64</v>
      </c>
      <c r="P915" t="s">
        <v>30</v>
      </c>
      <c r="Q915" t="s">
        <v>31</v>
      </c>
      <c r="R915" s="3">
        <v>1734.048</v>
      </c>
    </row>
    <row r="916" spans="1:18" x14ac:dyDescent="0.3">
      <c r="A916" t="s">
        <v>5020</v>
      </c>
      <c r="B916" t="str">
        <f>TEXT(Raw_Data[[#This Row],[Order Date]],"mmm")</f>
        <v>Nov</v>
      </c>
      <c r="C916" t="s">
        <v>851</v>
      </c>
      <c r="D916" t="s">
        <v>5021</v>
      </c>
      <c r="E916" t="s">
        <v>35</v>
      </c>
      <c r="F916" t="s">
        <v>36</v>
      </c>
      <c r="G916" t="s">
        <v>414</v>
      </c>
      <c r="H916" t="s">
        <v>107</v>
      </c>
      <c r="I916" t="s">
        <v>108</v>
      </c>
      <c r="J916" t="s">
        <v>25</v>
      </c>
      <c r="K916" t="s">
        <v>5022</v>
      </c>
      <c r="L916">
        <v>0.1</v>
      </c>
      <c r="M916" t="s">
        <v>5023</v>
      </c>
      <c r="N916" t="s">
        <v>5024</v>
      </c>
      <c r="O916" t="s">
        <v>64</v>
      </c>
      <c r="P916" t="s">
        <v>30</v>
      </c>
      <c r="Q916" t="s">
        <v>65</v>
      </c>
      <c r="R916" s="3">
        <v>10475.459999999999</v>
      </c>
    </row>
    <row r="917" spans="1:18" x14ac:dyDescent="0.3">
      <c r="A917" t="s">
        <v>5025</v>
      </c>
      <c r="B917" t="str">
        <f>TEXT(Raw_Data[[#This Row],[Order Date]],"mmm")</f>
        <v>May</v>
      </c>
      <c r="C917" t="s">
        <v>2693</v>
      </c>
      <c r="D917" t="s">
        <v>5026</v>
      </c>
      <c r="E917" t="s">
        <v>48</v>
      </c>
      <c r="F917" t="s">
        <v>106</v>
      </c>
      <c r="G917" t="s">
        <v>163</v>
      </c>
      <c r="H917" t="s">
        <v>80</v>
      </c>
      <c r="I917" t="s">
        <v>146</v>
      </c>
      <c r="J917" t="s">
        <v>100</v>
      </c>
      <c r="K917" t="s">
        <v>5027</v>
      </c>
      <c r="L917">
        <v>0.1</v>
      </c>
      <c r="M917" t="s">
        <v>5028</v>
      </c>
      <c r="N917" t="s">
        <v>5029</v>
      </c>
      <c r="O917" t="s">
        <v>29</v>
      </c>
      <c r="P917" t="s">
        <v>30</v>
      </c>
      <c r="Q917" t="s">
        <v>44</v>
      </c>
      <c r="R917" s="3">
        <v>14060.115</v>
      </c>
    </row>
    <row r="918" spans="1:18" x14ac:dyDescent="0.3">
      <c r="A918" t="s">
        <v>5030</v>
      </c>
      <c r="B918" t="str">
        <f>TEXT(Raw_Data[[#This Row],[Order Date]],"mmm")</f>
        <v>Jan</v>
      </c>
      <c r="C918" t="s">
        <v>207</v>
      </c>
      <c r="D918" t="s">
        <v>5031</v>
      </c>
      <c r="E918" t="s">
        <v>35</v>
      </c>
      <c r="F918" t="s">
        <v>21</v>
      </c>
      <c r="G918" t="s">
        <v>22</v>
      </c>
      <c r="H918" t="s">
        <v>23</v>
      </c>
      <c r="I918" t="s">
        <v>24</v>
      </c>
      <c r="J918" t="s">
        <v>25</v>
      </c>
      <c r="K918" t="s">
        <v>5032</v>
      </c>
      <c r="L918">
        <v>0.15</v>
      </c>
      <c r="M918" t="s">
        <v>5033</v>
      </c>
      <c r="N918" t="s">
        <v>5034</v>
      </c>
      <c r="O918" t="s">
        <v>54</v>
      </c>
      <c r="P918" t="s">
        <v>30</v>
      </c>
      <c r="Q918" t="s">
        <v>31</v>
      </c>
      <c r="R918" s="3">
        <v>10785.853999999999</v>
      </c>
    </row>
    <row r="919" spans="1:18" x14ac:dyDescent="0.3">
      <c r="A919" t="s">
        <v>5035</v>
      </c>
      <c r="B919" t="str">
        <f>TEXT(Raw_Data[[#This Row],[Order Date]],"mmm")</f>
        <v>Feb</v>
      </c>
      <c r="C919" t="s">
        <v>2515</v>
      </c>
      <c r="D919" t="s">
        <v>5036</v>
      </c>
      <c r="E919" t="s">
        <v>20</v>
      </c>
      <c r="F919" t="s">
        <v>58</v>
      </c>
      <c r="G919" t="s">
        <v>812</v>
      </c>
      <c r="H919" t="s">
        <v>23</v>
      </c>
      <c r="I919" t="s">
        <v>49</v>
      </c>
      <c r="J919" t="s">
        <v>25</v>
      </c>
      <c r="K919" t="s">
        <v>5037</v>
      </c>
      <c r="L919">
        <v>0.15</v>
      </c>
      <c r="M919" t="s">
        <v>5038</v>
      </c>
      <c r="N919" t="s">
        <v>5039</v>
      </c>
      <c r="O919" t="s">
        <v>54</v>
      </c>
      <c r="P919" t="s">
        <v>30</v>
      </c>
      <c r="Q919" t="s">
        <v>44</v>
      </c>
      <c r="R919" s="3">
        <v>35945.267500000002</v>
      </c>
    </row>
    <row r="920" spans="1:18" x14ac:dyDescent="0.3">
      <c r="A920" t="s">
        <v>5040</v>
      </c>
      <c r="B920" t="str">
        <f>TEXT(Raw_Data[[#This Row],[Order Date]],"mmm")</f>
        <v>May</v>
      </c>
      <c r="C920" t="s">
        <v>1257</v>
      </c>
      <c r="D920" t="s">
        <v>5041</v>
      </c>
      <c r="E920" t="s">
        <v>20</v>
      </c>
      <c r="F920" t="s">
        <v>89</v>
      </c>
      <c r="G920" t="s">
        <v>90</v>
      </c>
      <c r="H920" t="s">
        <v>154</v>
      </c>
      <c r="I920" t="s">
        <v>155</v>
      </c>
      <c r="J920" t="s">
        <v>25</v>
      </c>
      <c r="K920" t="s">
        <v>5042</v>
      </c>
      <c r="L920">
        <v>0.1</v>
      </c>
      <c r="M920" t="s">
        <v>5043</v>
      </c>
      <c r="N920" t="s">
        <v>5044</v>
      </c>
      <c r="O920" t="s">
        <v>64</v>
      </c>
      <c r="P920" t="s">
        <v>30</v>
      </c>
      <c r="Q920" t="s">
        <v>65</v>
      </c>
      <c r="R920" s="3">
        <v>9568.0439999999999</v>
      </c>
    </row>
    <row r="921" spans="1:18" x14ac:dyDescent="0.3">
      <c r="A921" t="s">
        <v>5045</v>
      </c>
      <c r="B921" t="str">
        <f>TEXT(Raw_Data[[#This Row],[Order Date]],"mmm")</f>
        <v>May</v>
      </c>
      <c r="C921" t="s">
        <v>3899</v>
      </c>
      <c r="D921" t="s">
        <v>5046</v>
      </c>
      <c r="E921" t="s">
        <v>20</v>
      </c>
      <c r="F921" t="s">
        <v>69</v>
      </c>
      <c r="G921" t="s">
        <v>328</v>
      </c>
      <c r="H921" t="s">
        <v>23</v>
      </c>
      <c r="I921" t="s">
        <v>24</v>
      </c>
      <c r="J921" t="s">
        <v>50</v>
      </c>
      <c r="K921" t="s">
        <v>5047</v>
      </c>
      <c r="L921">
        <v>0</v>
      </c>
      <c r="M921" t="s">
        <v>5048</v>
      </c>
      <c r="N921" t="s">
        <v>5049</v>
      </c>
      <c r="O921" t="s">
        <v>54</v>
      </c>
      <c r="P921" t="s">
        <v>30</v>
      </c>
      <c r="Q921" t="s">
        <v>44</v>
      </c>
      <c r="R921" s="3">
        <v>95222.24</v>
      </c>
    </row>
    <row r="922" spans="1:18" x14ac:dyDescent="0.3">
      <c r="A922" t="s">
        <v>5050</v>
      </c>
      <c r="B922" t="str">
        <f>TEXT(Raw_Data[[#This Row],[Order Date]],"mmm")</f>
        <v>May</v>
      </c>
      <c r="C922" t="s">
        <v>4485</v>
      </c>
      <c r="D922" t="s">
        <v>5051</v>
      </c>
      <c r="E922" t="s">
        <v>35</v>
      </c>
      <c r="F922" t="s">
        <v>21</v>
      </c>
      <c r="G922" t="s">
        <v>130</v>
      </c>
      <c r="H922" t="s">
        <v>80</v>
      </c>
      <c r="I922" t="s">
        <v>116</v>
      </c>
      <c r="J922" t="s">
        <v>25</v>
      </c>
      <c r="K922" t="s">
        <v>5052</v>
      </c>
      <c r="L922">
        <v>0.1</v>
      </c>
      <c r="M922" t="s">
        <v>5053</v>
      </c>
      <c r="N922" t="s">
        <v>5054</v>
      </c>
      <c r="O922" t="s">
        <v>173</v>
      </c>
      <c r="P922" t="s">
        <v>95</v>
      </c>
      <c r="Q922" t="s">
        <v>31</v>
      </c>
      <c r="R922" s="3">
        <v>3246.8580000000002</v>
      </c>
    </row>
    <row r="923" spans="1:18" x14ac:dyDescent="0.3">
      <c r="A923" t="s">
        <v>5055</v>
      </c>
      <c r="B923" t="str">
        <f>TEXT(Raw_Data[[#This Row],[Order Date]],"mmm")</f>
        <v>May</v>
      </c>
      <c r="C923" t="s">
        <v>1472</v>
      </c>
      <c r="D923" t="s">
        <v>5056</v>
      </c>
      <c r="E923" t="s">
        <v>48</v>
      </c>
      <c r="F923" t="s">
        <v>58</v>
      </c>
      <c r="G923" t="s">
        <v>812</v>
      </c>
      <c r="H923" t="s">
        <v>38</v>
      </c>
      <c r="I923" t="s">
        <v>71</v>
      </c>
      <c r="J923" t="s">
        <v>50</v>
      </c>
      <c r="K923" t="s">
        <v>5057</v>
      </c>
      <c r="L923">
        <v>0.15</v>
      </c>
      <c r="M923" t="s">
        <v>5058</v>
      </c>
      <c r="N923" t="s">
        <v>5059</v>
      </c>
      <c r="O923" t="s">
        <v>54</v>
      </c>
      <c r="P923" t="s">
        <v>30</v>
      </c>
      <c r="Q923" t="s">
        <v>65</v>
      </c>
      <c r="R923" s="3">
        <v>5649.5590000000002</v>
      </c>
    </row>
    <row r="924" spans="1:18" x14ac:dyDescent="0.3">
      <c r="A924" t="s">
        <v>5060</v>
      </c>
      <c r="B924" t="str">
        <f>TEXT(Raw_Data[[#This Row],[Order Date]],"mmm")</f>
        <v>Apr</v>
      </c>
      <c r="C924" t="s">
        <v>454</v>
      </c>
      <c r="D924" t="s">
        <v>5061</v>
      </c>
      <c r="E924" t="s">
        <v>48</v>
      </c>
      <c r="F924" t="s">
        <v>106</v>
      </c>
      <c r="G924" t="s">
        <v>106</v>
      </c>
      <c r="H924" t="s">
        <v>38</v>
      </c>
      <c r="I924" t="s">
        <v>39</v>
      </c>
      <c r="J924" t="s">
        <v>25</v>
      </c>
      <c r="K924" t="s">
        <v>5062</v>
      </c>
      <c r="L924">
        <v>0.05</v>
      </c>
      <c r="M924" t="s">
        <v>5063</v>
      </c>
      <c r="N924" t="s">
        <v>5064</v>
      </c>
      <c r="O924" t="s">
        <v>173</v>
      </c>
      <c r="P924" t="s">
        <v>30</v>
      </c>
      <c r="Q924" t="s">
        <v>65</v>
      </c>
      <c r="R924" s="3">
        <v>2766.5805</v>
      </c>
    </row>
    <row r="925" spans="1:18" x14ac:dyDescent="0.3">
      <c r="A925" t="s">
        <v>5065</v>
      </c>
      <c r="B925" t="str">
        <f>TEXT(Raw_Data[[#This Row],[Order Date]],"mmm")</f>
        <v>Sep</v>
      </c>
      <c r="C925" t="s">
        <v>188</v>
      </c>
      <c r="D925" t="s">
        <v>5066</v>
      </c>
      <c r="E925" t="s">
        <v>20</v>
      </c>
      <c r="F925" t="s">
        <v>58</v>
      </c>
      <c r="G925" t="s">
        <v>812</v>
      </c>
      <c r="H925" t="s">
        <v>23</v>
      </c>
      <c r="I925" t="s">
        <v>24</v>
      </c>
      <c r="J925" t="s">
        <v>25</v>
      </c>
      <c r="K925" t="s">
        <v>5067</v>
      </c>
      <c r="L925">
        <v>0</v>
      </c>
      <c r="M925" t="s">
        <v>5068</v>
      </c>
      <c r="N925" t="s">
        <v>5069</v>
      </c>
      <c r="O925" t="s">
        <v>64</v>
      </c>
      <c r="P925" t="s">
        <v>30</v>
      </c>
      <c r="Q925" t="s">
        <v>44</v>
      </c>
      <c r="R925" s="3">
        <v>44787.73</v>
      </c>
    </row>
    <row r="926" spans="1:18" x14ac:dyDescent="0.3">
      <c r="A926" t="s">
        <v>5070</v>
      </c>
      <c r="B926" t="str">
        <f>TEXT(Raw_Data[[#This Row],[Order Date]],"mmm")</f>
        <v>Sep</v>
      </c>
      <c r="C926" t="s">
        <v>1397</v>
      </c>
      <c r="D926" t="s">
        <v>5071</v>
      </c>
      <c r="E926" t="s">
        <v>35</v>
      </c>
      <c r="F926" t="s">
        <v>106</v>
      </c>
      <c r="G926" t="s">
        <v>106</v>
      </c>
      <c r="H926" t="s">
        <v>80</v>
      </c>
      <c r="I926" t="s">
        <v>131</v>
      </c>
      <c r="J926" t="s">
        <v>25</v>
      </c>
      <c r="K926" t="s">
        <v>5072</v>
      </c>
      <c r="L926">
        <v>0.15</v>
      </c>
      <c r="M926" t="s">
        <v>5073</v>
      </c>
      <c r="N926" t="s">
        <v>5074</v>
      </c>
      <c r="O926" t="s">
        <v>54</v>
      </c>
      <c r="P926" t="s">
        <v>30</v>
      </c>
      <c r="Q926" t="s">
        <v>31</v>
      </c>
      <c r="R926" s="3">
        <v>4105.3130000000001</v>
      </c>
    </row>
    <row r="927" spans="1:18" x14ac:dyDescent="0.3">
      <c r="A927" t="s">
        <v>5075</v>
      </c>
      <c r="B927" t="str">
        <f>TEXT(Raw_Data[[#This Row],[Order Date]],"mmm")</f>
        <v>Aug</v>
      </c>
      <c r="C927" t="s">
        <v>1155</v>
      </c>
      <c r="D927" t="s">
        <v>5076</v>
      </c>
      <c r="E927" t="s">
        <v>35</v>
      </c>
      <c r="F927" t="s">
        <v>69</v>
      </c>
      <c r="G927" t="s">
        <v>328</v>
      </c>
      <c r="H927" t="s">
        <v>23</v>
      </c>
      <c r="I927" t="s">
        <v>263</v>
      </c>
      <c r="J927" t="s">
        <v>25</v>
      </c>
      <c r="K927" t="s">
        <v>5077</v>
      </c>
      <c r="L927">
        <v>0.1</v>
      </c>
      <c r="M927" t="s">
        <v>5078</v>
      </c>
      <c r="N927" t="s">
        <v>5079</v>
      </c>
      <c r="O927" t="s">
        <v>43</v>
      </c>
      <c r="P927" t="s">
        <v>30</v>
      </c>
      <c r="Q927" t="s">
        <v>31</v>
      </c>
      <c r="R927" s="3">
        <v>40982.364000000001</v>
      </c>
    </row>
    <row r="928" spans="1:18" x14ac:dyDescent="0.3">
      <c r="A928" t="s">
        <v>5080</v>
      </c>
      <c r="B928" t="str">
        <f>TEXT(Raw_Data[[#This Row],[Order Date]],"mmm")</f>
        <v>Nov</v>
      </c>
      <c r="C928" t="s">
        <v>2710</v>
      </c>
      <c r="D928" t="s">
        <v>5081</v>
      </c>
      <c r="E928" t="s">
        <v>35</v>
      </c>
      <c r="F928" t="s">
        <v>215</v>
      </c>
      <c r="G928" t="s">
        <v>216</v>
      </c>
      <c r="H928" t="s">
        <v>80</v>
      </c>
      <c r="I928" t="s">
        <v>116</v>
      </c>
      <c r="J928" t="s">
        <v>25</v>
      </c>
      <c r="K928" t="s">
        <v>5082</v>
      </c>
      <c r="L928">
        <v>0.05</v>
      </c>
      <c r="M928" t="s">
        <v>5083</v>
      </c>
      <c r="N928" t="s">
        <v>5084</v>
      </c>
      <c r="O928" t="s">
        <v>54</v>
      </c>
      <c r="P928" t="s">
        <v>30</v>
      </c>
      <c r="Q928" t="s">
        <v>44</v>
      </c>
      <c r="R928" s="3">
        <v>312.55</v>
      </c>
    </row>
    <row r="929" spans="1:18" x14ac:dyDescent="0.3">
      <c r="A929" t="s">
        <v>5085</v>
      </c>
      <c r="B929" t="str">
        <f>TEXT(Raw_Data[[#This Row],[Order Date]],"mmm")</f>
        <v>Apr</v>
      </c>
      <c r="C929" t="s">
        <v>2649</v>
      </c>
      <c r="D929" t="s">
        <v>5086</v>
      </c>
      <c r="E929" t="s">
        <v>48</v>
      </c>
      <c r="F929" t="s">
        <v>21</v>
      </c>
      <c r="G929" t="s">
        <v>130</v>
      </c>
      <c r="H929" t="s">
        <v>38</v>
      </c>
      <c r="I929" t="s">
        <v>256</v>
      </c>
      <c r="J929" t="s">
        <v>100</v>
      </c>
      <c r="K929" t="s">
        <v>5087</v>
      </c>
      <c r="L929">
        <v>0.05</v>
      </c>
      <c r="M929" t="s">
        <v>5088</v>
      </c>
      <c r="N929" t="s">
        <v>5089</v>
      </c>
      <c r="O929" t="s">
        <v>43</v>
      </c>
      <c r="P929" t="s">
        <v>30</v>
      </c>
      <c r="Q929" t="s">
        <v>31</v>
      </c>
      <c r="R929" s="3">
        <v>16968.101999999999</v>
      </c>
    </row>
    <row r="930" spans="1:18" x14ac:dyDescent="0.3">
      <c r="A930" t="s">
        <v>5090</v>
      </c>
      <c r="B930" t="str">
        <f>TEXT(Raw_Data[[#This Row],[Order Date]],"mmm")</f>
        <v>Mar</v>
      </c>
      <c r="C930" t="s">
        <v>3981</v>
      </c>
      <c r="D930" t="s">
        <v>5091</v>
      </c>
      <c r="E930" t="s">
        <v>35</v>
      </c>
      <c r="F930" t="s">
        <v>36</v>
      </c>
      <c r="G930" t="s">
        <v>414</v>
      </c>
      <c r="H930" t="s">
        <v>154</v>
      </c>
      <c r="I930" t="s">
        <v>365</v>
      </c>
      <c r="J930" t="s">
        <v>25</v>
      </c>
      <c r="K930" t="s">
        <v>5092</v>
      </c>
      <c r="L930">
        <v>0.2</v>
      </c>
      <c r="M930" t="s">
        <v>5093</v>
      </c>
      <c r="N930" t="s">
        <v>5094</v>
      </c>
      <c r="O930" t="s">
        <v>43</v>
      </c>
      <c r="P930" t="s">
        <v>30</v>
      </c>
      <c r="Q930" t="s">
        <v>44</v>
      </c>
      <c r="R930" s="3">
        <v>1733.1120000000001</v>
      </c>
    </row>
    <row r="931" spans="1:18" x14ac:dyDescent="0.3">
      <c r="A931" t="s">
        <v>5095</v>
      </c>
      <c r="B931" t="str">
        <f>TEXT(Raw_Data[[#This Row],[Order Date]],"mmm")</f>
        <v>Dec</v>
      </c>
      <c r="C931" t="s">
        <v>2332</v>
      </c>
      <c r="D931" t="s">
        <v>5096</v>
      </c>
      <c r="E931" t="s">
        <v>35</v>
      </c>
      <c r="F931" t="s">
        <v>36</v>
      </c>
      <c r="G931" t="s">
        <v>414</v>
      </c>
      <c r="H931" t="s">
        <v>23</v>
      </c>
      <c r="I931" t="s">
        <v>183</v>
      </c>
      <c r="J931" t="s">
        <v>25</v>
      </c>
      <c r="K931" t="s">
        <v>5097</v>
      </c>
      <c r="L931">
        <v>0.05</v>
      </c>
      <c r="M931" t="s">
        <v>5098</v>
      </c>
      <c r="N931" t="s">
        <v>5099</v>
      </c>
      <c r="O931" t="s">
        <v>43</v>
      </c>
      <c r="P931" t="s">
        <v>112</v>
      </c>
      <c r="Q931" t="s">
        <v>65</v>
      </c>
      <c r="R931" s="3">
        <v>62801.536</v>
      </c>
    </row>
    <row r="932" spans="1:18" x14ac:dyDescent="0.3">
      <c r="A932" t="s">
        <v>5100</v>
      </c>
      <c r="B932" t="str">
        <f>TEXT(Raw_Data[[#This Row],[Order Date]],"mmm")</f>
        <v>Sep</v>
      </c>
      <c r="C932" t="s">
        <v>1570</v>
      </c>
      <c r="D932" t="s">
        <v>5101</v>
      </c>
      <c r="E932" t="s">
        <v>35</v>
      </c>
      <c r="F932" t="s">
        <v>78</v>
      </c>
      <c r="G932" t="s">
        <v>468</v>
      </c>
      <c r="H932" t="s">
        <v>38</v>
      </c>
      <c r="I932" t="s">
        <v>71</v>
      </c>
      <c r="J932" t="s">
        <v>50</v>
      </c>
      <c r="K932" t="s">
        <v>5102</v>
      </c>
      <c r="L932">
        <v>0.2</v>
      </c>
      <c r="M932" t="s">
        <v>5103</v>
      </c>
      <c r="N932" t="s">
        <v>5104</v>
      </c>
      <c r="O932" t="s">
        <v>43</v>
      </c>
      <c r="P932" t="s">
        <v>30</v>
      </c>
      <c r="Q932" t="s">
        <v>31</v>
      </c>
      <c r="R932" s="3">
        <v>3903.3440000000001</v>
      </c>
    </row>
    <row r="933" spans="1:18" x14ac:dyDescent="0.3">
      <c r="A933" t="s">
        <v>5105</v>
      </c>
      <c r="B933" t="str">
        <f>TEXT(Raw_Data[[#This Row],[Order Date]],"mmm")</f>
        <v>Nov</v>
      </c>
      <c r="C933" t="s">
        <v>2710</v>
      </c>
      <c r="D933" t="s">
        <v>5106</v>
      </c>
      <c r="E933" t="s">
        <v>20</v>
      </c>
      <c r="F933" t="s">
        <v>69</v>
      </c>
      <c r="G933" t="s">
        <v>70</v>
      </c>
      <c r="H933" t="s">
        <v>154</v>
      </c>
      <c r="I933" t="s">
        <v>365</v>
      </c>
      <c r="J933" t="s">
        <v>25</v>
      </c>
      <c r="K933" t="s">
        <v>5107</v>
      </c>
      <c r="L933">
        <v>0.05</v>
      </c>
      <c r="M933" t="s">
        <v>5108</v>
      </c>
      <c r="N933" t="s">
        <v>5109</v>
      </c>
      <c r="O933" t="s">
        <v>43</v>
      </c>
      <c r="P933" t="s">
        <v>30</v>
      </c>
      <c r="Q933" t="s">
        <v>65</v>
      </c>
      <c r="R933" s="3">
        <v>8069.6229999999996</v>
      </c>
    </row>
    <row r="934" spans="1:18" x14ac:dyDescent="0.3">
      <c r="A934" t="s">
        <v>5110</v>
      </c>
      <c r="B934" t="str">
        <f>TEXT(Raw_Data[[#This Row],[Order Date]],"mmm")</f>
        <v>Dec</v>
      </c>
      <c r="C934" t="s">
        <v>786</v>
      </c>
      <c r="D934" t="s">
        <v>5111</v>
      </c>
      <c r="E934" t="s">
        <v>20</v>
      </c>
      <c r="F934" t="s">
        <v>78</v>
      </c>
      <c r="G934" t="s">
        <v>79</v>
      </c>
      <c r="H934" t="s">
        <v>107</v>
      </c>
      <c r="I934" t="s">
        <v>378</v>
      </c>
      <c r="J934" t="s">
        <v>100</v>
      </c>
      <c r="K934" t="s">
        <v>5112</v>
      </c>
      <c r="L934">
        <v>0.05</v>
      </c>
      <c r="M934" t="s">
        <v>5113</v>
      </c>
      <c r="N934" t="s">
        <v>5114</v>
      </c>
      <c r="O934" t="s">
        <v>173</v>
      </c>
      <c r="P934" t="s">
        <v>30</v>
      </c>
      <c r="Q934" t="s">
        <v>31</v>
      </c>
      <c r="R934" s="3">
        <v>3434.7345</v>
      </c>
    </row>
    <row r="935" spans="1:18" x14ac:dyDescent="0.3">
      <c r="A935" t="s">
        <v>5115</v>
      </c>
      <c r="B935" t="str">
        <f>TEXT(Raw_Data[[#This Row],[Order Date]],"mmm")</f>
        <v>Dec</v>
      </c>
      <c r="C935" t="s">
        <v>1515</v>
      </c>
      <c r="D935" t="s">
        <v>5116</v>
      </c>
      <c r="E935" t="s">
        <v>20</v>
      </c>
      <c r="F935" t="s">
        <v>106</v>
      </c>
      <c r="G935" t="s">
        <v>106</v>
      </c>
      <c r="H935" t="s">
        <v>107</v>
      </c>
      <c r="I935" t="s">
        <v>277</v>
      </c>
      <c r="J935" t="s">
        <v>50</v>
      </c>
      <c r="K935" t="s">
        <v>5117</v>
      </c>
      <c r="L935">
        <v>0.1</v>
      </c>
      <c r="M935" t="s">
        <v>5118</v>
      </c>
      <c r="N935" t="s">
        <v>5119</v>
      </c>
      <c r="O935" t="s">
        <v>54</v>
      </c>
      <c r="P935" t="s">
        <v>112</v>
      </c>
      <c r="Q935" t="s">
        <v>31</v>
      </c>
      <c r="R935" s="3">
        <v>1941.318</v>
      </c>
    </row>
    <row r="936" spans="1:18" x14ac:dyDescent="0.3">
      <c r="A936" t="s">
        <v>5120</v>
      </c>
      <c r="B936" t="str">
        <f>TEXT(Raw_Data[[#This Row],[Order Date]],"mmm")</f>
        <v>Apr</v>
      </c>
      <c r="C936" t="s">
        <v>2903</v>
      </c>
      <c r="D936" t="s">
        <v>5121</v>
      </c>
      <c r="E936" t="s">
        <v>48</v>
      </c>
      <c r="F936" t="s">
        <v>58</v>
      </c>
      <c r="G936" t="s">
        <v>59</v>
      </c>
      <c r="H936" t="s">
        <v>80</v>
      </c>
      <c r="I936" t="s">
        <v>146</v>
      </c>
      <c r="J936" t="s">
        <v>25</v>
      </c>
      <c r="K936" t="s">
        <v>5122</v>
      </c>
      <c r="L936">
        <v>0.1</v>
      </c>
      <c r="M936" t="s">
        <v>5123</v>
      </c>
      <c r="N936" t="s">
        <v>5124</v>
      </c>
      <c r="O936" t="s">
        <v>64</v>
      </c>
      <c r="P936" t="s">
        <v>30</v>
      </c>
      <c r="Q936" t="s">
        <v>65</v>
      </c>
      <c r="R936" s="3">
        <v>4581.18</v>
      </c>
    </row>
    <row r="937" spans="1:18" x14ac:dyDescent="0.3">
      <c r="A937" t="s">
        <v>5125</v>
      </c>
      <c r="B937" t="str">
        <f>TEXT(Raw_Data[[#This Row],[Order Date]],"mmm")</f>
        <v>Jan</v>
      </c>
      <c r="C937" t="s">
        <v>4365</v>
      </c>
      <c r="D937" t="s">
        <v>5126</v>
      </c>
      <c r="E937" t="s">
        <v>35</v>
      </c>
      <c r="F937" t="s">
        <v>78</v>
      </c>
      <c r="G937" t="s">
        <v>468</v>
      </c>
      <c r="H937" t="s">
        <v>23</v>
      </c>
      <c r="I937" t="s">
        <v>263</v>
      </c>
      <c r="J937" t="s">
        <v>100</v>
      </c>
      <c r="K937" t="s">
        <v>5127</v>
      </c>
      <c r="L937">
        <v>0.1</v>
      </c>
      <c r="M937" t="s">
        <v>5128</v>
      </c>
      <c r="N937" t="s">
        <v>5129</v>
      </c>
      <c r="O937" t="s">
        <v>43</v>
      </c>
      <c r="P937" t="s">
        <v>30</v>
      </c>
      <c r="Q937" t="s">
        <v>65</v>
      </c>
      <c r="R937" s="3">
        <v>4975.9380000000001</v>
      </c>
    </row>
    <row r="938" spans="1:18" x14ac:dyDescent="0.3">
      <c r="A938" t="s">
        <v>5130</v>
      </c>
      <c r="B938" t="str">
        <f>TEXT(Raw_Data[[#This Row],[Order Date]],"mmm")</f>
        <v>Jun</v>
      </c>
      <c r="C938" t="s">
        <v>2068</v>
      </c>
      <c r="D938" t="s">
        <v>5131</v>
      </c>
      <c r="E938" t="s">
        <v>35</v>
      </c>
      <c r="F938" t="s">
        <v>21</v>
      </c>
      <c r="G938" t="s">
        <v>22</v>
      </c>
      <c r="H938" t="s">
        <v>80</v>
      </c>
      <c r="I938" t="s">
        <v>81</v>
      </c>
      <c r="J938" t="s">
        <v>25</v>
      </c>
      <c r="K938" t="s">
        <v>5132</v>
      </c>
      <c r="L938">
        <v>0.1</v>
      </c>
      <c r="M938" t="s">
        <v>5133</v>
      </c>
      <c r="N938" t="s">
        <v>5134</v>
      </c>
      <c r="O938" t="s">
        <v>43</v>
      </c>
      <c r="P938" t="s">
        <v>30</v>
      </c>
      <c r="Q938" t="s">
        <v>65</v>
      </c>
      <c r="R938" s="3">
        <v>2676.51</v>
      </c>
    </row>
    <row r="939" spans="1:18" x14ac:dyDescent="0.3">
      <c r="A939" t="s">
        <v>5135</v>
      </c>
      <c r="B939" t="str">
        <f>TEXT(Raw_Data[[#This Row],[Order Date]],"mmm")</f>
        <v>Oct</v>
      </c>
      <c r="C939" t="s">
        <v>2217</v>
      </c>
      <c r="D939" t="s">
        <v>5136</v>
      </c>
      <c r="E939" t="s">
        <v>20</v>
      </c>
      <c r="F939" t="s">
        <v>106</v>
      </c>
      <c r="G939" t="s">
        <v>163</v>
      </c>
      <c r="H939" t="s">
        <v>23</v>
      </c>
      <c r="I939" t="s">
        <v>183</v>
      </c>
      <c r="J939" t="s">
        <v>100</v>
      </c>
      <c r="K939" t="s">
        <v>5137</v>
      </c>
      <c r="L939">
        <v>0.1</v>
      </c>
      <c r="M939" t="s">
        <v>5138</v>
      </c>
      <c r="N939" t="s">
        <v>5139</v>
      </c>
      <c r="O939" t="s">
        <v>54</v>
      </c>
      <c r="P939" t="s">
        <v>30</v>
      </c>
      <c r="Q939" t="s">
        <v>31</v>
      </c>
      <c r="R939" s="3">
        <v>65774.7</v>
      </c>
    </row>
    <row r="940" spans="1:18" x14ac:dyDescent="0.3">
      <c r="A940" t="s">
        <v>5140</v>
      </c>
      <c r="B940" t="str">
        <f>TEXT(Raw_Data[[#This Row],[Order Date]],"mmm")</f>
        <v>Nov</v>
      </c>
      <c r="C940" t="s">
        <v>1009</v>
      </c>
      <c r="D940" t="s">
        <v>5141</v>
      </c>
      <c r="E940" t="s">
        <v>35</v>
      </c>
      <c r="F940" t="s">
        <v>106</v>
      </c>
      <c r="G940" t="s">
        <v>163</v>
      </c>
      <c r="H940" t="s">
        <v>23</v>
      </c>
      <c r="I940" t="s">
        <v>24</v>
      </c>
      <c r="J940" t="s">
        <v>50</v>
      </c>
      <c r="K940" t="s">
        <v>5142</v>
      </c>
      <c r="L940">
        <v>0.1</v>
      </c>
      <c r="M940" t="s">
        <v>5143</v>
      </c>
      <c r="N940" t="s">
        <v>5144</v>
      </c>
      <c r="O940" t="s">
        <v>43</v>
      </c>
      <c r="P940" t="s">
        <v>490</v>
      </c>
      <c r="Q940" t="s">
        <v>44</v>
      </c>
      <c r="R940" s="3">
        <v>58815.521999999997</v>
      </c>
    </row>
    <row r="941" spans="1:18" x14ac:dyDescent="0.3">
      <c r="A941" t="s">
        <v>5145</v>
      </c>
      <c r="B941" t="str">
        <f>TEXT(Raw_Data[[#This Row],[Order Date]],"mmm")</f>
        <v>Feb</v>
      </c>
      <c r="C941" t="s">
        <v>936</v>
      </c>
      <c r="D941" t="s">
        <v>5146</v>
      </c>
      <c r="E941" t="s">
        <v>20</v>
      </c>
      <c r="F941" t="s">
        <v>21</v>
      </c>
      <c r="G941" t="s">
        <v>22</v>
      </c>
      <c r="H941" t="s">
        <v>23</v>
      </c>
      <c r="I941" t="s">
        <v>263</v>
      </c>
      <c r="J941" t="s">
        <v>25</v>
      </c>
      <c r="K941" t="s">
        <v>5147</v>
      </c>
      <c r="L941">
        <v>0.05</v>
      </c>
      <c r="M941" t="s">
        <v>5148</v>
      </c>
      <c r="N941" t="s">
        <v>5149</v>
      </c>
      <c r="O941" t="s">
        <v>54</v>
      </c>
      <c r="P941" t="s">
        <v>112</v>
      </c>
      <c r="Q941" t="s">
        <v>65</v>
      </c>
      <c r="R941" s="3">
        <v>25201.371999999901</v>
      </c>
    </row>
    <row r="942" spans="1:18" x14ac:dyDescent="0.3">
      <c r="A942" t="s">
        <v>5150</v>
      </c>
      <c r="B942" t="str">
        <f>TEXT(Raw_Data[[#This Row],[Order Date]],"mmm")</f>
        <v>Jun</v>
      </c>
      <c r="C942" t="s">
        <v>3993</v>
      </c>
      <c r="D942" t="s">
        <v>5151</v>
      </c>
      <c r="E942" t="s">
        <v>48</v>
      </c>
      <c r="F942" t="s">
        <v>89</v>
      </c>
      <c r="G942" t="s">
        <v>90</v>
      </c>
      <c r="H942" t="s">
        <v>23</v>
      </c>
      <c r="I942" t="s">
        <v>341</v>
      </c>
      <c r="J942" t="s">
        <v>50</v>
      </c>
      <c r="K942" t="s">
        <v>5152</v>
      </c>
      <c r="L942">
        <v>0.05</v>
      </c>
      <c r="M942" t="s">
        <v>5153</v>
      </c>
      <c r="N942" t="s">
        <v>5154</v>
      </c>
      <c r="O942" t="s">
        <v>29</v>
      </c>
      <c r="P942" t="s">
        <v>30</v>
      </c>
      <c r="Q942" t="s">
        <v>65</v>
      </c>
      <c r="R942" s="3">
        <v>26820.380999999899</v>
      </c>
    </row>
    <row r="943" spans="1:18" x14ac:dyDescent="0.3">
      <c r="A943" t="s">
        <v>5155</v>
      </c>
      <c r="B943" t="str">
        <f>TEXT(Raw_Data[[#This Row],[Order Date]],"mmm")</f>
        <v>Sep</v>
      </c>
      <c r="C943" t="s">
        <v>188</v>
      </c>
      <c r="D943" t="s">
        <v>5156</v>
      </c>
      <c r="E943" t="s">
        <v>48</v>
      </c>
      <c r="F943" t="s">
        <v>78</v>
      </c>
      <c r="G943" t="s">
        <v>731</v>
      </c>
      <c r="H943" t="s">
        <v>80</v>
      </c>
      <c r="I943" t="s">
        <v>146</v>
      </c>
      <c r="J943" t="s">
        <v>25</v>
      </c>
      <c r="K943" t="s">
        <v>5157</v>
      </c>
      <c r="L943">
        <v>0.1</v>
      </c>
      <c r="M943" t="s">
        <v>5158</v>
      </c>
      <c r="N943" t="s">
        <v>5159</v>
      </c>
      <c r="O943" t="s">
        <v>29</v>
      </c>
      <c r="P943" t="s">
        <v>30</v>
      </c>
      <c r="Q943" t="s">
        <v>44</v>
      </c>
      <c r="R943" s="3">
        <v>870.30899999999997</v>
      </c>
    </row>
    <row r="944" spans="1:18" x14ac:dyDescent="0.3">
      <c r="A944" t="s">
        <v>5160</v>
      </c>
      <c r="B944" t="str">
        <f>TEXT(Raw_Data[[#This Row],[Order Date]],"mmm")</f>
        <v>Aug</v>
      </c>
      <c r="C944" t="s">
        <v>1104</v>
      </c>
      <c r="D944" t="s">
        <v>5161</v>
      </c>
      <c r="E944" t="s">
        <v>48</v>
      </c>
      <c r="F944" t="s">
        <v>21</v>
      </c>
      <c r="G944" t="s">
        <v>130</v>
      </c>
      <c r="H944" t="s">
        <v>23</v>
      </c>
      <c r="I944" t="s">
        <v>49</v>
      </c>
      <c r="J944" t="s">
        <v>50</v>
      </c>
      <c r="K944" t="s">
        <v>5162</v>
      </c>
      <c r="L944">
        <v>0.15</v>
      </c>
      <c r="M944" t="s">
        <v>5163</v>
      </c>
      <c r="N944" t="s">
        <v>5164</v>
      </c>
      <c r="O944" t="s">
        <v>29</v>
      </c>
      <c r="P944" t="s">
        <v>30</v>
      </c>
      <c r="Q944" t="s">
        <v>31</v>
      </c>
      <c r="R944" s="3">
        <v>15704.2599999999</v>
      </c>
    </row>
    <row r="945" spans="1:18" x14ac:dyDescent="0.3">
      <c r="A945" t="s">
        <v>5165</v>
      </c>
      <c r="B945" t="str">
        <f>TEXT(Raw_Data[[#This Row],[Order Date]],"mmm")</f>
        <v>Sep</v>
      </c>
      <c r="C945" t="s">
        <v>1192</v>
      </c>
      <c r="D945" t="s">
        <v>5166</v>
      </c>
      <c r="E945" t="s">
        <v>20</v>
      </c>
      <c r="F945" t="s">
        <v>89</v>
      </c>
      <c r="G945" t="s">
        <v>90</v>
      </c>
      <c r="H945" t="s">
        <v>154</v>
      </c>
      <c r="I945" t="s">
        <v>155</v>
      </c>
      <c r="J945" t="s">
        <v>25</v>
      </c>
      <c r="K945" t="s">
        <v>5167</v>
      </c>
      <c r="L945">
        <v>0.15</v>
      </c>
      <c r="M945" t="s">
        <v>5168</v>
      </c>
      <c r="N945" t="s">
        <v>5169</v>
      </c>
      <c r="O945" t="s">
        <v>173</v>
      </c>
      <c r="P945" t="s">
        <v>30</v>
      </c>
      <c r="Q945" t="s">
        <v>44</v>
      </c>
      <c r="R945" s="3">
        <v>3960.5835000000002</v>
      </c>
    </row>
    <row r="946" spans="1:18" x14ac:dyDescent="0.3">
      <c r="A946" t="s">
        <v>5170</v>
      </c>
      <c r="B946" t="str">
        <f>TEXT(Raw_Data[[#This Row],[Order Date]],"mmm")</f>
        <v>Oct</v>
      </c>
      <c r="C946" t="s">
        <v>2438</v>
      </c>
      <c r="D946" t="s">
        <v>5171</v>
      </c>
      <c r="E946" t="s">
        <v>48</v>
      </c>
      <c r="F946" t="s">
        <v>69</v>
      </c>
      <c r="G946" t="s">
        <v>70</v>
      </c>
      <c r="H946" t="s">
        <v>80</v>
      </c>
      <c r="I946" t="s">
        <v>146</v>
      </c>
      <c r="J946" t="s">
        <v>50</v>
      </c>
      <c r="K946" t="s">
        <v>5172</v>
      </c>
      <c r="L946">
        <v>0</v>
      </c>
      <c r="M946" t="s">
        <v>5173</v>
      </c>
      <c r="N946" t="s">
        <v>5174</v>
      </c>
      <c r="O946" t="s">
        <v>43</v>
      </c>
      <c r="P946" t="s">
        <v>30</v>
      </c>
      <c r="Q946" t="s">
        <v>65</v>
      </c>
      <c r="R946" s="3">
        <v>9112.64</v>
      </c>
    </row>
    <row r="947" spans="1:18" x14ac:dyDescent="0.3">
      <c r="A947" t="s">
        <v>5175</v>
      </c>
      <c r="B947" t="str">
        <f>TEXT(Raw_Data[[#This Row],[Order Date]],"mmm")</f>
        <v>May</v>
      </c>
      <c r="C947" t="s">
        <v>3348</v>
      </c>
      <c r="D947" t="s">
        <v>5176</v>
      </c>
      <c r="E947" t="s">
        <v>35</v>
      </c>
      <c r="F947" t="s">
        <v>106</v>
      </c>
      <c r="G947" t="s">
        <v>106</v>
      </c>
      <c r="H947" t="s">
        <v>107</v>
      </c>
      <c r="I947" t="s">
        <v>591</v>
      </c>
      <c r="J947" t="s">
        <v>25</v>
      </c>
      <c r="K947" t="s">
        <v>5177</v>
      </c>
      <c r="L947">
        <v>0.2</v>
      </c>
      <c r="M947" t="s">
        <v>5178</v>
      </c>
      <c r="N947" t="s">
        <v>5179</v>
      </c>
      <c r="O947" t="s">
        <v>173</v>
      </c>
      <c r="P947" t="s">
        <v>95</v>
      </c>
      <c r="Q947" t="s">
        <v>44</v>
      </c>
      <c r="R947" s="3">
        <v>5174.8320000000003</v>
      </c>
    </row>
    <row r="948" spans="1:18" x14ac:dyDescent="0.3">
      <c r="A948" t="s">
        <v>5180</v>
      </c>
      <c r="B948" t="str">
        <f>TEXT(Raw_Data[[#This Row],[Order Date]],"mmm")</f>
        <v>Dec</v>
      </c>
      <c r="C948" t="s">
        <v>3862</v>
      </c>
      <c r="D948" t="s">
        <v>5181</v>
      </c>
      <c r="E948" t="s">
        <v>48</v>
      </c>
      <c r="F948" t="s">
        <v>36</v>
      </c>
      <c r="G948" t="s">
        <v>414</v>
      </c>
      <c r="H948" t="s">
        <v>80</v>
      </c>
      <c r="I948" t="s">
        <v>146</v>
      </c>
      <c r="J948" t="s">
        <v>25</v>
      </c>
      <c r="K948" t="s">
        <v>5182</v>
      </c>
      <c r="L948">
        <v>0.1</v>
      </c>
      <c r="M948" t="s">
        <v>5183</v>
      </c>
      <c r="N948" t="s">
        <v>5184</v>
      </c>
      <c r="O948" t="s">
        <v>43</v>
      </c>
      <c r="P948" t="s">
        <v>30</v>
      </c>
      <c r="Q948" t="s">
        <v>31</v>
      </c>
      <c r="R948" s="3">
        <v>1868.364</v>
      </c>
    </row>
    <row r="949" spans="1:18" x14ac:dyDescent="0.3">
      <c r="A949" t="s">
        <v>5185</v>
      </c>
      <c r="B949" t="str">
        <f>TEXT(Raw_Data[[#This Row],[Order Date]],"mmm")</f>
        <v>Jul</v>
      </c>
      <c r="C949" t="s">
        <v>3461</v>
      </c>
      <c r="D949" t="s">
        <v>5186</v>
      </c>
      <c r="E949" t="s">
        <v>20</v>
      </c>
      <c r="F949" t="s">
        <v>215</v>
      </c>
      <c r="G949" t="s">
        <v>276</v>
      </c>
      <c r="H949" t="s">
        <v>80</v>
      </c>
      <c r="I949" t="s">
        <v>146</v>
      </c>
      <c r="J949" t="s">
        <v>25</v>
      </c>
      <c r="K949" t="s">
        <v>5187</v>
      </c>
      <c r="L949">
        <v>0</v>
      </c>
      <c r="M949" t="s">
        <v>5188</v>
      </c>
      <c r="N949" t="s">
        <v>5189</v>
      </c>
      <c r="O949" t="s">
        <v>173</v>
      </c>
      <c r="P949" t="s">
        <v>30</v>
      </c>
      <c r="Q949" t="s">
        <v>31</v>
      </c>
      <c r="R949" s="3">
        <v>1052.9000000000001</v>
      </c>
    </row>
    <row r="950" spans="1:18" x14ac:dyDescent="0.3">
      <c r="A950" t="s">
        <v>5190</v>
      </c>
      <c r="B950" t="str">
        <f>TEXT(Raw_Data[[#This Row],[Order Date]],"mmm")</f>
        <v>Jan</v>
      </c>
      <c r="C950" t="s">
        <v>2464</v>
      </c>
      <c r="D950" t="s">
        <v>5191</v>
      </c>
      <c r="E950" t="s">
        <v>20</v>
      </c>
      <c r="F950" t="s">
        <v>215</v>
      </c>
      <c r="G950" t="s">
        <v>276</v>
      </c>
      <c r="H950" t="s">
        <v>23</v>
      </c>
      <c r="I950" t="s">
        <v>183</v>
      </c>
      <c r="J950" t="s">
        <v>25</v>
      </c>
      <c r="K950" t="s">
        <v>5192</v>
      </c>
      <c r="L950">
        <v>0.1</v>
      </c>
      <c r="M950" t="s">
        <v>5193</v>
      </c>
      <c r="N950" t="s">
        <v>5194</v>
      </c>
      <c r="O950" t="s">
        <v>29</v>
      </c>
      <c r="P950" t="s">
        <v>112</v>
      </c>
      <c r="Q950" t="s">
        <v>65</v>
      </c>
      <c r="R950" s="3">
        <v>31492.035</v>
      </c>
    </row>
    <row r="951" spans="1:18" x14ac:dyDescent="0.3">
      <c r="A951" t="s">
        <v>5195</v>
      </c>
      <c r="B951" t="str">
        <f>TEXT(Raw_Data[[#This Row],[Order Date]],"mmm")</f>
        <v>Feb</v>
      </c>
      <c r="C951" t="s">
        <v>2361</v>
      </c>
      <c r="D951" t="s">
        <v>5196</v>
      </c>
      <c r="E951" t="s">
        <v>48</v>
      </c>
      <c r="F951" t="s">
        <v>36</v>
      </c>
      <c r="G951" t="s">
        <v>37</v>
      </c>
      <c r="H951" t="s">
        <v>23</v>
      </c>
      <c r="I951" t="s">
        <v>183</v>
      </c>
      <c r="J951" t="s">
        <v>50</v>
      </c>
      <c r="K951" t="s">
        <v>5197</v>
      </c>
      <c r="L951">
        <v>0</v>
      </c>
      <c r="M951" t="s">
        <v>5198</v>
      </c>
      <c r="N951" t="s">
        <v>5199</v>
      </c>
      <c r="O951" t="s">
        <v>54</v>
      </c>
      <c r="P951" t="s">
        <v>112</v>
      </c>
      <c r="Q951" t="s">
        <v>65</v>
      </c>
      <c r="R951" s="3">
        <v>98074.98</v>
      </c>
    </row>
    <row r="952" spans="1:18" x14ac:dyDescent="0.3">
      <c r="A952" t="s">
        <v>5200</v>
      </c>
      <c r="B952" t="str">
        <f>TEXT(Raw_Data[[#This Row],[Order Date]],"mmm")</f>
        <v>Apr</v>
      </c>
      <c r="C952" t="s">
        <v>804</v>
      </c>
      <c r="D952" t="s">
        <v>5201</v>
      </c>
      <c r="E952" t="s">
        <v>48</v>
      </c>
      <c r="F952" t="s">
        <v>69</v>
      </c>
      <c r="G952" t="s">
        <v>139</v>
      </c>
      <c r="H952" t="s">
        <v>80</v>
      </c>
      <c r="I952" t="s">
        <v>116</v>
      </c>
      <c r="J952" t="s">
        <v>25</v>
      </c>
      <c r="K952" t="s">
        <v>5202</v>
      </c>
      <c r="L952">
        <v>0.15</v>
      </c>
      <c r="M952" t="s">
        <v>5203</v>
      </c>
      <c r="N952" t="s">
        <v>5204</v>
      </c>
      <c r="O952" t="s">
        <v>64</v>
      </c>
      <c r="P952" t="s">
        <v>30</v>
      </c>
      <c r="Q952" t="s">
        <v>44</v>
      </c>
      <c r="R952" s="3">
        <v>2552.0825</v>
      </c>
    </row>
    <row r="953" spans="1:18" x14ac:dyDescent="0.3">
      <c r="A953" t="s">
        <v>5205</v>
      </c>
      <c r="B953" t="str">
        <f>TEXT(Raw_Data[[#This Row],[Order Date]],"mmm")</f>
        <v>Jan</v>
      </c>
      <c r="C953" t="s">
        <v>1015</v>
      </c>
      <c r="D953" t="s">
        <v>5206</v>
      </c>
      <c r="E953" t="s">
        <v>48</v>
      </c>
      <c r="F953" t="s">
        <v>78</v>
      </c>
      <c r="G953" t="s">
        <v>468</v>
      </c>
      <c r="H953" t="s">
        <v>23</v>
      </c>
      <c r="I953" t="s">
        <v>341</v>
      </c>
      <c r="J953" t="s">
        <v>25</v>
      </c>
      <c r="K953" t="s">
        <v>5207</v>
      </c>
      <c r="L953">
        <v>0.1</v>
      </c>
      <c r="M953" t="s">
        <v>5208</v>
      </c>
      <c r="N953" t="s">
        <v>5209</v>
      </c>
      <c r="O953" t="s">
        <v>173</v>
      </c>
      <c r="P953" t="s">
        <v>112</v>
      </c>
      <c r="Q953" t="s">
        <v>31</v>
      </c>
      <c r="R953" s="3">
        <v>8407.7549999999992</v>
      </c>
    </row>
    <row r="954" spans="1:18" x14ac:dyDescent="0.3">
      <c r="A954" t="s">
        <v>5210</v>
      </c>
      <c r="B954" t="str">
        <f>TEXT(Raw_Data[[#This Row],[Order Date]],"mmm")</f>
        <v>Jun</v>
      </c>
      <c r="C954" t="s">
        <v>3263</v>
      </c>
      <c r="D954" t="s">
        <v>5211</v>
      </c>
      <c r="E954" t="s">
        <v>20</v>
      </c>
      <c r="F954" t="s">
        <v>106</v>
      </c>
      <c r="G954" t="s">
        <v>106</v>
      </c>
      <c r="H954" t="s">
        <v>23</v>
      </c>
      <c r="I954" t="s">
        <v>341</v>
      </c>
      <c r="J954" t="s">
        <v>100</v>
      </c>
      <c r="K954" t="s">
        <v>5212</v>
      </c>
      <c r="L954">
        <v>0.1</v>
      </c>
      <c r="M954" t="s">
        <v>5213</v>
      </c>
      <c r="N954" t="s">
        <v>5214</v>
      </c>
      <c r="O954" t="s">
        <v>173</v>
      </c>
      <c r="P954" t="s">
        <v>30</v>
      </c>
      <c r="Q954" t="s">
        <v>65</v>
      </c>
      <c r="R954" s="3">
        <v>111517.533</v>
      </c>
    </row>
    <row r="955" spans="1:18" x14ac:dyDescent="0.3">
      <c r="A955" t="s">
        <v>5215</v>
      </c>
      <c r="B955" t="str">
        <f>TEXT(Raw_Data[[#This Row],[Order Date]],"mmm")</f>
        <v>Aug</v>
      </c>
      <c r="C955" t="s">
        <v>1442</v>
      </c>
      <c r="D955" t="s">
        <v>5216</v>
      </c>
      <c r="E955" t="s">
        <v>35</v>
      </c>
      <c r="F955" t="s">
        <v>89</v>
      </c>
      <c r="G955" t="s">
        <v>99</v>
      </c>
      <c r="H955" t="s">
        <v>154</v>
      </c>
      <c r="I955" t="s">
        <v>237</v>
      </c>
      <c r="J955" t="s">
        <v>25</v>
      </c>
      <c r="K955" t="s">
        <v>5217</v>
      </c>
      <c r="L955">
        <v>0.15</v>
      </c>
      <c r="M955" t="s">
        <v>5218</v>
      </c>
      <c r="N955" t="s">
        <v>5219</v>
      </c>
      <c r="O955" t="s">
        <v>173</v>
      </c>
      <c r="P955" t="s">
        <v>30</v>
      </c>
      <c r="Q955" t="s">
        <v>31</v>
      </c>
      <c r="R955" s="3">
        <v>7412.2039999999997</v>
      </c>
    </row>
    <row r="956" spans="1:18" x14ac:dyDescent="0.3">
      <c r="A956" t="s">
        <v>5220</v>
      </c>
      <c r="B956" t="str">
        <f>TEXT(Raw_Data[[#This Row],[Order Date]],"mmm")</f>
        <v>Jan</v>
      </c>
      <c r="C956" t="s">
        <v>1878</v>
      </c>
      <c r="D956" t="s">
        <v>5221</v>
      </c>
      <c r="E956" t="s">
        <v>35</v>
      </c>
      <c r="F956" t="s">
        <v>21</v>
      </c>
      <c r="G956" t="s">
        <v>130</v>
      </c>
      <c r="H956" t="s">
        <v>154</v>
      </c>
      <c r="I956" t="s">
        <v>309</v>
      </c>
      <c r="J956" t="s">
        <v>25</v>
      </c>
      <c r="K956" t="s">
        <v>5222</v>
      </c>
      <c r="L956">
        <v>0</v>
      </c>
      <c r="M956" t="s">
        <v>5223</v>
      </c>
      <c r="N956" t="s">
        <v>5224</v>
      </c>
      <c r="O956" t="s">
        <v>173</v>
      </c>
      <c r="P956" t="s">
        <v>30</v>
      </c>
      <c r="Q956" t="s">
        <v>65</v>
      </c>
      <c r="R956" s="3">
        <v>9007.09</v>
      </c>
    </row>
    <row r="957" spans="1:18" x14ac:dyDescent="0.3">
      <c r="A957" t="s">
        <v>5225</v>
      </c>
      <c r="B957" t="str">
        <f>TEXT(Raw_Data[[#This Row],[Order Date]],"mmm")</f>
        <v>Jan</v>
      </c>
      <c r="C957" t="s">
        <v>924</v>
      </c>
      <c r="D957" t="s">
        <v>5226</v>
      </c>
      <c r="E957" t="s">
        <v>35</v>
      </c>
      <c r="F957" t="s">
        <v>21</v>
      </c>
      <c r="G957" t="s">
        <v>130</v>
      </c>
      <c r="H957" t="s">
        <v>23</v>
      </c>
      <c r="I957" t="s">
        <v>263</v>
      </c>
      <c r="J957" t="s">
        <v>25</v>
      </c>
      <c r="K957" t="s">
        <v>5227</v>
      </c>
      <c r="L957">
        <v>0.15</v>
      </c>
      <c r="M957" t="s">
        <v>5228</v>
      </c>
      <c r="N957" t="s">
        <v>5229</v>
      </c>
      <c r="O957" t="s">
        <v>173</v>
      </c>
      <c r="P957" t="s">
        <v>30</v>
      </c>
      <c r="Q957" t="s">
        <v>31</v>
      </c>
      <c r="R957" s="3">
        <v>60941.26</v>
      </c>
    </row>
    <row r="958" spans="1:18" x14ac:dyDescent="0.3">
      <c r="A958" t="s">
        <v>5230</v>
      </c>
      <c r="B958" t="str">
        <f>TEXT(Raw_Data[[#This Row],[Order Date]],"mmm")</f>
        <v>Jan</v>
      </c>
      <c r="C958" t="s">
        <v>261</v>
      </c>
      <c r="D958" t="s">
        <v>5231</v>
      </c>
      <c r="E958" t="s">
        <v>48</v>
      </c>
      <c r="F958" t="s">
        <v>215</v>
      </c>
      <c r="G958" t="s">
        <v>276</v>
      </c>
      <c r="H958" t="s">
        <v>107</v>
      </c>
      <c r="I958" t="s">
        <v>277</v>
      </c>
      <c r="J958" t="s">
        <v>25</v>
      </c>
      <c r="K958" t="s">
        <v>5232</v>
      </c>
      <c r="L958">
        <v>0.2</v>
      </c>
      <c r="M958" t="s">
        <v>5233</v>
      </c>
      <c r="N958" t="s">
        <v>5234</v>
      </c>
      <c r="O958" t="s">
        <v>54</v>
      </c>
      <c r="P958" t="s">
        <v>30</v>
      </c>
      <c r="Q958" t="s">
        <v>44</v>
      </c>
      <c r="R958" s="3">
        <v>5283.5439999999999</v>
      </c>
    </row>
    <row r="959" spans="1:18" x14ac:dyDescent="0.3">
      <c r="A959" t="s">
        <v>5235</v>
      </c>
      <c r="B959" t="str">
        <f>TEXT(Raw_Data[[#This Row],[Order Date]],"mmm")</f>
        <v>Jan</v>
      </c>
      <c r="C959" t="s">
        <v>891</v>
      </c>
      <c r="D959" t="s">
        <v>5236</v>
      </c>
      <c r="E959" t="s">
        <v>35</v>
      </c>
      <c r="F959" t="s">
        <v>36</v>
      </c>
      <c r="G959" t="s">
        <v>37</v>
      </c>
      <c r="H959" t="s">
        <v>23</v>
      </c>
      <c r="I959" t="s">
        <v>49</v>
      </c>
      <c r="J959" t="s">
        <v>25</v>
      </c>
      <c r="K959" t="s">
        <v>5237</v>
      </c>
      <c r="L959">
        <v>0.1</v>
      </c>
      <c r="M959" t="s">
        <v>5238</v>
      </c>
      <c r="N959" t="s">
        <v>5239</v>
      </c>
      <c r="O959" t="s">
        <v>43</v>
      </c>
      <c r="P959" t="s">
        <v>30</v>
      </c>
      <c r="Q959" t="s">
        <v>65</v>
      </c>
      <c r="R959" s="3">
        <v>51471.197999999997</v>
      </c>
    </row>
    <row r="960" spans="1:18" x14ac:dyDescent="0.3">
      <c r="A960" t="s">
        <v>5240</v>
      </c>
      <c r="B960" t="str">
        <f>TEXT(Raw_Data[[#This Row],[Order Date]],"mmm")</f>
        <v>Dec</v>
      </c>
      <c r="C960" t="s">
        <v>3862</v>
      </c>
      <c r="D960" t="s">
        <v>5241</v>
      </c>
      <c r="E960" t="s">
        <v>35</v>
      </c>
      <c r="F960" t="s">
        <v>89</v>
      </c>
      <c r="G960" t="s">
        <v>90</v>
      </c>
      <c r="H960" t="s">
        <v>23</v>
      </c>
      <c r="I960" t="s">
        <v>183</v>
      </c>
      <c r="J960" t="s">
        <v>50</v>
      </c>
      <c r="K960" t="s">
        <v>5242</v>
      </c>
      <c r="L960">
        <v>0.15</v>
      </c>
      <c r="M960" t="s">
        <v>5243</v>
      </c>
      <c r="N960" t="s">
        <v>5244</v>
      </c>
      <c r="O960" t="s">
        <v>173</v>
      </c>
      <c r="P960" t="s">
        <v>30</v>
      </c>
      <c r="Q960" t="s">
        <v>31</v>
      </c>
      <c r="R960" s="3">
        <v>23891.46</v>
      </c>
    </row>
    <row r="961" spans="1:18" x14ac:dyDescent="0.3">
      <c r="A961" t="s">
        <v>5245</v>
      </c>
      <c r="B961" t="str">
        <f>TEXT(Raw_Data[[#This Row],[Order Date]],"mmm")</f>
        <v>Aug</v>
      </c>
      <c r="C961" t="s">
        <v>2112</v>
      </c>
      <c r="D961" t="s">
        <v>5246</v>
      </c>
      <c r="E961" t="s">
        <v>20</v>
      </c>
      <c r="F961" t="s">
        <v>89</v>
      </c>
      <c r="G961" t="s">
        <v>230</v>
      </c>
      <c r="H961" t="s">
        <v>23</v>
      </c>
      <c r="I961" t="s">
        <v>49</v>
      </c>
      <c r="J961" t="s">
        <v>100</v>
      </c>
      <c r="K961" t="s">
        <v>5247</v>
      </c>
      <c r="L961">
        <v>0.1</v>
      </c>
      <c r="M961" t="s">
        <v>5248</v>
      </c>
      <c r="N961" t="s">
        <v>5249</v>
      </c>
      <c r="O961" t="s">
        <v>173</v>
      </c>
      <c r="P961" t="s">
        <v>30</v>
      </c>
      <c r="Q961" t="s">
        <v>65</v>
      </c>
      <c r="R961" s="3">
        <v>66586.805999999997</v>
      </c>
    </row>
    <row r="962" spans="1:18" x14ac:dyDescent="0.3">
      <c r="A962" t="s">
        <v>5250</v>
      </c>
      <c r="B962" t="str">
        <f>TEXT(Raw_Data[[#This Row],[Order Date]],"mmm")</f>
        <v>Dec</v>
      </c>
      <c r="C962" t="s">
        <v>1003</v>
      </c>
      <c r="D962" t="s">
        <v>5251</v>
      </c>
      <c r="E962" t="s">
        <v>20</v>
      </c>
      <c r="F962" t="s">
        <v>58</v>
      </c>
      <c r="G962" t="s">
        <v>812</v>
      </c>
      <c r="H962" t="s">
        <v>38</v>
      </c>
      <c r="I962" t="s">
        <v>39</v>
      </c>
      <c r="J962" t="s">
        <v>25</v>
      </c>
      <c r="K962" t="s">
        <v>5252</v>
      </c>
      <c r="L962">
        <v>0</v>
      </c>
      <c r="M962" t="s">
        <v>5253</v>
      </c>
      <c r="N962" t="s">
        <v>5254</v>
      </c>
      <c r="O962" t="s">
        <v>135</v>
      </c>
      <c r="P962" t="s">
        <v>30</v>
      </c>
      <c r="Q962" t="s">
        <v>65</v>
      </c>
      <c r="R962" s="3">
        <v>5599.14</v>
      </c>
    </row>
    <row r="963" spans="1:18" x14ac:dyDescent="0.3">
      <c r="A963" t="s">
        <v>5255</v>
      </c>
      <c r="B963" t="str">
        <f>TEXT(Raw_Data[[#This Row],[Order Date]],"mmm")</f>
        <v>Jul</v>
      </c>
      <c r="C963" t="s">
        <v>2305</v>
      </c>
      <c r="D963" t="s">
        <v>5256</v>
      </c>
      <c r="E963" t="s">
        <v>20</v>
      </c>
      <c r="F963" t="s">
        <v>69</v>
      </c>
      <c r="G963" t="s">
        <v>139</v>
      </c>
      <c r="H963" t="s">
        <v>23</v>
      </c>
      <c r="I963" t="s">
        <v>24</v>
      </c>
      <c r="J963" t="s">
        <v>25</v>
      </c>
      <c r="K963" t="s">
        <v>5257</v>
      </c>
      <c r="L963">
        <v>0.05</v>
      </c>
      <c r="M963" t="s">
        <v>5258</v>
      </c>
      <c r="N963" t="s">
        <v>5259</v>
      </c>
      <c r="O963" t="s">
        <v>64</v>
      </c>
      <c r="P963" t="s">
        <v>30</v>
      </c>
      <c r="Q963" t="s">
        <v>44</v>
      </c>
      <c r="R963" s="3">
        <v>70132.191999999995</v>
      </c>
    </row>
    <row r="964" spans="1:18" x14ac:dyDescent="0.3">
      <c r="A964" t="s">
        <v>5260</v>
      </c>
      <c r="B964" t="str">
        <f>TEXT(Raw_Data[[#This Row],[Order Date]],"mmm")</f>
        <v>Mar</v>
      </c>
      <c r="C964" t="s">
        <v>1527</v>
      </c>
      <c r="D964" t="s">
        <v>5261</v>
      </c>
      <c r="E964" t="s">
        <v>20</v>
      </c>
      <c r="F964" t="s">
        <v>36</v>
      </c>
      <c r="G964" t="s">
        <v>153</v>
      </c>
      <c r="H964" t="s">
        <v>23</v>
      </c>
      <c r="I964" t="s">
        <v>49</v>
      </c>
      <c r="J964" t="s">
        <v>82</v>
      </c>
      <c r="K964" t="s">
        <v>5262</v>
      </c>
      <c r="L964">
        <v>0.05</v>
      </c>
      <c r="M964" t="s">
        <v>5263</v>
      </c>
      <c r="N964" t="s">
        <v>5264</v>
      </c>
      <c r="O964" t="s">
        <v>173</v>
      </c>
      <c r="P964" t="s">
        <v>112</v>
      </c>
      <c r="Q964" t="s">
        <v>31</v>
      </c>
      <c r="R964" s="3">
        <v>221729.543999999</v>
      </c>
    </row>
    <row r="965" spans="1:18" x14ac:dyDescent="0.3">
      <c r="A965" t="s">
        <v>5265</v>
      </c>
      <c r="B965" t="str">
        <f>TEXT(Raw_Data[[#This Row],[Order Date]],"mmm")</f>
        <v>Oct</v>
      </c>
      <c r="C965" t="s">
        <v>2438</v>
      </c>
      <c r="D965" t="s">
        <v>5266</v>
      </c>
      <c r="E965" t="s">
        <v>35</v>
      </c>
      <c r="F965" t="s">
        <v>215</v>
      </c>
      <c r="G965" t="s">
        <v>216</v>
      </c>
      <c r="H965" t="s">
        <v>107</v>
      </c>
      <c r="I965" t="s">
        <v>108</v>
      </c>
      <c r="J965" t="s">
        <v>25</v>
      </c>
      <c r="K965" t="s">
        <v>5267</v>
      </c>
      <c r="L965">
        <v>0</v>
      </c>
      <c r="M965" t="s">
        <v>5268</v>
      </c>
      <c r="N965" t="s">
        <v>5269</v>
      </c>
      <c r="O965" t="s">
        <v>54</v>
      </c>
      <c r="P965" t="s">
        <v>30</v>
      </c>
      <c r="Q965" t="s">
        <v>31</v>
      </c>
      <c r="R965" s="3">
        <v>16858.03</v>
      </c>
    </row>
    <row r="966" spans="1:18" x14ac:dyDescent="0.3">
      <c r="A966" t="s">
        <v>5270</v>
      </c>
      <c r="B966" t="str">
        <f>TEXT(Raw_Data[[#This Row],[Order Date]],"mmm")</f>
        <v>May</v>
      </c>
      <c r="C966" t="s">
        <v>948</v>
      </c>
      <c r="D966" t="s">
        <v>5271</v>
      </c>
      <c r="E966" t="s">
        <v>20</v>
      </c>
      <c r="F966" t="s">
        <v>69</v>
      </c>
      <c r="G966" t="s">
        <v>70</v>
      </c>
      <c r="H966" t="s">
        <v>80</v>
      </c>
      <c r="I966" t="s">
        <v>81</v>
      </c>
      <c r="J966" t="s">
        <v>50</v>
      </c>
      <c r="K966" t="s">
        <v>5272</v>
      </c>
      <c r="L966">
        <v>0.15</v>
      </c>
      <c r="M966" t="s">
        <v>5273</v>
      </c>
      <c r="N966" t="s">
        <v>5274</v>
      </c>
      <c r="O966" t="s">
        <v>64</v>
      </c>
      <c r="P966" t="s">
        <v>30</v>
      </c>
      <c r="Q966" t="s">
        <v>44</v>
      </c>
      <c r="R966" s="3">
        <v>1891.607</v>
      </c>
    </row>
    <row r="967" spans="1:18" x14ac:dyDescent="0.3">
      <c r="A967" t="s">
        <v>5275</v>
      </c>
      <c r="B967" t="str">
        <f>TEXT(Raw_Data[[#This Row],[Order Date]],"mmm")</f>
        <v>Sep</v>
      </c>
      <c r="C967" t="s">
        <v>2824</v>
      </c>
      <c r="D967" t="s">
        <v>5276</v>
      </c>
      <c r="E967" t="s">
        <v>35</v>
      </c>
      <c r="F967" t="s">
        <v>215</v>
      </c>
      <c r="G967" t="s">
        <v>216</v>
      </c>
      <c r="H967" t="s">
        <v>154</v>
      </c>
      <c r="I967" t="s">
        <v>309</v>
      </c>
      <c r="J967" t="s">
        <v>50</v>
      </c>
      <c r="K967" t="s">
        <v>5277</v>
      </c>
      <c r="L967">
        <v>0.2</v>
      </c>
      <c r="M967" t="s">
        <v>5278</v>
      </c>
      <c r="N967" t="s">
        <v>5279</v>
      </c>
      <c r="O967" t="s">
        <v>173</v>
      </c>
      <c r="P967" t="s">
        <v>30</v>
      </c>
      <c r="Q967" t="s">
        <v>44</v>
      </c>
      <c r="R967" s="3">
        <v>10693.312</v>
      </c>
    </row>
    <row r="968" spans="1:18" x14ac:dyDescent="0.3">
      <c r="A968" t="s">
        <v>5280</v>
      </c>
      <c r="B968" t="str">
        <f>TEXT(Raw_Data[[#This Row],[Order Date]],"mmm")</f>
        <v>May</v>
      </c>
      <c r="C968" t="s">
        <v>1348</v>
      </c>
      <c r="D968" t="s">
        <v>5281</v>
      </c>
      <c r="E968" t="s">
        <v>35</v>
      </c>
      <c r="F968" t="s">
        <v>89</v>
      </c>
      <c r="G968" t="s">
        <v>230</v>
      </c>
      <c r="H968" t="s">
        <v>80</v>
      </c>
      <c r="I968" t="s">
        <v>116</v>
      </c>
      <c r="J968" t="s">
        <v>25</v>
      </c>
      <c r="K968" t="s">
        <v>5282</v>
      </c>
      <c r="L968">
        <v>0.05</v>
      </c>
      <c r="M968" t="s">
        <v>5283</v>
      </c>
      <c r="N968" t="s">
        <v>5284</v>
      </c>
      <c r="O968" t="s">
        <v>64</v>
      </c>
      <c r="P968" t="s">
        <v>30</v>
      </c>
      <c r="Q968" t="s">
        <v>31</v>
      </c>
      <c r="R968" s="3">
        <v>1112.2314999999901</v>
      </c>
    </row>
    <row r="969" spans="1:18" x14ac:dyDescent="0.3">
      <c r="A969" t="s">
        <v>5285</v>
      </c>
      <c r="B969" t="str">
        <f>TEXT(Raw_Data[[#This Row],[Order Date]],"mmm")</f>
        <v>Oct</v>
      </c>
      <c r="C969" t="s">
        <v>2316</v>
      </c>
      <c r="D969" t="s">
        <v>5286</v>
      </c>
      <c r="E969" t="s">
        <v>48</v>
      </c>
      <c r="F969" t="s">
        <v>215</v>
      </c>
      <c r="G969" t="s">
        <v>216</v>
      </c>
      <c r="H969" t="s">
        <v>107</v>
      </c>
      <c r="I969" t="s">
        <v>108</v>
      </c>
      <c r="J969" t="s">
        <v>25</v>
      </c>
      <c r="K969" t="s">
        <v>5287</v>
      </c>
      <c r="L969">
        <v>0</v>
      </c>
      <c r="M969" t="s">
        <v>5288</v>
      </c>
      <c r="N969" t="s">
        <v>5289</v>
      </c>
      <c r="O969" t="s">
        <v>64</v>
      </c>
      <c r="P969" t="s">
        <v>95</v>
      </c>
      <c r="Q969" t="s">
        <v>65</v>
      </c>
      <c r="R969" s="3">
        <v>6168.24</v>
      </c>
    </row>
    <row r="970" spans="1:18" x14ac:dyDescent="0.3">
      <c r="A970" t="s">
        <v>5290</v>
      </c>
      <c r="B970" t="str">
        <f>TEXT(Raw_Data[[#This Row],[Order Date]],"mmm")</f>
        <v>Sep</v>
      </c>
      <c r="C970" t="s">
        <v>76</v>
      </c>
      <c r="D970" t="s">
        <v>5291</v>
      </c>
      <c r="E970" t="s">
        <v>20</v>
      </c>
      <c r="F970" t="s">
        <v>21</v>
      </c>
      <c r="G970" t="s">
        <v>130</v>
      </c>
      <c r="H970" t="s">
        <v>80</v>
      </c>
      <c r="I970" t="s">
        <v>81</v>
      </c>
      <c r="J970" t="s">
        <v>50</v>
      </c>
      <c r="K970" t="s">
        <v>5292</v>
      </c>
      <c r="L970">
        <v>0.05</v>
      </c>
      <c r="M970" t="s">
        <v>5293</v>
      </c>
      <c r="N970" t="s">
        <v>5294</v>
      </c>
      <c r="O970" t="s">
        <v>29</v>
      </c>
      <c r="P970" t="s">
        <v>30</v>
      </c>
      <c r="Q970" t="s">
        <v>44</v>
      </c>
      <c r="R970" s="3">
        <v>3954.1469999999999</v>
      </c>
    </row>
    <row r="971" spans="1:18" x14ac:dyDescent="0.3">
      <c r="A971" t="s">
        <v>5295</v>
      </c>
      <c r="B971" t="str">
        <f>TEXT(Raw_Data[[#This Row],[Order Date]],"mmm")</f>
        <v>Feb</v>
      </c>
      <c r="C971" t="s">
        <v>1087</v>
      </c>
      <c r="D971" t="s">
        <v>5296</v>
      </c>
      <c r="E971" t="s">
        <v>35</v>
      </c>
      <c r="F971" t="s">
        <v>89</v>
      </c>
      <c r="G971" t="s">
        <v>99</v>
      </c>
      <c r="H971" t="s">
        <v>154</v>
      </c>
      <c r="I971" t="s">
        <v>155</v>
      </c>
      <c r="J971" t="s">
        <v>25</v>
      </c>
      <c r="K971" t="s">
        <v>5297</v>
      </c>
      <c r="L971">
        <v>0.15</v>
      </c>
      <c r="M971" t="s">
        <v>5298</v>
      </c>
      <c r="N971" t="s">
        <v>5299</v>
      </c>
      <c r="O971" t="s">
        <v>64</v>
      </c>
      <c r="P971" t="s">
        <v>30</v>
      </c>
      <c r="Q971" t="s">
        <v>65</v>
      </c>
      <c r="R971" s="3">
        <v>615.82499999999902</v>
      </c>
    </row>
    <row r="972" spans="1:18" x14ac:dyDescent="0.3">
      <c r="A972" t="s">
        <v>5300</v>
      </c>
      <c r="B972" t="str">
        <f>TEXT(Raw_Data[[#This Row],[Order Date]],"mmm")</f>
        <v>Jun</v>
      </c>
      <c r="C972" t="s">
        <v>3780</v>
      </c>
      <c r="D972" t="s">
        <v>5301</v>
      </c>
      <c r="E972" t="s">
        <v>48</v>
      </c>
      <c r="F972" t="s">
        <v>78</v>
      </c>
      <c r="G972" t="s">
        <v>468</v>
      </c>
      <c r="H972" t="s">
        <v>107</v>
      </c>
      <c r="I972" t="s">
        <v>277</v>
      </c>
      <c r="J972" t="s">
        <v>25</v>
      </c>
      <c r="K972" t="s">
        <v>5302</v>
      </c>
      <c r="L972">
        <v>0.1</v>
      </c>
      <c r="M972" t="s">
        <v>5303</v>
      </c>
      <c r="N972" t="s">
        <v>5304</v>
      </c>
      <c r="O972" t="s">
        <v>29</v>
      </c>
      <c r="P972" t="s">
        <v>30</v>
      </c>
      <c r="Q972" t="s">
        <v>44</v>
      </c>
      <c r="R972" s="3">
        <v>5160.2939999999999</v>
      </c>
    </row>
    <row r="973" spans="1:18" x14ac:dyDescent="0.3">
      <c r="A973" t="s">
        <v>5305</v>
      </c>
      <c r="B973" t="str">
        <f>TEXT(Raw_Data[[#This Row],[Order Date]],"mmm")</f>
        <v>Jul</v>
      </c>
      <c r="C973" t="s">
        <v>1921</v>
      </c>
      <c r="D973" t="s">
        <v>5306</v>
      </c>
      <c r="E973" t="s">
        <v>35</v>
      </c>
      <c r="F973" t="s">
        <v>69</v>
      </c>
      <c r="G973" t="s">
        <v>70</v>
      </c>
      <c r="H973" t="s">
        <v>80</v>
      </c>
      <c r="I973" t="s">
        <v>131</v>
      </c>
      <c r="J973" t="s">
        <v>100</v>
      </c>
      <c r="K973" t="s">
        <v>5307</v>
      </c>
      <c r="L973">
        <v>0.2</v>
      </c>
      <c r="M973" t="s">
        <v>5308</v>
      </c>
      <c r="N973" t="s">
        <v>5309</v>
      </c>
      <c r="O973" t="s">
        <v>29</v>
      </c>
      <c r="P973" t="s">
        <v>30</v>
      </c>
      <c r="Q973" t="s">
        <v>65</v>
      </c>
      <c r="R973" s="3">
        <v>8240.4959999999992</v>
      </c>
    </row>
    <row r="974" spans="1:18" x14ac:dyDescent="0.3">
      <c r="A974" t="s">
        <v>5310</v>
      </c>
      <c r="B974" t="str">
        <f>TEXT(Raw_Data[[#This Row],[Order Date]],"mmm")</f>
        <v>Apr</v>
      </c>
      <c r="C974" t="s">
        <v>2101</v>
      </c>
      <c r="D974" t="s">
        <v>5311</v>
      </c>
      <c r="E974" t="s">
        <v>48</v>
      </c>
      <c r="F974" t="s">
        <v>36</v>
      </c>
      <c r="G974" t="s">
        <v>414</v>
      </c>
      <c r="H974" t="s">
        <v>80</v>
      </c>
      <c r="I974" t="s">
        <v>91</v>
      </c>
      <c r="J974" t="s">
        <v>25</v>
      </c>
      <c r="K974" t="s">
        <v>5312</v>
      </c>
      <c r="L974">
        <v>0.1</v>
      </c>
      <c r="M974" t="s">
        <v>5313</v>
      </c>
      <c r="N974" t="s">
        <v>5314</v>
      </c>
      <c r="O974" t="s">
        <v>64</v>
      </c>
      <c r="P974" t="s">
        <v>30</v>
      </c>
      <c r="Q974" t="s">
        <v>44</v>
      </c>
      <c r="R974" s="3">
        <v>2626.4430000000002</v>
      </c>
    </row>
    <row r="975" spans="1:18" x14ac:dyDescent="0.3">
      <c r="A975" t="s">
        <v>5315</v>
      </c>
      <c r="B975" t="str">
        <f>TEXT(Raw_Data[[#This Row],[Order Date]],"mmm")</f>
        <v>Jun</v>
      </c>
      <c r="C975" t="s">
        <v>2068</v>
      </c>
      <c r="D975" t="s">
        <v>5316</v>
      </c>
      <c r="E975" t="s">
        <v>35</v>
      </c>
      <c r="F975" t="s">
        <v>58</v>
      </c>
      <c r="G975" t="s">
        <v>812</v>
      </c>
      <c r="H975" t="s">
        <v>23</v>
      </c>
      <c r="I975" t="s">
        <v>341</v>
      </c>
      <c r="J975" t="s">
        <v>25</v>
      </c>
      <c r="K975" t="s">
        <v>5317</v>
      </c>
      <c r="L975">
        <v>0.15</v>
      </c>
      <c r="M975" t="s">
        <v>5318</v>
      </c>
      <c r="N975" t="s">
        <v>5319</v>
      </c>
      <c r="O975" t="s">
        <v>43</v>
      </c>
      <c r="P975" t="s">
        <v>30</v>
      </c>
      <c r="Q975" t="s">
        <v>65</v>
      </c>
      <c r="R975" s="3">
        <v>50851.6495</v>
      </c>
    </row>
    <row r="976" spans="1:18" x14ac:dyDescent="0.3">
      <c r="A976" t="s">
        <v>5320</v>
      </c>
      <c r="B976" t="str">
        <f>TEXT(Raw_Data[[#This Row],[Order Date]],"mmm")</f>
        <v>Apr</v>
      </c>
      <c r="C976" t="s">
        <v>804</v>
      </c>
      <c r="D976" t="s">
        <v>5321</v>
      </c>
      <c r="E976" t="s">
        <v>35</v>
      </c>
      <c r="F976" t="s">
        <v>69</v>
      </c>
      <c r="G976" t="s">
        <v>139</v>
      </c>
      <c r="H976" t="s">
        <v>154</v>
      </c>
      <c r="I976" t="s">
        <v>365</v>
      </c>
      <c r="J976" t="s">
        <v>25</v>
      </c>
      <c r="K976" t="s">
        <v>5322</v>
      </c>
      <c r="L976">
        <v>0.1</v>
      </c>
      <c r="M976" t="s">
        <v>5323</v>
      </c>
      <c r="N976" t="s">
        <v>5324</v>
      </c>
      <c r="O976" t="s">
        <v>29</v>
      </c>
      <c r="P976" t="s">
        <v>30</v>
      </c>
      <c r="Q976" t="s">
        <v>65</v>
      </c>
      <c r="R976" s="3">
        <v>8860.5990000000002</v>
      </c>
    </row>
    <row r="977" spans="1:18" x14ac:dyDescent="0.3">
      <c r="A977" t="s">
        <v>5325</v>
      </c>
      <c r="B977" t="str">
        <f>TEXT(Raw_Data[[#This Row],[Order Date]],"mmm")</f>
        <v>Sep</v>
      </c>
      <c r="C977" t="s">
        <v>401</v>
      </c>
      <c r="D977" t="s">
        <v>5326</v>
      </c>
      <c r="E977" t="s">
        <v>35</v>
      </c>
      <c r="F977" t="s">
        <v>106</v>
      </c>
      <c r="G977" t="s">
        <v>106</v>
      </c>
      <c r="H977" t="s">
        <v>154</v>
      </c>
      <c r="I977" t="s">
        <v>309</v>
      </c>
      <c r="J977" t="s">
        <v>25</v>
      </c>
      <c r="K977" t="s">
        <v>5327</v>
      </c>
      <c r="L977">
        <v>0</v>
      </c>
      <c r="M977" t="s">
        <v>5328</v>
      </c>
      <c r="N977" t="s">
        <v>5329</v>
      </c>
      <c r="O977" t="s">
        <v>29</v>
      </c>
      <c r="P977" t="s">
        <v>112</v>
      </c>
      <c r="Q977" t="s">
        <v>44</v>
      </c>
      <c r="R977" s="3">
        <v>7187.6</v>
      </c>
    </row>
    <row r="978" spans="1:18" x14ac:dyDescent="0.3">
      <c r="A978" t="s">
        <v>5330</v>
      </c>
      <c r="B978" t="str">
        <f>TEXT(Raw_Data[[#This Row],[Order Date]],"mmm")</f>
        <v>Feb</v>
      </c>
      <c r="C978" t="s">
        <v>4592</v>
      </c>
      <c r="D978" t="s">
        <v>5331</v>
      </c>
      <c r="E978" t="s">
        <v>35</v>
      </c>
      <c r="F978" t="s">
        <v>58</v>
      </c>
      <c r="G978" t="s">
        <v>290</v>
      </c>
      <c r="H978" t="s">
        <v>154</v>
      </c>
      <c r="I978" t="s">
        <v>309</v>
      </c>
      <c r="J978" t="s">
        <v>50</v>
      </c>
      <c r="K978" t="s">
        <v>5332</v>
      </c>
      <c r="L978">
        <v>0.05</v>
      </c>
      <c r="M978" t="s">
        <v>5333</v>
      </c>
      <c r="N978" t="s">
        <v>5334</v>
      </c>
      <c r="O978" t="s">
        <v>43</v>
      </c>
      <c r="P978" t="s">
        <v>30</v>
      </c>
      <c r="Q978" t="s">
        <v>44</v>
      </c>
      <c r="R978" s="3">
        <v>15382.475999999901</v>
      </c>
    </row>
    <row r="979" spans="1:18" x14ac:dyDescent="0.3">
      <c r="A979" t="s">
        <v>5335</v>
      </c>
      <c r="B979" t="str">
        <f>TEXT(Raw_Data[[#This Row],[Order Date]],"mmm")</f>
        <v>Feb</v>
      </c>
      <c r="C979" t="s">
        <v>4453</v>
      </c>
      <c r="D979" t="s">
        <v>5336</v>
      </c>
      <c r="E979" t="s">
        <v>35</v>
      </c>
      <c r="F979" t="s">
        <v>106</v>
      </c>
      <c r="G979" t="s">
        <v>163</v>
      </c>
      <c r="H979" t="s">
        <v>80</v>
      </c>
      <c r="I979" t="s">
        <v>81</v>
      </c>
      <c r="J979" t="s">
        <v>100</v>
      </c>
      <c r="K979" t="s">
        <v>5337</v>
      </c>
      <c r="L979">
        <v>0.1</v>
      </c>
      <c r="M979" t="s">
        <v>5338</v>
      </c>
      <c r="N979" t="s">
        <v>5339</v>
      </c>
      <c r="O979" t="s">
        <v>64</v>
      </c>
      <c r="P979" t="s">
        <v>30</v>
      </c>
      <c r="Q979" t="s">
        <v>65</v>
      </c>
      <c r="R979" s="3">
        <v>4840.4789999999903</v>
      </c>
    </row>
    <row r="980" spans="1:18" x14ac:dyDescent="0.3">
      <c r="A980" t="s">
        <v>5340</v>
      </c>
      <c r="B980" t="str">
        <f>TEXT(Raw_Data[[#This Row],[Order Date]],"mmm")</f>
        <v>Apr</v>
      </c>
      <c r="C980" t="s">
        <v>5341</v>
      </c>
      <c r="D980" t="s">
        <v>5342</v>
      </c>
      <c r="E980" t="s">
        <v>20</v>
      </c>
      <c r="F980" t="s">
        <v>69</v>
      </c>
      <c r="G980" t="s">
        <v>328</v>
      </c>
      <c r="H980" t="s">
        <v>107</v>
      </c>
      <c r="I980" t="s">
        <v>469</v>
      </c>
      <c r="J980" t="s">
        <v>50</v>
      </c>
      <c r="K980" t="s">
        <v>5343</v>
      </c>
      <c r="L980">
        <v>0.1</v>
      </c>
      <c r="M980" t="s">
        <v>5344</v>
      </c>
      <c r="N980" t="s">
        <v>5345</v>
      </c>
      <c r="O980" t="s">
        <v>29</v>
      </c>
      <c r="P980" t="s">
        <v>30</v>
      </c>
      <c r="Q980" t="s">
        <v>65</v>
      </c>
      <c r="R980" s="3">
        <v>11157.498</v>
      </c>
    </row>
    <row r="981" spans="1:18" x14ac:dyDescent="0.3">
      <c r="A981" t="s">
        <v>5346</v>
      </c>
      <c r="B981" t="str">
        <f>TEXT(Raw_Data[[#This Row],[Order Date]],"mmm")</f>
        <v>Apr</v>
      </c>
      <c r="C981" t="s">
        <v>596</v>
      </c>
      <c r="D981" t="s">
        <v>5347</v>
      </c>
      <c r="E981" t="s">
        <v>35</v>
      </c>
      <c r="F981" t="s">
        <v>78</v>
      </c>
      <c r="G981" t="s">
        <v>731</v>
      </c>
      <c r="H981" t="s">
        <v>38</v>
      </c>
      <c r="I981" t="s">
        <v>60</v>
      </c>
      <c r="J981" t="s">
        <v>50</v>
      </c>
      <c r="K981" t="s">
        <v>5348</v>
      </c>
      <c r="L981">
        <v>0.05</v>
      </c>
      <c r="M981" t="s">
        <v>5349</v>
      </c>
      <c r="N981" t="s">
        <v>5350</v>
      </c>
      <c r="O981" t="s">
        <v>29</v>
      </c>
      <c r="P981" t="s">
        <v>30</v>
      </c>
      <c r="Q981" t="s">
        <v>31</v>
      </c>
      <c r="R981" s="3">
        <v>5283.8049999999903</v>
      </c>
    </row>
    <row r="982" spans="1:18" x14ac:dyDescent="0.3">
      <c r="A982" t="s">
        <v>5351</v>
      </c>
      <c r="B982" t="str">
        <f>TEXT(Raw_Data[[#This Row],[Order Date]],"mmm")</f>
        <v>Sep</v>
      </c>
      <c r="C982" t="s">
        <v>742</v>
      </c>
      <c r="D982" t="s">
        <v>5352</v>
      </c>
      <c r="E982" t="s">
        <v>35</v>
      </c>
      <c r="F982" t="s">
        <v>78</v>
      </c>
      <c r="G982" t="s">
        <v>468</v>
      </c>
      <c r="H982" t="s">
        <v>107</v>
      </c>
      <c r="I982" t="s">
        <v>378</v>
      </c>
      <c r="J982" t="s">
        <v>25</v>
      </c>
      <c r="K982" t="s">
        <v>5353</v>
      </c>
      <c r="L982">
        <v>0.05</v>
      </c>
      <c r="M982" t="s">
        <v>5354</v>
      </c>
      <c r="N982" t="s">
        <v>5355</v>
      </c>
      <c r="O982" t="s">
        <v>43</v>
      </c>
      <c r="P982" t="s">
        <v>30</v>
      </c>
      <c r="Q982" t="s">
        <v>44</v>
      </c>
      <c r="R982" s="3">
        <v>1039.6895</v>
      </c>
    </row>
    <row r="983" spans="1:18" x14ac:dyDescent="0.3">
      <c r="A983" t="s">
        <v>5356</v>
      </c>
      <c r="B983" t="str">
        <f>TEXT(Raw_Data[[#This Row],[Order Date]],"mmm")</f>
        <v>Feb</v>
      </c>
      <c r="C983" t="s">
        <v>845</v>
      </c>
      <c r="D983" t="s">
        <v>5357</v>
      </c>
      <c r="E983" t="s">
        <v>35</v>
      </c>
      <c r="F983" t="s">
        <v>78</v>
      </c>
      <c r="G983" t="s">
        <v>79</v>
      </c>
      <c r="H983" t="s">
        <v>23</v>
      </c>
      <c r="I983" t="s">
        <v>263</v>
      </c>
      <c r="J983" t="s">
        <v>25</v>
      </c>
      <c r="K983" t="s">
        <v>5358</v>
      </c>
      <c r="L983">
        <v>0.05</v>
      </c>
      <c r="M983" t="s">
        <v>5359</v>
      </c>
      <c r="N983" t="s">
        <v>5360</v>
      </c>
      <c r="O983" t="s">
        <v>64</v>
      </c>
      <c r="P983" t="s">
        <v>30</v>
      </c>
      <c r="Q983" t="s">
        <v>44</v>
      </c>
      <c r="R983" s="3">
        <v>18144.581999999999</v>
      </c>
    </row>
    <row r="984" spans="1:18" x14ac:dyDescent="0.3">
      <c r="A984" t="s">
        <v>5361</v>
      </c>
      <c r="B984" t="str">
        <f>TEXT(Raw_Data[[#This Row],[Order Date]],"mmm")</f>
        <v>May</v>
      </c>
      <c r="C984" t="s">
        <v>1781</v>
      </c>
      <c r="D984" t="s">
        <v>5362</v>
      </c>
      <c r="E984" t="s">
        <v>48</v>
      </c>
      <c r="F984" t="s">
        <v>89</v>
      </c>
      <c r="G984" t="s">
        <v>90</v>
      </c>
      <c r="H984" t="s">
        <v>80</v>
      </c>
      <c r="I984" t="s">
        <v>116</v>
      </c>
      <c r="J984" t="s">
        <v>25</v>
      </c>
      <c r="K984" t="s">
        <v>5363</v>
      </c>
      <c r="L984">
        <v>0.1</v>
      </c>
      <c r="M984" t="s">
        <v>5364</v>
      </c>
      <c r="N984" t="s">
        <v>5365</v>
      </c>
      <c r="O984" t="s">
        <v>54</v>
      </c>
      <c r="P984" t="s">
        <v>30</v>
      </c>
      <c r="Q984" t="s">
        <v>31</v>
      </c>
      <c r="R984" s="3">
        <v>738.98099999999999</v>
      </c>
    </row>
    <row r="985" spans="1:18" x14ac:dyDescent="0.3">
      <c r="A985" t="s">
        <v>5366</v>
      </c>
      <c r="B985" t="str">
        <f>TEXT(Raw_Data[[#This Row],[Order Date]],"mmm")</f>
        <v>Jan</v>
      </c>
      <c r="C985" t="s">
        <v>485</v>
      </c>
      <c r="D985" t="s">
        <v>5367</v>
      </c>
      <c r="E985" t="s">
        <v>48</v>
      </c>
      <c r="F985" t="s">
        <v>78</v>
      </c>
      <c r="G985" t="s">
        <v>79</v>
      </c>
      <c r="H985" t="s">
        <v>154</v>
      </c>
      <c r="I985" t="s">
        <v>237</v>
      </c>
      <c r="J985" t="s">
        <v>50</v>
      </c>
      <c r="K985" t="s">
        <v>5368</v>
      </c>
      <c r="L985">
        <v>0.05</v>
      </c>
      <c r="M985" t="s">
        <v>5369</v>
      </c>
      <c r="N985" t="s">
        <v>5370</v>
      </c>
      <c r="O985" t="s">
        <v>64</v>
      </c>
      <c r="P985" t="s">
        <v>30</v>
      </c>
      <c r="Q985" t="s">
        <v>65</v>
      </c>
      <c r="R985" s="3">
        <v>14873.4089999999</v>
      </c>
    </row>
    <row r="986" spans="1:18" x14ac:dyDescent="0.3">
      <c r="A986" t="s">
        <v>5371</v>
      </c>
      <c r="B986" t="str">
        <f>TEXT(Raw_Data[[#This Row],[Order Date]],"mmm")</f>
        <v>Nov</v>
      </c>
      <c r="C986" t="s">
        <v>4386</v>
      </c>
      <c r="D986" t="s">
        <v>5372</v>
      </c>
      <c r="E986" t="s">
        <v>48</v>
      </c>
      <c r="F986" t="s">
        <v>58</v>
      </c>
      <c r="G986" t="s">
        <v>812</v>
      </c>
      <c r="H986" t="s">
        <v>80</v>
      </c>
      <c r="I986" t="s">
        <v>146</v>
      </c>
      <c r="J986" t="s">
        <v>25</v>
      </c>
      <c r="K986" t="s">
        <v>5373</v>
      </c>
      <c r="L986">
        <v>0.15</v>
      </c>
      <c r="M986" t="s">
        <v>5374</v>
      </c>
      <c r="N986" t="s">
        <v>5375</v>
      </c>
      <c r="O986" t="s">
        <v>173</v>
      </c>
      <c r="P986" t="s">
        <v>30</v>
      </c>
      <c r="Q986" t="s">
        <v>44</v>
      </c>
      <c r="R986" s="3">
        <v>406.096</v>
      </c>
    </row>
    <row r="987" spans="1:18" x14ac:dyDescent="0.3">
      <c r="A987" t="s">
        <v>5376</v>
      </c>
      <c r="B987" t="str">
        <f>TEXT(Raw_Data[[#This Row],[Order Date]],"mmm")</f>
        <v>Apr</v>
      </c>
      <c r="C987" t="s">
        <v>2101</v>
      </c>
      <c r="D987" t="s">
        <v>5377</v>
      </c>
      <c r="E987" t="s">
        <v>35</v>
      </c>
      <c r="F987" t="s">
        <v>69</v>
      </c>
      <c r="G987" t="s">
        <v>70</v>
      </c>
      <c r="H987" t="s">
        <v>23</v>
      </c>
      <c r="I987" t="s">
        <v>24</v>
      </c>
      <c r="J987" t="s">
        <v>25</v>
      </c>
      <c r="K987" t="s">
        <v>5378</v>
      </c>
      <c r="L987">
        <v>0.1</v>
      </c>
      <c r="M987" t="s">
        <v>5379</v>
      </c>
      <c r="N987" t="s">
        <v>5380</v>
      </c>
      <c r="O987" t="s">
        <v>29</v>
      </c>
      <c r="P987" t="s">
        <v>159</v>
      </c>
      <c r="Q987" t="s">
        <v>65</v>
      </c>
      <c r="R987" s="3">
        <v>46180.826999999997</v>
      </c>
    </row>
    <row r="988" spans="1:18" x14ac:dyDescent="0.3">
      <c r="A988" t="s">
        <v>5381</v>
      </c>
      <c r="B988" t="str">
        <f>TEXT(Raw_Data[[#This Row],[Order Date]],"mmm")</f>
        <v>Aug</v>
      </c>
      <c r="C988" t="s">
        <v>4422</v>
      </c>
      <c r="D988" t="s">
        <v>5382</v>
      </c>
      <c r="E988" t="s">
        <v>20</v>
      </c>
      <c r="F988" t="s">
        <v>58</v>
      </c>
      <c r="G988" t="s">
        <v>59</v>
      </c>
      <c r="H988" t="s">
        <v>80</v>
      </c>
      <c r="I988" t="s">
        <v>146</v>
      </c>
      <c r="J988" t="s">
        <v>50</v>
      </c>
      <c r="K988" t="s">
        <v>5383</v>
      </c>
      <c r="L988">
        <v>0.05</v>
      </c>
      <c r="M988" t="s">
        <v>5384</v>
      </c>
      <c r="N988" t="s">
        <v>5385</v>
      </c>
      <c r="O988" t="s">
        <v>173</v>
      </c>
      <c r="P988" t="s">
        <v>95</v>
      </c>
      <c r="Q988" t="s">
        <v>44</v>
      </c>
      <c r="R988" s="3">
        <v>11303.271000000001</v>
      </c>
    </row>
    <row r="989" spans="1:18" x14ac:dyDescent="0.3">
      <c r="A989" t="s">
        <v>5386</v>
      </c>
      <c r="B989" t="str">
        <f>TEXT(Raw_Data[[#This Row],[Order Date]],"mmm")</f>
        <v>Nov</v>
      </c>
      <c r="C989" t="s">
        <v>3096</v>
      </c>
      <c r="D989" t="s">
        <v>5387</v>
      </c>
      <c r="E989" t="s">
        <v>35</v>
      </c>
      <c r="F989" t="s">
        <v>215</v>
      </c>
      <c r="G989" t="s">
        <v>276</v>
      </c>
      <c r="H989" t="s">
        <v>23</v>
      </c>
      <c r="I989" t="s">
        <v>183</v>
      </c>
      <c r="J989" t="s">
        <v>25</v>
      </c>
      <c r="K989" t="s">
        <v>5388</v>
      </c>
      <c r="L989">
        <v>0.1</v>
      </c>
      <c r="M989" t="s">
        <v>5389</v>
      </c>
      <c r="N989" t="s">
        <v>5390</v>
      </c>
      <c r="O989" t="s">
        <v>173</v>
      </c>
      <c r="P989" t="s">
        <v>30</v>
      </c>
      <c r="Q989" t="s">
        <v>65</v>
      </c>
      <c r="R989" s="3">
        <v>25665.794999999998</v>
      </c>
    </row>
    <row r="990" spans="1:18" x14ac:dyDescent="0.3">
      <c r="A990" t="s">
        <v>5391</v>
      </c>
      <c r="B990" t="str">
        <f>TEXT(Raw_Data[[#This Row],[Order Date]],"mmm")</f>
        <v>Sep</v>
      </c>
      <c r="C990" t="s">
        <v>2569</v>
      </c>
      <c r="D990" t="s">
        <v>5392</v>
      </c>
      <c r="E990" t="s">
        <v>35</v>
      </c>
      <c r="F990" t="s">
        <v>36</v>
      </c>
      <c r="G990" t="s">
        <v>153</v>
      </c>
      <c r="H990" t="s">
        <v>80</v>
      </c>
      <c r="I990" t="s">
        <v>131</v>
      </c>
      <c r="J990" t="s">
        <v>25</v>
      </c>
      <c r="K990" t="s">
        <v>5393</v>
      </c>
      <c r="L990">
        <v>0.2</v>
      </c>
      <c r="M990" t="s">
        <v>5394</v>
      </c>
      <c r="N990" t="s">
        <v>5395</v>
      </c>
      <c r="O990" t="s">
        <v>29</v>
      </c>
      <c r="P990" t="s">
        <v>30</v>
      </c>
      <c r="Q990" t="s">
        <v>44</v>
      </c>
      <c r="R990" s="3">
        <v>1995.4880000000001</v>
      </c>
    </row>
    <row r="991" spans="1:18" x14ac:dyDescent="0.3">
      <c r="A991" t="s">
        <v>5396</v>
      </c>
      <c r="B991" t="str">
        <f>TEXT(Raw_Data[[#This Row],[Order Date]],"mmm")</f>
        <v>Sep</v>
      </c>
      <c r="C991" t="s">
        <v>339</v>
      </c>
      <c r="D991" t="s">
        <v>5397</v>
      </c>
      <c r="E991" t="s">
        <v>35</v>
      </c>
      <c r="F991" t="s">
        <v>215</v>
      </c>
      <c r="G991" t="s">
        <v>276</v>
      </c>
      <c r="H991" t="s">
        <v>38</v>
      </c>
      <c r="I991" t="s">
        <v>256</v>
      </c>
      <c r="J991" t="s">
        <v>25</v>
      </c>
      <c r="K991" t="s">
        <v>5398</v>
      </c>
      <c r="L991">
        <v>0.1</v>
      </c>
      <c r="M991" t="s">
        <v>5399</v>
      </c>
      <c r="N991" t="s">
        <v>5400</v>
      </c>
      <c r="O991" t="s">
        <v>54</v>
      </c>
      <c r="P991" t="s">
        <v>30</v>
      </c>
      <c r="Q991" t="s">
        <v>31</v>
      </c>
      <c r="R991" s="3">
        <v>3255.471</v>
      </c>
    </row>
    <row r="992" spans="1:18" x14ac:dyDescent="0.3">
      <c r="A992" t="s">
        <v>5401</v>
      </c>
      <c r="B992" t="str">
        <f>TEXT(Raw_Data[[#This Row],[Order Date]],"mmm")</f>
        <v>Mar</v>
      </c>
      <c r="C992" t="s">
        <v>56</v>
      </c>
      <c r="D992" t="s">
        <v>5402</v>
      </c>
      <c r="E992" t="s">
        <v>35</v>
      </c>
      <c r="F992" t="s">
        <v>78</v>
      </c>
      <c r="G992" t="s">
        <v>468</v>
      </c>
      <c r="H992" t="s">
        <v>23</v>
      </c>
      <c r="I992" t="s">
        <v>263</v>
      </c>
      <c r="J992" t="s">
        <v>25</v>
      </c>
      <c r="K992" t="s">
        <v>5403</v>
      </c>
      <c r="L992">
        <v>0.1</v>
      </c>
      <c r="M992" t="s">
        <v>5404</v>
      </c>
      <c r="N992" t="s">
        <v>5405</v>
      </c>
      <c r="O992" t="s">
        <v>29</v>
      </c>
      <c r="P992" t="s">
        <v>95</v>
      </c>
      <c r="Q992" t="s">
        <v>65</v>
      </c>
      <c r="R992" s="3">
        <v>18221.4899999999</v>
      </c>
    </row>
    <row r="993" spans="1:18" x14ac:dyDescent="0.3">
      <c r="A993" t="s">
        <v>5406</v>
      </c>
      <c r="B993" t="str">
        <f>TEXT(Raw_Data[[#This Row],[Order Date]],"mmm")</f>
        <v>May</v>
      </c>
      <c r="C993" t="s">
        <v>2693</v>
      </c>
      <c r="D993" t="s">
        <v>5407</v>
      </c>
      <c r="E993" t="s">
        <v>20</v>
      </c>
      <c r="F993" t="s">
        <v>106</v>
      </c>
      <c r="G993" t="s">
        <v>163</v>
      </c>
      <c r="H993" t="s">
        <v>23</v>
      </c>
      <c r="I993" t="s">
        <v>341</v>
      </c>
      <c r="J993" t="s">
        <v>50</v>
      </c>
      <c r="K993" t="s">
        <v>5408</v>
      </c>
      <c r="L993">
        <v>0.05</v>
      </c>
      <c r="M993" t="s">
        <v>5409</v>
      </c>
      <c r="N993" t="s">
        <v>5410</v>
      </c>
      <c r="O993" t="s">
        <v>29</v>
      </c>
      <c r="P993" t="s">
        <v>30</v>
      </c>
      <c r="Q993" t="s">
        <v>31</v>
      </c>
      <c r="R993" s="3">
        <v>21209.605</v>
      </c>
    </row>
    <row r="994" spans="1:18" x14ac:dyDescent="0.3">
      <c r="A994" t="s">
        <v>5411</v>
      </c>
      <c r="B994" t="str">
        <f>TEXT(Raw_Data[[#This Row],[Order Date]],"mmm")</f>
        <v>Mar</v>
      </c>
      <c r="C994" t="s">
        <v>2293</v>
      </c>
      <c r="D994" t="s">
        <v>5412</v>
      </c>
      <c r="E994" t="s">
        <v>35</v>
      </c>
      <c r="F994" t="s">
        <v>215</v>
      </c>
      <c r="G994" t="s">
        <v>216</v>
      </c>
      <c r="H994" t="s">
        <v>23</v>
      </c>
      <c r="I994" t="s">
        <v>263</v>
      </c>
      <c r="J994" t="s">
        <v>25</v>
      </c>
      <c r="K994" t="s">
        <v>5413</v>
      </c>
      <c r="L994">
        <v>0.15</v>
      </c>
      <c r="M994" t="s">
        <v>5414</v>
      </c>
      <c r="N994" t="s">
        <v>5415</v>
      </c>
      <c r="O994" t="s">
        <v>173</v>
      </c>
      <c r="P994" t="s">
        <v>30</v>
      </c>
      <c r="Q994" t="s">
        <v>65</v>
      </c>
      <c r="R994" s="3">
        <v>14465.104499999999</v>
      </c>
    </row>
    <row r="995" spans="1:18" x14ac:dyDescent="0.3">
      <c r="A995" t="s">
        <v>5416</v>
      </c>
      <c r="B995" t="str">
        <f>TEXT(Raw_Data[[#This Row],[Order Date]],"mmm")</f>
        <v>Jan</v>
      </c>
      <c r="C995" t="s">
        <v>2752</v>
      </c>
      <c r="D995" t="s">
        <v>5417</v>
      </c>
      <c r="E995" t="s">
        <v>20</v>
      </c>
      <c r="F995" t="s">
        <v>106</v>
      </c>
      <c r="G995" t="s">
        <v>106</v>
      </c>
      <c r="H995" t="s">
        <v>154</v>
      </c>
      <c r="I995" t="s">
        <v>237</v>
      </c>
      <c r="J995" t="s">
        <v>100</v>
      </c>
      <c r="K995" t="s">
        <v>5418</v>
      </c>
      <c r="L995">
        <v>0.2</v>
      </c>
      <c r="M995" t="s">
        <v>5419</v>
      </c>
      <c r="N995" t="s">
        <v>5420</v>
      </c>
      <c r="O995" t="s">
        <v>64</v>
      </c>
      <c r="P995" t="s">
        <v>30</v>
      </c>
      <c r="Q995" t="s">
        <v>44</v>
      </c>
      <c r="R995" s="3">
        <v>15053.255999999999</v>
      </c>
    </row>
    <row r="996" spans="1:18" x14ac:dyDescent="0.3">
      <c r="A996" t="s">
        <v>5421</v>
      </c>
      <c r="B996" t="str">
        <f>TEXT(Raw_Data[[#This Row],[Order Date]],"mmm")</f>
        <v>Feb</v>
      </c>
      <c r="C996" t="s">
        <v>2145</v>
      </c>
      <c r="D996" t="s">
        <v>5422</v>
      </c>
      <c r="E996" t="s">
        <v>35</v>
      </c>
      <c r="F996" t="s">
        <v>106</v>
      </c>
      <c r="G996" t="s">
        <v>106</v>
      </c>
      <c r="H996" t="s">
        <v>23</v>
      </c>
      <c r="I996" t="s">
        <v>183</v>
      </c>
      <c r="J996" t="s">
        <v>25</v>
      </c>
      <c r="K996" t="s">
        <v>5423</v>
      </c>
      <c r="L996">
        <v>0.05</v>
      </c>
      <c r="M996" t="s">
        <v>5424</v>
      </c>
      <c r="N996" t="s">
        <v>5425</v>
      </c>
      <c r="O996" t="s">
        <v>173</v>
      </c>
      <c r="P996" t="s">
        <v>30</v>
      </c>
      <c r="Q996" t="s">
        <v>31</v>
      </c>
      <c r="R996" s="3">
        <v>58542.353499999997</v>
      </c>
    </row>
    <row r="997" spans="1:18" x14ac:dyDescent="0.3">
      <c r="A997" t="s">
        <v>5426</v>
      </c>
      <c r="B997" t="str">
        <f>TEXT(Raw_Data[[#This Row],[Order Date]],"mmm")</f>
        <v>Mar</v>
      </c>
      <c r="C997" t="s">
        <v>282</v>
      </c>
      <c r="D997" t="s">
        <v>5427</v>
      </c>
      <c r="E997" t="s">
        <v>20</v>
      </c>
      <c r="F997" t="s">
        <v>89</v>
      </c>
      <c r="G997" t="s">
        <v>90</v>
      </c>
      <c r="H997" t="s">
        <v>107</v>
      </c>
      <c r="I997" t="s">
        <v>277</v>
      </c>
      <c r="J997" t="s">
        <v>82</v>
      </c>
      <c r="K997" t="s">
        <v>5428</v>
      </c>
      <c r="L997">
        <v>0.2</v>
      </c>
      <c r="M997" t="s">
        <v>5429</v>
      </c>
      <c r="N997" t="s">
        <v>5430</v>
      </c>
      <c r="O997" t="s">
        <v>43</v>
      </c>
      <c r="P997" t="s">
        <v>159</v>
      </c>
      <c r="Q997" t="s">
        <v>31</v>
      </c>
      <c r="R997" s="3">
        <v>22385.984</v>
      </c>
    </row>
    <row r="998" spans="1:18" x14ac:dyDescent="0.3">
      <c r="A998" t="s">
        <v>5431</v>
      </c>
      <c r="B998" t="str">
        <f>TEXT(Raw_Data[[#This Row],[Order Date]],"mmm")</f>
        <v>Aug</v>
      </c>
      <c r="C998" t="s">
        <v>681</v>
      </c>
      <c r="D998" t="s">
        <v>5432</v>
      </c>
      <c r="E998" t="s">
        <v>35</v>
      </c>
      <c r="F998" t="s">
        <v>21</v>
      </c>
      <c r="G998" t="s">
        <v>130</v>
      </c>
      <c r="H998" t="s">
        <v>23</v>
      </c>
      <c r="I998" t="s">
        <v>24</v>
      </c>
      <c r="J998" t="s">
        <v>50</v>
      </c>
      <c r="K998" t="s">
        <v>5433</v>
      </c>
      <c r="L998">
        <v>0</v>
      </c>
      <c r="M998" t="s">
        <v>5434</v>
      </c>
      <c r="N998" t="s">
        <v>5435</v>
      </c>
      <c r="O998" t="s">
        <v>43</v>
      </c>
      <c r="P998" t="s">
        <v>30</v>
      </c>
      <c r="Q998" t="s">
        <v>31</v>
      </c>
      <c r="R998" s="3">
        <v>143005.12</v>
      </c>
    </row>
    <row r="999" spans="1:18" x14ac:dyDescent="0.3">
      <c r="A999" t="s">
        <v>5436</v>
      </c>
      <c r="B999" t="str">
        <f>TEXT(Raw_Data[[#This Row],[Order Date]],"mmm")</f>
        <v>Jul</v>
      </c>
      <c r="C999" t="s">
        <v>2349</v>
      </c>
      <c r="D999" t="s">
        <v>5437</v>
      </c>
      <c r="E999" t="s">
        <v>35</v>
      </c>
      <c r="F999" t="s">
        <v>58</v>
      </c>
      <c r="G999" t="s">
        <v>812</v>
      </c>
      <c r="H999" t="s">
        <v>38</v>
      </c>
      <c r="I999" t="s">
        <v>223</v>
      </c>
      <c r="J999" t="s">
        <v>50</v>
      </c>
      <c r="K999" t="s">
        <v>5438</v>
      </c>
      <c r="L999">
        <v>0.15</v>
      </c>
      <c r="M999" t="s">
        <v>5439</v>
      </c>
      <c r="N999" t="s">
        <v>5440</v>
      </c>
      <c r="O999" t="s">
        <v>173</v>
      </c>
      <c r="P999" t="s">
        <v>30</v>
      </c>
      <c r="Q999" t="s">
        <v>44</v>
      </c>
      <c r="R999" s="3">
        <v>927.96199999999999</v>
      </c>
    </row>
    <row r="1000" spans="1:18" x14ac:dyDescent="0.3">
      <c r="A1000" t="s">
        <v>5441</v>
      </c>
      <c r="B1000" t="str">
        <f>TEXT(Raw_Data[[#This Row],[Order Date]],"mmm")</f>
        <v>Apr</v>
      </c>
      <c r="C1000" t="s">
        <v>1904</v>
      </c>
      <c r="D1000" t="s">
        <v>5442</v>
      </c>
      <c r="E1000" t="s">
        <v>20</v>
      </c>
      <c r="F1000" t="s">
        <v>78</v>
      </c>
      <c r="G1000" t="s">
        <v>731</v>
      </c>
      <c r="H1000" t="s">
        <v>107</v>
      </c>
      <c r="I1000" t="s">
        <v>591</v>
      </c>
      <c r="J1000" t="s">
        <v>25</v>
      </c>
      <c r="K1000" t="s">
        <v>5443</v>
      </c>
      <c r="L1000">
        <v>0.15</v>
      </c>
      <c r="M1000" t="s">
        <v>5444</v>
      </c>
      <c r="N1000" t="s">
        <v>5445</v>
      </c>
      <c r="O1000" t="s">
        <v>29</v>
      </c>
      <c r="P1000" t="s">
        <v>30</v>
      </c>
      <c r="Q1000" t="s">
        <v>65</v>
      </c>
      <c r="R1000" s="3">
        <v>610.75899999999899</v>
      </c>
    </row>
    <row r="1001" spans="1:18" x14ac:dyDescent="0.3">
      <c r="A1001" t="s">
        <v>5446</v>
      </c>
      <c r="B1001" t="str">
        <f>TEXT(Raw_Data[[#This Row],[Order Date]],"mmm")</f>
        <v>May</v>
      </c>
      <c r="C1001" t="s">
        <v>5447</v>
      </c>
      <c r="D1001" t="s">
        <v>5448</v>
      </c>
      <c r="E1001" t="s">
        <v>35</v>
      </c>
      <c r="F1001" t="s">
        <v>36</v>
      </c>
      <c r="G1001" t="s">
        <v>196</v>
      </c>
      <c r="H1001" t="s">
        <v>80</v>
      </c>
      <c r="I1001" t="s">
        <v>146</v>
      </c>
      <c r="J1001" t="s">
        <v>50</v>
      </c>
      <c r="K1001" t="s">
        <v>5449</v>
      </c>
      <c r="L1001">
        <v>0.2</v>
      </c>
      <c r="M1001" t="s">
        <v>5450</v>
      </c>
      <c r="N1001" t="s">
        <v>5451</v>
      </c>
      <c r="O1001" t="s">
        <v>64</v>
      </c>
      <c r="P1001" t="s">
        <v>30</v>
      </c>
      <c r="Q1001" t="s">
        <v>44</v>
      </c>
      <c r="R1001" s="3">
        <v>10697.296</v>
      </c>
    </row>
    <row r="1002" spans="1:18" x14ac:dyDescent="0.3">
      <c r="A1002" t="s">
        <v>5452</v>
      </c>
      <c r="B1002" t="str">
        <f>TEXT(Raw_Data[[#This Row],[Order Date]],"mmm")</f>
        <v>Jun</v>
      </c>
      <c r="C1002" t="s">
        <v>2586</v>
      </c>
      <c r="D1002" t="s">
        <v>5453</v>
      </c>
      <c r="E1002" t="s">
        <v>35</v>
      </c>
      <c r="F1002" t="s">
        <v>21</v>
      </c>
      <c r="G1002" t="s">
        <v>130</v>
      </c>
      <c r="H1002" t="s">
        <v>23</v>
      </c>
      <c r="I1002" t="s">
        <v>49</v>
      </c>
      <c r="J1002" t="s">
        <v>25</v>
      </c>
      <c r="K1002" t="s">
        <v>5454</v>
      </c>
      <c r="L1002">
        <v>0.1</v>
      </c>
      <c r="M1002" t="s">
        <v>5455</v>
      </c>
      <c r="N1002" t="s">
        <v>5456</v>
      </c>
      <c r="O1002" t="s">
        <v>29</v>
      </c>
      <c r="P1002" t="s">
        <v>30</v>
      </c>
      <c r="Q1002" t="s">
        <v>65</v>
      </c>
      <c r="R1002" s="3">
        <v>45072.512999999999</v>
      </c>
    </row>
    <row r="1003" spans="1:18" x14ac:dyDescent="0.3">
      <c r="A1003" t="s">
        <v>5457</v>
      </c>
      <c r="B1003" t="str">
        <f>TEXT(Raw_Data[[#This Row],[Order Date]],"mmm")</f>
        <v>Feb</v>
      </c>
      <c r="C1003" t="s">
        <v>228</v>
      </c>
      <c r="D1003" t="s">
        <v>5458</v>
      </c>
      <c r="E1003" t="s">
        <v>35</v>
      </c>
      <c r="F1003" t="s">
        <v>106</v>
      </c>
      <c r="G1003" t="s">
        <v>163</v>
      </c>
      <c r="H1003" t="s">
        <v>23</v>
      </c>
      <c r="I1003" t="s">
        <v>183</v>
      </c>
      <c r="J1003" t="s">
        <v>25</v>
      </c>
      <c r="K1003" t="s">
        <v>5459</v>
      </c>
      <c r="L1003">
        <v>0.15</v>
      </c>
      <c r="M1003" t="s">
        <v>5460</v>
      </c>
      <c r="N1003" t="s">
        <v>5461</v>
      </c>
      <c r="O1003" t="s">
        <v>54</v>
      </c>
      <c r="P1003" t="s">
        <v>112</v>
      </c>
      <c r="Q1003" t="s">
        <v>31</v>
      </c>
      <c r="R1003" s="3">
        <v>58111.542000000001</v>
      </c>
    </row>
    <row r="1004" spans="1:18" x14ac:dyDescent="0.3">
      <c r="A1004" t="s">
        <v>5462</v>
      </c>
      <c r="B1004" t="str">
        <f>TEXT(Raw_Data[[#This Row],[Order Date]],"mmm")</f>
        <v>Jul</v>
      </c>
      <c r="C1004" t="s">
        <v>3354</v>
      </c>
      <c r="D1004" t="s">
        <v>5463</v>
      </c>
      <c r="E1004" t="s">
        <v>20</v>
      </c>
      <c r="F1004" t="s">
        <v>78</v>
      </c>
      <c r="G1004" t="s">
        <v>79</v>
      </c>
      <c r="H1004" t="s">
        <v>23</v>
      </c>
      <c r="I1004" t="s">
        <v>183</v>
      </c>
      <c r="J1004" t="s">
        <v>25</v>
      </c>
      <c r="K1004" t="s">
        <v>5464</v>
      </c>
      <c r="L1004">
        <v>0.1</v>
      </c>
      <c r="M1004" t="s">
        <v>5465</v>
      </c>
      <c r="N1004" t="s">
        <v>5466</v>
      </c>
      <c r="O1004" t="s">
        <v>173</v>
      </c>
      <c r="P1004" t="s">
        <v>30</v>
      </c>
      <c r="Q1004" t="s">
        <v>31</v>
      </c>
      <c r="R1004" s="3">
        <v>8837.7659999999996</v>
      </c>
    </row>
    <row r="1005" spans="1:18" x14ac:dyDescent="0.3">
      <c r="A1005" t="s">
        <v>5467</v>
      </c>
      <c r="B1005" t="str">
        <f>TEXT(Raw_Data[[#This Row],[Order Date]],"mmm")</f>
        <v>Dec</v>
      </c>
      <c r="C1005" t="s">
        <v>2332</v>
      </c>
      <c r="D1005" t="s">
        <v>5468</v>
      </c>
      <c r="E1005" t="s">
        <v>20</v>
      </c>
      <c r="F1005" t="s">
        <v>89</v>
      </c>
      <c r="G1005" t="s">
        <v>99</v>
      </c>
      <c r="H1005" t="s">
        <v>23</v>
      </c>
      <c r="I1005" t="s">
        <v>24</v>
      </c>
      <c r="J1005" t="s">
        <v>25</v>
      </c>
      <c r="K1005" t="s">
        <v>5469</v>
      </c>
      <c r="L1005">
        <v>0</v>
      </c>
      <c r="M1005" t="s">
        <v>5470</v>
      </c>
      <c r="N1005" t="s">
        <v>5471</v>
      </c>
      <c r="O1005" t="s">
        <v>64</v>
      </c>
      <c r="P1005" t="s">
        <v>95</v>
      </c>
      <c r="Q1005" t="s">
        <v>31</v>
      </c>
      <c r="R1005" s="3">
        <v>8802.86</v>
      </c>
    </row>
    <row r="1006" spans="1:18" x14ac:dyDescent="0.3">
      <c r="A1006" t="s">
        <v>5472</v>
      </c>
      <c r="B1006" t="str">
        <f>TEXT(Raw_Data[[#This Row],[Order Date]],"mmm")</f>
        <v>Dec</v>
      </c>
      <c r="C1006" t="s">
        <v>3960</v>
      </c>
      <c r="D1006" t="s">
        <v>5473</v>
      </c>
      <c r="E1006" t="s">
        <v>35</v>
      </c>
      <c r="F1006" t="s">
        <v>215</v>
      </c>
      <c r="G1006" t="s">
        <v>276</v>
      </c>
      <c r="H1006" t="s">
        <v>80</v>
      </c>
      <c r="I1006" t="s">
        <v>131</v>
      </c>
      <c r="J1006" t="s">
        <v>25</v>
      </c>
      <c r="K1006" t="s">
        <v>5474</v>
      </c>
      <c r="L1006">
        <v>0.15</v>
      </c>
      <c r="M1006" t="s">
        <v>5475</v>
      </c>
      <c r="N1006" t="s">
        <v>5476</v>
      </c>
      <c r="O1006" t="s">
        <v>43</v>
      </c>
      <c r="P1006" t="s">
        <v>30</v>
      </c>
      <c r="Q1006" t="s">
        <v>65</v>
      </c>
      <c r="R1006" s="3">
        <v>4263.8805000000002</v>
      </c>
    </row>
    <row r="1007" spans="1:18" x14ac:dyDescent="0.3">
      <c r="A1007" t="s">
        <v>5477</v>
      </c>
      <c r="B1007" t="str">
        <f>TEXT(Raw_Data[[#This Row],[Order Date]],"mmm")</f>
        <v>Jun</v>
      </c>
      <c r="C1007" t="s">
        <v>3514</v>
      </c>
      <c r="D1007" t="s">
        <v>5478</v>
      </c>
      <c r="E1007" t="s">
        <v>48</v>
      </c>
      <c r="F1007" t="s">
        <v>106</v>
      </c>
      <c r="G1007" t="s">
        <v>163</v>
      </c>
      <c r="H1007" t="s">
        <v>80</v>
      </c>
      <c r="I1007" t="s">
        <v>131</v>
      </c>
      <c r="J1007" t="s">
        <v>82</v>
      </c>
      <c r="K1007" t="s">
        <v>5479</v>
      </c>
      <c r="L1007">
        <v>0.15</v>
      </c>
      <c r="M1007" t="s">
        <v>5480</v>
      </c>
      <c r="N1007" t="s">
        <v>5481</v>
      </c>
      <c r="O1007" t="s">
        <v>64</v>
      </c>
      <c r="P1007" t="s">
        <v>30</v>
      </c>
      <c r="Q1007" t="s">
        <v>44</v>
      </c>
      <c r="R1007" s="3">
        <v>4066.6379999999899</v>
      </c>
    </row>
    <row r="1008" spans="1:18" x14ac:dyDescent="0.3">
      <c r="A1008" t="s">
        <v>5482</v>
      </c>
      <c r="B1008" t="str">
        <f>TEXT(Raw_Data[[#This Row],[Order Date]],"mmm")</f>
        <v>Sep</v>
      </c>
      <c r="C1008" t="s">
        <v>2569</v>
      </c>
      <c r="D1008" t="s">
        <v>5483</v>
      </c>
      <c r="E1008" t="s">
        <v>35</v>
      </c>
      <c r="F1008" t="s">
        <v>215</v>
      </c>
      <c r="G1008" t="s">
        <v>276</v>
      </c>
      <c r="H1008" t="s">
        <v>38</v>
      </c>
      <c r="I1008" t="s">
        <v>223</v>
      </c>
      <c r="J1008" t="s">
        <v>25</v>
      </c>
      <c r="K1008" t="s">
        <v>5484</v>
      </c>
      <c r="L1008">
        <v>0</v>
      </c>
      <c r="M1008" t="s">
        <v>5485</v>
      </c>
      <c r="N1008" t="s">
        <v>5486</v>
      </c>
      <c r="O1008" t="s">
        <v>54</v>
      </c>
      <c r="P1008" t="s">
        <v>159</v>
      </c>
      <c r="Q1008" t="s">
        <v>65</v>
      </c>
      <c r="R1008" s="3">
        <v>3616.66</v>
      </c>
    </row>
    <row r="1009" spans="1:18" x14ac:dyDescent="0.3">
      <c r="A1009" t="s">
        <v>5487</v>
      </c>
      <c r="B1009" t="str">
        <f>TEXT(Raw_Data[[#This Row],[Order Date]],"mmm")</f>
        <v>Jul</v>
      </c>
      <c r="C1009" t="s">
        <v>295</v>
      </c>
      <c r="D1009" t="s">
        <v>5488</v>
      </c>
      <c r="E1009" t="s">
        <v>35</v>
      </c>
      <c r="F1009" t="s">
        <v>215</v>
      </c>
      <c r="G1009" t="s">
        <v>276</v>
      </c>
      <c r="H1009" t="s">
        <v>23</v>
      </c>
      <c r="I1009" t="s">
        <v>49</v>
      </c>
      <c r="J1009" t="s">
        <v>50</v>
      </c>
      <c r="K1009" t="s">
        <v>5489</v>
      </c>
      <c r="L1009">
        <v>0</v>
      </c>
      <c r="M1009" t="s">
        <v>5490</v>
      </c>
      <c r="N1009" t="s">
        <v>5491</v>
      </c>
      <c r="O1009" t="s">
        <v>43</v>
      </c>
      <c r="P1009" t="s">
        <v>30</v>
      </c>
      <c r="Q1009" t="s">
        <v>31</v>
      </c>
      <c r="R1009" s="3">
        <v>8262.5</v>
      </c>
    </row>
    <row r="1010" spans="1:18" x14ac:dyDescent="0.3">
      <c r="A1010" t="s">
        <v>5492</v>
      </c>
      <c r="B1010" t="str">
        <f>TEXT(Raw_Data[[#This Row],[Order Date]],"mmm")</f>
        <v>May</v>
      </c>
      <c r="C1010" t="s">
        <v>885</v>
      </c>
      <c r="D1010" t="s">
        <v>5493</v>
      </c>
      <c r="E1010" t="s">
        <v>20</v>
      </c>
      <c r="F1010" t="s">
        <v>36</v>
      </c>
      <c r="G1010" t="s">
        <v>196</v>
      </c>
      <c r="H1010" t="s">
        <v>38</v>
      </c>
      <c r="I1010" t="s">
        <v>223</v>
      </c>
      <c r="J1010" t="s">
        <v>25</v>
      </c>
      <c r="K1010" t="s">
        <v>5494</v>
      </c>
      <c r="L1010">
        <v>0.1</v>
      </c>
      <c r="M1010" t="s">
        <v>5495</v>
      </c>
      <c r="N1010" t="s">
        <v>5496</v>
      </c>
      <c r="O1010" t="s">
        <v>64</v>
      </c>
      <c r="P1010" t="s">
        <v>30</v>
      </c>
      <c r="Q1010" t="s">
        <v>31</v>
      </c>
      <c r="R1010" s="3">
        <v>922.95899999999995</v>
      </c>
    </row>
    <row r="1011" spans="1:18" x14ac:dyDescent="0.3">
      <c r="A1011" t="s">
        <v>5497</v>
      </c>
      <c r="B1011" t="str">
        <f>TEXT(Raw_Data[[#This Row],[Order Date]],"mmm")</f>
        <v>Jun</v>
      </c>
      <c r="C1011" t="s">
        <v>3514</v>
      </c>
      <c r="D1011" t="s">
        <v>5498</v>
      </c>
      <c r="E1011" t="s">
        <v>48</v>
      </c>
      <c r="F1011" t="s">
        <v>215</v>
      </c>
      <c r="G1011" t="s">
        <v>216</v>
      </c>
      <c r="H1011" t="s">
        <v>38</v>
      </c>
      <c r="I1011" t="s">
        <v>39</v>
      </c>
      <c r="J1011" t="s">
        <v>25</v>
      </c>
      <c r="K1011" t="s">
        <v>5499</v>
      </c>
      <c r="L1011">
        <v>0.1</v>
      </c>
      <c r="M1011" t="s">
        <v>5500</v>
      </c>
      <c r="N1011" t="s">
        <v>5501</v>
      </c>
      <c r="O1011" t="s">
        <v>54</v>
      </c>
      <c r="P1011" t="s">
        <v>30</v>
      </c>
      <c r="Q1011" t="s">
        <v>31</v>
      </c>
      <c r="R1011" s="3">
        <v>2714.7240000000002</v>
      </c>
    </row>
    <row r="1012" spans="1:18" x14ac:dyDescent="0.3">
      <c r="A1012" t="s">
        <v>5502</v>
      </c>
      <c r="B1012" t="str">
        <f>TEXT(Raw_Data[[#This Row],[Order Date]],"mmm")</f>
        <v>Aug</v>
      </c>
      <c r="C1012" t="s">
        <v>1649</v>
      </c>
      <c r="D1012" t="s">
        <v>5503</v>
      </c>
      <c r="E1012" t="s">
        <v>35</v>
      </c>
      <c r="F1012" t="s">
        <v>106</v>
      </c>
      <c r="G1012" t="s">
        <v>106</v>
      </c>
      <c r="H1012" t="s">
        <v>23</v>
      </c>
      <c r="I1012" t="s">
        <v>183</v>
      </c>
      <c r="J1012" t="s">
        <v>25</v>
      </c>
      <c r="K1012" t="s">
        <v>5504</v>
      </c>
      <c r="L1012">
        <v>0.1</v>
      </c>
      <c r="M1012" t="s">
        <v>5505</v>
      </c>
      <c r="N1012" t="s">
        <v>5506</v>
      </c>
      <c r="O1012" t="s">
        <v>64</v>
      </c>
      <c r="P1012" t="s">
        <v>30</v>
      </c>
      <c r="Q1012" t="s">
        <v>31</v>
      </c>
      <c r="R1012" s="3">
        <v>21212.892</v>
      </c>
    </row>
    <row r="1013" spans="1:18" x14ac:dyDescent="0.3">
      <c r="A1013" t="s">
        <v>5507</v>
      </c>
      <c r="B1013" t="str">
        <f>TEXT(Raw_Data[[#This Row],[Order Date]],"mmm")</f>
        <v>Oct</v>
      </c>
      <c r="C1013" t="s">
        <v>460</v>
      </c>
      <c r="D1013" t="s">
        <v>5508</v>
      </c>
      <c r="E1013" t="s">
        <v>20</v>
      </c>
      <c r="F1013" t="s">
        <v>21</v>
      </c>
      <c r="G1013" t="s">
        <v>130</v>
      </c>
      <c r="H1013" t="s">
        <v>107</v>
      </c>
      <c r="I1013" t="s">
        <v>378</v>
      </c>
      <c r="J1013" t="s">
        <v>25</v>
      </c>
      <c r="K1013" t="s">
        <v>5509</v>
      </c>
      <c r="L1013">
        <v>0.2</v>
      </c>
      <c r="M1013" t="s">
        <v>5510</v>
      </c>
      <c r="N1013" t="s">
        <v>5511</v>
      </c>
      <c r="O1013" t="s">
        <v>54</v>
      </c>
      <c r="P1013" t="s">
        <v>30</v>
      </c>
      <c r="Q1013" t="s">
        <v>31</v>
      </c>
      <c r="R1013" s="3">
        <v>7877.88</v>
      </c>
    </row>
    <row r="1014" spans="1:18" x14ac:dyDescent="0.3">
      <c r="A1014" t="s">
        <v>5512</v>
      </c>
      <c r="B1014" t="str">
        <f>TEXT(Raw_Data[[#This Row],[Order Date]],"mmm")</f>
        <v>May</v>
      </c>
      <c r="C1014" t="s">
        <v>5513</v>
      </c>
      <c r="D1014" t="s">
        <v>5514</v>
      </c>
      <c r="E1014" t="s">
        <v>20</v>
      </c>
      <c r="F1014" t="s">
        <v>36</v>
      </c>
      <c r="G1014" t="s">
        <v>196</v>
      </c>
      <c r="H1014" t="s">
        <v>23</v>
      </c>
      <c r="I1014" t="s">
        <v>49</v>
      </c>
      <c r="J1014" t="s">
        <v>25</v>
      </c>
      <c r="K1014" t="s">
        <v>5515</v>
      </c>
      <c r="L1014">
        <v>0.15</v>
      </c>
      <c r="M1014" t="s">
        <v>5516</v>
      </c>
      <c r="N1014" t="s">
        <v>5517</v>
      </c>
      <c r="O1014" t="s">
        <v>64</v>
      </c>
      <c r="P1014" t="s">
        <v>30</v>
      </c>
      <c r="Q1014" t="s">
        <v>44</v>
      </c>
      <c r="R1014" s="3">
        <v>4866.8024999999998</v>
      </c>
    </row>
    <row r="1015" spans="1:18" x14ac:dyDescent="0.3">
      <c r="A1015" t="s">
        <v>5518</v>
      </c>
      <c r="B1015" t="str">
        <f>TEXT(Raw_Data[[#This Row],[Order Date]],"mmm")</f>
        <v>Dec</v>
      </c>
      <c r="C1015" t="s">
        <v>534</v>
      </c>
      <c r="D1015" t="s">
        <v>5519</v>
      </c>
      <c r="E1015" t="s">
        <v>48</v>
      </c>
      <c r="F1015" t="s">
        <v>21</v>
      </c>
      <c r="G1015" t="s">
        <v>22</v>
      </c>
      <c r="H1015" t="s">
        <v>80</v>
      </c>
      <c r="I1015" t="s">
        <v>131</v>
      </c>
      <c r="J1015" t="s">
        <v>25</v>
      </c>
      <c r="K1015" t="s">
        <v>5520</v>
      </c>
      <c r="L1015">
        <v>0</v>
      </c>
      <c r="M1015" t="s">
        <v>5521</v>
      </c>
      <c r="N1015" t="s">
        <v>5522</v>
      </c>
      <c r="O1015" t="s">
        <v>43</v>
      </c>
      <c r="P1015" t="s">
        <v>95</v>
      </c>
      <c r="Q1015" t="s">
        <v>44</v>
      </c>
      <c r="R1015" s="3">
        <v>4044.06</v>
      </c>
    </row>
    <row r="1016" spans="1:18" x14ac:dyDescent="0.3">
      <c r="A1016" t="s">
        <v>5523</v>
      </c>
      <c r="B1016" t="str">
        <f>TEXT(Raw_Data[[#This Row],[Order Date]],"mmm")</f>
        <v>Oct</v>
      </c>
      <c r="C1016" t="s">
        <v>2438</v>
      </c>
      <c r="D1016" t="s">
        <v>5524</v>
      </c>
      <c r="E1016" t="s">
        <v>35</v>
      </c>
      <c r="F1016" t="s">
        <v>21</v>
      </c>
      <c r="G1016" t="s">
        <v>130</v>
      </c>
      <c r="H1016" t="s">
        <v>80</v>
      </c>
      <c r="I1016" t="s">
        <v>131</v>
      </c>
      <c r="J1016" t="s">
        <v>25</v>
      </c>
      <c r="K1016" t="s">
        <v>5525</v>
      </c>
      <c r="L1016">
        <v>0</v>
      </c>
      <c r="M1016" t="s">
        <v>5526</v>
      </c>
      <c r="N1016" t="s">
        <v>5527</v>
      </c>
      <c r="O1016" t="s">
        <v>54</v>
      </c>
      <c r="P1016" t="s">
        <v>112</v>
      </c>
      <c r="Q1016" t="s">
        <v>44</v>
      </c>
      <c r="R1016" s="3">
        <v>2357.91</v>
      </c>
    </row>
    <row r="1017" spans="1:18" x14ac:dyDescent="0.3">
      <c r="A1017" t="s">
        <v>5528</v>
      </c>
      <c r="B1017" t="str">
        <f>TEXT(Raw_Data[[#This Row],[Order Date]],"mmm")</f>
        <v>Oct</v>
      </c>
      <c r="C1017" t="s">
        <v>2432</v>
      </c>
      <c r="D1017" t="s">
        <v>5529</v>
      </c>
      <c r="E1017" t="s">
        <v>48</v>
      </c>
      <c r="F1017" t="s">
        <v>78</v>
      </c>
      <c r="G1017" t="s">
        <v>468</v>
      </c>
      <c r="H1017" t="s">
        <v>23</v>
      </c>
      <c r="I1017" t="s">
        <v>263</v>
      </c>
      <c r="J1017" t="s">
        <v>25</v>
      </c>
      <c r="K1017" t="s">
        <v>5530</v>
      </c>
      <c r="L1017">
        <v>0.15</v>
      </c>
      <c r="M1017" t="s">
        <v>5531</v>
      </c>
      <c r="N1017" t="s">
        <v>5532</v>
      </c>
      <c r="O1017" t="s">
        <v>54</v>
      </c>
      <c r="P1017" t="s">
        <v>30</v>
      </c>
      <c r="Q1017" t="s">
        <v>31</v>
      </c>
      <c r="R1017" s="3">
        <v>5374.7879999999996</v>
      </c>
    </row>
    <row r="1018" spans="1:18" x14ac:dyDescent="0.3">
      <c r="A1018" t="s">
        <v>5533</v>
      </c>
      <c r="B1018" t="str">
        <f>TEXT(Raw_Data[[#This Row],[Order Date]],"mmm")</f>
        <v>Sep</v>
      </c>
      <c r="C1018" t="s">
        <v>401</v>
      </c>
      <c r="D1018" t="s">
        <v>5534</v>
      </c>
      <c r="E1018" t="s">
        <v>20</v>
      </c>
      <c r="F1018" t="s">
        <v>36</v>
      </c>
      <c r="G1018" t="s">
        <v>196</v>
      </c>
      <c r="H1018" t="s">
        <v>107</v>
      </c>
      <c r="I1018" t="s">
        <v>108</v>
      </c>
      <c r="J1018" t="s">
        <v>100</v>
      </c>
      <c r="K1018" t="s">
        <v>5535</v>
      </c>
      <c r="L1018">
        <v>0.05</v>
      </c>
      <c r="M1018" t="s">
        <v>5536</v>
      </c>
      <c r="N1018" t="s">
        <v>5537</v>
      </c>
      <c r="O1018" t="s">
        <v>43</v>
      </c>
      <c r="P1018" t="s">
        <v>30</v>
      </c>
      <c r="Q1018" t="s">
        <v>31</v>
      </c>
      <c r="R1018" s="3">
        <v>16502.582999999999</v>
      </c>
    </row>
    <row r="1019" spans="1:18" x14ac:dyDescent="0.3">
      <c r="A1019" t="s">
        <v>5538</v>
      </c>
      <c r="B1019" t="str">
        <f>TEXT(Raw_Data[[#This Row],[Order Date]],"mmm")</f>
        <v>May</v>
      </c>
      <c r="C1019" t="s">
        <v>1472</v>
      </c>
      <c r="D1019" t="s">
        <v>5539</v>
      </c>
      <c r="E1019" t="s">
        <v>20</v>
      </c>
      <c r="F1019" t="s">
        <v>106</v>
      </c>
      <c r="G1019" t="s">
        <v>106</v>
      </c>
      <c r="H1019" t="s">
        <v>80</v>
      </c>
      <c r="I1019" t="s">
        <v>146</v>
      </c>
      <c r="J1019" t="s">
        <v>25</v>
      </c>
      <c r="K1019" t="s">
        <v>5540</v>
      </c>
      <c r="L1019">
        <v>0</v>
      </c>
      <c r="M1019" t="s">
        <v>5541</v>
      </c>
      <c r="N1019" t="s">
        <v>5542</v>
      </c>
      <c r="O1019" t="s">
        <v>173</v>
      </c>
      <c r="P1019" t="s">
        <v>30</v>
      </c>
      <c r="Q1019" t="s">
        <v>65</v>
      </c>
      <c r="R1019" s="3">
        <v>6022.21</v>
      </c>
    </row>
    <row r="1020" spans="1:18" x14ac:dyDescent="0.3">
      <c r="A1020" t="s">
        <v>5543</v>
      </c>
      <c r="B1020" t="str">
        <f>TEXT(Raw_Data[[#This Row],[Order Date]],"mmm")</f>
        <v>Aug</v>
      </c>
      <c r="C1020" t="s">
        <v>971</v>
      </c>
      <c r="D1020" t="s">
        <v>5544</v>
      </c>
      <c r="E1020" t="s">
        <v>20</v>
      </c>
      <c r="F1020" t="s">
        <v>58</v>
      </c>
      <c r="G1020" t="s">
        <v>812</v>
      </c>
      <c r="H1020" t="s">
        <v>80</v>
      </c>
      <c r="I1020" t="s">
        <v>81</v>
      </c>
      <c r="J1020" t="s">
        <v>100</v>
      </c>
      <c r="K1020" t="s">
        <v>5545</v>
      </c>
      <c r="L1020">
        <v>0.15</v>
      </c>
      <c r="M1020" t="s">
        <v>5546</v>
      </c>
      <c r="N1020" t="s">
        <v>5547</v>
      </c>
      <c r="O1020" t="s">
        <v>54</v>
      </c>
      <c r="P1020" t="s">
        <v>30</v>
      </c>
      <c r="Q1020" t="s">
        <v>31</v>
      </c>
      <c r="R1020" s="3">
        <v>2536.3064999999901</v>
      </c>
    </row>
    <row r="1021" spans="1:18" x14ac:dyDescent="0.3">
      <c r="A1021" t="s">
        <v>5548</v>
      </c>
      <c r="B1021" t="str">
        <f>TEXT(Raw_Data[[#This Row],[Order Date]],"mmm")</f>
        <v>Aug</v>
      </c>
      <c r="C1021" t="s">
        <v>954</v>
      </c>
      <c r="D1021" t="s">
        <v>5549</v>
      </c>
      <c r="E1021" t="s">
        <v>20</v>
      </c>
      <c r="F1021" t="s">
        <v>36</v>
      </c>
      <c r="G1021" t="s">
        <v>37</v>
      </c>
      <c r="H1021" t="s">
        <v>107</v>
      </c>
      <c r="I1021" t="s">
        <v>378</v>
      </c>
      <c r="J1021" t="s">
        <v>25</v>
      </c>
      <c r="K1021" t="s">
        <v>5550</v>
      </c>
      <c r="L1021">
        <v>0.15</v>
      </c>
      <c r="M1021" t="s">
        <v>5551</v>
      </c>
      <c r="N1021" t="s">
        <v>5552</v>
      </c>
      <c r="O1021" t="s">
        <v>173</v>
      </c>
      <c r="P1021" t="s">
        <v>30</v>
      </c>
      <c r="Q1021" t="s">
        <v>65</v>
      </c>
      <c r="R1021" s="3">
        <v>1684.9295</v>
      </c>
    </row>
    <row r="1022" spans="1:18" x14ac:dyDescent="0.3">
      <c r="A1022" t="s">
        <v>5553</v>
      </c>
      <c r="B1022" t="str">
        <f>TEXT(Raw_Data[[#This Row],[Order Date]],"mmm")</f>
        <v>Aug</v>
      </c>
      <c r="C1022" t="s">
        <v>1403</v>
      </c>
      <c r="D1022" t="s">
        <v>5554</v>
      </c>
      <c r="E1022" t="s">
        <v>35</v>
      </c>
      <c r="F1022" t="s">
        <v>21</v>
      </c>
      <c r="G1022" t="s">
        <v>22</v>
      </c>
      <c r="H1022" t="s">
        <v>107</v>
      </c>
      <c r="I1022" t="s">
        <v>378</v>
      </c>
      <c r="J1022" t="s">
        <v>50</v>
      </c>
      <c r="K1022" t="s">
        <v>5555</v>
      </c>
      <c r="L1022">
        <v>0.1</v>
      </c>
      <c r="M1022" t="s">
        <v>5556</v>
      </c>
      <c r="O1022" t="s">
        <v>173</v>
      </c>
      <c r="P1022" t="s">
        <v>30</v>
      </c>
      <c r="Q1022" t="s">
        <v>31</v>
      </c>
      <c r="R1022" s="3">
        <v>17177.022000000001</v>
      </c>
    </row>
    <row r="1023" spans="1:18" x14ac:dyDescent="0.3">
      <c r="A1023" t="s">
        <v>5557</v>
      </c>
      <c r="B1023" t="str">
        <f>TEXT(Raw_Data[[#This Row],[Order Date]],"mmm")</f>
        <v>Dec</v>
      </c>
      <c r="C1023" t="s">
        <v>3003</v>
      </c>
      <c r="D1023" t="s">
        <v>5558</v>
      </c>
      <c r="E1023" t="s">
        <v>20</v>
      </c>
      <c r="F1023" t="s">
        <v>215</v>
      </c>
      <c r="G1023" t="s">
        <v>216</v>
      </c>
      <c r="H1023" t="s">
        <v>154</v>
      </c>
      <c r="I1023" t="s">
        <v>237</v>
      </c>
      <c r="J1023" t="s">
        <v>25</v>
      </c>
      <c r="K1023" t="s">
        <v>5559</v>
      </c>
      <c r="L1023">
        <v>0</v>
      </c>
      <c r="M1023" t="s">
        <v>5560</v>
      </c>
      <c r="N1023" t="s">
        <v>5561</v>
      </c>
      <c r="O1023" t="s">
        <v>29</v>
      </c>
      <c r="P1023" t="s">
        <v>30</v>
      </c>
      <c r="Q1023" t="s">
        <v>31</v>
      </c>
      <c r="R1023" s="3">
        <v>3814.46</v>
      </c>
    </row>
    <row r="1024" spans="1:18" x14ac:dyDescent="0.3">
      <c r="A1024" t="s">
        <v>5562</v>
      </c>
      <c r="B1024" t="str">
        <f>TEXT(Raw_Data[[#This Row],[Order Date]],"mmm")</f>
        <v>May</v>
      </c>
      <c r="C1024" t="s">
        <v>1257</v>
      </c>
      <c r="D1024" t="s">
        <v>5563</v>
      </c>
      <c r="E1024" t="s">
        <v>48</v>
      </c>
      <c r="F1024" t="s">
        <v>215</v>
      </c>
      <c r="G1024" t="s">
        <v>276</v>
      </c>
      <c r="H1024" t="s">
        <v>23</v>
      </c>
      <c r="I1024" t="s">
        <v>341</v>
      </c>
      <c r="J1024" t="s">
        <v>100</v>
      </c>
      <c r="K1024" t="s">
        <v>5564</v>
      </c>
      <c r="L1024">
        <v>0.1</v>
      </c>
      <c r="M1024" t="s">
        <v>5565</v>
      </c>
      <c r="N1024" t="s">
        <v>5566</v>
      </c>
      <c r="O1024" t="s">
        <v>43</v>
      </c>
      <c r="P1024" t="s">
        <v>30</v>
      </c>
      <c r="Q1024" t="s">
        <v>31</v>
      </c>
      <c r="R1024" s="3">
        <v>36497.493000000002</v>
      </c>
    </row>
    <row r="1025" spans="1:18" x14ac:dyDescent="0.3">
      <c r="A1025" t="s">
        <v>5567</v>
      </c>
      <c r="B1025" t="str">
        <f>TEXT(Raw_Data[[#This Row],[Order Date]],"mmm")</f>
        <v>Nov</v>
      </c>
      <c r="C1025" t="s">
        <v>1359</v>
      </c>
      <c r="D1025" t="s">
        <v>5568</v>
      </c>
      <c r="E1025" t="s">
        <v>35</v>
      </c>
      <c r="F1025" t="s">
        <v>78</v>
      </c>
      <c r="G1025" t="s">
        <v>468</v>
      </c>
      <c r="H1025" t="s">
        <v>23</v>
      </c>
      <c r="I1025" t="s">
        <v>183</v>
      </c>
      <c r="J1025" t="s">
        <v>25</v>
      </c>
      <c r="K1025" t="s">
        <v>5569</v>
      </c>
      <c r="L1025">
        <v>0.15</v>
      </c>
      <c r="M1025" t="s">
        <v>5570</v>
      </c>
      <c r="N1025" t="s">
        <v>5571</v>
      </c>
      <c r="O1025" t="s">
        <v>43</v>
      </c>
      <c r="P1025" t="s">
        <v>95</v>
      </c>
      <c r="Q1025" t="s">
        <v>31</v>
      </c>
      <c r="R1025" s="3">
        <v>52655.978499999997</v>
      </c>
    </row>
    <row r="1026" spans="1:18" x14ac:dyDescent="0.3">
      <c r="A1026" t="s">
        <v>5572</v>
      </c>
      <c r="B1026" t="str">
        <f>TEXT(Raw_Data[[#This Row],[Order Date]],"mmm")</f>
        <v>Jan</v>
      </c>
      <c r="C1026" t="s">
        <v>207</v>
      </c>
      <c r="D1026" t="s">
        <v>5573</v>
      </c>
      <c r="E1026" t="s">
        <v>48</v>
      </c>
      <c r="F1026" t="s">
        <v>58</v>
      </c>
      <c r="G1026" t="s">
        <v>290</v>
      </c>
      <c r="H1026" t="s">
        <v>80</v>
      </c>
      <c r="I1026" t="s">
        <v>91</v>
      </c>
      <c r="J1026" t="s">
        <v>25</v>
      </c>
      <c r="K1026" t="s">
        <v>1214</v>
      </c>
      <c r="L1026">
        <v>0.15</v>
      </c>
      <c r="M1026" t="s">
        <v>5574</v>
      </c>
      <c r="N1026" t="s">
        <v>5575</v>
      </c>
      <c r="O1026" t="s">
        <v>43</v>
      </c>
      <c r="P1026" t="s">
        <v>30</v>
      </c>
      <c r="Q1026" t="s">
        <v>44</v>
      </c>
      <c r="R1026" s="3">
        <v>3105.8829999999998</v>
      </c>
    </row>
    <row r="1027" spans="1:18" x14ac:dyDescent="0.3">
      <c r="A1027" t="s">
        <v>5576</v>
      </c>
      <c r="B1027" t="str">
        <f>TEXT(Raw_Data[[#This Row],[Order Date]],"mmm")</f>
        <v>Oct</v>
      </c>
      <c r="C1027" t="s">
        <v>1239</v>
      </c>
      <c r="D1027" t="s">
        <v>5577</v>
      </c>
      <c r="E1027" t="s">
        <v>48</v>
      </c>
      <c r="F1027" t="s">
        <v>58</v>
      </c>
      <c r="G1027" t="s">
        <v>290</v>
      </c>
      <c r="H1027" t="s">
        <v>107</v>
      </c>
      <c r="I1027" t="s">
        <v>108</v>
      </c>
      <c r="J1027" t="s">
        <v>25</v>
      </c>
      <c r="K1027" t="s">
        <v>5578</v>
      </c>
      <c r="L1027">
        <v>0.1</v>
      </c>
      <c r="M1027" t="s">
        <v>5579</v>
      </c>
      <c r="N1027" t="s">
        <v>5580</v>
      </c>
      <c r="O1027" t="s">
        <v>29</v>
      </c>
      <c r="P1027" t="s">
        <v>112</v>
      </c>
      <c r="Q1027" t="s">
        <v>65</v>
      </c>
      <c r="R1027" s="3">
        <v>4136.8140000000003</v>
      </c>
    </row>
    <row r="1028" spans="1:18" x14ac:dyDescent="0.3">
      <c r="A1028" t="s">
        <v>5581</v>
      </c>
      <c r="B1028" t="str">
        <f>TEXT(Raw_Data[[#This Row],[Order Date]],"mmm")</f>
        <v>May</v>
      </c>
      <c r="C1028" t="s">
        <v>874</v>
      </c>
      <c r="D1028" t="s">
        <v>5582</v>
      </c>
      <c r="E1028" t="s">
        <v>48</v>
      </c>
      <c r="F1028" t="s">
        <v>69</v>
      </c>
      <c r="G1028" t="s">
        <v>328</v>
      </c>
      <c r="H1028" t="s">
        <v>154</v>
      </c>
      <c r="I1028" t="s">
        <v>309</v>
      </c>
      <c r="J1028" t="s">
        <v>25</v>
      </c>
      <c r="K1028" t="s">
        <v>5583</v>
      </c>
      <c r="L1028">
        <v>0.05</v>
      </c>
      <c r="M1028" t="s">
        <v>5584</v>
      </c>
      <c r="N1028" t="s">
        <v>5585</v>
      </c>
      <c r="O1028" t="s">
        <v>173</v>
      </c>
      <c r="P1028" t="s">
        <v>30</v>
      </c>
      <c r="Q1028" t="s">
        <v>31</v>
      </c>
      <c r="R1028" s="3">
        <v>4425.3755000000001</v>
      </c>
    </row>
    <row r="1029" spans="1:18" x14ac:dyDescent="0.3">
      <c r="A1029" t="s">
        <v>5586</v>
      </c>
      <c r="B1029" t="str">
        <f>TEXT(Raw_Data[[#This Row],[Order Date]],"mmm")</f>
        <v>Apr</v>
      </c>
      <c r="C1029" t="s">
        <v>2338</v>
      </c>
      <c r="D1029" t="s">
        <v>5587</v>
      </c>
      <c r="E1029" t="s">
        <v>48</v>
      </c>
      <c r="F1029" t="s">
        <v>106</v>
      </c>
      <c r="G1029" t="s">
        <v>163</v>
      </c>
      <c r="H1029" t="s">
        <v>23</v>
      </c>
      <c r="I1029" t="s">
        <v>49</v>
      </c>
      <c r="J1029" t="s">
        <v>50</v>
      </c>
      <c r="K1029" t="s">
        <v>5588</v>
      </c>
      <c r="L1029">
        <v>0.15</v>
      </c>
      <c r="M1029" t="s">
        <v>5589</v>
      </c>
      <c r="N1029" t="s">
        <v>5590</v>
      </c>
      <c r="O1029" t="s">
        <v>173</v>
      </c>
      <c r="P1029" t="s">
        <v>30</v>
      </c>
      <c r="Q1029" t="s">
        <v>65</v>
      </c>
      <c r="R1029" s="3">
        <v>90312.873999999996</v>
      </c>
    </row>
    <row r="1030" spans="1:18" x14ac:dyDescent="0.3">
      <c r="A1030" t="s">
        <v>5591</v>
      </c>
      <c r="B1030" t="str">
        <f>TEXT(Raw_Data[[#This Row],[Order Date]],"mmm")</f>
        <v>Jun</v>
      </c>
      <c r="C1030" t="s">
        <v>370</v>
      </c>
      <c r="D1030" t="s">
        <v>5592</v>
      </c>
      <c r="E1030" t="s">
        <v>48</v>
      </c>
      <c r="F1030" t="s">
        <v>69</v>
      </c>
      <c r="G1030" t="s">
        <v>328</v>
      </c>
      <c r="H1030" t="s">
        <v>80</v>
      </c>
      <c r="I1030" t="s">
        <v>91</v>
      </c>
      <c r="J1030" t="s">
        <v>25</v>
      </c>
      <c r="K1030" t="s">
        <v>5593</v>
      </c>
      <c r="L1030">
        <v>0.15</v>
      </c>
      <c r="M1030" t="s">
        <v>5594</v>
      </c>
      <c r="N1030" t="s">
        <v>5595</v>
      </c>
      <c r="O1030" t="s">
        <v>173</v>
      </c>
      <c r="P1030" t="s">
        <v>30</v>
      </c>
      <c r="Q1030" t="s">
        <v>65</v>
      </c>
      <c r="R1030" s="3">
        <v>988.09950000000003</v>
      </c>
    </row>
    <row r="1031" spans="1:18" x14ac:dyDescent="0.3">
      <c r="A1031" t="s">
        <v>5596</v>
      </c>
      <c r="B1031" t="str">
        <f>TEXT(Raw_Data[[#This Row],[Order Date]],"mmm")</f>
        <v>Sep</v>
      </c>
      <c r="C1031" t="s">
        <v>719</v>
      </c>
      <c r="D1031" t="s">
        <v>5597</v>
      </c>
      <c r="E1031" t="s">
        <v>20</v>
      </c>
      <c r="F1031" t="s">
        <v>78</v>
      </c>
      <c r="G1031" t="s">
        <v>731</v>
      </c>
      <c r="H1031" t="s">
        <v>107</v>
      </c>
      <c r="I1031" t="s">
        <v>469</v>
      </c>
      <c r="J1031" t="s">
        <v>82</v>
      </c>
      <c r="K1031" t="s">
        <v>5598</v>
      </c>
      <c r="L1031">
        <v>0</v>
      </c>
      <c r="M1031" t="s">
        <v>5599</v>
      </c>
      <c r="N1031" t="s">
        <v>5600</v>
      </c>
      <c r="O1031" t="s">
        <v>173</v>
      </c>
      <c r="P1031" t="s">
        <v>30</v>
      </c>
      <c r="Q1031" t="s">
        <v>65</v>
      </c>
      <c r="R1031" s="3">
        <v>70932.639999999999</v>
      </c>
    </row>
    <row r="1032" spans="1:18" x14ac:dyDescent="0.3">
      <c r="A1032" t="s">
        <v>5601</v>
      </c>
      <c r="B1032" t="str">
        <f>TEXT(Raw_Data[[#This Row],[Order Date]],"mmm")</f>
        <v>Mar</v>
      </c>
      <c r="C1032" t="s">
        <v>713</v>
      </c>
      <c r="D1032" t="s">
        <v>5602</v>
      </c>
      <c r="E1032" t="s">
        <v>35</v>
      </c>
      <c r="F1032" t="s">
        <v>21</v>
      </c>
      <c r="G1032" t="s">
        <v>130</v>
      </c>
      <c r="H1032" t="s">
        <v>38</v>
      </c>
      <c r="I1032" t="s">
        <v>256</v>
      </c>
      <c r="J1032" t="s">
        <v>82</v>
      </c>
      <c r="K1032" t="s">
        <v>5603</v>
      </c>
      <c r="L1032">
        <v>0.15</v>
      </c>
      <c r="M1032" t="s">
        <v>5604</v>
      </c>
      <c r="N1032" t="s">
        <v>5605</v>
      </c>
      <c r="O1032" t="s">
        <v>173</v>
      </c>
      <c r="P1032" t="s">
        <v>30</v>
      </c>
      <c r="Q1032" t="s">
        <v>65</v>
      </c>
      <c r="R1032" s="3">
        <v>14411.8859999999</v>
      </c>
    </row>
    <row r="1033" spans="1:18" x14ac:dyDescent="0.3">
      <c r="A1033" t="s">
        <v>5606</v>
      </c>
      <c r="B1033" t="str">
        <f>TEXT(Raw_Data[[#This Row],[Order Date]],"mmm")</f>
        <v>Jul</v>
      </c>
      <c r="C1033" t="s">
        <v>333</v>
      </c>
      <c r="D1033" t="s">
        <v>5607</v>
      </c>
      <c r="E1033" t="s">
        <v>48</v>
      </c>
      <c r="F1033" t="s">
        <v>106</v>
      </c>
      <c r="G1033" t="s">
        <v>106</v>
      </c>
      <c r="H1033" t="s">
        <v>107</v>
      </c>
      <c r="I1033" t="s">
        <v>469</v>
      </c>
      <c r="J1033" t="s">
        <v>25</v>
      </c>
      <c r="K1033" t="s">
        <v>5608</v>
      </c>
      <c r="L1033">
        <v>0.1</v>
      </c>
      <c r="M1033" t="s">
        <v>5609</v>
      </c>
      <c r="N1033" t="s">
        <v>5610</v>
      </c>
      <c r="O1033" t="s">
        <v>173</v>
      </c>
      <c r="P1033" t="s">
        <v>112</v>
      </c>
      <c r="Q1033" t="s">
        <v>65</v>
      </c>
      <c r="R1033" s="3">
        <v>5171.6970000000001</v>
      </c>
    </row>
    <row r="1034" spans="1:18" x14ac:dyDescent="0.3">
      <c r="A1034" t="s">
        <v>5611</v>
      </c>
      <c r="B1034" t="str">
        <f>TEXT(Raw_Data[[#This Row],[Order Date]],"mmm")</f>
        <v>Feb</v>
      </c>
      <c r="C1034" t="s">
        <v>936</v>
      </c>
      <c r="D1034" t="s">
        <v>5612</v>
      </c>
      <c r="E1034" t="s">
        <v>48</v>
      </c>
      <c r="F1034" t="s">
        <v>215</v>
      </c>
      <c r="G1034" t="s">
        <v>216</v>
      </c>
      <c r="H1034" t="s">
        <v>107</v>
      </c>
      <c r="I1034" t="s">
        <v>469</v>
      </c>
      <c r="J1034" t="s">
        <v>25</v>
      </c>
      <c r="K1034" t="s">
        <v>5613</v>
      </c>
      <c r="L1034">
        <v>0.05</v>
      </c>
      <c r="M1034" t="s">
        <v>5614</v>
      </c>
      <c r="N1034" t="s">
        <v>5615</v>
      </c>
      <c r="O1034" t="s">
        <v>54</v>
      </c>
      <c r="P1034" t="s">
        <v>30</v>
      </c>
      <c r="Q1034" t="s">
        <v>44</v>
      </c>
      <c r="R1034" s="3">
        <v>13230.9825</v>
      </c>
    </row>
    <row r="1035" spans="1:18" x14ac:dyDescent="0.3">
      <c r="A1035" t="s">
        <v>5616</v>
      </c>
      <c r="B1035" t="str">
        <f>TEXT(Raw_Data[[#This Row],[Order Date]],"mmm")</f>
        <v>Jan</v>
      </c>
      <c r="C1035" t="s">
        <v>2464</v>
      </c>
      <c r="D1035" t="s">
        <v>5617</v>
      </c>
      <c r="E1035" t="s">
        <v>35</v>
      </c>
      <c r="F1035" t="s">
        <v>215</v>
      </c>
      <c r="G1035" t="s">
        <v>276</v>
      </c>
      <c r="H1035" t="s">
        <v>23</v>
      </c>
      <c r="I1035" t="s">
        <v>49</v>
      </c>
      <c r="J1035" t="s">
        <v>25</v>
      </c>
      <c r="K1035" t="s">
        <v>5618</v>
      </c>
      <c r="L1035">
        <v>0.05</v>
      </c>
      <c r="M1035" t="s">
        <v>5619</v>
      </c>
      <c r="N1035" t="s">
        <v>5620</v>
      </c>
      <c r="O1035" t="s">
        <v>54</v>
      </c>
      <c r="P1035" t="s">
        <v>159</v>
      </c>
      <c r="Q1035" t="s">
        <v>65</v>
      </c>
      <c r="R1035" s="3">
        <v>2370.0315000000001</v>
      </c>
    </row>
    <row r="1036" spans="1:18" x14ac:dyDescent="0.3">
      <c r="A1036" t="s">
        <v>5621</v>
      </c>
      <c r="B1036" t="str">
        <f>TEXT(Raw_Data[[#This Row],[Order Date]],"mmm")</f>
        <v>Jul</v>
      </c>
      <c r="C1036" t="s">
        <v>295</v>
      </c>
      <c r="D1036" t="s">
        <v>5622</v>
      </c>
      <c r="E1036" t="s">
        <v>20</v>
      </c>
      <c r="F1036" t="s">
        <v>21</v>
      </c>
      <c r="G1036" t="s">
        <v>130</v>
      </c>
      <c r="H1036" t="s">
        <v>80</v>
      </c>
      <c r="I1036" t="s">
        <v>146</v>
      </c>
      <c r="J1036" t="s">
        <v>25</v>
      </c>
      <c r="K1036" t="s">
        <v>5623</v>
      </c>
      <c r="L1036">
        <v>0.05</v>
      </c>
      <c r="M1036" t="s">
        <v>5624</v>
      </c>
      <c r="N1036" t="s">
        <v>5625</v>
      </c>
      <c r="O1036" t="s">
        <v>29</v>
      </c>
      <c r="P1036" t="s">
        <v>159</v>
      </c>
      <c r="Q1036" t="s">
        <v>44</v>
      </c>
      <c r="R1036" s="3">
        <v>1632.4324999999999</v>
      </c>
    </row>
    <row r="1037" spans="1:18" x14ac:dyDescent="0.3">
      <c r="A1037" t="s">
        <v>5626</v>
      </c>
      <c r="B1037" t="str">
        <f>TEXT(Raw_Data[[#This Row],[Order Date]],"mmm")</f>
        <v>Sep</v>
      </c>
      <c r="C1037" t="s">
        <v>719</v>
      </c>
      <c r="D1037" t="s">
        <v>5627</v>
      </c>
      <c r="E1037" t="s">
        <v>48</v>
      </c>
      <c r="F1037" t="s">
        <v>89</v>
      </c>
      <c r="G1037" t="s">
        <v>230</v>
      </c>
      <c r="H1037" t="s">
        <v>107</v>
      </c>
      <c r="I1037" t="s">
        <v>378</v>
      </c>
      <c r="J1037" t="s">
        <v>25</v>
      </c>
      <c r="K1037" t="s">
        <v>5628</v>
      </c>
      <c r="L1037">
        <v>0.05</v>
      </c>
      <c r="M1037" t="s">
        <v>5629</v>
      </c>
      <c r="N1037" t="s">
        <v>5630</v>
      </c>
      <c r="O1037" t="s">
        <v>43</v>
      </c>
      <c r="P1037" t="s">
        <v>30</v>
      </c>
      <c r="Q1037" t="s">
        <v>65</v>
      </c>
      <c r="R1037" s="3">
        <v>15095.452499999999</v>
      </c>
    </row>
    <row r="1038" spans="1:18" x14ac:dyDescent="0.3">
      <c r="A1038" t="s">
        <v>5631</v>
      </c>
      <c r="B1038" t="str">
        <f>TEXT(Raw_Data[[#This Row],[Order Date]],"mmm")</f>
        <v>May</v>
      </c>
      <c r="C1038" t="s">
        <v>498</v>
      </c>
      <c r="D1038" t="s">
        <v>5632</v>
      </c>
      <c r="E1038" t="s">
        <v>35</v>
      </c>
      <c r="F1038" t="s">
        <v>58</v>
      </c>
      <c r="G1038" t="s">
        <v>290</v>
      </c>
      <c r="H1038" t="s">
        <v>23</v>
      </c>
      <c r="I1038" t="s">
        <v>24</v>
      </c>
      <c r="J1038" t="s">
        <v>82</v>
      </c>
      <c r="K1038" t="s">
        <v>5633</v>
      </c>
      <c r="L1038">
        <v>0.15</v>
      </c>
      <c r="M1038" t="s">
        <v>5634</v>
      </c>
      <c r="N1038" t="s">
        <v>5635</v>
      </c>
      <c r="O1038" t="s">
        <v>173</v>
      </c>
      <c r="P1038" t="s">
        <v>30</v>
      </c>
      <c r="Q1038" t="s">
        <v>65</v>
      </c>
      <c r="R1038" s="3">
        <v>211853.66</v>
      </c>
    </row>
    <row r="1039" spans="1:18" x14ac:dyDescent="0.3">
      <c r="A1039" t="s">
        <v>5636</v>
      </c>
      <c r="B1039" t="str">
        <f>TEXT(Raw_Data[[#This Row],[Order Date]],"mmm")</f>
        <v>Dec</v>
      </c>
      <c r="C1039" t="s">
        <v>3960</v>
      </c>
      <c r="D1039" t="s">
        <v>5637</v>
      </c>
      <c r="E1039" t="s">
        <v>48</v>
      </c>
      <c r="F1039" t="s">
        <v>21</v>
      </c>
      <c r="G1039" t="s">
        <v>130</v>
      </c>
      <c r="H1039" t="s">
        <v>38</v>
      </c>
      <c r="I1039" t="s">
        <v>256</v>
      </c>
      <c r="J1039" t="s">
        <v>25</v>
      </c>
      <c r="K1039" t="s">
        <v>5638</v>
      </c>
      <c r="L1039">
        <v>0.05</v>
      </c>
      <c r="M1039" t="s">
        <v>5639</v>
      </c>
      <c r="N1039" t="s">
        <v>5640</v>
      </c>
      <c r="O1039" t="s">
        <v>64</v>
      </c>
      <c r="P1039" t="s">
        <v>159</v>
      </c>
      <c r="Q1039" t="s">
        <v>65</v>
      </c>
      <c r="R1039" s="3">
        <v>3533.62</v>
      </c>
    </row>
    <row r="1040" spans="1:18" x14ac:dyDescent="0.3">
      <c r="A1040" t="s">
        <v>5641</v>
      </c>
      <c r="B1040" t="str">
        <f>TEXT(Raw_Data[[#This Row],[Order Date]],"mmm")</f>
        <v>Oct</v>
      </c>
      <c r="C1040" t="s">
        <v>736</v>
      </c>
      <c r="D1040" t="s">
        <v>5642</v>
      </c>
      <c r="E1040" t="s">
        <v>20</v>
      </c>
      <c r="F1040" t="s">
        <v>89</v>
      </c>
      <c r="G1040" t="s">
        <v>230</v>
      </c>
      <c r="H1040" t="s">
        <v>107</v>
      </c>
      <c r="I1040" t="s">
        <v>277</v>
      </c>
      <c r="J1040" t="s">
        <v>50</v>
      </c>
      <c r="K1040" t="s">
        <v>5643</v>
      </c>
      <c r="L1040">
        <v>0</v>
      </c>
      <c r="M1040" t="s">
        <v>5644</v>
      </c>
      <c r="N1040" t="s">
        <v>5645</v>
      </c>
      <c r="O1040" t="s">
        <v>64</v>
      </c>
      <c r="P1040" t="s">
        <v>30</v>
      </c>
      <c r="Q1040" t="s">
        <v>31</v>
      </c>
      <c r="R1040" s="3">
        <v>29339.84</v>
      </c>
    </row>
    <row r="1041" spans="1:18" x14ac:dyDescent="0.3">
      <c r="A1041" t="s">
        <v>5646</v>
      </c>
      <c r="B1041" t="str">
        <f>TEXT(Raw_Data[[#This Row],[Order Date]],"mmm")</f>
        <v>Nov</v>
      </c>
      <c r="C1041" t="s">
        <v>5647</v>
      </c>
      <c r="D1041" t="s">
        <v>5648</v>
      </c>
      <c r="E1041" t="s">
        <v>35</v>
      </c>
      <c r="F1041" t="s">
        <v>89</v>
      </c>
      <c r="G1041" t="s">
        <v>230</v>
      </c>
      <c r="H1041" t="s">
        <v>107</v>
      </c>
      <c r="I1041" t="s">
        <v>108</v>
      </c>
      <c r="J1041" t="s">
        <v>25</v>
      </c>
      <c r="K1041" t="s">
        <v>5649</v>
      </c>
      <c r="L1041">
        <v>0.1</v>
      </c>
      <c r="M1041" t="s">
        <v>5650</v>
      </c>
      <c r="N1041" t="s">
        <v>5651</v>
      </c>
      <c r="O1041" t="s">
        <v>173</v>
      </c>
      <c r="P1041" t="s">
        <v>30</v>
      </c>
      <c r="Q1041" t="s">
        <v>65</v>
      </c>
      <c r="R1041" s="3">
        <v>7242.3450000000003</v>
      </c>
    </row>
    <row r="1042" spans="1:18" x14ac:dyDescent="0.3">
      <c r="A1042" t="s">
        <v>5652</v>
      </c>
      <c r="B1042" t="str">
        <f>TEXT(Raw_Data[[#This Row],[Order Date]],"mmm")</f>
        <v>May</v>
      </c>
      <c r="C1042" t="s">
        <v>4840</v>
      </c>
      <c r="D1042" t="s">
        <v>5653</v>
      </c>
      <c r="E1042" t="s">
        <v>20</v>
      </c>
      <c r="F1042" t="s">
        <v>69</v>
      </c>
      <c r="G1042" t="s">
        <v>139</v>
      </c>
      <c r="H1042" t="s">
        <v>80</v>
      </c>
      <c r="I1042" t="s">
        <v>146</v>
      </c>
      <c r="J1042" t="s">
        <v>25</v>
      </c>
      <c r="K1042" t="s">
        <v>5654</v>
      </c>
      <c r="L1042">
        <v>0.1</v>
      </c>
      <c r="M1042" t="s">
        <v>5655</v>
      </c>
      <c r="N1042" t="s">
        <v>5656</v>
      </c>
      <c r="O1042" t="s">
        <v>64</v>
      </c>
      <c r="P1042" t="s">
        <v>30</v>
      </c>
      <c r="Q1042" t="s">
        <v>44</v>
      </c>
      <c r="R1042" s="3">
        <v>5173.7579999999998</v>
      </c>
    </row>
    <row r="1043" spans="1:18" x14ac:dyDescent="0.3">
      <c r="A1043" t="s">
        <v>5657</v>
      </c>
      <c r="B1043" t="str">
        <f>TEXT(Raw_Data[[#This Row],[Order Date]],"mmm")</f>
        <v>Jul</v>
      </c>
      <c r="C1043" t="s">
        <v>3949</v>
      </c>
      <c r="D1043" t="s">
        <v>5658</v>
      </c>
      <c r="E1043" t="s">
        <v>20</v>
      </c>
      <c r="F1043" t="s">
        <v>21</v>
      </c>
      <c r="G1043" t="s">
        <v>130</v>
      </c>
      <c r="H1043" t="s">
        <v>23</v>
      </c>
      <c r="I1043" t="s">
        <v>341</v>
      </c>
      <c r="J1043" t="s">
        <v>25</v>
      </c>
      <c r="K1043" t="s">
        <v>5659</v>
      </c>
      <c r="L1043">
        <v>0.05</v>
      </c>
      <c r="M1043" t="s">
        <v>5660</v>
      </c>
      <c r="N1043" t="s">
        <v>5661</v>
      </c>
      <c r="O1043" t="s">
        <v>64</v>
      </c>
      <c r="P1043" t="s">
        <v>30</v>
      </c>
      <c r="Q1043" t="s">
        <v>44</v>
      </c>
      <c r="R1043" s="3">
        <v>45059.8489999999</v>
      </c>
    </row>
    <row r="1044" spans="1:18" x14ac:dyDescent="0.3">
      <c r="A1044" t="s">
        <v>5662</v>
      </c>
      <c r="B1044" t="str">
        <f>TEXT(Raw_Data[[#This Row],[Order Date]],"mmm")</f>
        <v>Oct</v>
      </c>
      <c r="C1044" t="s">
        <v>1059</v>
      </c>
      <c r="D1044" t="s">
        <v>5663</v>
      </c>
      <c r="E1044" t="s">
        <v>35</v>
      </c>
      <c r="F1044" t="s">
        <v>215</v>
      </c>
      <c r="G1044" t="s">
        <v>216</v>
      </c>
      <c r="H1044" t="s">
        <v>23</v>
      </c>
      <c r="I1044" t="s">
        <v>24</v>
      </c>
      <c r="J1044" t="s">
        <v>25</v>
      </c>
      <c r="K1044" t="s">
        <v>5664</v>
      </c>
      <c r="L1044">
        <v>0.15</v>
      </c>
      <c r="M1044" t="s">
        <v>5665</v>
      </c>
      <c r="N1044" t="s">
        <v>5666</v>
      </c>
      <c r="O1044" t="s">
        <v>54</v>
      </c>
      <c r="P1044" t="s">
        <v>30</v>
      </c>
      <c r="Q1044" t="s">
        <v>44</v>
      </c>
      <c r="R1044" s="3">
        <v>58132.171499999902</v>
      </c>
    </row>
    <row r="1045" spans="1:18" x14ac:dyDescent="0.3">
      <c r="A1045" t="s">
        <v>5667</v>
      </c>
      <c r="B1045" t="str">
        <f>TEXT(Raw_Data[[#This Row],[Order Date]],"mmm")</f>
        <v>Oct</v>
      </c>
      <c r="C1045" t="s">
        <v>1171</v>
      </c>
      <c r="D1045" t="s">
        <v>5668</v>
      </c>
      <c r="E1045" t="s">
        <v>20</v>
      </c>
      <c r="F1045" t="s">
        <v>89</v>
      </c>
      <c r="G1045" t="s">
        <v>99</v>
      </c>
      <c r="H1045" t="s">
        <v>107</v>
      </c>
      <c r="I1045" t="s">
        <v>277</v>
      </c>
      <c r="J1045" t="s">
        <v>25</v>
      </c>
      <c r="K1045" t="s">
        <v>5669</v>
      </c>
      <c r="L1045">
        <v>0.1</v>
      </c>
      <c r="M1045" t="s">
        <v>5670</v>
      </c>
      <c r="N1045" t="s">
        <v>5671</v>
      </c>
      <c r="O1045" t="s">
        <v>173</v>
      </c>
      <c r="P1045" t="s">
        <v>112</v>
      </c>
      <c r="Q1045" t="s">
        <v>65</v>
      </c>
      <c r="R1045" s="3">
        <v>1551.366</v>
      </c>
    </row>
    <row r="1046" spans="1:18" x14ac:dyDescent="0.3">
      <c r="A1046" t="s">
        <v>5672</v>
      </c>
      <c r="B1046" t="str">
        <f>TEXT(Raw_Data[[#This Row],[Order Date]],"mmm")</f>
        <v>Jan</v>
      </c>
      <c r="C1046" t="s">
        <v>18</v>
      </c>
      <c r="D1046" t="s">
        <v>5673</v>
      </c>
      <c r="E1046" t="s">
        <v>20</v>
      </c>
      <c r="F1046" t="s">
        <v>89</v>
      </c>
      <c r="G1046" t="s">
        <v>230</v>
      </c>
      <c r="H1046" t="s">
        <v>107</v>
      </c>
      <c r="I1046" t="s">
        <v>108</v>
      </c>
      <c r="J1046" t="s">
        <v>25</v>
      </c>
      <c r="K1046" t="s">
        <v>5674</v>
      </c>
      <c r="L1046">
        <v>0</v>
      </c>
      <c r="M1046" t="s">
        <v>5675</v>
      </c>
      <c r="N1046" t="s">
        <v>5676</v>
      </c>
      <c r="O1046" t="s">
        <v>29</v>
      </c>
      <c r="P1046" t="s">
        <v>30</v>
      </c>
      <c r="Q1046" t="s">
        <v>44</v>
      </c>
      <c r="R1046" s="3">
        <v>10557.11</v>
      </c>
    </row>
    <row r="1047" spans="1:18" x14ac:dyDescent="0.3">
      <c r="A1047" t="s">
        <v>5677</v>
      </c>
      <c r="B1047" t="str">
        <f>TEXT(Raw_Data[[#This Row],[Order Date]],"mmm")</f>
        <v>Feb</v>
      </c>
      <c r="C1047" t="s">
        <v>33</v>
      </c>
      <c r="D1047" t="s">
        <v>5678</v>
      </c>
      <c r="E1047" t="s">
        <v>48</v>
      </c>
      <c r="F1047" t="s">
        <v>36</v>
      </c>
      <c r="G1047" t="s">
        <v>196</v>
      </c>
      <c r="H1047" t="s">
        <v>80</v>
      </c>
      <c r="I1047" t="s">
        <v>131</v>
      </c>
      <c r="J1047" t="s">
        <v>25</v>
      </c>
      <c r="K1047" t="s">
        <v>5679</v>
      </c>
      <c r="L1047">
        <v>0.1</v>
      </c>
      <c r="M1047" t="s">
        <v>5680</v>
      </c>
      <c r="N1047" t="s">
        <v>5681</v>
      </c>
      <c r="O1047" t="s">
        <v>29</v>
      </c>
      <c r="P1047" t="s">
        <v>159</v>
      </c>
      <c r="Q1047" t="s">
        <v>65</v>
      </c>
      <c r="R1047" s="3">
        <v>2723.6880000000001</v>
      </c>
    </row>
    <row r="1048" spans="1:18" x14ac:dyDescent="0.3">
      <c r="A1048" t="s">
        <v>5682</v>
      </c>
      <c r="B1048" t="str">
        <f>TEXT(Raw_Data[[#This Row],[Order Date]],"mmm")</f>
        <v>Oct</v>
      </c>
      <c r="C1048" t="s">
        <v>2432</v>
      </c>
      <c r="D1048" t="s">
        <v>5683</v>
      </c>
      <c r="E1048" t="s">
        <v>35</v>
      </c>
      <c r="F1048" t="s">
        <v>89</v>
      </c>
      <c r="G1048" t="s">
        <v>230</v>
      </c>
      <c r="H1048" t="s">
        <v>80</v>
      </c>
      <c r="I1048" t="s">
        <v>146</v>
      </c>
      <c r="J1048" t="s">
        <v>100</v>
      </c>
      <c r="K1048" t="s">
        <v>5684</v>
      </c>
      <c r="L1048">
        <v>0.15</v>
      </c>
      <c r="M1048" t="s">
        <v>5685</v>
      </c>
      <c r="N1048" t="s">
        <v>5686</v>
      </c>
      <c r="O1048" t="s">
        <v>64</v>
      </c>
      <c r="P1048" t="s">
        <v>112</v>
      </c>
      <c r="Q1048" t="s">
        <v>31</v>
      </c>
      <c r="R1048" s="3">
        <v>15624.359999999901</v>
      </c>
    </row>
    <row r="1049" spans="1:18" x14ac:dyDescent="0.3">
      <c r="A1049" t="s">
        <v>5687</v>
      </c>
      <c r="B1049" t="str">
        <f>TEXT(Raw_Data[[#This Row],[Order Date]],"mmm")</f>
        <v>Oct</v>
      </c>
      <c r="C1049" t="s">
        <v>248</v>
      </c>
      <c r="D1049" t="s">
        <v>5688</v>
      </c>
      <c r="E1049" t="s">
        <v>48</v>
      </c>
      <c r="F1049" t="s">
        <v>78</v>
      </c>
      <c r="G1049" t="s">
        <v>468</v>
      </c>
      <c r="H1049" t="s">
        <v>107</v>
      </c>
      <c r="I1049" t="s">
        <v>591</v>
      </c>
      <c r="J1049" t="s">
        <v>25</v>
      </c>
      <c r="K1049" t="s">
        <v>5689</v>
      </c>
      <c r="L1049">
        <v>0</v>
      </c>
      <c r="M1049" t="s">
        <v>5690</v>
      </c>
      <c r="N1049" t="s">
        <v>5691</v>
      </c>
      <c r="O1049" t="s">
        <v>173</v>
      </c>
      <c r="P1049" t="s">
        <v>30</v>
      </c>
      <c r="Q1049" t="s">
        <v>31</v>
      </c>
      <c r="R1049" s="3">
        <v>2985.92</v>
      </c>
    </row>
    <row r="1050" spans="1:18" x14ac:dyDescent="0.3">
      <c r="A1050" t="s">
        <v>5692</v>
      </c>
      <c r="B1050" t="str">
        <f>TEXT(Raw_Data[[#This Row],[Order Date]],"mmm")</f>
        <v>Feb</v>
      </c>
      <c r="C1050" t="s">
        <v>2410</v>
      </c>
      <c r="D1050" t="s">
        <v>5693</v>
      </c>
      <c r="E1050" t="s">
        <v>20</v>
      </c>
      <c r="F1050" t="s">
        <v>215</v>
      </c>
      <c r="G1050" t="s">
        <v>276</v>
      </c>
      <c r="H1050" t="s">
        <v>80</v>
      </c>
      <c r="I1050" t="s">
        <v>116</v>
      </c>
      <c r="J1050" t="s">
        <v>50</v>
      </c>
      <c r="K1050" t="s">
        <v>5694</v>
      </c>
      <c r="L1050">
        <v>0.2</v>
      </c>
      <c r="M1050" t="s">
        <v>5695</v>
      </c>
      <c r="N1050" t="s">
        <v>5696</v>
      </c>
      <c r="O1050" t="s">
        <v>29</v>
      </c>
      <c r="P1050" t="s">
        <v>30</v>
      </c>
      <c r="Q1050" t="s">
        <v>65</v>
      </c>
      <c r="R1050" s="3">
        <v>3887.904</v>
      </c>
    </row>
    <row r="1051" spans="1:18" x14ac:dyDescent="0.3">
      <c r="A1051" t="s">
        <v>5697</v>
      </c>
      <c r="B1051" t="str">
        <f>TEXT(Raw_Data[[#This Row],[Order Date]],"mmm")</f>
        <v>Aug</v>
      </c>
      <c r="C1051" t="s">
        <v>3841</v>
      </c>
      <c r="D1051" t="s">
        <v>5698</v>
      </c>
      <c r="E1051" t="s">
        <v>20</v>
      </c>
      <c r="F1051" t="s">
        <v>89</v>
      </c>
      <c r="G1051" t="s">
        <v>90</v>
      </c>
      <c r="H1051" t="s">
        <v>23</v>
      </c>
      <c r="I1051" t="s">
        <v>263</v>
      </c>
      <c r="J1051" t="s">
        <v>25</v>
      </c>
      <c r="K1051" t="s">
        <v>5699</v>
      </c>
      <c r="L1051">
        <v>0.1</v>
      </c>
      <c r="M1051" t="s">
        <v>5700</v>
      </c>
      <c r="N1051" t="s">
        <v>5701</v>
      </c>
      <c r="O1051" t="s">
        <v>54</v>
      </c>
      <c r="P1051" t="s">
        <v>30</v>
      </c>
      <c r="Q1051" t="s">
        <v>65</v>
      </c>
      <c r="R1051" s="3">
        <v>17038.295999999998</v>
      </c>
    </row>
    <row r="1052" spans="1:18" x14ac:dyDescent="0.3">
      <c r="A1052" t="s">
        <v>5702</v>
      </c>
      <c r="B1052" t="str">
        <f>TEXT(Raw_Data[[#This Row],[Order Date]],"mmm")</f>
        <v>Mar</v>
      </c>
      <c r="C1052" t="s">
        <v>2244</v>
      </c>
      <c r="D1052" t="s">
        <v>5703</v>
      </c>
      <c r="E1052" t="s">
        <v>20</v>
      </c>
      <c r="F1052" t="s">
        <v>21</v>
      </c>
      <c r="G1052" t="s">
        <v>130</v>
      </c>
      <c r="H1052" t="s">
        <v>154</v>
      </c>
      <c r="I1052" t="s">
        <v>309</v>
      </c>
      <c r="J1052" t="s">
        <v>50</v>
      </c>
      <c r="K1052" t="s">
        <v>5704</v>
      </c>
      <c r="L1052">
        <v>0</v>
      </c>
      <c r="M1052" t="s">
        <v>5705</v>
      </c>
      <c r="N1052" t="s">
        <v>5706</v>
      </c>
      <c r="O1052" t="s">
        <v>54</v>
      </c>
      <c r="P1052" t="s">
        <v>112</v>
      </c>
      <c r="Q1052" t="s">
        <v>31</v>
      </c>
      <c r="R1052" s="3">
        <v>17588.86</v>
      </c>
    </row>
    <row r="1053" spans="1:18" x14ac:dyDescent="0.3">
      <c r="A1053" t="s">
        <v>5707</v>
      </c>
      <c r="B1053" t="str">
        <f>TEXT(Raw_Data[[#This Row],[Order Date]],"mmm")</f>
        <v>Jul</v>
      </c>
      <c r="C1053" t="s">
        <v>1921</v>
      </c>
      <c r="D1053" t="s">
        <v>5708</v>
      </c>
      <c r="E1053" t="s">
        <v>35</v>
      </c>
      <c r="F1053" t="s">
        <v>106</v>
      </c>
      <c r="G1053" t="s">
        <v>163</v>
      </c>
      <c r="H1053" t="s">
        <v>23</v>
      </c>
      <c r="I1053" t="s">
        <v>49</v>
      </c>
      <c r="J1053" t="s">
        <v>100</v>
      </c>
      <c r="K1053" t="s">
        <v>5709</v>
      </c>
      <c r="L1053">
        <v>0</v>
      </c>
      <c r="M1053" t="s">
        <v>5710</v>
      </c>
      <c r="N1053" t="s">
        <v>5711</v>
      </c>
      <c r="O1053" t="s">
        <v>29</v>
      </c>
      <c r="P1053" t="s">
        <v>30</v>
      </c>
      <c r="Q1053" t="s">
        <v>31</v>
      </c>
      <c r="R1053" s="3">
        <v>184121.46</v>
      </c>
    </row>
    <row r="1054" spans="1:18" x14ac:dyDescent="0.3">
      <c r="A1054" t="s">
        <v>5712</v>
      </c>
      <c r="B1054" t="str">
        <f>TEXT(Raw_Data[[#This Row],[Order Date]],"mmm")</f>
        <v>Jan</v>
      </c>
      <c r="C1054" t="s">
        <v>2886</v>
      </c>
      <c r="D1054" t="s">
        <v>5713</v>
      </c>
      <c r="E1054" t="s">
        <v>20</v>
      </c>
      <c r="F1054" t="s">
        <v>106</v>
      </c>
      <c r="G1054" t="s">
        <v>163</v>
      </c>
      <c r="H1054" t="s">
        <v>107</v>
      </c>
      <c r="I1054" t="s">
        <v>469</v>
      </c>
      <c r="J1054" t="s">
        <v>25</v>
      </c>
      <c r="K1054" t="s">
        <v>5714</v>
      </c>
      <c r="L1054">
        <v>0</v>
      </c>
      <c r="M1054" t="s">
        <v>5715</v>
      </c>
      <c r="N1054" t="s">
        <v>5716</v>
      </c>
      <c r="O1054" t="s">
        <v>64</v>
      </c>
      <c r="P1054" t="s">
        <v>30</v>
      </c>
      <c r="Q1054" t="s">
        <v>31</v>
      </c>
      <c r="R1054" s="3">
        <v>3962.18</v>
      </c>
    </row>
    <row r="1055" spans="1:18" x14ac:dyDescent="0.3">
      <c r="A1055" t="s">
        <v>5717</v>
      </c>
      <c r="B1055" t="str">
        <f>TEXT(Raw_Data[[#This Row],[Order Date]],"mmm")</f>
        <v>Dec</v>
      </c>
      <c r="C1055" t="s">
        <v>540</v>
      </c>
      <c r="D1055" t="s">
        <v>5718</v>
      </c>
      <c r="E1055" t="s">
        <v>35</v>
      </c>
      <c r="F1055" t="s">
        <v>78</v>
      </c>
      <c r="G1055" t="s">
        <v>731</v>
      </c>
      <c r="H1055" t="s">
        <v>38</v>
      </c>
      <c r="I1055" t="s">
        <v>71</v>
      </c>
      <c r="J1055" t="s">
        <v>25</v>
      </c>
      <c r="K1055" t="s">
        <v>5719</v>
      </c>
      <c r="L1055">
        <v>0.1</v>
      </c>
      <c r="M1055" t="s">
        <v>5720</v>
      </c>
      <c r="N1055" t="s">
        <v>5721</v>
      </c>
      <c r="O1055" t="s">
        <v>43</v>
      </c>
      <c r="P1055" t="s">
        <v>30</v>
      </c>
      <c r="Q1055" t="s">
        <v>31</v>
      </c>
      <c r="R1055" s="3">
        <v>2047.9770000000001</v>
      </c>
    </row>
    <row r="1056" spans="1:18" x14ac:dyDescent="0.3">
      <c r="A1056" t="s">
        <v>5722</v>
      </c>
      <c r="B1056" t="str">
        <f>TEXT(Raw_Data[[#This Row],[Order Date]],"mmm")</f>
        <v>Dec</v>
      </c>
      <c r="C1056" t="s">
        <v>1515</v>
      </c>
      <c r="D1056" t="s">
        <v>5723</v>
      </c>
      <c r="E1056" t="s">
        <v>20</v>
      </c>
      <c r="F1056" t="s">
        <v>106</v>
      </c>
      <c r="G1056" t="s">
        <v>106</v>
      </c>
      <c r="H1056" t="s">
        <v>38</v>
      </c>
      <c r="I1056" t="s">
        <v>223</v>
      </c>
      <c r="J1056" t="s">
        <v>50</v>
      </c>
      <c r="K1056" t="s">
        <v>5724</v>
      </c>
      <c r="L1056">
        <v>0.1</v>
      </c>
      <c r="M1056" t="s">
        <v>5725</v>
      </c>
      <c r="N1056" t="s">
        <v>5726</v>
      </c>
      <c r="O1056" t="s">
        <v>4079</v>
      </c>
      <c r="P1056" t="s">
        <v>30</v>
      </c>
      <c r="Q1056" t="s">
        <v>44</v>
      </c>
      <c r="R1056" s="3">
        <v>825.21</v>
      </c>
    </row>
    <row r="1057" spans="1:18" x14ac:dyDescent="0.3">
      <c r="A1057" t="s">
        <v>5727</v>
      </c>
      <c r="B1057" t="str">
        <f>TEXT(Raw_Data[[#This Row],[Order Date]],"mmm")</f>
        <v>Nov</v>
      </c>
      <c r="C1057" t="s">
        <v>443</v>
      </c>
      <c r="D1057" t="s">
        <v>5728</v>
      </c>
      <c r="E1057" t="s">
        <v>20</v>
      </c>
      <c r="F1057" t="s">
        <v>89</v>
      </c>
      <c r="G1057" t="s">
        <v>90</v>
      </c>
      <c r="H1057" t="s">
        <v>80</v>
      </c>
      <c r="I1057" t="s">
        <v>91</v>
      </c>
      <c r="J1057" t="s">
        <v>25</v>
      </c>
      <c r="K1057" t="s">
        <v>5729</v>
      </c>
      <c r="L1057">
        <v>0</v>
      </c>
      <c r="M1057" t="s">
        <v>5730</v>
      </c>
      <c r="N1057" t="s">
        <v>5731</v>
      </c>
      <c r="O1057" t="s">
        <v>29</v>
      </c>
      <c r="P1057" t="s">
        <v>30</v>
      </c>
      <c r="Q1057" t="s">
        <v>65</v>
      </c>
      <c r="R1057" s="3">
        <v>2092</v>
      </c>
    </row>
    <row r="1058" spans="1:18" x14ac:dyDescent="0.3">
      <c r="A1058" t="s">
        <v>5732</v>
      </c>
      <c r="B1058" t="str">
        <f>TEXT(Raw_Data[[#This Row],[Order Date]],"mmm")</f>
        <v>Oct</v>
      </c>
      <c r="C1058" t="s">
        <v>5733</v>
      </c>
      <c r="D1058" t="s">
        <v>5734</v>
      </c>
      <c r="E1058" t="s">
        <v>35</v>
      </c>
      <c r="F1058" t="s">
        <v>106</v>
      </c>
      <c r="G1058" t="s">
        <v>163</v>
      </c>
      <c r="H1058" t="s">
        <v>23</v>
      </c>
      <c r="I1058" t="s">
        <v>49</v>
      </c>
      <c r="J1058" t="s">
        <v>25</v>
      </c>
      <c r="K1058" t="s">
        <v>5735</v>
      </c>
      <c r="L1058">
        <v>0.1</v>
      </c>
      <c r="M1058" t="s">
        <v>5736</v>
      </c>
      <c r="N1058" t="s">
        <v>5737</v>
      </c>
      <c r="O1058" t="s">
        <v>64</v>
      </c>
      <c r="P1058" t="s">
        <v>30</v>
      </c>
      <c r="Q1058" t="s">
        <v>65</v>
      </c>
      <c r="R1058" s="3">
        <v>57835.214999999997</v>
      </c>
    </row>
    <row r="1059" spans="1:18" x14ac:dyDescent="0.3">
      <c r="A1059" t="s">
        <v>5738</v>
      </c>
      <c r="B1059" t="str">
        <f>TEXT(Raw_Data[[#This Row],[Order Date]],"mmm")</f>
        <v>May</v>
      </c>
      <c r="C1059" t="s">
        <v>5447</v>
      </c>
      <c r="D1059" t="s">
        <v>5739</v>
      </c>
      <c r="E1059" t="s">
        <v>35</v>
      </c>
      <c r="F1059" t="s">
        <v>21</v>
      </c>
      <c r="G1059" t="s">
        <v>22</v>
      </c>
      <c r="H1059" t="s">
        <v>80</v>
      </c>
      <c r="I1059" t="s">
        <v>91</v>
      </c>
      <c r="J1059" t="s">
        <v>25</v>
      </c>
      <c r="K1059" t="s">
        <v>5740</v>
      </c>
      <c r="L1059">
        <v>0.1</v>
      </c>
      <c r="M1059" t="s">
        <v>5741</v>
      </c>
      <c r="N1059" t="s">
        <v>5742</v>
      </c>
      <c r="O1059" t="s">
        <v>43</v>
      </c>
      <c r="P1059" t="s">
        <v>30</v>
      </c>
      <c r="Q1059" t="s">
        <v>65</v>
      </c>
      <c r="R1059" s="3">
        <v>2257.4070000000002</v>
      </c>
    </row>
    <row r="1060" spans="1:18" x14ac:dyDescent="0.3">
      <c r="A1060" t="s">
        <v>5743</v>
      </c>
      <c r="B1060" t="str">
        <f>TEXT(Raw_Data[[#This Row],[Order Date]],"mmm")</f>
        <v>Nov</v>
      </c>
      <c r="C1060" t="s">
        <v>1359</v>
      </c>
      <c r="D1060" t="s">
        <v>5744</v>
      </c>
      <c r="E1060" t="s">
        <v>48</v>
      </c>
      <c r="F1060" t="s">
        <v>89</v>
      </c>
      <c r="G1060" t="s">
        <v>230</v>
      </c>
      <c r="H1060" t="s">
        <v>107</v>
      </c>
      <c r="I1060" t="s">
        <v>591</v>
      </c>
      <c r="J1060" t="s">
        <v>25</v>
      </c>
      <c r="K1060" t="s">
        <v>5745</v>
      </c>
      <c r="L1060">
        <v>0.15</v>
      </c>
      <c r="M1060" t="s">
        <v>5746</v>
      </c>
      <c r="N1060" t="s">
        <v>5747</v>
      </c>
      <c r="O1060" t="s">
        <v>29</v>
      </c>
      <c r="P1060" t="s">
        <v>112</v>
      </c>
      <c r="Q1060" t="s">
        <v>31</v>
      </c>
      <c r="R1060" s="3">
        <v>8922.2799999999897</v>
      </c>
    </row>
    <row r="1061" spans="1:18" x14ac:dyDescent="0.3">
      <c r="A1061" t="s">
        <v>5748</v>
      </c>
      <c r="B1061" t="str">
        <f>TEXT(Raw_Data[[#This Row],[Order Date]],"mmm")</f>
        <v>Jul</v>
      </c>
      <c r="C1061" t="s">
        <v>3390</v>
      </c>
      <c r="D1061" t="s">
        <v>5749</v>
      </c>
      <c r="E1061" t="s">
        <v>48</v>
      </c>
      <c r="F1061" t="s">
        <v>69</v>
      </c>
      <c r="G1061" t="s">
        <v>139</v>
      </c>
      <c r="H1061" t="s">
        <v>80</v>
      </c>
      <c r="I1061" t="s">
        <v>116</v>
      </c>
      <c r="J1061" t="s">
        <v>25</v>
      </c>
      <c r="K1061" t="s">
        <v>5750</v>
      </c>
      <c r="L1061">
        <v>0</v>
      </c>
      <c r="M1061" t="s">
        <v>5751</v>
      </c>
      <c r="N1061" t="s">
        <v>5752</v>
      </c>
      <c r="O1061" t="s">
        <v>173</v>
      </c>
      <c r="P1061" t="s">
        <v>30</v>
      </c>
      <c r="Q1061" t="s">
        <v>65</v>
      </c>
      <c r="R1061" s="3">
        <v>5373.89</v>
      </c>
    </row>
    <row r="1062" spans="1:18" x14ac:dyDescent="0.3">
      <c r="A1062" t="s">
        <v>5753</v>
      </c>
      <c r="B1062" t="str">
        <f>TEXT(Raw_Data[[#This Row],[Order Date]],"mmm")</f>
        <v>May</v>
      </c>
      <c r="C1062" t="s">
        <v>144</v>
      </c>
      <c r="D1062" t="s">
        <v>5754</v>
      </c>
      <c r="E1062" t="s">
        <v>48</v>
      </c>
      <c r="F1062" t="s">
        <v>58</v>
      </c>
      <c r="G1062" t="s">
        <v>812</v>
      </c>
      <c r="H1062" t="s">
        <v>80</v>
      </c>
      <c r="I1062" t="s">
        <v>131</v>
      </c>
      <c r="J1062" t="s">
        <v>100</v>
      </c>
      <c r="K1062" t="s">
        <v>5755</v>
      </c>
      <c r="L1062">
        <v>0.05</v>
      </c>
      <c r="M1062" t="s">
        <v>5756</v>
      </c>
      <c r="N1062" t="s">
        <v>5757</v>
      </c>
      <c r="O1062" t="s">
        <v>64</v>
      </c>
      <c r="P1062" t="s">
        <v>95</v>
      </c>
      <c r="Q1062" t="s">
        <v>31</v>
      </c>
      <c r="R1062" s="3">
        <v>1218.8879999999999</v>
      </c>
    </row>
    <row r="1063" spans="1:18" x14ac:dyDescent="0.3">
      <c r="A1063" t="s">
        <v>5758</v>
      </c>
      <c r="B1063" t="str">
        <f>TEXT(Raw_Data[[#This Row],[Order Date]],"mmm")</f>
        <v>Oct</v>
      </c>
      <c r="C1063" t="s">
        <v>1227</v>
      </c>
      <c r="D1063" t="s">
        <v>5759</v>
      </c>
      <c r="E1063" t="s">
        <v>48</v>
      </c>
      <c r="F1063" t="s">
        <v>21</v>
      </c>
      <c r="G1063" t="s">
        <v>22</v>
      </c>
      <c r="H1063" t="s">
        <v>154</v>
      </c>
      <c r="I1063" t="s">
        <v>155</v>
      </c>
      <c r="J1063" t="s">
        <v>25</v>
      </c>
      <c r="K1063" t="s">
        <v>5760</v>
      </c>
      <c r="L1063">
        <v>0.15</v>
      </c>
      <c r="M1063" t="s">
        <v>5761</v>
      </c>
      <c r="N1063" t="s">
        <v>5762</v>
      </c>
      <c r="O1063" t="s">
        <v>64</v>
      </c>
      <c r="P1063" t="s">
        <v>30</v>
      </c>
      <c r="Q1063" t="s">
        <v>31</v>
      </c>
      <c r="R1063" s="3">
        <v>3612.8484999999901</v>
      </c>
    </row>
    <row r="1064" spans="1:18" x14ac:dyDescent="0.3">
      <c r="A1064" t="s">
        <v>5763</v>
      </c>
      <c r="B1064" t="str">
        <f>TEXT(Raw_Data[[#This Row],[Order Date]],"mmm")</f>
        <v>Jan</v>
      </c>
      <c r="C1064" t="s">
        <v>3337</v>
      </c>
      <c r="D1064" t="s">
        <v>5764</v>
      </c>
      <c r="E1064" t="s">
        <v>20</v>
      </c>
      <c r="F1064" t="s">
        <v>89</v>
      </c>
      <c r="G1064" t="s">
        <v>99</v>
      </c>
      <c r="H1064" t="s">
        <v>23</v>
      </c>
      <c r="I1064" t="s">
        <v>263</v>
      </c>
      <c r="J1064" t="s">
        <v>25</v>
      </c>
      <c r="K1064" t="s">
        <v>5765</v>
      </c>
      <c r="L1064">
        <v>0.1</v>
      </c>
      <c r="M1064" t="s">
        <v>5766</v>
      </c>
      <c r="N1064" t="s">
        <v>5767</v>
      </c>
      <c r="O1064" t="s">
        <v>173</v>
      </c>
      <c r="P1064" t="s">
        <v>30</v>
      </c>
      <c r="Q1064" t="s">
        <v>44</v>
      </c>
      <c r="R1064" s="3">
        <v>26091.792000000001</v>
      </c>
    </row>
    <row r="1065" spans="1:18" x14ac:dyDescent="0.3">
      <c r="A1065" t="s">
        <v>5768</v>
      </c>
      <c r="B1065" t="str">
        <f>TEXT(Raw_Data[[#This Row],[Order Date]],"mmm")</f>
        <v>Sep</v>
      </c>
      <c r="C1065" t="s">
        <v>1632</v>
      </c>
      <c r="D1065" t="s">
        <v>5769</v>
      </c>
      <c r="E1065" t="s">
        <v>20</v>
      </c>
      <c r="F1065" t="s">
        <v>69</v>
      </c>
      <c r="G1065" t="s">
        <v>328</v>
      </c>
      <c r="H1065" t="s">
        <v>38</v>
      </c>
      <c r="I1065" t="s">
        <v>39</v>
      </c>
      <c r="J1065" t="s">
        <v>25</v>
      </c>
      <c r="K1065" t="s">
        <v>5770</v>
      </c>
      <c r="L1065">
        <v>0.15</v>
      </c>
      <c r="M1065" t="s">
        <v>5771</v>
      </c>
      <c r="N1065" t="s">
        <v>5772</v>
      </c>
      <c r="O1065" t="s">
        <v>54</v>
      </c>
      <c r="P1065" t="s">
        <v>112</v>
      </c>
      <c r="Q1065" t="s">
        <v>31</v>
      </c>
      <c r="R1065" s="3">
        <v>1363.05149999999</v>
      </c>
    </row>
    <row r="1066" spans="1:18" x14ac:dyDescent="0.3">
      <c r="A1066" t="s">
        <v>5773</v>
      </c>
      <c r="B1066" t="str">
        <f>TEXT(Raw_Data[[#This Row],[Order Date]],"mmm")</f>
        <v>Sep</v>
      </c>
      <c r="C1066" t="s">
        <v>2569</v>
      </c>
      <c r="D1066" t="s">
        <v>5774</v>
      </c>
      <c r="E1066" t="s">
        <v>48</v>
      </c>
      <c r="F1066" t="s">
        <v>69</v>
      </c>
      <c r="G1066" t="s">
        <v>328</v>
      </c>
      <c r="H1066" t="s">
        <v>80</v>
      </c>
      <c r="I1066" t="s">
        <v>81</v>
      </c>
      <c r="J1066" t="s">
        <v>50</v>
      </c>
      <c r="K1066" t="s">
        <v>5775</v>
      </c>
      <c r="L1066">
        <v>0.15</v>
      </c>
      <c r="M1066" t="s">
        <v>5776</v>
      </c>
      <c r="N1066" t="s">
        <v>5777</v>
      </c>
      <c r="O1066" t="s">
        <v>173</v>
      </c>
      <c r="P1066" t="s">
        <v>30</v>
      </c>
      <c r="Q1066" t="s">
        <v>44</v>
      </c>
      <c r="R1066" s="3">
        <v>11659.5009999999</v>
      </c>
    </row>
    <row r="1067" spans="1:18" x14ac:dyDescent="0.3">
      <c r="A1067" t="s">
        <v>5778</v>
      </c>
      <c r="B1067" t="str">
        <f>TEXT(Raw_Data[[#This Row],[Order Date]],"mmm")</f>
        <v>Feb</v>
      </c>
      <c r="C1067" t="s">
        <v>4592</v>
      </c>
      <c r="D1067" t="s">
        <v>5779</v>
      </c>
      <c r="E1067" t="s">
        <v>20</v>
      </c>
      <c r="F1067" t="s">
        <v>69</v>
      </c>
      <c r="G1067" t="s">
        <v>139</v>
      </c>
      <c r="H1067" t="s">
        <v>107</v>
      </c>
      <c r="I1067" t="s">
        <v>469</v>
      </c>
      <c r="J1067" t="s">
        <v>100</v>
      </c>
      <c r="K1067" t="s">
        <v>5780</v>
      </c>
      <c r="L1067">
        <v>0.2</v>
      </c>
      <c r="M1067" t="s">
        <v>5781</v>
      </c>
      <c r="N1067" t="s">
        <v>5782</v>
      </c>
      <c r="O1067" t="s">
        <v>54</v>
      </c>
      <c r="P1067" t="s">
        <v>30</v>
      </c>
      <c r="Q1067" t="s">
        <v>44</v>
      </c>
      <c r="R1067" s="3">
        <v>12199.944</v>
      </c>
    </row>
    <row r="1068" spans="1:18" x14ac:dyDescent="0.3">
      <c r="A1068" t="s">
        <v>5783</v>
      </c>
      <c r="B1068" t="str">
        <f>TEXT(Raw_Data[[#This Row],[Order Date]],"mmm")</f>
        <v>Jan</v>
      </c>
      <c r="C1068" t="s">
        <v>1015</v>
      </c>
      <c r="D1068" t="s">
        <v>5784</v>
      </c>
      <c r="E1068" t="s">
        <v>48</v>
      </c>
      <c r="F1068" t="s">
        <v>215</v>
      </c>
      <c r="G1068" t="s">
        <v>216</v>
      </c>
      <c r="H1068" t="s">
        <v>80</v>
      </c>
      <c r="I1068" t="s">
        <v>131</v>
      </c>
      <c r="J1068" t="s">
        <v>25</v>
      </c>
      <c r="K1068" t="s">
        <v>5785</v>
      </c>
      <c r="L1068">
        <v>0.15</v>
      </c>
      <c r="M1068" t="s">
        <v>5786</v>
      </c>
      <c r="N1068" t="s">
        <v>5787</v>
      </c>
      <c r="O1068" t="s">
        <v>64</v>
      </c>
      <c r="P1068" t="s">
        <v>30</v>
      </c>
      <c r="Q1068" t="s">
        <v>44</v>
      </c>
      <c r="R1068" s="3">
        <v>4381.1549999999997</v>
      </c>
    </row>
    <row r="1069" spans="1:18" x14ac:dyDescent="0.3">
      <c r="A1069" t="s">
        <v>5788</v>
      </c>
      <c r="B1069" t="str">
        <f>TEXT(Raw_Data[[#This Row],[Order Date]],"mmm")</f>
        <v>Nov</v>
      </c>
      <c r="C1069" t="s">
        <v>4386</v>
      </c>
      <c r="D1069" t="s">
        <v>5789</v>
      </c>
      <c r="E1069" t="s">
        <v>35</v>
      </c>
      <c r="F1069" t="s">
        <v>215</v>
      </c>
      <c r="G1069" t="s">
        <v>276</v>
      </c>
      <c r="H1069" t="s">
        <v>80</v>
      </c>
      <c r="I1069" t="s">
        <v>146</v>
      </c>
      <c r="J1069" t="s">
        <v>25</v>
      </c>
      <c r="K1069" t="s">
        <v>5790</v>
      </c>
      <c r="L1069">
        <v>0</v>
      </c>
      <c r="M1069" t="s">
        <v>5791</v>
      </c>
      <c r="N1069" t="s">
        <v>5792</v>
      </c>
      <c r="O1069" t="s">
        <v>64</v>
      </c>
      <c r="P1069" t="s">
        <v>30</v>
      </c>
      <c r="Q1069" t="s">
        <v>44</v>
      </c>
      <c r="R1069" s="3">
        <v>4607.3100000000004</v>
      </c>
    </row>
    <row r="1070" spans="1:18" x14ac:dyDescent="0.3">
      <c r="A1070" t="s">
        <v>5793</v>
      </c>
      <c r="B1070" t="str">
        <f>TEXT(Raw_Data[[#This Row],[Order Date]],"mmm")</f>
        <v>Mar</v>
      </c>
      <c r="C1070" t="s">
        <v>1216</v>
      </c>
      <c r="D1070" t="s">
        <v>5794</v>
      </c>
      <c r="E1070" t="s">
        <v>20</v>
      </c>
      <c r="F1070" t="s">
        <v>58</v>
      </c>
      <c r="G1070" t="s">
        <v>290</v>
      </c>
      <c r="H1070" t="s">
        <v>107</v>
      </c>
      <c r="I1070" t="s">
        <v>378</v>
      </c>
      <c r="J1070" t="s">
        <v>82</v>
      </c>
      <c r="K1070" t="s">
        <v>5795</v>
      </c>
      <c r="L1070">
        <v>0.05</v>
      </c>
      <c r="M1070" t="s">
        <v>5796</v>
      </c>
      <c r="N1070" t="s">
        <v>5797</v>
      </c>
      <c r="O1070" t="s">
        <v>29</v>
      </c>
      <c r="P1070" t="s">
        <v>30</v>
      </c>
      <c r="Q1070" t="s">
        <v>44</v>
      </c>
      <c r="R1070" s="3">
        <v>54759.292000000001</v>
      </c>
    </row>
    <row r="1071" spans="1:18" x14ac:dyDescent="0.3">
      <c r="A1071" t="s">
        <v>5798</v>
      </c>
      <c r="B1071" t="str">
        <f>TEXT(Raw_Data[[#This Row],[Order Date]],"mmm")</f>
        <v>Jul</v>
      </c>
      <c r="C1071" t="s">
        <v>295</v>
      </c>
      <c r="D1071" t="s">
        <v>5799</v>
      </c>
      <c r="E1071" t="s">
        <v>48</v>
      </c>
      <c r="F1071" t="s">
        <v>215</v>
      </c>
      <c r="G1071" t="s">
        <v>216</v>
      </c>
      <c r="H1071" t="s">
        <v>154</v>
      </c>
      <c r="I1071" t="s">
        <v>1061</v>
      </c>
      <c r="J1071" t="s">
        <v>25</v>
      </c>
      <c r="K1071" t="s">
        <v>5800</v>
      </c>
      <c r="L1071">
        <v>0.15</v>
      </c>
      <c r="M1071" t="s">
        <v>5801</v>
      </c>
      <c r="N1071" t="s">
        <v>5802</v>
      </c>
      <c r="O1071" t="s">
        <v>54</v>
      </c>
      <c r="P1071" t="s">
        <v>30</v>
      </c>
      <c r="Q1071" t="s">
        <v>65</v>
      </c>
      <c r="R1071" s="3">
        <v>9924.9740000000002</v>
      </c>
    </row>
    <row r="1072" spans="1:18" x14ac:dyDescent="0.3">
      <c r="A1072" t="s">
        <v>5803</v>
      </c>
      <c r="B1072" t="str">
        <f>TEXT(Raw_Data[[#This Row],[Order Date]],"mmm")</f>
        <v>Jan</v>
      </c>
      <c r="C1072" t="s">
        <v>431</v>
      </c>
      <c r="D1072" t="s">
        <v>5804</v>
      </c>
      <c r="E1072" t="s">
        <v>48</v>
      </c>
      <c r="F1072" t="s">
        <v>78</v>
      </c>
      <c r="G1072" t="s">
        <v>468</v>
      </c>
      <c r="H1072" t="s">
        <v>80</v>
      </c>
      <c r="I1072" t="s">
        <v>146</v>
      </c>
      <c r="J1072" t="s">
        <v>50</v>
      </c>
      <c r="K1072" t="s">
        <v>5805</v>
      </c>
      <c r="L1072">
        <v>0.1</v>
      </c>
      <c r="M1072" t="s">
        <v>5806</v>
      </c>
      <c r="N1072" t="s">
        <v>5807</v>
      </c>
      <c r="O1072" t="s">
        <v>64</v>
      </c>
      <c r="P1072" t="s">
        <v>30</v>
      </c>
      <c r="Q1072" t="s">
        <v>31</v>
      </c>
      <c r="R1072" s="3">
        <v>6377.3280000000004</v>
      </c>
    </row>
    <row r="1073" spans="1:18" x14ac:dyDescent="0.3">
      <c r="A1073" t="s">
        <v>5808</v>
      </c>
      <c r="B1073" t="str">
        <f>TEXT(Raw_Data[[#This Row],[Order Date]],"mmm")</f>
        <v>May</v>
      </c>
      <c r="C1073" t="s">
        <v>1472</v>
      </c>
      <c r="D1073" t="s">
        <v>5809</v>
      </c>
      <c r="E1073" t="s">
        <v>48</v>
      </c>
      <c r="F1073" t="s">
        <v>36</v>
      </c>
      <c r="G1073" t="s">
        <v>196</v>
      </c>
      <c r="H1073" t="s">
        <v>23</v>
      </c>
      <c r="I1073" t="s">
        <v>24</v>
      </c>
      <c r="J1073" t="s">
        <v>50</v>
      </c>
      <c r="K1073" t="s">
        <v>5810</v>
      </c>
      <c r="L1073">
        <v>0</v>
      </c>
      <c r="M1073" t="s">
        <v>5811</v>
      </c>
      <c r="N1073" t="s">
        <v>5812</v>
      </c>
      <c r="O1073" t="s">
        <v>64</v>
      </c>
      <c r="P1073" t="s">
        <v>30</v>
      </c>
      <c r="Q1073" t="s">
        <v>31</v>
      </c>
      <c r="R1073" s="3">
        <v>49300.08</v>
      </c>
    </row>
    <row r="1074" spans="1:18" x14ac:dyDescent="0.3">
      <c r="A1074" t="s">
        <v>5813</v>
      </c>
      <c r="B1074" t="str">
        <f>TEXT(Raw_Data[[#This Row],[Order Date]],"mmm")</f>
        <v>Aug</v>
      </c>
      <c r="C1074" t="s">
        <v>1155</v>
      </c>
      <c r="D1074" t="s">
        <v>5814</v>
      </c>
      <c r="E1074" t="s">
        <v>35</v>
      </c>
      <c r="F1074" t="s">
        <v>58</v>
      </c>
      <c r="G1074" t="s">
        <v>812</v>
      </c>
      <c r="H1074" t="s">
        <v>80</v>
      </c>
      <c r="I1074" t="s">
        <v>116</v>
      </c>
      <c r="J1074" t="s">
        <v>25</v>
      </c>
      <c r="K1074" t="s">
        <v>5815</v>
      </c>
      <c r="L1074">
        <v>0.15</v>
      </c>
      <c r="M1074" t="s">
        <v>5816</v>
      </c>
      <c r="N1074" t="s">
        <v>5817</v>
      </c>
      <c r="O1074" t="s">
        <v>64</v>
      </c>
      <c r="P1074" t="s">
        <v>30</v>
      </c>
      <c r="Q1074" t="s">
        <v>31</v>
      </c>
      <c r="R1074" s="3">
        <v>3828.4765000000002</v>
      </c>
    </row>
    <row r="1075" spans="1:18" x14ac:dyDescent="0.3">
      <c r="A1075" t="s">
        <v>5818</v>
      </c>
      <c r="B1075" t="str">
        <f>TEXT(Raw_Data[[#This Row],[Order Date]],"mmm")</f>
        <v>Nov</v>
      </c>
      <c r="C1075" t="s">
        <v>2710</v>
      </c>
      <c r="D1075" t="s">
        <v>5819</v>
      </c>
      <c r="E1075" t="s">
        <v>20</v>
      </c>
      <c r="F1075" t="s">
        <v>215</v>
      </c>
      <c r="G1075" t="s">
        <v>276</v>
      </c>
      <c r="H1075" t="s">
        <v>107</v>
      </c>
      <c r="I1075" t="s">
        <v>108</v>
      </c>
      <c r="J1075" t="s">
        <v>50</v>
      </c>
      <c r="K1075" t="s">
        <v>5820</v>
      </c>
      <c r="L1075">
        <v>0</v>
      </c>
      <c r="M1075" t="s">
        <v>5821</v>
      </c>
      <c r="N1075" t="s">
        <v>5822</v>
      </c>
      <c r="O1075" t="s">
        <v>173</v>
      </c>
      <c r="P1075" t="s">
        <v>30</v>
      </c>
      <c r="Q1075" t="s">
        <v>44</v>
      </c>
      <c r="R1075" s="3">
        <v>16063.26</v>
      </c>
    </row>
    <row r="1076" spans="1:18" x14ac:dyDescent="0.3">
      <c r="A1076" t="s">
        <v>5823</v>
      </c>
      <c r="B1076" t="str">
        <f>TEXT(Raw_Data[[#This Row],[Order Date]],"mmm")</f>
        <v>Sep</v>
      </c>
      <c r="C1076" t="s">
        <v>2824</v>
      </c>
      <c r="D1076" t="s">
        <v>5824</v>
      </c>
      <c r="E1076" t="s">
        <v>35</v>
      </c>
      <c r="F1076" t="s">
        <v>89</v>
      </c>
      <c r="G1076" t="s">
        <v>90</v>
      </c>
      <c r="H1076" t="s">
        <v>23</v>
      </c>
      <c r="I1076" t="s">
        <v>263</v>
      </c>
      <c r="J1076" t="s">
        <v>50</v>
      </c>
      <c r="K1076" t="s">
        <v>5825</v>
      </c>
      <c r="L1076">
        <v>0.1</v>
      </c>
      <c r="M1076" t="s">
        <v>5826</v>
      </c>
      <c r="N1076" t="s">
        <v>5827</v>
      </c>
      <c r="O1076" t="s">
        <v>43</v>
      </c>
      <c r="P1076" t="s">
        <v>30</v>
      </c>
      <c r="Q1076" t="s">
        <v>44</v>
      </c>
      <c r="R1076" s="3">
        <v>96204.024000000005</v>
      </c>
    </row>
    <row r="1077" spans="1:18" x14ac:dyDescent="0.3">
      <c r="A1077" t="s">
        <v>5828</v>
      </c>
      <c r="B1077" t="str">
        <f>TEXT(Raw_Data[[#This Row],[Order Date]],"mmm")</f>
        <v>Apr</v>
      </c>
      <c r="C1077" t="s">
        <v>454</v>
      </c>
      <c r="D1077" t="s">
        <v>5829</v>
      </c>
      <c r="E1077" t="s">
        <v>35</v>
      </c>
      <c r="F1077" t="s">
        <v>89</v>
      </c>
      <c r="G1077" t="s">
        <v>230</v>
      </c>
      <c r="H1077" t="s">
        <v>80</v>
      </c>
      <c r="I1077" t="s">
        <v>131</v>
      </c>
      <c r="J1077" t="s">
        <v>50</v>
      </c>
      <c r="K1077" t="s">
        <v>5830</v>
      </c>
      <c r="L1077">
        <v>0.05</v>
      </c>
      <c r="M1077" t="s">
        <v>5831</v>
      </c>
      <c r="N1077" t="s">
        <v>5832</v>
      </c>
      <c r="O1077" t="s">
        <v>43</v>
      </c>
      <c r="P1077" t="s">
        <v>30</v>
      </c>
      <c r="Q1077" t="s">
        <v>65</v>
      </c>
      <c r="R1077" s="3">
        <v>8332.4879999999994</v>
      </c>
    </row>
    <row r="1078" spans="1:18" x14ac:dyDescent="0.3">
      <c r="A1078" t="s">
        <v>5833</v>
      </c>
      <c r="B1078" t="str">
        <f>TEXT(Raw_Data[[#This Row],[Order Date]],"mmm")</f>
        <v>Aug</v>
      </c>
      <c r="C1078" t="s">
        <v>930</v>
      </c>
      <c r="D1078" t="s">
        <v>5834</v>
      </c>
      <c r="E1078" t="s">
        <v>48</v>
      </c>
      <c r="F1078" t="s">
        <v>215</v>
      </c>
      <c r="G1078" t="s">
        <v>276</v>
      </c>
      <c r="H1078" t="s">
        <v>23</v>
      </c>
      <c r="I1078" t="s">
        <v>49</v>
      </c>
      <c r="J1078" t="s">
        <v>50</v>
      </c>
      <c r="K1078" t="s">
        <v>5835</v>
      </c>
      <c r="L1078">
        <v>0.05</v>
      </c>
      <c r="M1078" t="s">
        <v>5836</v>
      </c>
      <c r="N1078" t="s">
        <v>5837</v>
      </c>
      <c r="O1078" t="s">
        <v>64</v>
      </c>
      <c r="P1078" t="s">
        <v>30</v>
      </c>
      <c r="Q1078" t="s">
        <v>31</v>
      </c>
      <c r="R1078" s="3">
        <v>30918.928</v>
      </c>
    </row>
    <row r="1079" spans="1:18" x14ac:dyDescent="0.3">
      <c r="A1079" t="s">
        <v>5838</v>
      </c>
      <c r="B1079" t="str">
        <f>TEXT(Raw_Data[[#This Row],[Order Date]],"mmm")</f>
        <v>Apr</v>
      </c>
      <c r="C1079" t="s">
        <v>2552</v>
      </c>
      <c r="D1079" t="s">
        <v>5839</v>
      </c>
      <c r="E1079" t="s">
        <v>48</v>
      </c>
      <c r="F1079" t="s">
        <v>78</v>
      </c>
      <c r="G1079" t="s">
        <v>731</v>
      </c>
      <c r="H1079" t="s">
        <v>23</v>
      </c>
      <c r="I1079" t="s">
        <v>263</v>
      </c>
      <c r="J1079" t="s">
        <v>25</v>
      </c>
      <c r="K1079" t="s">
        <v>5840</v>
      </c>
      <c r="L1079">
        <v>0</v>
      </c>
      <c r="M1079" t="s">
        <v>5841</v>
      </c>
      <c r="N1079" t="s">
        <v>5842</v>
      </c>
      <c r="O1079" t="s">
        <v>29</v>
      </c>
      <c r="P1079" t="s">
        <v>30</v>
      </c>
      <c r="Q1079" t="s">
        <v>65</v>
      </c>
      <c r="R1079" s="3">
        <v>39684.120000000003</v>
      </c>
    </row>
    <row r="1080" spans="1:18" x14ac:dyDescent="0.3">
      <c r="A1080" t="s">
        <v>5843</v>
      </c>
      <c r="B1080" t="str">
        <f>TEXT(Raw_Data[[#This Row],[Order Date]],"mmm")</f>
        <v>Dec</v>
      </c>
      <c r="C1080" t="s">
        <v>1515</v>
      </c>
      <c r="D1080" t="s">
        <v>5844</v>
      </c>
      <c r="E1080" t="s">
        <v>20</v>
      </c>
      <c r="F1080" t="s">
        <v>106</v>
      </c>
      <c r="G1080" t="s">
        <v>106</v>
      </c>
      <c r="H1080" t="s">
        <v>107</v>
      </c>
      <c r="I1080" t="s">
        <v>277</v>
      </c>
      <c r="J1080" t="s">
        <v>25</v>
      </c>
      <c r="K1080" t="s">
        <v>5845</v>
      </c>
      <c r="L1080">
        <v>0.15</v>
      </c>
      <c r="M1080" t="s">
        <v>5846</v>
      </c>
      <c r="N1080" t="s">
        <v>5847</v>
      </c>
      <c r="O1080" t="s">
        <v>173</v>
      </c>
      <c r="P1080" t="s">
        <v>30</v>
      </c>
      <c r="Q1080" t="s">
        <v>31</v>
      </c>
      <c r="R1080" s="3">
        <v>4357.6099999999997</v>
      </c>
    </row>
    <row r="1081" spans="1:18" x14ac:dyDescent="0.3">
      <c r="A1081" t="s">
        <v>5848</v>
      </c>
      <c r="B1081" t="str">
        <f>TEXT(Raw_Data[[#This Row],[Order Date]],"mmm")</f>
        <v>Jul</v>
      </c>
      <c r="C1081" t="s">
        <v>2416</v>
      </c>
      <c r="D1081" t="s">
        <v>5849</v>
      </c>
      <c r="E1081" t="s">
        <v>20</v>
      </c>
      <c r="F1081" t="s">
        <v>106</v>
      </c>
      <c r="G1081" t="s">
        <v>106</v>
      </c>
      <c r="H1081" t="s">
        <v>154</v>
      </c>
      <c r="I1081" t="s">
        <v>309</v>
      </c>
      <c r="J1081" t="s">
        <v>100</v>
      </c>
      <c r="K1081" t="s">
        <v>5850</v>
      </c>
      <c r="L1081">
        <v>0.1</v>
      </c>
      <c r="M1081" t="s">
        <v>5851</v>
      </c>
      <c r="N1081" t="s">
        <v>5852</v>
      </c>
      <c r="O1081" t="s">
        <v>43</v>
      </c>
      <c r="P1081" t="s">
        <v>30</v>
      </c>
      <c r="Q1081" t="s">
        <v>31</v>
      </c>
      <c r="R1081" s="3">
        <v>25564.922999999999</v>
      </c>
    </row>
    <row r="1082" spans="1:18" x14ac:dyDescent="0.3">
      <c r="A1082" t="s">
        <v>5853</v>
      </c>
      <c r="B1082" t="str">
        <f>TEXT(Raw_Data[[#This Row],[Order Date]],"mmm")</f>
        <v>Jul</v>
      </c>
      <c r="C1082" t="s">
        <v>522</v>
      </c>
      <c r="D1082" t="s">
        <v>5854</v>
      </c>
      <c r="E1082" t="s">
        <v>48</v>
      </c>
      <c r="F1082" t="s">
        <v>69</v>
      </c>
      <c r="G1082" t="s">
        <v>139</v>
      </c>
      <c r="H1082" t="s">
        <v>107</v>
      </c>
      <c r="I1082" t="s">
        <v>591</v>
      </c>
      <c r="J1082" t="s">
        <v>50</v>
      </c>
      <c r="K1082" t="s">
        <v>5855</v>
      </c>
      <c r="L1082">
        <v>0</v>
      </c>
      <c r="M1082" t="s">
        <v>5856</v>
      </c>
      <c r="N1082" t="s">
        <v>5857</v>
      </c>
      <c r="O1082" t="s">
        <v>173</v>
      </c>
      <c r="P1082" t="s">
        <v>159</v>
      </c>
      <c r="Q1082" t="s">
        <v>44</v>
      </c>
      <c r="R1082" s="3">
        <v>22954.84</v>
      </c>
    </row>
    <row r="1083" spans="1:18" x14ac:dyDescent="0.3">
      <c r="A1083" t="s">
        <v>5858</v>
      </c>
      <c r="B1083" t="str">
        <f>TEXT(Raw_Data[[#This Row],[Order Date]],"mmm")</f>
        <v>Sep</v>
      </c>
      <c r="C1083" t="s">
        <v>2151</v>
      </c>
      <c r="D1083" t="s">
        <v>5859</v>
      </c>
      <c r="E1083" t="s">
        <v>20</v>
      </c>
      <c r="F1083" t="s">
        <v>21</v>
      </c>
      <c r="G1083" t="s">
        <v>22</v>
      </c>
      <c r="H1083" t="s">
        <v>23</v>
      </c>
      <c r="I1083" t="s">
        <v>24</v>
      </c>
      <c r="J1083" t="s">
        <v>50</v>
      </c>
      <c r="K1083" t="s">
        <v>5860</v>
      </c>
      <c r="L1083">
        <v>0.1</v>
      </c>
      <c r="M1083" t="s">
        <v>5861</v>
      </c>
      <c r="N1083" t="s">
        <v>5862</v>
      </c>
      <c r="O1083" t="s">
        <v>54</v>
      </c>
      <c r="P1083" t="s">
        <v>30</v>
      </c>
      <c r="Q1083" t="s">
        <v>31</v>
      </c>
      <c r="R1083" s="3">
        <v>48598.307999999997</v>
      </c>
    </row>
    <row r="1084" spans="1:18" x14ac:dyDescent="0.3">
      <c r="A1084" t="s">
        <v>5863</v>
      </c>
      <c r="B1084" t="str">
        <f>TEXT(Raw_Data[[#This Row],[Order Date]],"mmm")</f>
        <v>Sep</v>
      </c>
      <c r="C1084" t="s">
        <v>1280</v>
      </c>
      <c r="D1084" t="s">
        <v>5864</v>
      </c>
      <c r="E1084" t="s">
        <v>20</v>
      </c>
      <c r="F1084" t="s">
        <v>215</v>
      </c>
      <c r="G1084" t="s">
        <v>216</v>
      </c>
      <c r="H1084" t="s">
        <v>107</v>
      </c>
      <c r="I1084" t="s">
        <v>378</v>
      </c>
      <c r="J1084" t="s">
        <v>50</v>
      </c>
      <c r="K1084" t="s">
        <v>5865</v>
      </c>
      <c r="L1084">
        <v>0.15</v>
      </c>
      <c r="M1084" t="s">
        <v>5866</v>
      </c>
      <c r="N1084" t="s">
        <v>5867</v>
      </c>
      <c r="O1084" t="s">
        <v>29</v>
      </c>
      <c r="P1084" t="s">
        <v>30</v>
      </c>
      <c r="Q1084" t="s">
        <v>44</v>
      </c>
      <c r="R1084" s="3">
        <v>3628.48</v>
      </c>
    </row>
    <row r="1085" spans="1:18" x14ac:dyDescent="0.3">
      <c r="A1085" t="s">
        <v>5868</v>
      </c>
      <c r="B1085" t="str">
        <f>TEXT(Raw_Data[[#This Row],[Order Date]],"mmm")</f>
        <v>Jul</v>
      </c>
      <c r="C1085" t="s">
        <v>1921</v>
      </c>
      <c r="D1085" t="s">
        <v>5869</v>
      </c>
      <c r="E1085" t="s">
        <v>48</v>
      </c>
      <c r="F1085" t="s">
        <v>78</v>
      </c>
      <c r="G1085" t="s">
        <v>79</v>
      </c>
      <c r="H1085" t="s">
        <v>23</v>
      </c>
      <c r="I1085" t="s">
        <v>24</v>
      </c>
      <c r="J1085" t="s">
        <v>100</v>
      </c>
      <c r="K1085" t="s">
        <v>5870</v>
      </c>
      <c r="L1085">
        <v>0.2</v>
      </c>
      <c r="M1085" t="s">
        <v>5871</v>
      </c>
      <c r="N1085" t="s">
        <v>5872</v>
      </c>
      <c r="O1085" t="s">
        <v>29</v>
      </c>
      <c r="P1085" t="s">
        <v>30</v>
      </c>
      <c r="Q1085" t="s">
        <v>65</v>
      </c>
      <c r="R1085" s="3">
        <v>131509.48800000001</v>
      </c>
    </row>
    <row r="1086" spans="1:18" x14ac:dyDescent="0.3">
      <c r="A1086" t="s">
        <v>5873</v>
      </c>
      <c r="B1086" t="str">
        <f>TEXT(Raw_Data[[#This Row],[Order Date]],"mmm")</f>
        <v>May</v>
      </c>
      <c r="C1086" t="s">
        <v>144</v>
      </c>
      <c r="D1086" t="s">
        <v>5874</v>
      </c>
      <c r="E1086" t="s">
        <v>20</v>
      </c>
      <c r="F1086" t="s">
        <v>69</v>
      </c>
      <c r="G1086" t="s">
        <v>328</v>
      </c>
      <c r="H1086" t="s">
        <v>23</v>
      </c>
      <c r="I1086" t="s">
        <v>49</v>
      </c>
      <c r="J1086" t="s">
        <v>25</v>
      </c>
      <c r="K1086" t="s">
        <v>5875</v>
      </c>
      <c r="L1086">
        <v>0</v>
      </c>
      <c r="M1086" t="s">
        <v>5876</v>
      </c>
      <c r="N1086" t="s">
        <v>5877</v>
      </c>
      <c r="O1086" t="s">
        <v>173</v>
      </c>
      <c r="P1086" t="s">
        <v>30</v>
      </c>
      <c r="Q1086" t="s">
        <v>44</v>
      </c>
      <c r="R1086" s="3">
        <v>42498.080000000002</v>
      </c>
    </row>
    <row r="1087" spans="1:18" x14ac:dyDescent="0.3">
      <c r="A1087" t="s">
        <v>5878</v>
      </c>
      <c r="B1087" t="str">
        <f>TEXT(Raw_Data[[#This Row],[Order Date]],"mmm")</f>
        <v>Mar</v>
      </c>
      <c r="C1087" t="s">
        <v>556</v>
      </c>
      <c r="D1087" t="s">
        <v>5879</v>
      </c>
      <c r="E1087" t="s">
        <v>48</v>
      </c>
      <c r="F1087" t="s">
        <v>21</v>
      </c>
      <c r="G1087" t="s">
        <v>22</v>
      </c>
      <c r="H1087" t="s">
        <v>107</v>
      </c>
      <c r="I1087" t="s">
        <v>108</v>
      </c>
      <c r="J1087" t="s">
        <v>100</v>
      </c>
      <c r="K1087" t="s">
        <v>5880</v>
      </c>
      <c r="L1087">
        <v>0</v>
      </c>
      <c r="M1087" t="s">
        <v>5881</v>
      </c>
      <c r="N1087" t="s">
        <v>5882</v>
      </c>
      <c r="O1087" t="s">
        <v>29</v>
      </c>
      <c r="P1087" t="s">
        <v>30</v>
      </c>
      <c r="Q1087" t="s">
        <v>31</v>
      </c>
      <c r="R1087" s="3">
        <v>49853.49</v>
      </c>
    </row>
    <row r="1088" spans="1:18" x14ac:dyDescent="0.3">
      <c r="A1088" t="s">
        <v>5883</v>
      </c>
      <c r="B1088" t="str">
        <f>TEXT(Raw_Data[[#This Row],[Order Date]],"mmm")</f>
        <v>Mar</v>
      </c>
      <c r="C1088" t="s">
        <v>56</v>
      </c>
      <c r="D1088" t="s">
        <v>5884</v>
      </c>
      <c r="E1088" t="s">
        <v>48</v>
      </c>
      <c r="F1088" t="s">
        <v>69</v>
      </c>
      <c r="G1088" t="s">
        <v>139</v>
      </c>
      <c r="H1088" t="s">
        <v>80</v>
      </c>
      <c r="I1088" t="s">
        <v>91</v>
      </c>
      <c r="J1088" t="s">
        <v>25</v>
      </c>
      <c r="K1088" t="s">
        <v>5885</v>
      </c>
      <c r="L1088">
        <v>0.1</v>
      </c>
      <c r="M1088" t="s">
        <v>5886</v>
      </c>
      <c r="N1088" t="s">
        <v>5887</v>
      </c>
      <c r="O1088" t="s">
        <v>43</v>
      </c>
      <c r="P1088" t="s">
        <v>30</v>
      </c>
      <c r="Q1088" t="s">
        <v>44</v>
      </c>
      <c r="R1088" s="3">
        <v>3215.7</v>
      </c>
    </row>
    <row r="1089" spans="1:18" x14ac:dyDescent="0.3">
      <c r="A1089" t="s">
        <v>5888</v>
      </c>
      <c r="B1089" t="str">
        <f>TEXT(Raw_Data[[#This Row],[Order Date]],"mmm")</f>
        <v>Sep</v>
      </c>
      <c r="C1089" t="s">
        <v>1192</v>
      </c>
      <c r="D1089" t="s">
        <v>5889</v>
      </c>
      <c r="E1089" t="s">
        <v>20</v>
      </c>
      <c r="F1089" t="s">
        <v>36</v>
      </c>
      <c r="G1089" t="s">
        <v>414</v>
      </c>
      <c r="H1089" t="s">
        <v>80</v>
      </c>
      <c r="I1089" t="s">
        <v>146</v>
      </c>
      <c r="J1089" t="s">
        <v>50</v>
      </c>
      <c r="K1089" t="s">
        <v>5890</v>
      </c>
      <c r="L1089">
        <v>0.15</v>
      </c>
      <c r="M1089" t="s">
        <v>5891</v>
      </c>
      <c r="N1089" t="s">
        <v>5892</v>
      </c>
      <c r="O1089" t="s">
        <v>173</v>
      </c>
      <c r="P1089" t="s">
        <v>30</v>
      </c>
      <c r="Q1089" t="s">
        <v>31</v>
      </c>
      <c r="R1089" s="3">
        <v>7283.7349999999997</v>
      </c>
    </row>
    <row r="1090" spans="1:18" x14ac:dyDescent="0.3">
      <c r="A1090" t="s">
        <v>5893</v>
      </c>
      <c r="B1090" t="str">
        <f>TEXT(Raw_Data[[#This Row],[Order Date]],"mmm")</f>
        <v>Feb</v>
      </c>
      <c r="C1090" t="s">
        <v>228</v>
      </c>
      <c r="D1090" t="s">
        <v>5894</v>
      </c>
      <c r="E1090" t="s">
        <v>20</v>
      </c>
      <c r="F1090" t="s">
        <v>215</v>
      </c>
      <c r="G1090" t="s">
        <v>216</v>
      </c>
      <c r="H1090" t="s">
        <v>107</v>
      </c>
      <c r="I1090" t="s">
        <v>108</v>
      </c>
      <c r="J1090" t="s">
        <v>25</v>
      </c>
      <c r="K1090" t="s">
        <v>5895</v>
      </c>
      <c r="L1090">
        <v>0.05</v>
      </c>
      <c r="M1090" t="s">
        <v>5896</v>
      </c>
      <c r="N1090" t="s">
        <v>5897</v>
      </c>
      <c r="O1090" t="s">
        <v>29</v>
      </c>
      <c r="P1090" t="s">
        <v>30</v>
      </c>
      <c r="Q1090" t="s">
        <v>31</v>
      </c>
      <c r="R1090" s="3">
        <v>12087.904500000001</v>
      </c>
    </row>
    <row r="1091" spans="1:18" x14ac:dyDescent="0.3">
      <c r="A1091" t="s">
        <v>5898</v>
      </c>
      <c r="B1091" t="str">
        <f>TEXT(Raw_Data[[#This Row],[Order Date]],"mmm")</f>
        <v>Sep</v>
      </c>
      <c r="C1091" t="s">
        <v>2608</v>
      </c>
      <c r="D1091" t="s">
        <v>5899</v>
      </c>
      <c r="E1091" t="s">
        <v>20</v>
      </c>
      <c r="F1091" t="s">
        <v>58</v>
      </c>
      <c r="G1091" t="s">
        <v>812</v>
      </c>
      <c r="H1091" t="s">
        <v>23</v>
      </c>
      <c r="I1091" t="s">
        <v>341</v>
      </c>
      <c r="J1091" t="s">
        <v>25</v>
      </c>
      <c r="K1091" t="s">
        <v>5900</v>
      </c>
      <c r="L1091">
        <v>0.05</v>
      </c>
      <c r="M1091" t="s">
        <v>5901</v>
      </c>
      <c r="N1091" t="s">
        <v>5902</v>
      </c>
      <c r="O1091" t="s">
        <v>173</v>
      </c>
      <c r="P1091" t="s">
        <v>30</v>
      </c>
      <c r="Q1091" t="s">
        <v>31</v>
      </c>
      <c r="R1091" s="3">
        <v>24018.906999999999</v>
      </c>
    </row>
    <row r="1092" spans="1:18" x14ac:dyDescent="0.3">
      <c r="A1092" t="s">
        <v>5903</v>
      </c>
      <c r="B1092" t="str">
        <f>TEXT(Raw_Data[[#This Row],[Order Date]],"mmm")</f>
        <v>Jun</v>
      </c>
      <c r="C1092" t="s">
        <v>466</v>
      </c>
      <c r="D1092" t="s">
        <v>5904</v>
      </c>
      <c r="E1092" t="s">
        <v>20</v>
      </c>
      <c r="F1092" t="s">
        <v>21</v>
      </c>
      <c r="G1092" t="s">
        <v>22</v>
      </c>
      <c r="H1092" t="s">
        <v>107</v>
      </c>
      <c r="I1092" t="s">
        <v>591</v>
      </c>
      <c r="J1092" t="s">
        <v>25</v>
      </c>
      <c r="K1092" t="s">
        <v>5905</v>
      </c>
      <c r="L1092">
        <v>0</v>
      </c>
      <c r="M1092" t="s">
        <v>5906</v>
      </c>
      <c r="N1092" t="s">
        <v>5907</v>
      </c>
      <c r="O1092" t="s">
        <v>54</v>
      </c>
      <c r="P1092" t="s">
        <v>30</v>
      </c>
      <c r="Q1092" t="s">
        <v>44</v>
      </c>
      <c r="R1092" s="3">
        <v>5141.79</v>
      </c>
    </row>
    <row r="1093" spans="1:18" x14ac:dyDescent="0.3">
      <c r="A1093" t="s">
        <v>5908</v>
      </c>
      <c r="B1093" t="str">
        <f>TEXT(Raw_Data[[#This Row],[Order Date]],"mmm")</f>
        <v>Mar</v>
      </c>
      <c r="C1093" t="s">
        <v>3284</v>
      </c>
      <c r="D1093" t="s">
        <v>5909</v>
      </c>
      <c r="E1093" t="s">
        <v>48</v>
      </c>
      <c r="F1093" t="s">
        <v>58</v>
      </c>
      <c r="G1093" t="s">
        <v>290</v>
      </c>
      <c r="H1093" t="s">
        <v>154</v>
      </c>
      <c r="I1093" t="s">
        <v>237</v>
      </c>
      <c r="J1093" t="s">
        <v>50</v>
      </c>
      <c r="K1093" t="s">
        <v>5910</v>
      </c>
      <c r="L1093">
        <v>0.1</v>
      </c>
      <c r="M1093" t="s">
        <v>5911</v>
      </c>
      <c r="N1093" t="s">
        <v>5912</v>
      </c>
      <c r="O1093" t="s">
        <v>29</v>
      </c>
      <c r="P1093" t="s">
        <v>30</v>
      </c>
      <c r="Q1093" t="s">
        <v>44</v>
      </c>
      <c r="R1093" s="3">
        <v>6330.0780000000004</v>
      </c>
    </row>
    <row r="1094" spans="1:18" x14ac:dyDescent="0.3">
      <c r="A1094" t="s">
        <v>5913</v>
      </c>
      <c r="B1094" t="str">
        <f>TEXT(Raw_Data[[#This Row],[Order Date]],"mmm")</f>
        <v>Mar</v>
      </c>
      <c r="C1094" t="s">
        <v>2244</v>
      </c>
      <c r="D1094" t="s">
        <v>5914</v>
      </c>
      <c r="E1094" t="s">
        <v>35</v>
      </c>
      <c r="F1094" t="s">
        <v>36</v>
      </c>
      <c r="G1094" t="s">
        <v>153</v>
      </c>
      <c r="H1094" t="s">
        <v>107</v>
      </c>
      <c r="I1094" t="s">
        <v>378</v>
      </c>
      <c r="J1094" t="s">
        <v>50</v>
      </c>
      <c r="K1094" t="s">
        <v>5915</v>
      </c>
      <c r="L1094">
        <v>0.2</v>
      </c>
      <c r="M1094" t="s">
        <v>5916</v>
      </c>
      <c r="N1094" t="s">
        <v>5917</v>
      </c>
      <c r="O1094" t="s">
        <v>173</v>
      </c>
      <c r="P1094" t="s">
        <v>159</v>
      </c>
      <c r="Q1094" t="s">
        <v>65</v>
      </c>
      <c r="R1094" s="3">
        <v>3930.4960000000001</v>
      </c>
    </row>
    <row r="1095" spans="1:18" x14ac:dyDescent="0.3">
      <c r="A1095" t="s">
        <v>5918</v>
      </c>
      <c r="B1095" t="str">
        <f>TEXT(Raw_Data[[#This Row],[Order Date]],"mmm")</f>
        <v>Sep</v>
      </c>
      <c r="C1095" t="s">
        <v>663</v>
      </c>
      <c r="D1095" t="s">
        <v>5919</v>
      </c>
      <c r="E1095" t="s">
        <v>35</v>
      </c>
      <c r="F1095" t="s">
        <v>21</v>
      </c>
      <c r="G1095" t="s">
        <v>130</v>
      </c>
      <c r="H1095" t="s">
        <v>107</v>
      </c>
      <c r="I1095" t="s">
        <v>378</v>
      </c>
      <c r="J1095" t="s">
        <v>25</v>
      </c>
      <c r="K1095" t="s">
        <v>5920</v>
      </c>
      <c r="L1095">
        <v>0.05</v>
      </c>
      <c r="M1095" t="s">
        <v>5921</v>
      </c>
      <c r="N1095" t="s">
        <v>5922</v>
      </c>
      <c r="O1095" t="s">
        <v>29</v>
      </c>
      <c r="P1095" t="s">
        <v>30</v>
      </c>
      <c r="Q1095" t="s">
        <v>44</v>
      </c>
      <c r="R1095" s="3">
        <v>2651.9915000000001</v>
      </c>
    </row>
    <row r="1096" spans="1:18" x14ac:dyDescent="0.3">
      <c r="A1096" t="s">
        <v>5923</v>
      </c>
      <c r="B1096" t="str">
        <f>TEXT(Raw_Data[[#This Row],[Order Date]],"mmm")</f>
        <v>Jul</v>
      </c>
      <c r="C1096" t="s">
        <v>3575</v>
      </c>
      <c r="D1096" t="s">
        <v>5924</v>
      </c>
      <c r="E1096" t="s">
        <v>48</v>
      </c>
      <c r="F1096" t="s">
        <v>36</v>
      </c>
      <c r="G1096" t="s">
        <v>153</v>
      </c>
      <c r="H1096" t="s">
        <v>23</v>
      </c>
      <c r="I1096" t="s">
        <v>263</v>
      </c>
      <c r="J1096" t="s">
        <v>25</v>
      </c>
      <c r="K1096" t="s">
        <v>5925</v>
      </c>
      <c r="L1096">
        <v>0.1</v>
      </c>
      <c r="M1096" t="s">
        <v>5926</v>
      </c>
      <c r="N1096" t="s">
        <v>5927</v>
      </c>
      <c r="O1096" t="s">
        <v>173</v>
      </c>
      <c r="P1096" t="s">
        <v>30</v>
      </c>
      <c r="Q1096" t="s">
        <v>31</v>
      </c>
      <c r="R1096" s="3">
        <v>37633.122000000003</v>
      </c>
    </row>
    <row r="1097" spans="1:18" x14ac:dyDescent="0.3">
      <c r="A1097" t="s">
        <v>5928</v>
      </c>
      <c r="B1097" t="str">
        <f>TEXT(Raw_Data[[#This Row],[Order Date]],"mmm")</f>
        <v>Nov</v>
      </c>
      <c r="C1097" t="s">
        <v>1116</v>
      </c>
      <c r="D1097" t="s">
        <v>5929</v>
      </c>
      <c r="E1097" t="s">
        <v>35</v>
      </c>
      <c r="F1097" t="s">
        <v>89</v>
      </c>
      <c r="G1097" t="s">
        <v>230</v>
      </c>
      <c r="H1097" t="s">
        <v>107</v>
      </c>
      <c r="I1097" t="s">
        <v>591</v>
      </c>
      <c r="J1097" t="s">
        <v>25</v>
      </c>
      <c r="K1097" t="s">
        <v>5930</v>
      </c>
      <c r="L1097">
        <v>0.15</v>
      </c>
      <c r="M1097" t="s">
        <v>5931</v>
      </c>
      <c r="N1097" t="s">
        <v>5932</v>
      </c>
      <c r="O1097" t="s">
        <v>173</v>
      </c>
      <c r="P1097" t="s">
        <v>30</v>
      </c>
      <c r="Q1097" t="s">
        <v>31</v>
      </c>
      <c r="R1097" s="3">
        <v>12338.4555</v>
      </c>
    </row>
    <row r="1098" spans="1:18" x14ac:dyDescent="0.3">
      <c r="A1098" t="s">
        <v>5933</v>
      </c>
      <c r="B1098" t="str">
        <f>TEXT(Raw_Data[[#This Row],[Order Date]],"mmm")</f>
        <v>Feb</v>
      </c>
      <c r="C1098" t="s">
        <v>1268</v>
      </c>
      <c r="D1098" t="s">
        <v>5934</v>
      </c>
      <c r="E1098" t="s">
        <v>20</v>
      </c>
      <c r="F1098" t="s">
        <v>78</v>
      </c>
      <c r="G1098" t="s">
        <v>731</v>
      </c>
      <c r="H1098" t="s">
        <v>23</v>
      </c>
      <c r="I1098" t="s">
        <v>49</v>
      </c>
      <c r="J1098" t="s">
        <v>25</v>
      </c>
      <c r="K1098" t="s">
        <v>5935</v>
      </c>
      <c r="L1098">
        <v>0</v>
      </c>
      <c r="M1098" t="s">
        <v>5936</v>
      </c>
      <c r="N1098" t="s">
        <v>5937</v>
      </c>
      <c r="O1098" t="s">
        <v>29</v>
      </c>
      <c r="P1098" t="s">
        <v>95</v>
      </c>
      <c r="Q1098" t="s">
        <v>65</v>
      </c>
      <c r="R1098" s="3">
        <v>59635.53</v>
      </c>
    </row>
    <row r="1099" spans="1:18" x14ac:dyDescent="0.3">
      <c r="A1099" t="s">
        <v>5938</v>
      </c>
      <c r="B1099" t="str">
        <f>TEXT(Raw_Data[[#This Row],[Order Date]],"mmm")</f>
        <v>Oct</v>
      </c>
      <c r="C1099" t="s">
        <v>474</v>
      </c>
      <c r="D1099" t="s">
        <v>5939</v>
      </c>
      <c r="E1099" t="s">
        <v>35</v>
      </c>
      <c r="F1099" t="s">
        <v>89</v>
      </c>
      <c r="G1099" t="s">
        <v>99</v>
      </c>
      <c r="H1099" t="s">
        <v>23</v>
      </c>
      <c r="I1099" t="s">
        <v>341</v>
      </c>
      <c r="J1099" t="s">
        <v>82</v>
      </c>
      <c r="K1099" t="s">
        <v>5940</v>
      </c>
      <c r="L1099">
        <v>0</v>
      </c>
      <c r="M1099" t="s">
        <v>5941</v>
      </c>
      <c r="N1099" t="s">
        <v>5942</v>
      </c>
      <c r="O1099" t="s">
        <v>64</v>
      </c>
      <c r="P1099" t="s">
        <v>30</v>
      </c>
      <c r="Q1099" t="s">
        <v>31</v>
      </c>
      <c r="R1099" s="3">
        <v>10848.76</v>
      </c>
    </row>
    <row r="1100" spans="1:18" x14ac:dyDescent="0.3">
      <c r="A1100" t="s">
        <v>5943</v>
      </c>
      <c r="B1100" t="str">
        <f>TEXT(Raw_Data[[#This Row],[Order Date]],"mmm")</f>
        <v>Sep</v>
      </c>
      <c r="C1100" t="s">
        <v>5944</v>
      </c>
      <c r="D1100" t="s">
        <v>5945</v>
      </c>
      <c r="E1100" t="s">
        <v>48</v>
      </c>
      <c r="F1100" t="s">
        <v>106</v>
      </c>
      <c r="G1100" t="s">
        <v>163</v>
      </c>
      <c r="H1100" t="s">
        <v>23</v>
      </c>
      <c r="I1100" t="s">
        <v>341</v>
      </c>
      <c r="J1100" t="s">
        <v>25</v>
      </c>
      <c r="K1100" t="s">
        <v>5946</v>
      </c>
      <c r="L1100">
        <v>0</v>
      </c>
      <c r="M1100" t="s">
        <v>5947</v>
      </c>
      <c r="N1100" t="s">
        <v>5948</v>
      </c>
      <c r="O1100" t="s">
        <v>43</v>
      </c>
      <c r="P1100" t="s">
        <v>30</v>
      </c>
      <c r="Q1100" t="s">
        <v>44</v>
      </c>
      <c r="R1100" s="3">
        <v>6729.32</v>
      </c>
    </row>
    <row r="1101" spans="1:18" x14ac:dyDescent="0.3">
      <c r="A1101" t="s">
        <v>5949</v>
      </c>
      <c r="B1101" t="str">
        <f>TEXT(Raw_Data[[#This Row],[Order Date]],"mmm")</f>
        <v>Oct</v>
      </c>
      <c r="C1101" t="s">
        <v>2217</v>
      </c>
      <c r="D1101" t="s">
        <v>5950</v>
      </c>
      <c r="E1101" t="s">
        <v>35</v>
      </c>
      <c r="F1101" t="s">
        <v>89</v>
      </c>
      <c r="G1101" t="s">
        <v>230</v>
      </c>
      <c r="H1101" t="s">
        <v>23</v>
      </c>
      <c r="I1101" t="s">
        <v>24</v>
      </c>
      <c r="J1101" t="s">
        <v>25</v>
      </c>
      <c r="K1101" t="s">
        <v>5951</v>
      </c>
      <c r="L1101">
        <v>0.05</v>
      </c>
      <c r="M1101" t="s">
        <v>5952</v>
      </c>
      <c r="N1101" t="s">
        <v>5953</v>
      </c>
      <c r="O1101" t="s">
        <v>29</v>
      </c>
      <c r="P1101" t="s">
        <v>30</v>
      </c>
      <c r="Q1101" t="s">
        <v>31</v>
      </c>
      <c r="R1101" s="3">
        <v>60597.136999999901</v>
      </c>
    </row>
    <row r="1102" spans="1:18" x14ac:dyDescent="0.3">
      <c r="A1102" t="s">
        <v>5954</v>
      </c>
      <c r="B1102" t="str">
        <f>TEXT(Raw_Data[[#This Row],[Order Date]],"mmm")</f>
        <v>Feb</v>
      </c>
      <c r="C1102" t="s">
        <v>3331</v>
      </c>
      <c r="D1102" t="s">
        <v>5955</v>
      </c>
      <c r="E1102" t="s">
        <v>48</v>
      </c>
      <c r="F1102" t="s">
        <v>69</v>
      </c>
      <c r="G1102" t="s">
        <v>70</v>
      </c>
      <c r="H1102" t="s">
        <v>107</v>
      </c>
      <c r="I1102" t="s">
        <v>108</v>
      </c>
      <c r="J1102" t="s">
        <v>25</v>
      </c>
      <c r="K1102" t="s">
        <v>5956</v>
      </c>
      <c r="L1102">
        <v>0.1</v>
      </c>
      <c r="M1102" t="s">
        <v>5957</v>
      </c>
      <c r="N1102" t="s">
        <v>5958</v>
      </c>
      <c r="O1102" t="s">
        <v>29</v>
      </c>
      <c r="P1102" t="s">
        <v>30</v>
      </c>
      <c r="Q1102" t="s">
        <v>44</v>
      </c>
      <c r="R1102" s="3">
        <v>13678.514999999999</v>
      </c>
    </row>
    <row r="1103" spans="1:18" x14ac:dyDescent="0.3">
      <c r="A1103" t="s">
        <v>5959</v>
      </c>
      <c r="B1103" t="str">
        <f>TEXT(Raw_Data[[#This Row],[Order Date]],"mmm")</f>
        <v>Nov</v>
      </c>
      <c r="C1103" t="s">
        <v>1643</v>
      </c>
      <c r="D1103" t="s">
        <v>5960</v>
      </c>
      <c r="E1103" t="s">
        <v>35</v>
      </c>
      <c r="F1103" t="s">
        <v>78</v>
      </c>
      <c r="G1103" t="s">
        <v>731</v>
      </c>
      <c r="H1103" t="s">
        <v>38</v>
      </c>
      <c r="I1103" t="s">
        <v>223</v>
      </c>
      <c r="J1103" t="s">
        <v>25</v>
      </c>
      <c r="K1103" t="s">
        <v>5961</v>
      </c>
      <c r="L1103">
        <v>0.15</v>
      </c>
      <c r="M1103" t="s">
        <v>5962</v>
      </c>
      <c r="N1103" t="s">
        <v>5963</v>
      </c>
      <c r="O1103" t="s">
        <v>54</v>
      </c>
      <c r="P1103" t="s">
        <v>30</v>
      </c>
      <c r="Q1103" t="s">
        <v>31</v>
      </c>
      <c r="R1103" s="3">
        <v>414.79149999999998</v>
      </c>
    </row>
    <row r="1104" spans="1:18" x14ac:dyDescent="0.3">
      <c r="A1104" t="s">
        <v>5964</v>
      </c>
      <c r="B1104" t="str">
        <f>TEXT(Raw_Data[[#This Row],[Order Date]],"mmm")</f>
        <v>Feb</v>
      </c>
      <c r="C1104" t="s">
        <v>936</v>
      </c>
      <c r="D1104" t="s">
        <v>5965</v>
      </c>
      <c r="E1104" t="s">
        <v>20</v>
      </c>
      <c r="F1104" t="s">
        <v>78</v>
      </c>
      <c r="G1104" t="s">
        <v>79</v>
      </c>
      <c r="H1104" t="s">
        <v>107</v>
      </c>
      <c r="I1104" t="s">
        <v>378</v>
      </c>
      <c r="J1104" t="s">
        <v>25</v>
      </c>
      <c r="K1104" t="s">
        <v>5966</v>
      </c>
      <c r="L1104">
        <v>0.15</v>
      </c>
      <c r="M1104" t="s">
        <v>5967</v>
      </c>
      <c r="N1104" t="s">
        <v>5968</v>
      </c>
      <c r="O1104" t="s">
        <v>43</v>
      </c>
      <c r="P1104" t="s">
        <v>30</v>
      </c>
      <c r="Q1104" t="s">
        <v>31</v>
      </c>
      <c r="R1104" s="3">
        <v>7259.4674999999897</v>
      </c>
    </row>
    <row r="1105" spans="1:18" x14ac:dyDescent="0.3">
      <c r="A1105" t="s">
        <v>5969</v>
      </c>
      <c r="B1105" t="str">
        <f>TEXT(Raw_Data[[#This Row],[Order Date]],"mmm")</f>
        <v>Aug</v>
      </c>
      <c r="C1105" t="s">
        <v>528</v>
      </c>
      <c r="D1105" t="s">
        <v>5970</v>
      </c>
      <c r="E1105" t="s">
        <v>48</v>
      </c>
      <c r="F1105" t="s">
        <v>215</v>
      </c>
      <c r="G1105" t="s">
        <v>216</v>
      </c>
      <c r="H1105" t="s">
        <v>23</v>
      </c>
      <c r="I1105" t="s">
        <v>24</v>
      </c>
      <c r="J1105" t="s">
        <v>25</v>
      </c>
      <c r="K1105" t="s">
        <v>5971</v>
      </c>
      <c r="L1105">
        <v>0.05</v>
      </c>
      <c r="M1105" t="s">
        <v>5972</v>
      </c>
      <c r="N1105" t="s">
        <v>5973</v>
      </c>
      <c r="O1105" t="s">
        <v>29</v>
      </c>
      <c r="P1105" t="s">
        <v>30</v>
      </c>
      <c r="Q1105" t="s">
        <v>44</v>
      </c>
      <c r="R1105" s="3">
        <v>15740.892</v>
      </c>
    </row>
    <row r="1106" spans="1:18" x14ac:dyDescent="0.3">
      <c r="A1106" t="s">
        <v>5974</v>
      </c>
      <c r="B1106" t="str">
        <f>TEXT(Raw_Data[[#This Row],[Order Date]],"mmm")</f>
        <v>May</v>
      </c>
      <c r="C1106" t="s">
        <v>144</v>
      </c>
      <c r="D1106" t="s">
        <v>5975</v>
      </c>
      <c r="E1106" t="s">
        <v>35</v>
      </c>
      <c r="F1106" t="s">
        <v>58</v>
      </c>
      <c r="G1106" t="s">
        <v>59</v>
      </c>
      <c r="H1106" t="s">
        <v>38</v>
      </c>
      <c r="I1106" t="s">
        <v>223</v>
      </c>
      <c r="J1106" t="s">
        <v>25</v>
      </c>
      <c r="K1106" t="s">
        <v>5976</v>
      </c>
      <c r="L1106">
        <v>0.15</v>
      </c>
      <c r="M1106" t="s">
        <v>5977</v>
      </c>
      <c r="N1106" t="s">
        <v>5978</v>
      </c>
      <c r="O1106" t="s">
        <v>43</v>
      </c>
      <c r="P1106" t="s">
        <v>112</v>
      </c>
      <c r="Q1106" t="s">
        <v>65</v>
      </c>
      <c r="R1106" s="3">
        <v>3739.7620000000002</v>
      </c>
    </row>
    <row r="1107" spans="1:18" x14ac:dyDescent="0.3">
      <c r="A1107" t="s">
        <v>5979</v>
      </c>
      <c r="B1107" t="str">
        <f>TEXT(Raw_Data[[#This Row],[Order Date]],"mmm")</f>
        <v>Feb</v>
      </c>
      <c r="C1107" t="s">
        <v>3467</v>
      </c>
      <c r="D1107" t="s">
        <v>5980</v>
      </c>
      <c r="E1107" t="s">
        <v>48</v>
      </c>
      <c r="F1107" t="s">
        <v>215</v>
      </c>
      <c r="G1107" t="s">
        <v>216</v>
      </c>
      <c r="H1107" t="s">
        <v>107</v>
      </c>
      <c r="I1107" t="s">
        <v>277</v>
      </c>
      <c r="J1107" t="s">
        <v>50</v>
      </c>
      <c r="K1107" t="s">
        <v>5981</v>
      </c>
      <c r="L1107">
        <v>0.15</v>
      </c>
      <c r="M1107" t="s">
        <v>5982</v>
      </c>
      <c r="N1107" t="s">
        <v>5983</v>
      </c>
      <c r="O1107" t="s">
        <v>64</v>
      </c>
      <c r="P1107" t="s">
        <v>30</v>
      </c>
      <c r="Q1107" t="s">
        <v>31</v>
      </c>
      <c r="R1107" s="3">
        <v>25327.45</v>
      </c>
    </row>
    <row r="1108" spans="1:18" x14ac:dyDescent="0.3">
      <c r="A1108" t="s">
        <v>5984</v>
      </c>
      <c r="B1108" t="str">
        <f>TEXT(Raw_Data[[#This Row],[Order Date]],"mmm")</f>
        <v>Nov</v>
      </c>
      <c r="C1108" t="s">
        <v>1731</v>
      </c>
      <c r="D1108" t="s">
        <v>5985</v>
      </c>
      <c r="E1108" t="s">
        <v>20</v>
      </c>
      <c r="F1108" t="s">
        <v>21</v>
      </c>
      <c r="G1108" t="s">
        <v>130</v>
      </c>
      <c r="H1108" t="s">
        <v>80</v>
      </c>
      <c r="I1108" t="s">
        <v>116</v>
      </c>
      <c r="J1108" t="s">
        <v>25</v>
      </c>
      <c r="K1108" t="s">
        <v>5986</v>
      </c>
      <c r="L1108">
        <v>0.1</v>
      </c>
      <c r="M1108" t="s">
        <v>5987</v>
      </c>
      <c r="N1108" t="s">
        <v>5988</v>
      </c>
      <c r="O1108" t="s">
        <v>43</v>
      </c>
      <c r="P1108" t="s">
        <v>30</v>
      </c>
      <c r="Q1108" t="s">
        <v>44</v>
      </c>
      <c r="R1108" s="3">
        <v>3653.8380000000002</v>
      </c>
    </row>
    <row r="1109" spans="1:18" x14ac:dyDescent="0.3">
      <c r="A1109" t="s">
        <v>5989</v>
      </c>
      <c r="B1109" t="str">
        <f>TEXT(Raw_Data[[#This Row],[Order Date]],"mmm")</f>
        <v>Jan</v>
      </c>
      <c r="C1109" t="s">
        <v>3581</v>
      </c>
      <c r="D1109" t="s">
        <v>5990</v>
      </c>
      <c r="E1109" t="s">
        <v>35</v>
      </c>
      <c r="F1109" t="s">
        <v>69</v>
      </c>
      <c r="G1109" t="s">
        <v>139</v>
      </c>
      <c r="H1109" t="s">
        <v>23</v>
      </c>
      <c r="I1109" t="s">
        <v>341</v>
      </c>
      <c r="J1109" t="s">
        <v>50</v>
      </c>
      <c r="K1109" t="s">
        <v>5991</v>
      </c>
      <c r="L1109">
        <v>0.15</v>
      </c>
      <c r="M1109" t="s">
        <v>5992</v>
      </c>
      <c r="N1109" t="s">
        <v>5993</v>
      </c>
      <c r="O1109" t="s">
        <v>54</v>
      </c>
      <c r="P1109" t="s">
        <v>30</v>
      </c>
      <c r="Q1109" t="s">
        <v>31</v>
      </c>
      <c r="R1109" s="3">
        <v>11320.963</v>
      </c>
    </row>
    <row r="1110" spans="1:18" x14ac:dyDescent="0.3">
      <c r="A1110" t="s">
        <v>5994</v>
      </c>
      <c r="B1110" t="str">
        <f>TEXT(Raw_Data[[#This Row],[Order Date]],"mmm")</f>
        <v>Oct</v>
      </c>
      <c r="C1110" t="s">
        <v>1059</v>
      </c>
      <c r="D1110" t="s">
        <v>5995</v>
      </c>
      <c r="E1110" t="s">
        <v>48</v>
      </c>
      <c r="F1110" t="s">
        <v>78</v>
      </c>
      <c r="G1110" t="s">
        <v>468</v>
      </c>
      <c r="H1110" t="s">
        <v>154</v>
      </c>
      <c r="I1110" t="s">
        <v>309</v>
      </c>
      <c r="J1110" t="s">
        <v>50</v>
      </c>
      <c r="K1110" t="s">
        <v>5996</v>
      </c>
      <c r="L1110">
        <v>0.15</v>
      </c>
      <c r="M1110" t="s">
        <v>5997</v>
      </c>
      <c r="N1110" t="s">
        <v>5998</v>
      </c>
      <c r="O1110" t="s">
        <v>29</v>
      </c>
      <c r="P1110" t="s">
        <v>30</v>
      </c>
      <c r="Q1110" t="s">
        <v>31</v>
      </c>
      <c r="R1110" s="3">
        <v>8026.5159999999896</v>
      </c>
    </row>
    <row r="1111" spans="1:18" x14ac:dyDescent="0.3">
      <c r="A1111" t="s">
        <v>5999</v>
      </c>
      <c r="B1111" t="str">
        <f>TEXT(Raw_Data[[#This Row],[Order Date]],"mmm")</f>
        <v>Jul</v>
      </c>
      <c r="C1111" t="s">
        <v>333</v>
      </c>
      <c r="D1111" t="s">
        <v>6000</v>
      </c>
      <c r="E1111" t="s">
        <v>35</v>
      </c>
      <c r="F1111" t="s">
        <v>78</v>
      </c>
      <c r="G1111" t="s">
        <v>468</v>
      </c>
      <c r="H1111" t="s">
        <v>23</v>
      </c>
      <c r="I1111" t="s">
        <v>341</v>
      </c>
      <c r="J1111" t="s">
        <v>25</v>
      </c>
      <c r="K1111" t="s">
        <v>6001</v>
      </c>
      <c r="L1111">
        <v>0.1</v>
      </c>
      <c r="M1111" t="s">
        <v>6002</v>
      </c>
      <c r="N1111" t="s">
        <v>6003</v>
      </c>
      <c r="O1111" t="s">
        <v>43</v>
      </c>
      <c r="P1111" t="s">
        <v>30</v>
      </c>
      <c r="Q1111" t="s">
        <v>44</v>
      </c>
      <c r="R1111" s="3">
        <v>63917.694000000003</v>
      </c>
    </row>
    <row r="1112" spans="1:18" x14ac:dyDescent="0.3">
      <c r="A1112" t="s">
        <v>6004</v>
      </c>
      <c r="B1112" t="str">
        <f>TEXT(Raw_Data[[#This Row],[Order Date]],"mmm")</f>
        <v>Mar</v>
      </c>
      <c r="C1112" t="s">
        <v>3893</v>
      </c>
      <c r="D1112" t="s">
        <v>6005</v>
      </c>
      <c r="E1112" t="s">
        <v>48</v>
      </c>
      <c r="F1112" t="s">
        <v>215</v>
      </c>
      <c r="G1112" t="s">
        <v>276</v>
      </c>
      <c r="H1112" t="s">
        <v>23</v>
      </c>
      <c r="I1112" t="s">
        <v>183</v>
      </c>
      <c r="J1112" t="s">
        <v>25</v>
      </c>
      <c r="K1112" t="s">
        <v>6006</v>
      </c>
      <c r="L1112">
        <v>0.05</v>
      </c>
      <c r="M1112" t="s">
        <v>6007</v>
      </c>
      <c r="N1112" t="s">
        <v>6008</v>
      </c>
      <c r="O1112" t="s">
        <v>29</v>
      </c>
      <c r="P1112" t="s">
        <v>30</v>
      </c>
      <c r="Q1112" t="s">
        <v>65</v>
      </c>
      <c r="R1112" s="3">
        <v>42146.265499999899</v>
      </c>
    </row>
    <row r="1113" spans="1:18" x14ac:dyDescent="0.3">
      <c r="A1113" t="s">
        <v>6009</v>
      </c>
      <c r="B1113" t="str">
        <f>TEXT(Raw_Data[[#This Row],[Order Date]],"mmm")</f>
        <v>Feb</v>
      </c>
      <c r="C1113" t="s">
        <v>2892</v>
      </c>
      <c r="D1113" t="s">
        <v>6010</v>
      </c>
      <c r="E1113" t="s">
        <v>35</v>
      </c>
      <c r="F1113" t="s">
        <v>69</v>
      </c>
      <c r="G1113" t="s">
        <v>328</v>
      </c>
      <c r="H1113" t="s">
        <v>80</v>
      </c>
      <c r="I1113" t="s">
        <v>237</v>
      </c>
      <c r="J1113" t="s">
        <v>25</v>
      </c>
      <c r="K1113" t="s">
        <v>6011</v>
      </c>
      <c r="L1113">
        <v>0.15</v>
      </c>
      <c r="M1113" t="s">
        <v>6012</v>
      </c>
      <c r="N1113" t="s">
        <v>6013</v>
      </c>
      <c r="O1113" t="s">
        <v>29</v>
      </c>
      <c r="P1113" t="s">
        <v>30</v>
      </c>
      <c r="Q1113" t="s">
        <v>31</v>
      </c>
      <c r="R1113" s="3">
        <v>6588.4605000000001</v>
      </c>
    </row>
    <row r="1114" spans="1:18" x14ac:dyDescent="0.3">
      <c r="A1114" t="s">
        <v>6014</v>
      </c>
      <c r="B1114" t="str">
        <f>TEXT(Raw_Data[[#This Row],[Order Date]],"mmm")</f>
        <v>Mar</v>
      </c>
      <c r="C1114" t="s">
        <v>1216</v>
      </c>
      <c r="D1114" t="s">
        <v>6015</v>
      </c>
      <c r="E1114" t="s">
        <v>35</v>
      </c>
      <c r="F1114" t="s">
        <v>215</v>
      </c>
      <c r="G1114" t="s">
        <v>276</v>
      </c>
      <c r="H1114" t="s">
        <v>23</v>
      </c>
      <c r="I1114" t="s">
        <v>183</v>
      </c>
      <c r="J1114" t="s">
        <v>25</v>
      </c>
      <c r="K1114" t="s">
        <v>6016</v>
      </c>
      <c r="L1114">
        <v>0.05</v>
      </c>
      <c r="M1114" t="s">
        <v>6017</v>
      </c>
      <c r="N1114" t="s">
        <v>6018</v>
      </c>
      <c r="O1114" t="s">
        <v>173</v>
      </c>
      <c r="P1114" t="s">
        <v>30</v>
      </c>
      <c r="Q1114" t="s">
        <v>31</v>
      </c>
      <c r="R1114" s="3">
        <v>16546.871999999999</v>
      </c>
    </row>
    <row r="1115" spans="1:18" x14ac:dyDescent="0.3">
      <c r="A1115" t="s">
        <v>6019</v>
      </c>
      <c r="B1115" t="str">
        <f>TEXT(Raw_Data[[#This Row],[Order Date]],"mmm")</f>
        <v>May</v>
      </c>
      <c r="C1115" t="s">
        <v>2693</v>
      </c>
      <c r="D1115" t="s">
        <v>6020</v>
      </c>
      <c r="E1115" t="s">
        <v>48</v>
      </c>
      <c r="F1115" t="s">
        <v>21</v>
      </c>
      <c r="G1115" t="s">
        <v>22</v>
      </c>
      <c r="H1115" t="s">
        <v>80</v>
      </c>
      <c r="I1115" t="s">
        <v>91</v>
      </c>
      <c r="J1115" t="s">
        <v>50</v>
      </c>
      <c r="K1115" t="s">
        <v>6021</v>
      </c>
      <c r="L1115">
        <v>0</v>
      </c>
      <c r="M1115" t="s">
        <v>6022</v>
      </c>
      <c r="N1115" t="s">
        <v>6023</v>
      </c>
      <c r="O1115" t="s">
        <v>43</v>
      </c>
      <c r="P1115" t="s">
        <v>30</v>
      </c>
      <c r="Q1115" t="s">
        <v>31</v>
      </c>
      <c r="R1115" s="3">
        <v>5417.22</v>
      </c>
    </row>
    <row r="1116" spans="1:18" x14ac:dyDescent="0.3">
      <c r="A1116" t="s">
        <v>6024</v>
      </c>
      <c r="B1116" t="str">
        <f>TEXT(Raw_Data[[#This Row],[Order Date]],"mmm")</f>
        <v>Oct</v>
      </c>
      <c r="C1116" t="s">
        <v>2316</v>
      </c>
      <c r="D1116" t="s">
        <v>6025</v>
      </c>
      <c r="E1116" t="s">
        <v>48</v>
      </c>
      <c r="F1116" t="s">
        <v>89</v>
      </c>
      <c r="G1116" t="s">
        <v>90</v>
      </c>
      <c r="H1116" t="s">
        <v>80</v>
      </c>
      <c r="I1116" t="s">
        <v>91</v>
      </c>
      <c r="J1116" t="s">
        <v>100</v>
      </c>
      <c r="K1116" t="s">
        <v>6026</v>
      </c>
      <c r="L1116">
        <v>0.05</v>
      </c>
      <c r="M1116" t="s">
        <v>6027</v>
      </c>
      <c r="N1116" t="s">
        <v>6028</v>
      </c>
      <c r="O1116" t="s">
        <v>29</v>
      </c>
      <c r="P1116" t="s">
        <v>112</v>
      </c>
      <c r="Q1116" t="s">
        <v>31</v>
      </c>
      <c r="R1116" s="3">
        <v>18810.484499999999</v>
      </c>
    </row>
    <row r="1117" spans="1:18" x14ac:dyDescent="0.3">
      <c r="A1117" t="s">
        <v>6029</v>
      </c>
      <c r="B1117" t="str">
        <f>TEXT(Raw_Data[[#This Row],[Order Date]],"mmm")</f>
        <v>Sep</v>
      </c>
      <c r="C1117" t="s">
        <v>1397</v>
      </c>
      <c r="D1117" t="s">
        <v>6030</v>
      </c>
      <c r="E1117" t="s">
        <v>20</v>
      </c>
      <c r="F1117" t="s">
        <v>69</v>
      </c>
      <c r="G1117" t="s">
        <v>328</v>
      </c>
      <c r="H1117" t="s">
        <v>23</v>
      </c>
      <c r="I1117" t="s">
        <v>24</v>
      </c>
      <c r="J1117" t="s">
        <v>25</v>
      </c>
      <c r="K1117" t="s">
        <v>6031</v>
      </c>
      <c r="L1117">
        <v>0.1</v>
      </c>
      <c r="M1117" t="s">
        <v>6032</v>
      </c>
      <c r="N1117" t="s">
        <v>6033</v>
      </c>
      <c r="O1117" t="s">
        <v>173</v>
      </c>
      <c r="P1117" t="s">
        <v>30</v>
      </c>
      <c r="Q1117" t="s">
        <v>65</v>
      </c>
      <c r="R1117" s="3">
        <v>59512.599000000002</v>
      </c>
    </row>
    <row r="1118" spans="1:18" x14ac:dyDescent="0.3">
      <c r="A1118" t="s">
        <v>6034</v>
      </c>
      <c r="B1118" t="str">
        <f>TEXT(Raw_Data[[#This Row],[Order Date]],"mmm")</f>
        <v>Jul</v>
      </c>
      <c r="C1118" t="s">
        <v>3575</v>
      </c>
      <c r="D1118" t="s">
        <v>6035</v>
      </c>
      <c r="E1118" t="s">
        <v>6036</v>
      </c>
      <c r="F1118" t="s">
        <v>78</v>
      </c>
      <c r="G1118" t="s">
        <v>468</v>
      </c>
      <c r="H1118" t="s">
        <v>38</v>
      </c>
      <c r="I1118" t="s">
        <v>39</v>
      </c>
      <c r="J1118" t="s">
        <v>50</v>
      </c>
      <c r="K1118" t="s">
        <v>6037</v>
      </c>
      <c r="L1118">
        <v>0.2</v>
      </c>
      <c r="M1118" t="s">
        <v>6038</v>
      </c>
      <c r="N1118" t="s">
        <v>6039</v>
      </c>
      <c r="O1118" t="s">
        <v>54</v>
      </c>
      <c r="P1118" t="s">
        <v>30</v>
      </c>
      <c r="Q1118" t="s">
        <v>44</v>
      </c>
      <c r="R1118" s="3">
        <v>4172.4160000000002</v>
      </c>
    </row>
    <row r="1119" spans="1:18" x14ac:dyDescent="0.3">
      <c r="A1119" t="s">
        <v>6040</v>
      </c>
      <c r="B1119" t="str">
        <f>TEXT(Raw_Data[[#This Row],[Order Date]],"mmm")</f>
        <v>Sep</v>
      </c>
      <c r="C1119" t="s">
        <v>742</v>
      </c>
      <c r="D1119" t="s">
        <v>6041</v>
      </c>
      <c r="E1119" t="s">
        <v>48</v>
      </c>
      <c r="F1119" t="s">
        <v>215</v>
      </c>
      <c r="G1119" t="s">
        <v>216</v>
      </c>
      <c r="H1119" t="s">
        <v>38</v>
      </c>
      <c r="I1119" t="s">
        <v>60</v>
      </c>
      <c r="J1119" t="s">
        <v>25</v>
      </c>
      <c r="K1119" t="s">
        <v>6042</v>
      </c>
      <c r="L1119">
        <v>0</v>
      </c>
      <c r="M1119" t="s">
        <v>6043</v>
      </c>
      <c r="N1119" t="s">
        <v>6044</v>
      </c>
      <c r="O1119" t="s">
        <v>54</v>
      </c>
      <c r="P1119" t="s">
        <v>30</v>
      </c>
      <c r="Q1119" t="s">
        <v>31</v>
      </c>
      <c r="R1119" s="3">
        <v>4878.7299999999996</v>
      </c>
    </row>
    <row r="1120" spans="1:18" x14ac:dyDescent="0.3">
      <c r="A1120" t="s">
        <v>6045</v>
      </c>
      <c r="B1120" t="str">
        <f>TEXT(Raw_Data[[#This Row],[Order Date]],"mmm")</f>
        <v>Jan</v>
      </c>
      <c r="C1120" t="s">
        <v>254</v>
      </c>
      <c r="D1120" t="s">
        <v>6046</v>
      </c>
      <c r="E1120" t="s">
        <v>20</v>
      </c>
      <c r="F1120" t="s">
        <v>89</v>
      </c>
      <c r="G1120" t="s">
        <v>90</v>
      </c>
      <c r="H1120" t="s">
        <v>107</v>
      </c>
      <c r="I1120" t="s">
        <v>378</v>
      </c>
      <c r="J1120" t="s">
        <v>50</v>
      </c>
      <c r="K1120" t="s">
        <v>6047</v>
      </c>
      <c r="L1120">
        <v>0.1</v>
      </c>
      <c r="M1120" t="s">
        <v>6048</v>
      </c>
      <c r="N1120" t="s">
        <v>6049</v>
      </c>
      <c r="O1120" t="s">
        <v>173</v>
      </c>
      <c r="P1120" t="s">
        <v>30</v>
      </c>
      <c r="Q1120" t="s">
        <v>65</v>
      </c>
      <c r="R1120" s="3">
        <v>1536.066</v>
      </c>
    </row>
    <row r="1121" spans="1:18" x14ac:dyDescent="0.3">
      <c r="A1121" t="s">
        <v>6050</v>
      </c>
      <c r="B1121" t="str">
        <f>TEXT(Raw_Data[[#This Row],[Order Date]],"mmm")</f>
        <v>Feb</v>
      </c>
      <c r="C1121" t="s">
        <v>1268</v>
      </c>
      <c r="D1121" t="s">
        <v>6051</v>
      </c>
      <c r="E1121" t="s">
        <v>35</v>
      </c>
      <c r="F1121" t="s">
        <v>36</v>
      </c>
      <c r="G1121" t="s">
        <v>123</v>
      </c>
      <c r="H1121" t="s">
        <v>23</v>
      </c>
      <c r="I1121" t="s">
        <v>49</v>
      </c>
      <c r="J1121" t="s">
        <v>25</v>
      </c>
      <c r="K1121" t="s">
        <v>6052</v>
      </c>
      <c r="L1121">
        <v>0.15</v>
      </c>
      <c r="M1121" t="s">
        <v>6053</v>
      </c>
      <c r="N1121" t="s">
        <v>6054</v>
      </c>
      <c r="O1121" t="s">
        <v>173</v>
      </c>
      <c r="P1121" t="s">
        <v>112</v>
      </c>
      <c r="Q1121" t="s">
        <v>65</v>
      </c>
      <c r="R1121" s="3">
        <v>17064.668000000001</v>
      </c>
    </row>
    <row r="1122" spans="1:18" x14ac:dyDescent="0.3">
      <c r="A1122" t="s">
        <v>6055</v>
      </c>
      <c r="B1122" t="str">
        <f>TEXT(Raw_Data[[#This Row],[Order Date]],"mmm")</f>
        <v>Feb</v>
      </c>
      <c r="C1122" t="s">
        <v>942</v>
      </c>
      <c r="D1122" t="s">
        <v>6056</v>
      </c>
      <c r="E1122" t="s">
        <v>48</v>
      </c>
      <c r="F1122" t="s">
        <v>106</v>
      </c>
      <c r="G1122" t="s">
        <v>163</v>
      </c>
      <c r="H1122" t="s">
        <v>23</v>
      </c>
      <c r="I1122" t="s">
        <v>183</v>
      </c>
      <c r="J1122" t="s">
        <v>25</v>
      </c>
      <c r="K1122" t="s">
        <v>6057</v>
      </c>
      <c r="L1122">
        <v>0.1</v>
      </c>
      <c r="M1122" t="s">
        <v>6058</v>
      </c>
      <c r="N1122" t="s">
        <v>6059</v>
      </c>
      <c r="O1122" t="s">
        <v>173</v>
      </c>
      <c r="P1122" t="s">
        <v>30</v>
      </c>
      <c r="Q1122" t="s">
        <v>65</v>
      </c>
      <c r="R1122" s="3">
        <v>55206.584999999999</v>
      </c>
    </row>
    <row r="1123" spans="1:18" x14ac:dyDescent="0.3">
      <c r="A1123" t="s">
        <v>6060</v>
      </c>
      <c r="B1123" t="str">
        <f>TEXT(Raw_Data[[#This Row],[Order Date]],"mmm")</f>
        <v>Apr</v>
      </c>
      <c r="C1123" t="s">
        <v>1686</v>
      </c>
      <c r="D1123" t="s">
        <v>6061</v>
      </c>
      <c r="E1123" t="s">
        <v>20</v>
      </c>
      <c r="F1123" t="s">
        <v>69</v>
      </c>
      <c r="G1123" t="s">
        <v>70</v>
      </c>
      <c r="H1123" t="s">
        <v>23</v>
      </c>
      <c r="I1123" t="s">
        <v>24</v>
      </c>
      <c r="J1123" t="s">
        <v>50</v>
      </c>
      <c r="K1123" t="s">
        <v>6062</v>
      </c>
      <c r="L1123">
        <v>0.05</v>
      </c>
      <c r="M1123" t="s">
        <v>6063</v>
      </c>
      <c r="N1123" t="s">
        <v>6064</v>
      </c>
      <c r="O1123" t="s">
        <v>173</v>
      </c>
      <c r="P1123" t="s">
        <v>30</v>
      </c>
      <c r="Q1123" t="s">
        <v>31</v>
      </c>
      <c r="R1123" s="3">
        <v>57724.697999999997</v>
      </c>
    </row>
    <row r="1124" spans="1:18" x14ac:dyDescent="0.3">
      <c r="A1124" t="s">
        <v>6065</v>
      </c>
      <c r="B1124" t="str">
        <f>TEXT(Raw_Data[[#This Row],[Order Date]],"mmm")</f>
        <v>Oct</v>
      </c>
      <c r="C1124" t="s">
        <v>2217</v>
      </c>
      <c r="D1124" t="s">
        <v>6066</v>
      </c>
      <c r="E1124" t="s">
        <v>48</v>
      </c>
      <c r="F1124" t="s">
        <v>36</v>
      </c>
      <c r="G1124" t="s">
        <v>123</v>
      </c>
      <c r="H1124" t="s">
        <v>107</v>
      </c>
      <c r="I1124" t="s">
        <v>469</v>
      </c>
      <c r="J1124" t="s">
        <v>50</v>
      </c>
      <c r="K1124" t="s">
        <v>6067</v>
      </c>
      <c r="L1124">
        <v>0.1</v>
      </c>
      <c r="M1124" t="s">
        <v>6068</v>
      </c>
      <c r="N1124" t="s">
        <v>6069</v>
      </c>
      <c r="O1124" t="s">
        <v>64</v>
      </c>
      <c r="P1124" t="s">
        <v>30</v>
      </c>
      <c r="Q1124" t="s">
        <v>44</v>
      </c>
      <c r="R1124" s="3">
        <v>16763.849999999999</v>
      </c>
    </row>
    <row r="1125" spans="1:18" x14ac:dyDescent="0.3">
      <c r="A1125" t="s">
        <v>6070</v>
      </c>
      <c r="B1125" t="str">
        <f>TEXT(Raw_Data[[#This Row],[Order Date]],"mmm")</f>
        <v>May</v>
      </c>
      <c r="C1125" t="s">
        <v>1472</v>
      </c>
      <c r="D1125" t="s">
        <v>6071</v>
      </c>
      <c r="E1125" t="s">
        <v>20</v>
      </c>
      <c r="F1125" t="s">
        <v>106</v>
      </c>
      <c r="G1125" t="s">
        <v>106</v>
      </c>
      <c r="H1125" t="s">
        <v>38</v>
      </c>
      <c r="I1125" t="s">
        <v>60</v>
      </c>
      <c r="J1125" t="s">
        <v>25</v>
      </c>
      <c r="K1125" t="s">
        <v>6072</v>
      </c>
      <c r="L1125">
        <v>0.05</v>
      </c>
      <c r="M1125" t="s">
        <v>6073</v>
      </c>
      <c r="N1125" t="s">
        <v>6074</v>
      </c>
      <c r="O1125" t="s">
        <v>43</v>
      </c>
      <c r="P1125" t="s">
        <v>30</v>
      </c>
      <c r="Q1125" t="s">
        <v>44</v>
      </c>
      <c r="R1125" s="3">
        <v>4710.2614999999996</v>
      </c>
    </row>
    <row r="1126" spans="1:18" x14ac:dyDescent="0.3">
      <c r="A1126" t="s">
        <v>6075</v>
      </c>
      <c r="B1126" t="str">
        <f>TEXT(Raw_Data[[#This Row],[Order Date]],"mmm")</f>
        <v>Jul</v>
      </c>
      <c r="C1126" t="s">
        <v>1210</v>
      </c>
      <c r="D1126" t="s">
        <v>6076</v>
      </c>
      <c r="E1126" t="s">
        <v>35</v>
      </c>
      <c r="F1126" t="s">
        <v>36</v>
      </c>
      <c r="G1126" t="s">
        <v>153</v>
      </c>
      <c r="H1126" t="s">
        <v>23</v>
      </c>
      <c r="I1126" t="s">
        <v>263</v>
      </c>
      <c r="J1126" t="s">
        <v>25</v>
      </c>
      <c r="K1126" t="s">
        <v>6077</v>
      </c>
      <c r="L1126">
        <v>0.1</v>
      </c>
      <c r="M1126" t="s">
        <v>6078</v>
      </c>
      <c r="N1126" t="s">
        <v>6079</v>
      </c>
      <c r="O1126" t="s">
        <v>43</v>
      </c>
      <c r="P1126" t="s">
        <v>30</v>
      </c>
      <c r="Q1126" t="s">
        <v>65</v>
      </c>
      <c r="R1126" s="3">
        <v>5039.9189999999999</v>
      </c>
    </row>
    <row r="1127" spans="1:18" x14ac:dyDescent="0.3">
      <c r="A1127" t="s">
        <v>6080</v>
      </c>
      <c r="B1127" t="str">
        <f>TEXT(Raw_Data[[#This Row],[Order Date]],"mmm")</f>
        <v>Jan</v>
      </c>
      <c r="C1127" t="s">
        <v>6081</v>
      </c>
      <c r="D1127" t="s">
        <v>6082</v>
      </c>
      <c r="E1127" t="s">
        <v>20</v>
      </c>
      <c r="F1127" t="s">
        <v>89</v>
      </c>
      <c r="G1127" t="s">
        <v>90</v>
      </c>
      <c r="H1127" t="s">
        <v>154</v>
      </c>
      <c r="I1127" t="s">
        <v>309</v>
      </c>
      <c r="J1127" t="s">
        <v>50</v>
      </c>
      <c r="K1127" t="s">
        <v>6083</v>
      </c>
      <c r="L1127">
        <v>0.05</v>
      </c>
      <c r="M1127" t="s">
        <v>6084</v>
      </c>
      <c r="N1127" t="s">
        <v>6085</v>
      </c>
      <c r="O1127" t="s">
        <v>29</v>
      </c>
      <c r="P1127" t="s">
        <v>30</v>
      </c>
      <c r="Q1127" t="s">
        <v>65</v>
      </c>
      <c r="R1127" s="3">
        <v>5119.2460000000001</v>
      </c>
    </row>
    <row r="1128" spans="1:18" x14ac:dyDescent="0.3">
      <c r="A1128" t="s">
        <v>6086</v>
      </c>
      <c r="B1128" t="str">
        <f>TEXT(Raw_Data[[#This Row],[Order Date]],"mmm")</f>
        <v>Nov</v>
      </c>
      <c r="C1128" t="s">
        <v>2976</v>
      </c>
      <c r="D1128" t="s">
        <v>6087</v>
      </c>
      <c r="E1128" t="s">
        <v>35</v>
      </c>
      <c r="F1128" t="s">
        <v>89</v>
      </c>
      <c r="G1128" t="s">
        <v>99</v>
      </c>
      <c r="H1128" t="s">
        <v>23</v>
      </c>
      <c r="I1128" t="s">
        <v>49</v>
      </c>
      <c r="J1128" t="s">
        <v>50</v>
      </c>
      <c r="K1128" t="s">
        <v>6088</v>
      </c>
      <c r="L1128">
        <v>0.2</v>
      </c>
      <c r="M1128" t="s">
        <v>6089</v>
      </c>
      <c r="N1128" t="s">
        <v>6090</v>
      </c>
      <c r="O1128" t="s">
        <v>29</v>
      </c>
      <c r="P1128" t="s">
        <v>30</v>
      </c>
      <c r="Q1128" t="s">
        <v>65</v>
      </c>
      <c r="R1128" s="3">
        <v>56930.239999999998</v>
      </c>
    </row>
    <row r="1129" spans="1:18" x14ac:dyDescent="0.3">
      <c r="A1129" t="s">
        <v>6091</v>
      </c>
      <c r="B1129" t="str">
        <f>TEXT(Raw_Data[[#This Row],[Order Date]],"mmm")</f>
        <v>Aug</v>
      </c>
      <c r="C1129" t="s">
        <v>3933</v>
      </c>
      <c r="D1129" t="s">
        <v>6092</v>
      </c>
      <c r="E1129" t="s">
        <v>35</v>
      </c>
      <c r="F1129" t="s">
        <v>36</v>
      </c>
      <c r="G1129" t="s">
        <v>37</v>
      </c>
      <c r="H1129" t="s">
        <v>107</v>
      </c>
      <c r="I1129" t="s">
        <v>378</v>
      </c>
      <c r="J1129" t="s">
        <v>25</v>
      </c>
      <c r="K1129" t="s">
        <v>6093</v>
      </c>
      <c r="L1129">
        <v>0.05</v>
      </c>
      <c r="M1129" t="s">
        <v>6094</v>
      </c>
      <c r="N1129" t="s">
        <v>6095</v>
      </c>
      <c r="O1129" t="s">
        <v>54</v>
      </c>
      <c r="P1129" t="s">
        <v>95</v>
      </c>
      <c r="Q1129" t="s">
        <v>31</v>
      </c>
      <c r="R1129" s="3">
        <v>13542.7059999999</v>
      </c>
    </row>
    <row r="1130" spans="1:18" x14ac:dyDescent="0.3">
      <c r="A1130" t="s">
        <v>6096</v>
      </c>
      <c r="B1130" t="str">
        <f>TEXT(Raw_Data[[#This Row],[Order Date]],"mmm")</f>
        <v>Dec</v>
      </c>
      <c r="C1130" t="s">
        <v>242</v>
      </c>
      <c r="D1130" t="s">
        <v>6097</v>
      </c>
      <c r="E1130" t="s">
        <v>20</v>
      </c>
      <c r="F1130" t="s">
        <v>89</v>
      </c>
      <c r="G1130" t="s">
        <v>99</v>
      </c>
      <c r="H1130" t="s">
        <v>80</v>
      </c>
      <c r="I1130" t="s">
        <v>131</v>
      </c>
      <c r="J1130" t="s">
        <v>25</v>
      </c>
      <c r="K1130" t="s">
        <v>6098</v>
      </c>
      <c r="L1130">
        <v>0.1</v>
      </c>
      <c r="M1130" t="s">
        <v>6099</v>
      </c>
      <c r="N1130" t="s">
        <v>6100</v>
      </c>
      <c r="O1130" t="s">
        <v>64</v>
      </c>
      <c r="P1130" t="s">
        <v>159</v>
      </c>
      <c r="Q1130" t="s">
        <v>44</v>
      </c>
      <c r="R1130" s="3">
        <v>506.510999999999</v>
      </c>
    </row>
    <row r="1131" spans="1:18" x14ac:dyDescent="0.3">
      <c r="A1131" t="s">
        <v>6101</v>
      </c>
      <c r="B1131" t="str">
        <f>TEXT(Raw_Data[[#This Row],[Order Date]],"mmm")</f>
        <v>Oct</v>
      </c>
      <c r="C1131" t="s">
        <v>3724</v>
      </c>
      <c r="D1131" t="s">
        <v>6102</v>
      </c>
      <c r="E1131" t="s">
        <v>35</v>
      </c>
      <c r="F1131" t="s">
        <v>69</v>
      </c>
      <c r="G1131" t="s">
        <v>139</v>
      </c>
      <c r="H1131" t="s">
        <v>154</v>
      </c>
      <c r="I1131" t="s">
        <v>155</v>
      </c>
      <c r="J1131" t="s">
        <v>25</v>
      </c>
      <c r="K1131" t="s">
        <v>6103</v>
      </c>
      <c r="L1131">
        <v>0.1</v>
      </c>
      <c r="M1131" t="s">
        <v>6104</v>
      </c>
      <c r="N1131" t="s">
        <v>6105</v>
      </c>
      <c r="O1131" t="s">
        <v>43</v>
      </c>
      <c r="P1131" t="s">
        <v>30</v>
      </c>
      <c r="Q1131" t="s">
        <v>65</v>
      </c>
      <c r="R1131" s="3">
        <v>9261.018</v>
      </c>
    </row>
    <row r="1132" spans="1:18" x14ac:dyDescent="0.3">
      <c r="A1132" t="s">
        <v>6106</v>
      </c>
      <c r="B1132" t="str">
        <f>TEXT(Raw_Data[[#This Row],[Order Date]],"mmm")</f>
        <v>Jul</v>
      </c>
      <c r="C1132" t="s">
        <v>87</v>
      </c>
      <c r="D1132" t="s">
        <v>6107</v>
      </c>
      <c r="E1132" t="s">
        <v>20</v>
      </c>
      <c r="F1132" t="s">
        <v>215</v>
      </c>
      <c r="G1132" t="s">
        <v>276</v>
      </c>
      <c r="H1132" t="s">
        <v>80</v>
      </c>
      <c r="I1132" t="s">
        <v>131</v>
      </c>
      <c r="J1132" t="s">
        <v>25</v>
      </c>
      <c r="K1132" t="s">
        <v>6108</v>
      </c>
      <c r="L1132">
        <v>0.05</v>
      </c>
      <c r="M1132" t="s">
        <v>6109</v>
      </c>
      <c r="N1132" t="s">
        <v>6110</v>
      </c>
      <c r="O1132" t="s">
        <v>173</v>
      </c>
      <c r="P1132" t="s">
        <v>30</v>
      </c>
      <c r="Q1132" t="s">
        <v>44</v>
      </c>
      <c r="R1132" s="3">
        <v>563.12199999999996</v>
      </c>
    </row>
    <row r="1133" spans="1:18" x14ac:dyDescent="0.3">
      <c r="A1133" t="s">
        <v>6111</v>
      </c>
      <c r="B1133" t="str">
        <f>TEXT(Raw_Data[[#This Row],[Order Date]],"mmm")</f>
        <v>Jan</v>
      </c>
      <c r="C1133" t="s">
        <v>891</v>
      </c>
      <c r="D1133" t="s">
        <v>6112</v>
      </c>
      <c r="E1133" t="s">
        <v>20</v>
      </c>
      <c r="F1133" t="s">
        <v>89</v>
      </c>
      <c r="G1133" t="s">
        <v>230</v>
      </c>
      <c r="H1133" t="s">
        <v>107</v>
      </c>
      <c r="I1133" t="s">
        <v>378</v>
      </c>
      <c r="J1133" t="s">
        <v>25</v>
      </c>
      <c r="K1133" t="s">
        <v>6113</v>
      </c>
      <c r="L1133">
        <v>0.1</v>
      </c>
      <c r="M1133" t="s">
        <v>6114</v>
      </c>
      <c r="N1133" t="s">
        <v>6115</v>
      </c>
      <c r="O1133" t="s">
        <v>173</v>
      </c>
      <c r="P1133" t="s">
        <v>30</v>
      </c>
      <c r="Q1133" t="s">
        <v>31</v>
      </c>
      <c r="R1133" s="3">
        <v>1325.673</v>
      </c>
    </row>
    <row r="1134" spans="1:18" x14ac:dyDescent="0.3">
      <c r="A1134" t="s">
        <v>6116</v>
      </c>
      <c r="B1134" t="str">
        <f>TEXT(Raw_Data[[#This Row],[Order Date]],"mmm")</f>
        <v>Jan</v>
      </c>
      <c r="C1134" t="s">
        <v>320</v>
      </c>
      <c r="D1134" t="s">
        <v>6117</v>
      </c>
      <c r="E1134" t="s">
        <v>20</v>
      </c>
      <c r="F1134" t="s">
        <v>78</v>
      </c>
      <c r="G1134" t="s">
        <v>731</v>
      </c>
      <c r="H1134" t="s">
        <v>23</v>
      </c>
      <c r="I1134" t="s">
        <v>183</v>
      </c>
      <c r="J1134" t="s">
        <v>25</v>
      </c>
      <c r="K1134" t="s">
        <v>6118</v>
      </c>
      <c r="L1134">
        <v>0.05</v>
      </c>
      <c r="M1134" t="s">
        <v>6119</v>
      </c>
      <c r="N1134" t="s">
        <v>6120</v>
      </c>
      <c r="O1134" t="s">
        <v>64</v>
      </c>
      <c r="P1134" t="s">
        <v>30</v>
      </c>
      <c r="Q1134" t="s">
        <v>44</v>
      </c>
      <c r="R1134" s="3">
        <v>2948.4674999999902</v>
      </c>
    </row>
    <row r="1135" spans="1:18" x14ac:dyDescent="0.3">
      <c r="A1135" t="s">
        <v>6121</v>
      </c>
      <c r="B1135" t="str">
        <f>TEXT(Raw_Data[[#This Row],[Order Date]],"mmm")</f>
        <v>Nov</v>
      </c>
      <c r="C1135" t="s">
        <v>2710</v>
      </c>
      <c r="D1135" t="s">
        <v>6122</v>
      </c>
      <c r="E1135" t="s">
        <v>48</v>
      </c>
      <c r="F1135" t="s">
        <v>36</v>
      </c>
      <c r="G1135" t="s">
        <v>37</v>
      </c>
      <c r="H1135" t="s">
        <v>154</v>
      </c>
      <c r="I1135" t="s">
        <v>1061</v>
      </c>
      <c r="J1135" t="s">
        <v>25</v>
      </c>
      <c r="K1135" t="s">
        <v>6123</v>
      </c>
      <c r="L1135">
        <v>0</v>
      </c>
      <c r="M1135" t="s">
        <v>6124</v>
      </c>
      <c r="N1135" t="s">
        <v>6125</v>
      </c>
      <c r="O1135" t="s">
        <v>64</v>
      </c>
      <c r="P1135" t="s">
        <v>95</v>
      </c>
      <c r="Q1135" t="s">
        <v>44</v>
      </c>
      <c r="R1135" s="3">
        <v>5949.12</v>
      </c>
    </row>
    <row r="1136" spans="1:18" x14ac:dyDescent="0.3">
      <c r="A1136" t="s">
        <v>6126</v>
      </c>
      <c r="B1136" t="str">
        <f>TEXT(Raw_Data[[#This Row],[Order Date]],"mmm")</f>
        <v>May</v>
      </c>
      <c r="C1136" t="s">
        <v>2355</v>
      </c>
      <c r="D1136" t="s">
        <v>6127</v>
      </c>
      <c r="E1136" t="s">
        <v>20</v>
      </c>
      <c r="F1136" t="s">
        <v>78</v>
      </c>
      <c r="G1136" t="s">
        <v>468</v>
      </c>
      <c r="H1136" t="s">
        <v>38</v>
      </c>
      <c r="I1136" t="s">
        <v>60</v>
      </c>
      <c r="J1136" t="s">
        <v>25</v>
      </c>
      <c r="K1136" t="s">
        <v>6128</v>
      </c>
      <c r="L1136">
        <v>0.1</v>
      </c>
      <c r="M1136" t="s">
        <v>6129</v>
      </c>
      <c r="N1136" t="s">
        <v>6130</v>
      </c>
      <c r="O1136" t="s">
        <v>29</v>
      </c>
      <c r="P1136" t="s">
        <v>30</v>
      </c>
      <c r="Q1136" t="s">
        <v>65</v>
      </c>
      <c r="R1136" s="3">
        <v>3439.5659999999998</v>
      </c>
    </row>
    <row r="1137" spans="1:18" x14ac:dyDescent="0.3">
      <c r="A1137" t="s">
        <v>6131</v>
      </c>
      <c r="B1137" t="str">
        <f>TEXT(Raw_Data[[#This Row],[Order Date]],"mmm")</f>
        <v>Oct</v>
      </c>
      <c r="C1137" t="s">
        <v>2438</v>
      </c>
      <c r="D1137" t="s">
        <v>6132</v>
      </c>
      <c r="E1137" t="s">
        <v>20</v>
      </c>
      <c r="F1137" t="s">
        <v>106</v>
      </c>
      <c r="G1137" t="s">
        <v>163</v>
      </c>
      <c r="H1137" t="s">
        <v>38</v>
      </c>
      <c r="I1137" t="s">
        <v>256</v>
      </c>
      <c r="J1137" t="s">
        <v>25</v>
      </c>
      <c r="K1137" t="s">
        <v>6133</v>
      </c>
      <c r="L1137">
        <v>0.15</v>
      </c>
      <c r="M1137" t="s">
        <v>6134</v>
      </c>
      <c r="N1137" t="s">
        <v>6135</v>
      </c>
      <c r="O1137" t="s">
        <v>54</v>
      </c>
      <c r="P1137" t="s">
        <v>30</v>
      </c>
      <c r="Q1137" t="s">
        <v>65</v>
      </c>
      <c r="R1137" s="3">
        <v>4805.866</v>
      </c>
    </row>
    <row r="1138" spans="1:18" x14ac:dyDescent="0.3">
      <c r="A1138" t="s">
        <v>6136</v>
      </c>
      <c r="B1138" t="str">
        <f>TEXT(Raw_Data[[#This Row],[Order Date]],"mmm")</f>
        <v>Dec</v>
      </c>
      <c r="C1138" t="s">
        <v>3180</v>
      </c>
      <c r="D1138" t="s">
        <v>6137</v>
      </c>
      <c r="E1138" t="s">
        <v>20</v>
      </c>
      <c r="F1138" t="s">
        <v>69</v>
      </c>
      <c r="G1138" t="s">
        <v>328</v>
      </c>
      <c r="H1138" t="s">
        <v>154</v>
      </c>
      <c r="I1138" t="s">
        <v>365</v>
      </c>
      <c r="J1138" t="s">
        <v>25</v>
      </c>
      <c r="K1138" t="s">
        <v>6138</v>
      </c>
      <c r="L1138">
        <v>0.1</v>
      </c>
      <c r="M1138" t="s">
        <v>6139</v>
      </c>
      <c r="N1138" t="s">
        <v>6140</v>
      </c>
      <c r="O1138" t="s">
        <v>54</v>
      </c>
      <c r="P1138" t="s">
        <v>30</v>
      </c>
      <c r="Q1138" t="s">
        <v>44</v>
      </c>
      <c r="R1138" s="3">
        <v>9954.6749999999993</v>
      </c>
    </row>
    <row r="1139" spans="1:18" x14ac:dyDescent="0.3">
      <c r="A1139" t="s">
        <v>6141</v>
      </c>
      <c r="B1139" t="str">
        <f>TEXT(Raw_Data[[#This Row],[Order Date]],"mmm")</f>
        <v>Dec</v>
      </c>
      <c r="C1139" t="s">
        <v>3862</v>
      </c>
      <c r="D1139" t="s">
        <v>6142</v>
      </c>
      <c r="E1139" t="s">
        <v>20</v>
      </c>
      <c r="F1139" t="s">
        <v>215</v>
      </c>
      <c r="G1139" t="s">
        <v>216</v>
      </c>
      <c r="H1139" t="s">
        <v>107</v>
      </c>
      <c r="I1139" t="s">
        <v>378</v>
      </c>
      <c r="J1139" t="s">
        <v>50</v>
      </c>
      <c r="K1139" t="s">
        <v>6143</v>
      </c>
      <c r="L1139">
        <v>0.05</v>
      </c>
      <c r="M1139" t="s">
        <v>6144</v>
      </c>
      <c r="N1139" t="s">
        <v>6145</v>
      </c>
      <c r="O1139" t="s">
        <v>43</v>
      </c>
      <c r="P1139" t="s">
        <v>30</v>
      </c>
      <c r="Q1139" t="s">
        <v>65</v>
      </c>
      <c r="R1139" s="3">
        <v>18761.569</v>
      </c>
    </row>
    <row r="1140" spans="1:18" x14ac:dyDescent="0.3">
      <c r="A1140" t="s">
        <v>6146</v>
      </c>
      <c r="B1140" t="str">
        <f>TEXT(Raw_Data[[#This Row],[Order Date]],"mmm")</f>
        <v>Jan</v>
      </c>
      <c r="C1140" t="s">
        <v>4365</v>
      </c>
      <c r="D1140" t="s">
        <v>6147</v>
      </c>
      <c r="E1140" t="s">
        <v>35</v>
      </c>
      <c r="F1140" t="s">
        <v>36</v>
      </c>
      <c r="G1140" t="s">
        <v>153</v>
      </c>
      <c r="H1140" t="s">
        <v>23</v>
      </c>
      <c r="I1140" t="s">
        <v>263</v>
      </c>
      <c r="J1140" t="s">
        <v>25</v>
      </c>
      <c r="K1140" t="s">
        <v>6148</v>
      </c>
      <c r="L1140">
        <v>0.05</v>
      </c>
      <c r="M1140" t="s">
        <v>6149</v>
      </c>
      <c r="N1140" t="s">
        <v>6150</v>
      </c>
      <c r="O1140" t="s">
        <v>173</v>
      </c>
      <c r="P1140" t="s">
        <v>30</v>
      </c>
      <c r="Q1140" t="s">
        <v>44</v>
      </c>
      <c r="R1140" s="3">
        <v>64660.799999999901</v>
      </c>
    </row>
    <row r="1141" spans="1:18" x14ac:dyDescent="0.3">
      <c r="A1141" t="s">
        <v>6151</v>
      </c>
      <c r="B1141" t="str">
        <f>TEXT(Raw_Data[[#This Row],[Order Date]],"mmm")</f>
        <v>Mar</v>
      </c>
      <c r="C1141" t="s">
        <v>3893</v>
      </c>
      <c r="D1141" t="s">
        <v>6152</v>
      </c>
      <c r="E1141" t="s">
        <v>20</v>
      </c>
      <c r="F1141" t="s">
        <v>106</v>
      </c>
      <c r="G1141" t="s">
        <v>163</v>
      </c>
      <c r="H1141" t="s">
        <v>23</v>
      </c>
      <c r="I1141" t="s">
        <v>183</v>
      </c>
      <c r="J1141" t="s">
        <v>50</v>
      </c>
      <c r="K1141" t="s">
        <v>6153</v>
      </c>
      <c r="L1141">
        <v>0.1</v>
      </c>
      <c r="M1141" t="s">
        <v>6154</v>
      </c>
      <c r="N1141" t="s">
        <v>6155</v>
      </c>
      <c r="O1141" t="s">
        <v>54</v>
      </c>
      <c r="P1141" t="s">
        <v>30</v>
      </c>
      <c r="Q1141" t="s">
        <v>31</v>
      </c>
      <c r="R1141" s="3">
        <v>36529.703999999998</v>
      </c>
    </row>
    <row r="1142" spans="1:18" x14ac:dyDescent="0.3">
      <c r="A1142" t="s">
        <v>6156</v>
      </c>
      <c r="B1142" t="str">
        <f>TEXT(Raw_Data[[#This Row],[Order Date]],"mmm")</f>
        <v>Feb</v>
      </c>
      <c r="C1142" t="s">
        <v>4284</v>
      </c>
      <c r="D1142" t="s">
        <v>6157</v>
      </c>
      <c r="E1142" t="s">
        <v>35</v>
      </c>
      <c r="F1142" t="s">
        <v>106</v>
      </c>
      <c r="G1142" t="s">
        <v>163</v>
      </c>
      <c r="H1142" t="s">
        <v>23</v>
      </c>
      <c r="I1142" t="s">
        <v>49</v>
      </c>
      <c r="J1142" t="s">
        <v>100</v>
      </c>
      <c r="K1142" t="s">
        <v>6158</v>
      </c>
      <c r="L1142">
        <v>0.1</v>
      </c>
      <c r="M1142" t="s">
        <v>6159</v>
      </c>
      <c r="N1142" t="s">
        <v>6160</v>
      </c>
      <c r="O1142" t="s">
        <v>29</v>
      </c>
      <c r="P1142" t="s">
        <v>30</v>
      </c>
      <c r="Q1142" t="s">
        <v>31</v>
      </c>
      <c r="R1142" s="3">
        <v>137905.17300000001</v>
      </c>
    </row>
    <row r="1143" spans="1:18" x14ac:dyDescent="0.3">
      <c r="A1143" t="s">
        <v>6161</v>
      </c>
      <c r="B1143" t="str">
        <f>TEXT(Raw_Data[[#This Row],[Order Date]],"mmm")</f>
        <v>Apr</v>
      </c>
      <c r="C1143" t="s">
        <v>798</v>
      </c>
      <c r="D1143" t="s">
        <v>6162</v>
      </c>
      <c r="E1143" t="s">
        <v>48</v>
      </c>
      <c r="F1143" t="s">
        <v>21</v>
      </c>
      <c r="G1143" t="s">
        <v>130</v>
      </c>
      <c r="H1143" t="s">
        <v>80</v>
      </c>
      <c r="I1143" t="s">
        <v>116</v>
      </c>
      <c r="J1143" t="s">
        <v>25</v>
      </c>
      <c r="K1143" t="s">
        <v>6163</v>
      </c>
      <c r="L1143">
        <v>0.15</v>
      </c>
      <c r="M1143" t="s">
        <v>6164</v>
      </c>
      <c r="N1143" t="s">
        <v>6165</v>
      </c>
      <c r="O1143" t="s">
        <v>29</v>
      </c>
      <c r="P1143" t="s">
        <v>30</v>
      </c>
      <c r="Q1143" t="s">
        <v>65</v>
      </c>
      <c r="R1143" s="3">
        <v>5171.8760000000002</v>
      </c>
    </row>
    <row r="1144" spans="1:18" x14ac:dyDescent="0.3">
      <c r="A1144" t="s">
        <v>6166</v>
      </c>
      <c r="B1144" t="str">
        <f>TEXT(Raw_Data[[#This Row],[Order Date]],"mmm")</f>
        <v>Nov</v>
      </c>
      <c r="C1144" t="s">
        <v>3096</v>
      </c>
      <c r="D1144" t="s">
        <v>6167</v>
      </c>
      <c r="E1144" t="s">
        <v>48</v>
      </c>
      <c r="F1144" t="s">
        <v>106</v>
      </c>
      <c r="G1144" t="s">
        <v>106</v>
      </c>
      <c r="H1144" t="s">
        <v>80</v>
      </c>
      <c r="I1144" t="s">
        <v>91</v>
      </c>
      <c r="J1144" t="s">
        <v>50</v>
      </c>
      <c r="K1144" t="s">
        <v>6168</v>
      </c>
      <c r="L1144">
        <v>0</v>
      </c>
      <c r="M1144" t="s">
        <v>6169</v>
      </c>
      <c r="N1144" t="s">
        <v>6170</v>
      </c>
      <c r="O1144" t="s">
        <v>29</v>
      </c>
      <c r="P1144" t="s">
        <v>30</v>
      </c>
      <c r="Q1144" t="s">
        <v>44</v>
      </c>
      <c r="R1144" s="3">
        <v>3946.78</v>
      </c>
    </row>
    <row r="1145" spans="1:18" x14ac:dyDescent="0.3">
      <c r="A1145" t="s">
        <v>6171</v>
      </c>
      <c r="B1145" t="str">
        <f>TEXT(Raw_Data[[#This Row],[Order Date]],"mmm")</f>
        <v>May</v>
      </c>
      <c r="C1145" t="s">
        <v>1498</v>
      </c>
      <c r="D1145" t="s">
        <v>6172</v>
      </c>
      <c r="E1145" t="s">
        <v>20</v>
      </c>
      <c r="F1145" t="s">
        <v>58</v>
      </c>
      <c r="G1145" t="s">
        <v>812</v>
      </c>
      <c r="H1145" t="s">
        <v>23</v>
      </c>
      <c r="I1145" t="s">
        <v>24</v>
      </c>
      <c r="J1145" t="s">
        <v>25</v>
      </c>
      <c r="K1145" t="s">
        <v>6173</v>
      </c>
      <c r="L1145">
        <v>0.15</v>
      </c>
      <c r="M1145" t="s">
        <v>6174</v>
      </c>
      <c r="N1145" t="s">
        <v>6175</v>
      </c>
      <c r="O1145" t="s">
        <v>43</v>
      </c>
      <c r="P1145" t="s">
        <v>30</v>
      </c>
      <c r="Q1145" t="s">
        <v>31</v>
      </c>
      <c r="R1145" s="3">
        <v>57251.9454999999</v>
      </c>
    </row>
    <row r="1146" spans="1:18" x14ac:dyDescent="0.3">
      <c r="A1146" t="s">
        <v>6176</v>
      </c>
      <c r="B1146" t="str">
        <f>TEXT(Raw_Data[[#This Row],[Order Date]],"mmm")</f>
        <v>Aug</v>
      </c>
      <c r="C1146" t="s">
        <v>1104</v>
      </c>
      <c r="D1146" t="s">
        <v>6177</v>
      </c>
      <c r="E1146" t="s">
        <v>48</v>
      </c>
      <c r="F1146" t="s">
        <v>21</v>
      </c>
      <c r="G1146" t="s">
        <v>22</v>
      </c>
      <c r="H1146" t="s">
        <v>23</v>
      </c>
      <c r="I1146" t="s">
        <v>183</v>
      </c>
      <c r="J1146" t="s">
        <v>100</v>
      </c>
      <c r="K1146" t="s">
        <v>6178</v>
      </c>
      <c r="L1146">
        <v>0.05</v>
      </c>
      <c r="M1146" t="s">
        <v>6179</v>
      </c>
      <c r="N1146" t="s">
        <v>6180</v>
      </c>
      <c r="O1146" t="s">
        <v>54</v>
      </c>
      <c r="P1146" t="s">
        <v>30</v>
      </c>
      <c r="Q1146" t="s">
        <v>65</v>
      </c>
      <c r="R1146" s="3">
        <v>192280.32299999901</v>
      </c>
    </row>
    <row r="1147" spans="1:18" x14ac:dyDescent="0.3">
      <c r="A1147" t="s">
        <v>6181</v>
      </c>
      <c r="B1147" t="str">
        <f>TEXT(Raw_Data[[#This Row],[Order Date]],"mmm")</f>
        <v>Jan</v>
      </c>
      <c r="C1147" t="s">
        <v>274</v>
      </c>
      <c r="D1147" t="s">
        <v>6182</v>
      </c>
      <c r="E1147" t="s">
        <v>20</v>
      </c>
      <c r="F1147" t="s">
        <v>215</v>
      </c>
      <c r="G1147" t="s">
        <v>216</v>
      </c>
      <c r="H1147" t="s">
        <v>107</v>
      </c>
      <c r="I1147" t="s">
        <v>108</v>
      </c>
      <c r="J1147" t="s">
        <v>25</v>
      </c>
      <c r="K1147" t="s">
        <v>6183</v>
      </c>
      <c r="L1147">
        <v>0.05</v>
      </c>
      <c r="M1147" t="s">
        <v>6184</v>
      </c>
      <c r="N1147" t="s">
        <v>6185</v>
      </c>
      <c r="O1147" t="s">
        <v>29</v>
      </c>
      <c r="P1147" t="s">
        <v>30</v>
      </c>
      <c r="Q1147" t="s">
        <v>44</v>
      </c>
      <c r="R1147" s="3">
        <v>2323.0254999999902</v>
      </c>
    </row>
    <row r="1148" spans="1:18" x14ac:dyDescent="0.3">
      <c r="A1148" t="s">
        <v>6186</v>
      </c>
      <c r="B1148" t="str">
        <f>TEXT(Raw_Data[[#This Row],[Order Date]],"mmm")</f>
        <v>May</v>
      </c>
      <c r="C1148" t="s">
        <v>1498</v>
      </c>
      <c r="D1148" t="s">
        <v>6187</v>
      </c>
      <c r="E1148" t="s">
        <v>35</v>
      </c>
      <c r="F1148" t="s">
        <v>69</v>
      </c>
      <c r="G1148" t="s">
        <v>70</v>
      </c>
      <c r="H1148" t="s">
        <v>38</v>
      </c>
      <c r="I1148" t="s">
        <v>223</v>
      </c>
      <c r="J1148" t="s">
        <v>50</v>
      </c>
      <c r="K1148" t="s">
        <v>6188</v>
      </c>
      <c r="L1148">
        <v>0.15</v>
      </c>
      <c r="M1148" t="s">
        <v>6189</v>
      </c>
      <c r="N1148" t="s">
        <v>6190</v>
      </c>
      <c r="O1148" t="s">
        <v>173</v>
      </c>
      <c r="P1148" t="s">
        <v>30</v>
      </c>
      <c r="Q1148" t="s">
        <v>44</v>
      </c>
      <c r="R1148" s="3">
        <v>3632.7809999999899</v>
      </c>
    </row>
    <row r="1149" spans="1:18" x14ac:dyDescent="0.3">
      <c r="A1149" t="s">
        <v>6191</v>
      </c>
      <c r="B1149" t="str">
        <f>TEXT(Raw_Data[[#This Row],[Order Date]],"mmm")</f>
        <v>Mar</v>
      </c>
      <c r="C1149" t="s">
        <v>492</v>
      </c>
      <c r="D1149" t="s">
        <v>6192</v>
      </c>
      <c r="E1149" t="s">
        <v>35</v>
      </c>
      <c r="F1149" t="s">
        <v>69</v>
      </c>
      <c r="G1149" t="s">
        <v>139</v>
      </c>
      <c r="H1149" t="s">
        <v>38</v>
      </c>
      <c r="I1149" t="s">
        <v>256</v>
      </c>
      <c r="J1149" t="s">
        <v>50</v>
      </c>
      <c r="K1149" t="s">
        <v>6193</v>
      </c>
      <c r="L1149">
        <v>0</v>
      </c>
      <c r="M1149" t="s">
        <v>6194</v>
      </c>
      <c r="N1149" t="s">
        <v>6195</v>
      </c>
      <c r="O1149" t="s">
        <v>64</v>
      </c>
      <c r="P1149" t="s">
        <v>30</v>
      </c>
      <c r="Q1149" t="s">
        <v>31</v>
      </c>
      <c r="R1149" s="3">
        <v>1104.68</v>
      </c>
    </row>
    <row r="1150" spans="1:18" x14ac:dyDescent="0.3">
      <c r="A1150" t="s">
        <v>6196</v>
      </c>
      <c r="B1150" t="str">
        <f>TEXT(Raw_Data[[#This Row],[Order Date]],"mmm")</f>
        <v>May</v>
      </c>
      <c r="C1150" t="s">
        <v>810</v>
      </c>
      <c r="D1150" t="s">
        <v>6197</v>
      </c>
      <c r="E1150" t="s">
        <v>20</v>
      </c>
      <c r="F1150" t="s">
        <v>106</v>
      </c>
      <c r="G1150" t="s">
        <v>163</v>
      </c>
      <c r="H1150" t="s">
        <v>38</v>
      </c>
      <c r="I1150" t="s">
        <v>71</v>
      </c>
      <c r="J1150" t="s">
        <v>25</v>
      </c>
      <c r="K1150" t="s">
        <v>6198</v>
      </c>
      <c r="L1150">
        <v>0</v>
      </c>
      <c r="M1150" t="s">
        <v>6199</v>
      </c>
      <c r="N1150" t="s">
        <v>6200</v>
      </c>
      <c r="O1150" t="s">
        <v>29</v>
      </c>
      <c r="P1150" t="s">
        <v>30</v>
      </c>
      <c r="Q1150" t="s">
        <v>31</v>
      </c>
      <c r="R1150" s="3">
        <v>1269.5899999999999</v>
      </c>
    </row>
    <row r="1151" spans="1:18" x14ac:dyDescent="0.3">
      <c r="A1151" t="s">
        <v>6201</v>
      </c>
      <c r="B1151" t="str">
        <f>TEXT(Raw_Data[[#This Row],[Order Date]],"mmm")</f>
        <v>Aug</v>
      </c>
      <c r="C1151" t="s">
        <v>1155</v>
      </c>
      <c r="D1151" t="s">
        <v>6202</v>
      </c>
      <c r="E1151" t="s">
        <v>35</v>
      </c>
      <c r="F1151" t="s">
        <v>36</v>
      </c>
      <c r="G1151" t="s">
        <v>414</v>
      </c>
      <c r="H1151" t="s">
        <v>23</v>
      </c>
      <c r="I1151" t="s">
        <v>24</v>
      </c>
      <c r="J1151" t="s">
        <v>25</v>
      </c>
      <c r="K1151" t="s">
        <v>6203</v>
      </c>
      <c r="L1151">
        <v>0.2</v>
      </c>
      <c r="M1151" t="s">
        <v>6204</v>
      </c>
      <c r="N1151" t="s">
        <v>6205</v>
      </c>
      <c r="O1151" t="s">
        <v>54</v>
      </c>
      <c r="P1151" t="s">
        <v>30</v>
      </c>
      <c r="Q1151" t="s">
        <v>31</v>
      </c>
      <c r="R1151" s="3">
        <v>57504.743999999999</v>
      </c>
    </row>
    <row r="1152" spans="1:18" x14ac:dyDescent="0.3">
      <c r="A1152" t="s">
        <v>6206</v>
      </c>
      <c r="B1152" t="str">
        <f>TEXT(Raw_Data[[#This Row],[Order Date]],"mmm")</f>
        <v>Feb</v>
      </c>
      <c r="C1152" t="s">
        <v>2515</v>
      </c>
      <c r="D1152" t="s">
        <v>6207</v>
      </c>
      <c r="E1152" t="s">
        <v>35</v>
      </c>
      <c r="F1152" t="s">
        <v>215</v>
      </c>
      <c r="G1152" t="s">
        <v>276</v>
      </c>
      <c r="H1152" t="s">
        <v>80</v>
      </c>
      <c r="I1152" t="s">
        <v>146</v>
      </c>
      <c r="J1152" t="s">
        <v>25</v>
      </c>
      <c r="K1152" t="s">
        <v>6208</v>
      </c>
      <c r="L1152">
        <v>0</v>
      </c>
      <c r="M1152" t="s">
        <v>6209</v>
      </c>
      <c r="N1152" t="s">
        <v>6210</v>
      </c>
      <c r="O1152" t="s">
        <v>43</v>
      </c>
      <c r="P1152" t="s">
        <v>159</v>
      </c>
      <c r="Q1152" t="s">
        <v>31</v>
      </c>
      <c r="R1152" s="3">
        <v>5345.18</v>
      </c>
    </row>
    <row r="1153" spans="1:18" x14ac:dyDescent="0.3">
      <c r="A1153" t="s">
        <v>6211</v>
      </c>
      <c r="B1153" t="str">
        <f>TEXT(Raw_Data[[#This Row],[Order Date]],"mmm")</f>
        <v>May</v>
      </c>
      <c r="C1153" t="s">
        <v>301</v>
      </c>
      <c r="D1153" t="s">
        <v>6212</v>
      </c>
      <c r="E1153" t="s">
        <v>20</v>
      </c>
      <c r="F1153" t="s">
        <v>21</v>
      </c>
      <c r="G1153" t="s">
        <v>22</v>
      </c>
      <c r="H1153" t="s">
        <v>23</v>
      </c>
      <c r="I1153" t="s">
        <v>341</v>
      </c>
      <c r="J1153" t="s">
        <v>50</v>
      </c>
      <c r="K1153" t="s">
        <v>6213</v>
      </c>
      <c r="L1153">
        <v>0.2</v>
      </c>
      <c r="M1153" t="s">
        <v>6214</v>
      </c>
      <c r="N1153" t="s">
        <v>6215</v>
      </c>
      <c r="O1153" t="s">
        <v>64</v>
      </c>
      <c r="P1153" t="s">
        <v>95</v>
      </c>
      <c r="Q1153" t="s">
        <v>31</v>
      </c>
      <c r="R1153" s="3">
        <v>100784.52800000001</v>
      </c>
    </row>
    <row r="1154" spans="1:18" x14ac:dyDescent="0.3">
      <c r="A1154" t="s">
        <v>6216</v>
      </c>
      <c r="B1154" t="str">
        <f>TEXT(Raw_Data[[#This Row],[Order Date]],"mmm")</f>
        <v>Dec</v>
      </c>
      <c r="C1154" t="s">
        <v>540</v>
      </c>
      <c r="D1154" t="s">
        <v>6217</v>
      </c>
      <c r="E1154" t="s">
        <v>20</v>
      </c>
      <c r="F1154" t="s">
        <v>69</v>
      </c>
      <c r="G1154" t="s">
        <v>139</v>
      </c>
      <c r="H1154" t="s">
        <v>23</v>
      </c>
      <c r="I1154" t="s">
        <v>49</v>
      </c>
      <c r="J1154" t="s">
        <v>25</v>
      </c>
      <c r="K1154" t="s">
        <v>6218</v>
      </c>
      <c r="L1154">
        <v>0.15</v>
      </c>
      <c r="M1154" t="s">
        <v>6219</v>
      </c>
      <c r="N1154" t="s">
        <v>6220</v>
      </c>
      <c r="O1154" t="s">
        <v>54</v>
      </c>
      <c r="P1154" t="s">
        <v>159</v>
      </c>
      <c r="Q1154" t="s">
        <v>31</v>
      </c>
      <c r="R1154" s="3">
        <v>48669.707999999999</v>
      </c>
    </row>
    <row r="1155" spans="1:18" x14ac:dyDescent="0.3">
      <c r="A1155" t="s">
        <v>6221</v>
      </c>
      <c r="B1155" t="str">
        <f>TEXT(Raw_Data[[#This Row],[Order Date]],"mmm")</f>
        <v>Feb</v>
      </c>
      <c r="C1155" t="s">
        <v>2515</v>
      </c>
      <c r="D1155" t="s">
        <v>6222</v>
      </c>
      <c r="E1155" t="s">
        <v>35</v>
      </c>
      <c r="F1155" t="s">
        <v>215</v>
      </c>
      <c r="G1155" t="s">
        <v>276</v>
      </c>
      <c r="H1155" t="s">
        <v>107</v>
      </c>
      <c r="I1155" t="s">
        <v>277</v>
      </c>
      <c r="J1155" t="s">
        <v>50</v>
      </c>
      <c r="K1155" t="s">
        <v>6223</v>
      </c>
      <c r="L1155">
        <v>0</v>
      </c>
      <c r="M1155" t="s">
        <v>6224</v>
      </c>
      <c r="N1155" t="s">
        <v>6225</v>
      </c>
      <c r="O1155" t="s">
        <v>173</v>
      </c>
      <c r="P1155" t="s">
        <v>95</v>
      </c>
      <c r="Q1155" t="s">
        <v>65</v>
      </c>
      <c r="R1155" s="3">
        <v>21579.119999999999</v>
      </c>
    </row>
    <row r="1156" spans="1:18" x14ac:dyDescent="0.3">
      <c r="A1156" t="s">
        <v>6226</v>
      </c>
      <c r="B1156" t="str">
        <f>TEXT(Raw_Data[[#This Row],[Order Date]],"mmm")</f>
        <v>Nov</v>
      </c>
      <c r="C1156" t="s">
        <v>510</v>
      </c>
      <c r="D1156" t="s">
        <v>6227</v>
      </c>
      <c r="E1156" t="s">
        <v>35</v>
      </c>
      <c r="F1156" t="s">
        <v>36</v>
      </c>
      <c r="G1156" t="s">
        <v>414</v>
      </c>
      <c r="H1156" t="s">
        <v>80</v>
      </c>
      <c r="I1156" t="s">
        <v>131</v>
      </c>
      <c r="J1156" t="s">
        <v>100</v>
      </c>
      <c r="K1156" t="s">
        <v>6228</v>
      </c>
      <c r="L1156">
        <v>0.05</v>
      </c>
      <c r="M1156" t="s">
        <v>6229</v>
      </c>
      <c r="N1156" t="s">
        <v>6230</v>
      </c>
      <c r="O1156" t="s">
        <v>64</v>
      </c>
      <c r="P1156" t="s">
        <v>112</v>
      </c>
      <c r="Q1156" t="s">
        <v>44</v>
      </c>
      <c r="R1156" s="3">
        <v>12659.272499999999</v>
      </c>
    </row>
    <row r="1157" spans="1:18" x14ac:dyDescent="0.3">
      <c r="A1157" t="s">
        <v>6231</v>
      </c>
      <c r="B1157" t="str">
        <f>TEXT(Raw_Data[[#This Row],[Order Date]],"mmm")</f>
        <v>Aug</v>
      </c>
      <c r="C1157" t="s">
        <v>1426</v>
      </c>
      <c r="D1157" t="s">
        <v>6232</v>
      </c>
      <c r="E1157" t="s">
        <v>48</v>
      </c>
      <c r="F1157" t="s">
        <v>89</v>
      </c>
      <c r="G1157" t="s">
        <v>99</v>
      </c>
      <c r="H1157" t="s">
        <v>80</v>
      </c>
      <c r="I1157" t="s">
        <v>91</v>
      </c>
      <c r="J1157" t="s">
        <v>25</v>
      </c>
      <c r="K1157" t="s">
        <v>6233</v>
      </c>
      <c r="L1157">
        <v>0.1</v>
      </c>
      <c r="M1157" t="s">
        <v>6234</v>
      </c>
      <c r="N1157" t="s">
        <v>6235</v>
      </c>
      <c r="O1157" t="s">
        <v>43</v>
      </c>
      <c r="P1157" t="s">
        <v>112</v>
      </c>
      <c r="Q1157" t="s">
        <v>31</v>
      </c>
      <c r="R1157" s="3">
        <v>638.07299999999998</v>
      </c>
    </row>
    <row r="1158" spans="1:18" x14ac:dyDescent="0.3">
      <c r="A1158" t="s">
        <v>6236</v>
      </c>
      <c r="B1158" t="str">
        <f>TEXT(Raw_Data[[#This Row],[Order Date]],"mmm")</f>
        <v>Jan</v>
      </c>
      <c r="C1158" t="s">
        <v>3337</v>
      </c>
      <c r="D1158" t="s">
        <v>6237</v>
      </c>
      <c r="E1158" t="s">
        <v>35</v>
      </c>
      <c r="F1158" t="s">
        <v>21</v>
      </c>
      <c r="G1158" t="s">
        <v>22</v>
      </c>
      <c r="H1158" t="s">
        <v>23</v>
      </c>
      <c r="I1158" t="s">
        <v>49</v>
      </c>
      <c r="J1158" t="s">
        <v>25</v>
      </c>
      <c r="K1158" t="s">
        <v>6238</v>
      </c>
      <c r="L1158">
        <v>0.1</v>
      </c>
      <c r="M1158" t="s">
        <v>6239</v>
      </c>
      <c r="N1158" t="s">
        <v>6240</v>
      </c>
      <c r="O1158" t="s">
        <v>29</v>
      </c>
      <c r="P1158" t="s">
        <v>30</v>
      </c>
      <c r="Q1158" t="s">
        <v>31</v>
      </c>
      <c r="R1158" s="3">
        <v>49038.444000000003</v>
      </c>
    </row>
    <row r="1159" spans="1:18" x14ac:dyDescent="0.3">
      <c r="A1159" t="s">
        <v>6241</v>
      </c>
      <c r="B1159" t="str">
        <f>TEXT(Raw_Data[[#This Row],[Order Date]],"mmm")</f>
        <v>Nov</v>
      </c>
      <c r="C1159" t="s">
        <v>2976</v>
      </c>
      <c r="D1159" t="s">
        <v>6242</v>
      </c>
      <c r="E1159" t="s">
        <v>35</v>
      </c>
      <c r="F1159" t="s">
        <v>58</v>
      </c>
      <c r="G1159" t="s">
        <v>59</v>
      </c>
      <c r="H1159" t="s">
        <v>80</v>
      </c>
      <c r="I1159" t="s">
        <v>116</v>
      </c>
      <c r="J1159" t="s">
        <v>50</v>
      </c>
      <c r="K1159" t="s">
        <v>6243</v>
      </c>
      <c r="L1159">
        <v>0</v>
      </c>
      <c r="M1159" t="s">
        <v>6244</v>
      </c>
      <c r="N1159" t="s">
        <v>6245</v>
      </c>
      <c r="O1159" t="s">
        <v>64</v>
      </c>
      <c r="P1159" t="s">
        <v>30</v>
      </c>
      <c r="Q1159" t="s">
        <v>65</v>
      </c>
      <c r="R1159" s="3">
        <v>9597</v>
      </c>
    </row>
    <row r="1160" spans="1:18" x14ac:dyDescent="0.3">
      <c r="A1160" t="s">
        <v>6246</v>
      </c>
      <c r="B1160" t="str">
        <f>TEXT(Raw_Data[[#This Row],[Order Date]],"mmm")</f>
        <v>Nov</v>
      </c>
      <c r="C1160" t="s">
        <v>3305</v>
      </c>
      <c r="D1160" t="s">
        <v>6247</v>
      </c>
      <c r="E1160" t="s">
        <v>48</v>
      </c>
      <c r="F1160" t="s">
        <v>58</v>
      </c>
      <c r="G1160" t="s">
        <v>812</v>
      </c>
      <c r="H1160" t="s">
        <v>107</v>
      </c>
      <c r="I1160" t="s">
        <v>108</v>
      </c>
      <c r="J1160" t="s">
        <v>25</v>
      </c>
      <c r="K1160" t="s">
        <v>6248</v>
      </c>
      <c r="L1160">
        <v>0.15</v>
      </c>
      <c r="M1160" t="s">
        <v>6249</v>
      </c>
      <c r="N1160" t="s">
        <v>6250</v>
      </c>
      <c r="O1160" t="s">
        <v>173</v>
      </c>
      <c r="P1160" t="s">
        <v>30</v>
      </c>
      <c r="Q1160" t="s">
        <v>44</v>
      </c>
      <c r="R1160" s="3">
        <v>724.01299999999901</v>
      </c>
    </row>
    <row r="1161" spans="1:18" x14ac:dyDescent="0.3">
      <c r="A1161" t="s">
        <v>6251</v>
      </c>
      <c r="B1161" t="str">
        <f>TEXT(Raw_Data[[#This Row],[Order Date]],"mmm")</f>
        <v>Nov</v>
      </c>
      <c r="C1161" t="s">
        <v>1775</v>
      </c>
      <c r="D1161" t="s">
        <v>6252</v>
      </c>
      <c r="E1161" t="s">
        <v>20</v>
      </c>
      <c r="F1161" t="s">
        <v>58</v>
      </c>
      <c r="G1161" t="s">
        <v>812</v>
      </c>
      <c r="H1161" t="s">
        <v>23</v>
      </c>
      <c r="I1161" t="s">
        <v>24</v>
      </c>
      <c r="J1161" t="s">
        <v>50</v>
      </c>
      <c r="K1161" t="s">
        <v>6253</v>
      </c>
      <c r="L1161">
        <v>0</v>
      </c>
      <c r="M1161" t="s">
        <v>6254</v>
      </c>
      <c r="N1161" t="s">
        <v>6255</v>
      </c>
      <c r="O1161" t="s">
        <v>29</v>
      </c>
      <c r="P1161" t="s">
        <v>30</v>
      </c>
      <c r="Q1161" t="s">
        <v>65</v>
      </c>
      <c r="R1161" s="3">
        <v>136346.94</v>
      </c>
    </row>
    <row r="1162" spans="1:18" x14ac:dyDescent="0.3">
      <c r="A1162" t="s">
        <v>6256</v>
      </c>
      <c r="B1162" t="str">
        <f>TEXT(Raw_Data[[#This Row],[Order Date]],"mmm")</f>
        <v>Sep</v>
      </c>
      <c r="C1162" t="s">
        <v>437</v>
      </c>
      <c r="D1162" t="s">
        <v>6257</v>
      </c>
      <c r="E1162" t="s">
        <v>20</v>
      </c>
      <c r="F1162" t="s">
        <v>89</v>
      </c>
      <c r="G1162" t="s">
        <v>230</v>
      </c>
      <c r="H1162" t="s">
        <v>107</v>
      </c>
      <c r="I1162" t="s">
        <v>108</v>
      </c>
      <c r="J1162" t="s">
        <v>25</v>
      </c>
      <c r="K1162" t="s">
        <v>6258</v>
      </c>
      <c r="L1162">
        <v>0.1</v>
      </c>
      <c r="M1162" t="s">
        <v>6259</v>
      </c>
      <c r="N1162" t="s">
        <v>6260</v>
      </c>
      <c r="O1162" t="s">
        <v>173</v>
      </c>
      <c r="P1162" t="s">
        <v>30</v>
      </c>
      <c r="Q1162" t="s">
        <v>31</v>
      </c>
      <c r="R1162" s="3">
        <v>666.99</v>
      </c>
    </row>
    <row r="1163" spans="1:18" x14ac:dyDescent="0.3">
      <c r="A1163" t="s">
        <v>6261</v>
      </c>
      <c r="B1163" t="str">
        <f>TEXT(Raw_Data[[#This Row],[Order Date]],"mmm")</f>
        <v>Aug</v>
      </c>
      <c r="C1163" t="s">
        <v>1649</v>
      </c>
      <c r="D1163" t="s">
        <v>6262</v>
      </c>
      <c r="E1163" t="s">
        <v>35</v>
      </c>
      <c r="F1163" t="s">
        <v>69</v>
      </c>
      <c r="G1163" t="s">
        <v>70</v>
      </c>
      <c r="H1163" t="s">
        <v>154</v>
      </c>
      <c r="I1163" t="s">
        <v>155</v>
      </c>
      <c r="J1163" t="s">
        <v>25</v>
      </c>
      <c r="K1163" t="s">
        <v>6263</v>
      </c>
      <c r="L1163">
        <v>0</v>
      </c>
      <c r="M1163" t="s">
        <v>6264</v>
      </c>
      <c r="N1163" t="s">
        <v>6265</v>
      </c>
      <c r="O1163" t="s">
        <v>54</v>
      </c>
      <c r="P1163" t="s">
        <v>30</v>
      </c>
      <c r="Q1163" t="s">
        <v>31</v>
      </c>
      <c r="R1163" s="3">
        <v>9159.2800000000007</v>
      </c>
    </row>
    <row r="1164" spans="1:18" x14ac:dyDescent="0.3">
      <c r="A1164" t="s">
        <v>6266</v>
      </c>
      <c r="B1164" t="str">
        <f>TEXT(Raw_Data[[#This Row],[Order Date]],"mmm")</f>
        <v>Mar</v>
      </c>
      <c r="C1164" t="s">
        <v>1527</v>
      </c>
      <c r="D1164" t="s">
        <v>6267</v>
      </c>
      <c r="E1164" t="s">
        <v>35</v>
      </c>
      <c r="F1164" t="s">
        <v>36</v>
      </c>
      <c r="G1164" t="s">
        <v>414</v>
      </c>
      <c r="H1164" t="s">
        <v>107</v>
      </c>
      <c r="I1164" t="s">
        <v>277</v>
      </c>
      <c r="J1164" t="s">
        <v>25</v>
      </c>
      <c r="K1164" t="s">
        <v>6268</v>
      </c>
      <c r="L1164">
        <v>0.1</v>
      </c>
      <c r="M1164" t="s">
        <v>6269</v>
      </c>
      <c r="N1164" t="s">
        <v>6270</v>
      </c>
      <c r="O1164" t="s">
        <v>43</v>
      </c>
      <c r="P1164" t="s">
        <v>159</v>
      </c>
      <c r="Q1164" t="s">
        <v>31</v>
      </c>
      <c r="R1164" s="3">
        <v>12291.696</v>
      </c>
    </row>
    <row r="1165" spans="1:18" x14ac:dyDescent="0.3">
      <c r="A1165" t="s">
        <v>6271</v>
      </c>
      <c r="B1165" t="str">
        <f>TEXT(Raw_Data[[#This Row],[Order Date]],"mmm")</f>
        <v>Apr</v>
      </c>
      <c r="C1165" t="s">
        <v>2903</v>
      </c>
      <c r="D1165" t="s">
        <v>6272</v>
      </c>
      <c r="E1165" t="s">
        <v>35</v>
      </c>
      <c r="F1165" t="s">
        <v>106</v>
      </c>
      <c r="G1165" t="s">
        <v>163</v>
      </c>
      <c r="H1165" t="s">
        <v>23</v>
      </c>
      <c r="I1165" t="s">
        <v>183</v>
      </c>
      <c r="J1165" t="s">
        <v>50</v>
      </c>
      <c r="K1165" t="s">
        <v>6273</v>
      </c>
      <c r="L1165">
        <v>0.05</v>
      </c>
      <c r="M1165" t="s">
        <v>6274</v>
      </c>
      <c r="N1165" t="s">
        <v>6275</v>
      </c>
      <c r="O1165" t="s">
        <v>43</v>
      </c>
      <c r="P1165" t="s">
        <v>30</v>
      </c>
      <c r="Q1165" t="s">
        <v>31</v>
      </c>
      <c r="R1165" s="3">
        <v>51263.9189999999</v>
      </c>
    </row>
    <row r="1166" spans="1:18" x14ac:dyDescent="0.3">
      <c r="A1166" t="s">
        <v>6276</v>
      </c>
      <c r="B1166" t="str">
        <f>TEXT(Raw_Data[[#This Row],[Order Date]],"mmm")</f>
        <v>Oct</v>
      </c>
      <c r="C1166" t="s">
        <v>1386</v>
      </c>
      <c r="D1166" t="s">
        <v>6277</v>
      </c>
      <c r="E1166" t="s">
        <v>20</v>
      </c>
      <c r="F1166" t="s">
        <v>78</v>
      </c>
      <c r="G1166" t="s">
        <v>731</v>
      </c>
      <c r="H1166" t="s">
        <v>154</v>
      </c>
      <c r="I1166" t="s">
        <v>155</v>
      </c>
      <c r="J1166" t="s">
        <v>82</v>
      </c>
      <c r="K1166" t="s">
        <v>6278</v>
      </c>
      <c r="L1166">
        <v>0.15</v>
      </c>
      <c r="M1166" t="s">
        <v>6279</v>
      </c>
      <c r="N1166" t="s">
        <v>6280</v>
      </c>
      <c r="O1166" t="s">
        <v>173</v>
      </c>
      <c r="P1166" t="s">
        <v>30</v>
      </c>
      <c r="Q1166" t="s">
        <v>65</v>
      </c>
      <c r="R1166" s="3">
        <v>14691.9099999999</v>
      </c>
    </row>
    <row r="1167" spans="1:18" x14ac:dyDescent="0.3">
      <c r="A1167" t="s">
        <v>6281</v>
      </c>
      <c r="B1167" t="str">
        <f>TEXT(Raw_Data[[#This Row],[Order Date]],"mmm")</f>
        <v>Apr</v>
      </c>
      <c r="C1167" t="s">
        <v>4751</v>
      </c>
      <c r="D1167" t="s">
        <v>6282</v>
      </c>
      <c r="E1167" t="s">
        <v>35</v>
      </c>
      <c r="F1167" t="s">
        <v>78</v>
      </c>
      <c r="G1167" t="s">
        <v>468</v>
      </c>
      <c r="H1167" t="s">
        <v>23</v>
      </c>
      <c r="I1167" t="s">
        <v>49</v>
      </c>
      <c r="J1167" t="s">
        <v>25</v>
      </c>
      <c r="K1167" t="s">
        <v>6283</v>
      </c>
      <c r="L1167">
        <v>0.1</v>
      </c>
      <c r="M1167" t="s">
        <v>6284</v>
      </c>
      <c r="N1167" t="s">
        <v>6285</v>
      </c>
      <c r="O1167" t="s">
        <v>29</v>
      </c>
      <c r="P1167" t="s">
        <v>112</v>
      </c>
      <c r="Q1167" t="s">
        <v>65</v>
      </c>
      <c r="R1167" s="3">
        <v>63097.821000000004</v>
      </c>
    </row>
    <row r="1168" spans="1:18" x14ac:dyDescent="0.3">
      <c r="A1168" t="s">
        <v>6286</v>
      </c>
      <c r="B1168" t="str">
        <f>TEXT(Raw_Data[[#This Row],[Order Date]],"mmm")</f>
        <v>Aug</v>
      </c>
      <c r="C1168" t="s">
        <v>4227</v>
      </c>
      <c r="D1168" t="s">
        <v>6287</v>
      </c>
      <c r="E1168" t="s">
        <v>20</v>
      </c>
      <c r="F1168" t="s">
        <v>89</v>
      </c>
      <c r="G1168" t="s">
        <v>99</v>
      </c>
      <c r="H1168" t="s">
        <v>80</v>
      </c>
      <c r="I1168" t="s">
        <v>81</v>
      </c>
      <c r="J1168" t="s">
        <v>50</v>
      </c>
      <c r="K1168" t="s">
        <v>6288</v>
      </c>
      <c r="L1168">
        <v>0</v>
      </c>
      <c r="M1168" t="s">
        <v>6289</v>
      </c>
      <c r="N1168" t="s">
        <v>6290</v>
      </c>
      <c r="O1168" t="s">
        <v>64</v>
      </c>
      <c r="P1168" t="s">
        <v>159</v>
      </c>
      <c r="Q1168" t="s">
        <v>44</v>
      </c>
      <c r="R1168" s="3">
        <v>13560.52</v>
      </c>
    </row>
    <row r="1169" spans="1:18" x14ac:dyDescent="0.3">
      <c r="A1169" t="s">
        <v>6291</v>
      </c>
      <c r="B1169" t="str">
        <f>TEXT(Raw_Data[[#This Row],[Order Date]],"mmm")</f>
        <v>Jan</v>
      </c>
      <c r="C1169" t="s">
        <v>2752</v>
      </c>
      <c r="D1169" t="s">
        <v>6292</v>
      </c>
      <c r="E1169" t="s">
        <v>48</v>
      </c>
      <c r="F1169" t="s">
        <v>106</v>
      </c>
      <c r="G1169" t="s">
        <v>163</v>
      </c>
      <c r="H1169" t="s">
        <v>154</v>
      </c>
      <c r="I1169" t="s">
        <v>155</v>
      </c>
      <c r="J1169" t="s">
        <v>50</v>
      </c>
      <c r="K1169" t="s">
        <v>6293</v>
      </c>
      <c r="L1169">
        <v>0.2</v>
      </c>
      <c r="M1169" t="s">
        <v>6294</v>
      </c>
      <c r="N1169" t="s">
        <v>6295</v>
      </c>
      <c r="O1169" t="s">
        <v>173</v>
      </c>
      <c r="P1169" t="s">
        <v>30</v>
      </c>
      <c r="Q1169" t="s">
        <v>65</v>
      </c>
      <c r="R1169" s="3">
        <v>1300.192</v>
      </c>
    </row>
    <row r="1170" spans="1:18" x14ac:dyDescent="0.3">
      <c r="A1170" t="s">
        <v>6296</v>
      </c>
      <c r="B1170" t="str">
        <f>TEXT(Raw_Data[[#This Row],[Order Date]],"mmm")</f>
        <v>Jun</v>
      </c>
      <c r="C1170" t="s">
        <v>3780</v>
      </c>
      <c r="D1170" t="s">
        <v>6297</v>
      </c>
      <c r="E1170" t="s">
        <v>48</v>
      </c>
      <c r="F1170" t="s">
        <v>78</v>
      </c>
      <c r="G1170" t="s">
        <v>79</v>
      </c>
      <c r="H1170" t="s">
        <v>23</v>
      </c>
      <c r="I1170" t="s">
        <v>341</v>
      </c>
      <c r="J1170" t="s">
        <v>100</v>
      </c>
      <c r="K1170" t="s">
        <v>6298</v>
      </c>
      <c r="L1170">
        <v>0.15</v>
      </c>
      <c r="M1170" t="s">
        <v>6299</v>
      </c>
      <c r="N1170" t="s">
        <v>6300</v>
      </c>
      <c r="O1170" t="s">
        <v>43</v>
      </c>
      <c r="P1170" t="s">
        <v>112</v>
      </c>
      <c r="Q1170" t="s">
        <v>44</v>
      </c>
      <c r="R1170" s="3">
        <v>33182.104500000001</v>
      </c>
    </row>
    <row r="1171" spans="1:18" x14ac:dyDescent="0.3">
      <c r="A1171" t="s">
        <v>6301</v>
      </c>
      <c r="B1171" t="str">
        <f>TEXT(Raw_Data[[#This Row],[Order Date]],"mmm")</f>
        <v>May</v>
      </c>
      <c r="C1171" t="s">
        <v>3348</v>
      </c>
      <c r="D1171" t="s">
        <v>6302</v>
      </c>
      <c r="E1171" t="s">
        <v>35</v>
      </c>
      <c r="F1171" t="s">
        <v>215</v>
      </c>
      <c r="G1171" t="s">
        <v>216</v>
      </c>
      <c r="H1171" t="s">
        <v>23</v>
      </c>
      <c r="I1171" t="s">
        <v>263</v>
      </c>
      <c r="J1171" t="s">
        <v>50</v>
      </c>
      <c r="K1171" t="s">
        <v>6303</v>
      </c>
      <c r="L1171">
        <v>0.05</v>
      </c>
      <c r="M1171" t="s">
        <v>6304</v>
      </c>
      <c r="N1171" t="s">
        <v>6305</v>
      </c>
      <c r="O1171" t="s">
        <v>43</v>
      </c>
      <c r="P1171" t="s">
        <v>30</v>
      </c>
      <c r="Q1171" t="s">
        <v>44</v>
      </c>
      <c r="R1171" s="3">
        <v>30183.380999999899</v>
      </c>
    </row>
    <row r="1172" spans="1:18" x14ac:dyDescent="0.3">
      <c r="A1172" t="s">
        <v>6306</v>
      </c>
      <c r="B1172" t="str">
        <f>TEXT(Raw_Data[[#This Row],[Order Date]],"mmm")</f>
        <v>Aug</v>
      </c>
      <c r="C1172" t="s">
        <v>3933</v>
      </c>
      <c r="D1172" t="s">
        <v>6307</v>
      </c>
      <c r="E1172" t="s">
        <v>35</v>
      </c>
      <c r="F1172" t="s">
        <v>58</v>
      </c>
      <c r="G1172" t="s">
        <v>59</v>
      </c>
      <c r="H1172" t="s">
        <v>38</v>
      </c>
      <c r="I1172" t="s">
        <v>71</v>
      </c>
      <c r="J1172" t="s">
        <v>25</v>
      </c>
      <c r="K1172" t="s">
        <v>6308</v>
      </c>
      <c r="L1172">
        <v>0.15</v>
      </c>
      <c r="M1172" t="s">
        <v>6309</v>
      </c>
      <c r="N1172" t="s">
        <v>6310</v>
      </c>
      <c r="O1172" t="s">
        <v>29</v>
      </c>
      <c r="P1172" t="s">
        <v>30</v>
      </c>
      <c r="Q1172" t="s">
        <v>31</v>
      </c>
      <c r="R1172" s="3">
        <v>3953.1969999999901</v>
      </c>
    </row>
    <row r="1173" spans="1:18" x14ac:dyDescent="0.3">
      <c r="A1173" t="s">
        <v>6311</v>
      </c>
      <c r="B1173" t="str">
        <f>TEXT(Raw_Data[[#This Row],[Order Date]],"mmm")</f>
        <v>Jun</v>
      </c>
      <c r="C1173" t="s">
        <v>466</v>
      </c>
      <c r="D1173" t="s">
        <v>6312</v>
      </c>
      <c r="E1173" t="s">
        <v>35</v>
      </c>
      <c r="F1173" t="s">
        <v>106</v>
      </c>
      <c r="G1173" t="s">
        <v>163</v>
      </c>
      <c r="H1173" t="s">
        <v>38</v>
      </c>
      <c r="I1173" t="s">
        <v>256</v>
      </c>
      <c r="J1173" t="s">
        <v>50</v>
      </c>
      <c r="K1173" t="s">
        <v>6313</v>
      </c>
      <c r="L1173">
        <v>0.1</v>
      </c>
      <c r="M1173" t="s">
        <v>6314</v>
      </c>
      <c r="N1173" t="s">
        <v>6315</v>
      </c>
      <c r="O1173" t="s">
        <v>64</v>
      </c>
      <c r="P1173" t="s">
        <v>30</v>
      </c>
      <c r="Q1173" t="s">
        <v>44</v>
      </c>
      <c r="R1173" s="3">
        <v>4934.4660000000003</v>
      </c>
    </row>
    <row r="1174" spans="1:18" x14ac:dyDescent="0.3">
      <c r="A1174" t="s">
        <v>6316</v>
      </c>
      <c r="B1174" t="str">
        <f>TEXT(Raw_Data[[#This Row],[Order Date]],"mmm")</f>
        <v>May</v>
      </c>
      <c r="C1174" t="s">
        <v>1420</v>
      </c>
      <c r="D1174" t="s">
        <v>6317</v>
      </c>
      <c r="E1174" t="s">
        <v>35</v>
      </c>
      <c r="F1174" t="s">
        <v>36</v>
      </c>
      <c r="G1174" t="s">
        <v>123</v>
      </c>
      <c r="H1174" t="s">
        <v>80</v>
      </c>
      <c r="I1174" t="s">
        <v>116</v>
      </c>
      <c r="J1174" t="s">
        <v>25</v>
      </c>
      <c r="K1174" t="s">
        <v>6318</v>
      </c>
      <c r="L1174">
        <v>0.1</v>
      </c>
      <c r="M1174" t="s">
        <v>6319</v>
      </c>
      <c r="N1174" t="s">
        <v>6320</v>
      </c>
      <c r="O1174" t="s">
        <v>173</v>
      </c>
      <c r="P1174" t="s">
        <v>159</v>
      </c>
      <c r="Q1174" t="s">
        <v>31</v>
      </c>
      <c r="R1174" s="3">
        <v>4719.402</v>
      </c>
    </row>
    <row r="1175" spans="1:18" x14ac:dyDescent="0.3">
      <c r="A1175" t="s">
        <v>6321</v>
      </c>
      <c r="B1175" t="str">
        <f>TEXT(Raw_Data[[#This Row],[Order Date]],"mmm")</f>
        <v>Sep</v>
      </c>
      <c r="C1175" t="s">
        <v>1586</v>
      </c>
      <c r="D1175" t="s">
        <v>6322</v>
      </c>
      <c r="E1175" t="s">
        <v>35</v>
      </c>
      <c r="F1175" t="s">
        <v>21</v>
      </c>
      <c r="G1175" t="s">
        <v>130</v>
      </c>
      <c r="H1175" t="s">
        <v>23</v>
      </c>
      <c r="I1175" t="s">
        <v>341</v>
      </c>
      <c r="J1175" t="s">
        <v>25</v>
      </c>
      <c r="K1175" t="s">
        <v>6323</v>
      </c>
      <c r="L1175">
        <v>0.2</v>
      </c>
      <c r="M1175" t="s">
        <v>6324</v>
      </c>
      <c r="N1175" t="s">
        <v>6325</v>
      </c>
      <c r="O1175" t="s">
        <v>54</v>
      </c>
      <c r="P1175" t="s">
        <v>95</v>
      </c>
      <c r="Q1175" t="s">
        <v>31</v>
      </c>
      <c r="R1175" s="3">
        <v>47784.696000000004</v>
      </c>
    </row>
    <row r="1176" spans="1:18" x14ac:dyDescent="0.3">
      <c r="A1176" t="s">
        <v>6326</v>
      </c>
      <c r="B1176" t="str">
        <f>TEXT(Raw_Data[[#This Row],[Order Date]],"mmm")</f>
        <v>Jun</v>
      </c>
      <c r="C1176" t="s">
        <v>3638</v>
      </c>
      <c r="D1176" t="s">
        <v>6327</v>
      </c>
      <c r="E1176" t="s">
        <v>20</v>
      </c>
      <c r="F1176" t="s">
        <v>69</v>
      </c>
      <c r="G1176" t="s">
        <v>139</v>
      </c>
      <c r="H1176" t="s">
        <v>80</v>
      </c>
      <c r="I1176" t="s">
        <v>146</v>
      </c>
      <c r="J1176" t="s">
        <v>25</v>
      </c>
      <c r="K1176" t="s">
        <v>6328</v>
      </c>
      <c r="L1176">
        <v>0.15</v>
      </c>
      <c r="M1176" t="s">
        <v>6329</v>
      </c>
      <c r="N1176" t="s">
        <v>6330</v>
      </c>
      <c r="O1176" t="s">
        <v>173</v>
      </c>
      <c r="P1176" t="s">
        <v>30</v>
      </c>
      <c r="Q1176" t="s">
        <v>44</v>
      </c>
      <c r="R1176" s="3">
        <v>2930.3834999999999</v>
      </c>
    </row>
    <row r="1177" spans="1:18" x14ac:dyDescent="0.3">
      <c r="A1177" t="s">
        <v>6331</v>
      </c>
      <c r="B1177" t="str">
        <f>TEXT(Raw_Data[[#This Row],[Order Date]],"mmm")</f>
        <v>Sep</v>
      </c>
      <c r="C1177" t="s">
        <v>1539</v>
      </c>
      <c r="D1177" t="s">
        <v>6332</v>
      </c>
      <c r="E1177" t="s">
        <v>20</v>
      </c>
      <c r="F1177" t="s">
        <v>78</v>
      </c>
      <c r="G1177" t="s">
        <v>468</v>
      </c>
      <c r="H1177" t="s">
        <v>80</v>
      </c>
      <c r="I1177" t="s">
        <v>146</v>
      </c>
      <c r="J1177" t="s">
        <v>50</v>
      </c>
      <c r="K1177" t="s">
        <v>6333</v>
      </c>
      <c r="L1177">
        <v>0.1</v>
      </c>
      <c r="M1177" t="s">
        <v>6334</v>
      </c>
      <c r="N1177" t="s">
        <v>6335</v>
      </c>
      <c r="O1177" t="s">
        <v>43</v>
      </c>
      <c r="P1177" t="s">
        <v>30</v>
      </c>
      <c r="Q1177" t="s">
        <v>44</v>
      </c>
      <c r="R1177" s="3">
        <v>1631.43</v>
      </c>
    </row>
    <row r="1178" spans="1:18" x14ac:dyDescent="0.3">
      <c r="A1178" t="s">
        <v>6336</v>
      </c>
      <c r="B1178" t="str">
        <f>TEXT(Raw_Data[[#This Row],[Order Date]],"mmm")</f>
        <v>Jul</v>
      </c>
      <c r="C1178" t="s">
        <v>3916</v>
      </c>
      <c r="D1178" t="s">
        <v>6337</v>
      </c>
      <c r="E1178" t="s">
        <v>35</v>
      </c>
      <c r="F1178" t="s">
        <v>89</v>
      </c>
      <c r="G1178" t="s">
        <v>230</v>
      </c>
      <c r="H1178" t="s">
        <v>154</v>
      </c>
      <c r="I1178" t="s">
        <v>365</v>
      </c>
      <c r="J1178" t="s">
        <v>25</v>
      </c>
      <c r="K1178" t="s">
        <v>6338</v>
      </c>
      <c r="L1178">
        <v>0.1</v>
      </c>
      <c r="M1178" t="s">
        <v>6339</v>
      </c>
      <c r="N1178" t="s">
        <v>6340</v>
      </c>
      <c r="O1178" t="s">
        <v>173</v>
      </c>
      <c r="P1178" t="s">
        <v>30</v>
      </c>
      <c r="Q1178" t="s">
        <v>65</v>
      </c>
      <c r="R1178" s="3">
        <v>5217.3810000000003</v>
      </c>
    </row>
    <row r="1179" spans="1:18" x14ac:dyDescent="0.3">
      <c r="A1179" t="s">
        <v>6341</v>
      </c>
      <c r="B1179" t="str">
        <f>TEXT(Raw_Data[[#This Row],[Order Date]],"mmm")</f>
        <v>Mar</v>
      </c>
      <c r="C1179" t="s">
        <v>2731</v>
      </c>
      <c r="D1179" t="s">
        <v>6342</v>
      </c>
      <c r="E1179" t="s">
        <v>20</v>
      </c>
      <c r="F1179" t="s">
        <v>58</v>
      </c>
      <c r="G1179" t="s">
        <v>290</v>
      </c>
      <c r="H1179" t="s">
        <v>23</v>
      </c>
      <c r="I1179" t="s">
        <v>24</v>
      </c>
      <c r="J1179" t="s">
        <v>100</v>
      </c>
      <c r="K1179" t="s">
        <v>6343</v>
      </c>
      <c r="L1179">
        <v>0</v>
      </c>
      <c r="M1179" t="s">
        <v>6344</v>
      </c>
      <c r="N1179" t="s">
        <v>6345</v>
      </c>
      <c r="O1179" t="s">
        <v>64</v>
      </c>
      <c r="P1179" t="s">
        <v>30</v>
      </c>
      <c r="Q1179" t="s">
        <v>44</v>
      </c>
      <c r="R1179" s="3">
        <v>61646.49</v>
      </c>
    </row>
    <row r="1180" spans="1:18" x14ac:dyDescent="0.3">
      <c r="A1180" t="s">
        <v>6346</v>
      </c>
      <c r="B1180" t="str">
        <f>TEXT(Raw_Data[[#This Row],[Order Date]],"mmm")</f>
        <v>Feb</v>
      </c>
      <c r="C1180" t="s">
        <v>2410</v>
      </c>
      <c r="D1180" t="s">
        <v>6347</v>
      </c>
      <c r="E1180" t="s">
        <v>48</v>
      </c>
      <c r="F1180" t="s">
        <v>21</v>
      </c>
      <c r="G1180" t="s">
        <v>22</v>
      </c>
      <c r="H1180" t="s">
        <v>80</v>
      </c>
      <c r="I1180" t="s">
        <v>131</v>
      </c>
      <c r="J1180" t="s">
        <v>50</v>
      </c>
      <c r="K1180" t="s">
        <v>6348</v>
      </c>
      <c r="L1180">
        <v>0.1</v>
      </c>
      <c r="M1180" t="s">
        <v>6349</v>
      </c>
      <c r="N1180" t="s">
        <v>6350</v>
      </c>
      <c r="O1180" t="s">
        <v>173</v>
      </c>
      <c r="P1180" t="s">
        <v>30</v>
      </c>
      <c r="Q1180" t="s">
        <v>31</v>
      </c>
      <c r="R1180" s="3">
        <v>3522.096</v>
      </c>
    </row>
    <row r="1181" spans="1:18" x14ac:dyDescent="0.3">
      <c r="A1181" t="s">
        <v>6351</v>
      </c>
      <c r="B1181" t="str">
        <f>TEXT(Raw_Data[[#This Row],[Order Date]],"mmm")</f>
        <v>Sep</v>
      </c>
      <c r="C1181" t="s">
        <v>437</v>
      </c>
      <c r="D1181" t="s">
        <v>6352</v>
      </c>
      <c r="E1181" t="s">
        <v>35</v>
      </c>
      <c r="F1181" t="s">
        <v>21</v>
      </c>
      <c r="G1181" t="s">
        <v>22</v>
      </c>
      <c r="H1181" t="s">
        <v>154</v>
      </c>
      <c r="I1181" t="s">
        <v>237</v>
      </c>
      <c r="J1181" t="s">
        <v>50</v>
      </c>
      <c r="K1181" t="s">
        <v>6353</v>
      </c>
      <c r="L1181">
        <v>0.15</v>
      </c>
      <c r="M1181" t="s">
        <v>6354</v>
      </c>
      <c r="N1181" t="s">
        <v>6355</v>
      </c>
      <c r="O1181" t="s">
        <v>64</v>
      </c>
      <c r="P1181" t="s">
        <v>30</v>
      </c>
      <c r="Q1181" t="s">
        <v>65</v>
      </c>
      <c r="R1181" s="3">
        <v>9798.7829999999994</v>
      </c>
    </row>
    <row r="1182" spans="1:18" x14ac:dyDescent="0.3">
      <c r="A1182" t="s">
        <v>6356</v>
      </c>
      <c r="B1182" t="str">
        <f>TEXT(Raw_Data[[#This Row],[Order Date]],"mmm")</f>
        <v>Nov</v>
      </c>
      <c r="C1182" t="s">
        <v>4206</v>
      </c>
      <c r="D1182" t="s">
        <v>6357</v>
      </c>
      <c r="E1182" t="s">
        <v>48</v>
      </c>
      <c r="F1182" t="s">
        <v>69</v>
      </c>
      <c r="G1182" t="s">
        <v>139</v>
      </c>
      <c r="H1182" t="s">
        <v>80</v>
      </c>
      <c r="I1182" t="s">
        <v>81</v>
      </c>
      <c r="J1182" t="s">
        <v>82</v>
      </c>
      <c r="K1182" t="s">
        <v>6358</v>
      </c>
      <c r="L1182">
        <v>0</v>
      </c>
      <c r="M1182" t="s">
        <v>6359</v>
      </c>
      <c r="N1182" t="s">
        <v>6360</v>
      </c>
      <c r="O1182" t="s">
        <v>173</v>
      </c>
      <c r="P1182" t="s">
        <v>30</v>
      </c>
      <c r="Q1182" t="s">
        <v>31</v>
      </c>
      <c r="R1182" s="3">
        <v>23958.720000000001</v>
      </c>
    </row>
    <row r="1183" spans="1:18" x14ac:dyDescent="0.3">
      <c r="A1183" t="s">
        <v>6361</v>
      </c>
      <c r="B1183" t="str">
        <f>TEXT(Raw_Data[[#This Row],[Order Date]],"mmm")</f>
        <v>Jan</v>
      </c>
      <c r="C1183" t="s">
        <v>1414</v>
      </c>
      <c r="D1183" t="s">
        <v>6362</v>
      </c>
      <c r="E1183" t="s">
        <v>35</v>
      </c>
      <c r="F1183" t="s">
        <v>215</v>
      </c>
      <c r="G1183" t="s">
        <v>216</v>
      </c>
      <c r="H1183" t="s">
        <v>107</v>
      </c>
      <c r="I1183" t="s">
        <v>108</v>
      </c>
      <c r="J1183" t="s">
        <v>50</v>
      </c>
      <c r="K1183" t="s">
        <v>6363</v>
      </c>
      <c r="L1183">
        <v>0.05</v>
      </c>
      <c r="M1183" t="s">
        <v>6364</v>
      </c>
      <c r="N1183" t="s">
        <v>6365</v>
      </c>
      <c r="O1183" t="s">
        <v>43</v>
      </c>
      <c r="P1183" t="s">
        <v>30</v>
      </c>
      <c r="Q1183" t="s">
        <v>44</v>
      </c>
      <c r="R1183" s="3">
        <v>5035.7219999999998</v>
      </c>
    </row>
    <row r="1184" spans="1:18" x14ac:dyDescent="0.3">
      <c r="A1184" t="s">
        <v>6366</v>
      </c>
      <c r="B1184" t="str">
        <f>TEXT(Raw_Data[[#This Row],[Order Date]],"mmm")</f>
        <v>Jan</v>
      </c>
      <c r="C1184" t="s">
        <v>924</v>
      </c>
      <c r="D1184" t="s">
        <v>6367</v>
      </c>
      <c r="E1184" t="s">
        <v>35</v>
      </c>
      <c r="F1184" t="s">
        <v>106</v>
      </c>
      <c r="G1184" t="s">
        <v>106</v>
      </c>
      <c r="H1184" t="s">
        <v>107</v>
      </c>
      <c r="I1184" t="s">
        <v>378</v>
      </c>
      <c r="J1184" t="s">
        <v>50</v>
      </c>
      <c r="K1184" t="s">
        <v>6368</v>
      </c>
      <c r="L1184">
        <v>0.15</v>
      </c>
      <c r="M1184" t="s">
        <v>6369</v>
      </c>
      <c r="N1184" t="s">
        <v>6370</v>
      </c>
      <c r="O1184" t="s">
        <v>43</v>
      </c>
      <c r="P1184" t="s">
        <v>30</v>
      </c>
      <c r="Q1184" t="s">
        <v>44</v>
      </c>
      <c r="R1184" s="3">
        <v>8213.9920000000002</v>
      </c>
    </row>
    <row r="1185" spans="1:18" x14ac:dyDescent="0.3">
      <c r="A1185" t="s">
        <v>6371</v>
      </c>
      <c r="B1185" t="str">
        <f>TEXT(Raw_Data[[#This Row],[Order Date]],"mmm")</f>
        <v>Jul</v>
      </c>
      <c r="C1185" t="s">
        <v>128</v>
      </c>
      <c r="D1185" t="s">
        <v>6372</v>
      </c>
      <c r="E1185" t="s">
        <v>48</v>
      </c>
      <c r="F1185" t="s">
        <v>69</v>
      </c>
      <c r="G1185" t="s">
        <v>139</v>
      </c>
      <c r="H1185" t="s">
        <v>80</v>
      </c>
      <c r="I1185" t="s">
        <v>81</v>
      </c>
      <c r="J1185" t="s">
        <v>25</v>
      </c>
      <c r="K1185" t="s">
        <v>6373</v>
      </c>
      <c r="L1185">
        <v>0</v>
      </c>
      <c r="M1185" t="s">
        <v>6374</v>
      </c>
      <c r="N1185" t="s">
        <v>6375</v>
      </c>
      <c r="O1185" t="s">
        <v>173</v>
      </c>
      <c r="P1185" t="s">
        <v>30</v>
      </c>
      <c r="Q1185" t="s">
        <v>31</v>
      </c>
      <c r="R1185" s="3">
        <v>5438.41</v>
      </c>
    </row>
    <row r="1186" spans="1:18" x14ac:dyDescent="0.3">
      <c r="A1186" t="s">
        <v>6376</v>
      </c>
      <c r="B1186" t="str">
        <f>TEXT(Raw_Data[[#This Row],[Order Date]],"mmm")</f>
        <v>Jun</v>
      </c>
      <c r="C1186" t="s">
        <v>466</v>
      </c>
      <c r="D1186" t="s">
        <v>6377</v>
      </c>
      <c r="E1186" t="s">
        <v>35</v>
      </c>
      <c r="F1186" t="s">
        <v>89</v>
      </c>
      <c r="G1186" t="s">
        <v>230</v>
      </c>
      <c r="H1186" t="s">
        <v>154</v>
      </c>
      <c r="I1186" t="s">
        <v>309</v>
      </c>
      <c r="J1186" t="s">
        <v>50</v>
      </c>
      <c r="K1186" t="s">
        <v>6378</v>
      </c>
      <c r="L1186">
        <v>0</v>
      </c>
      <c r="M1186" t="s">
        <v>6379</v>
      </c>
      <c r="N1186" t="s">
        <v>6380</v>
      </c>
      <c r="O1186" t="s">
        <v>43</v>
      </c>
      <c r="P1186" t="s">
        <v>30</v>
      </c>
      <c r="Q1186" t="s">
        <v>65</v>
      </c>
      <c r="R1186" s="3">
        <v>21322.82</v>
      </c>
    </row>
    <row r="1187" spans="1:18" x14ac:dyDescent="0.3">
      <c r="A1187" t="s">
        <v>6381</v>
      </c>
      <c r="B1187" t="str">
        <f>TEXT(Raw_Data[[#This Row],[Order Date]],"mmm")</f>
        <v>Nov</v>
      </c>
      <c r="C1187" t="s">
        <v>1204</v>
      </c>
      <c r="D1187" t="s">
        <v>6382</v>
      </c>
      <c r="E1187" t="s">
        <v>35</v>
      </c>
      <c r="F1187" t="s">
        <v>215</v>
      </c>
      <c r="G1187" t="s">
        <v>276</v>
      </c>
      <c r="H1187" t="s">
        <v>107</v>
      </c>
      <c r="I1187" t="s">
        <v>469</v>
      </c>
      <c r="J1187" t="s">
        <v>82</v>
      </c>
      <c r="K1187" t="s">
        <v>6383</v>
      </c>
      <c r="L1187">
        <v>0</v>
      </c>
      <c r="M1187" t="s">
        <v>6384</v>
      </c>
      <c r="N1187" t="s">
        <v>6385</v>
      </c>
      <c r="O1187" t="s">
        <v>54</v>
      </c>
      <c r="P1187" t="s">
        <v>30</v>
      </c>
      <c r="Q1187" t="s">
        <v>44</v>
      </c>
      <c r="R1187" s="3">
        <v>39047.879999999997</v>
      </c>
    </row>
    <row r="1188" spans="1:18" x14ac:dyDescent="0.3">
      <c r="A1188" t="s">
        <v>6386</v>
      </c>
      <c r="B1188" t="str">
        <f>TEXT(Raw_Data[[#This Row],[Order Date]],"mmm")</f>
        <v>Jul</v>
      </c>
      <c r="C1188" t="s">
        <v>389</v>
      </c>
      <c r="D1188" t="s">
        <v>6387</v>
      </c>
      <c r="E1188" t="s">
        <v>35</v>
      </c>
      <c r="F1188" t="s">
        <v>106</v>
      </c>
      <c r="G1188" t="s">
        <v>106</v>
      </c>
      <c r="H1188" t="s">
        <v>107</v>
      </c>
      <c r="I1188" t="s">
        <v>378</v>
      </c>
      <c r="J1188" t="s">
        <v>50</v>
      </c>
      <c r="K1188" t="s">
        <v>6388</v>
      </c>
      <c r="L1188">
        <v>0.1</v>
      </c>
      <c r="M1188" t="s">
        <v>6389</v>
      </c>
      <c r="N1188" t="s">
        <v>6390</v>
      </c>
      <c r="O1188" t="s">
        <v>29</v>
      </c>
      <c r="P1188" t="s">
        <v>30</v>
      </c>
      <c r="Q1188" t="s">
        <v>65</v>
      </c>
      <c r="R1188" s="3">
        <v>1916.3340000000001</v>
      </c>
    </row>
    <row r="1189" spans="1:18" x14ac:dyDescent="0.3">
      <c r="A1189" t="s">
        <v>6391</v>
      </c>
      <c r="B1189" t="str">
        <f>TEXT(Raw_Data[[#This Row],[Order Date]],"mmm")</f>
        <v>Jan</v>
      </c>
      <c r="C1189" t="s">
        <v>1949</v>
      </c>
      <c r="D1189" t="s">
        <v>6392</v>
      </c>
      <c r="E1189" t="s">
        <v>20</v>
      </c>
      <c r="F1189" t="s">
        <v>106</v>
      </c>
      <c r="G1189" t="s">
        <v>163</v>
      </c>
      <c r="H1189" t="s">
        <v>107</v>
      </c>
      <c r="I1189" t="s">
        <v>469</v>
      </c>
      <c r="J1189" t="s">
        <v>25</v>
      </c>
      <c r="K1189" t="s">
        <v>6393</v>
      </c>
      <c r="L1189">
        <v>0.1</v>
      </c>
      <c r="M1189" t="s">
        <v>6394</v>
      </c>
      <c r="N1189" t="s">
        <v>6395</v>
      </c>
      <c r="O1189" t="s">
        <v>29</v>
      </c>
      <c r="P1189" t="s">
        <v>112</v>
      </c>
      <c r="Q1189" t="s">
        <v>65</v>
      </c>
      <c r="R1189" s="3">
        <v>12769.056</v>
      </c>
    </row>
    <row r="1190" spans="1:18" x14ac:dyDescent="0.3">
      <c r="A1190" t="s">
        <v>6396</v>
      </c>
      <c r="B1190" t="str">
        <f>TEXT(Raw_Data[[#This Row],[Order Date]],"mmm")</f>
        <v>Mar</v>
      </c>
      <c r="C1190" t="s">
        <v>2959</v>
      </c>
      <c r="D1190" t="s">
        <v>6397</v>
      </c>
      <c r="E1190" t="s">
        <v>48</v>
      </c>
      <c r="F1190" t="s">
        <v>106</v>
      </c>
      <c r="G1190" t="s">
        <v>106</v>
      </c>
      <c r="H1190" t="s">
        <v>23</v>
      </c>
      <c r="I1190" t="s">
        <v>49</v>
      </c>
      <c r="J1190" t="s">
        <v>25</v>
      </c>
      <c r="K1190" t="s">
        <v>6398</v>
      </c>
      <c r="L1190">
        <v>0.15</v>
      </c>
      <c r="M1190" t="s">
        <v>6399</v>
      </c>
      <c r="N1190" t="s">
        <v>6400</v>
      </c>
      <c r="O1190" t="s">
        <v>54</v>
      </c>
      <c r="P1190" t="s">
        <v>30</v>
      </c>
      <c r="Q1190" t="s">
        <v>65</v>
      </c>
      <c r="R1190" s="3">
        <v>18296.522000000001</v>
      </c>
    </row>
    <row r="1191" spans="1:18" x14ac:dyDescent="0.3">
      <c r="A1191" t="s">
        <v>6401</v>
      </c>
      <c r="B1191" t="str">
        <f>TEXT(Raw_Data[[#This Row],[Order Date]],"mmm")</f>
        <v>Nov</v>
      </c>
      <c r="C1191" t="s">
        <v>918</v>
      </c>
      <c r="D1191" t="s">
        <v>6402</v>
      </c>
      <c r="E1191" t="s">
        <v>35</v>
      </c>
      <c r="F1191" t="s">
        <v>215</v>
      </c>
      <c r="G1191" t="s">
        <v>276</v>
      </c>
      <c r="H1191" t="s">
        <v>23</v>
      </c>
      <c r="I1191" t="s">
        <v>341</v>
      </c>
      <c r="J1191" t="s">
        <v>50</v>
      </c>
      <c r="K1191" t="s">
        <v>6403</v>
      </c>
      <c r="L1191">
        <v>0.2</v>
      </c>
      <c r="M1191" t="s">
        <v>6404</v>
      </c>
      <c r="N1191" t="s">
        <v>6405</v>
      </c>
      <c r="O1191" t="s">
        <v>173</v>
      </c>
      <c r="P1191" t="s">
        <v>30</v>
      </c>
      <c r="Q1191" t="s">
        <v>44</v>
      </c>
      <c r="R1191" s="3">
        <v>12977.951999999999</v>
      </c>
    </row>
    <row r="1192" spans="1:18" x14ac:dyDescent="0.3">
      <c r="A1192" t="s">
        <v>6406</v>
      </c>
      <c r="B1192" t="str">
        <f>TEXT(Raw_Data[[#This Row],[Order Date]],"mmm")</f>
        <v>Nov</v>
      </c>
      <c r="C1192" t="s">
        <v>3696</v>
      </c>
      <c r="D1192" t="s">
        <v>6407</v>
      </c>
      <c r="E1192" t="s">
        <v>20</v>
      </c>
      <c r="F1192" t="s">
        <v>215</v>
      </c>
      <c r="G1192" t="s">
        <v>216</v>
      </c>
      <c r="H1192" t="s">
        <v>80</v>
      </c>
      <c r="I1192" t="s">
        <v>116</v>
      </c>
      <c r="J1192" t="s">
        <v>25</v>
      </c>
      <c r="K1192" t="s">
        <v>6408</v>
      </c>
      <c r="L1192">
        <v>0</v>
      </c>
      <c r="M1192" t="s">
        <v>6409</v>
      </c>
      <c r="N1192" t="s">
        <v>6410</v>
      </c>
      <c r="O1192" t="s">
        <v>54</v>
      </c>
      <c r="P1192" t="s">
        <v>30</v>
      </c>
      <c r="Q1192" t="s">
        <v>65</v>
      </c>
      <c r="R1192" s="3">
        <v>1901.01</v>
      </c>
    </row>
    <row r="1193" spans="1:18" x14ac:dyDescent="0.3">
      <c r="A1193" t="s">
        <v>6411</v>
      </c>
      <c r="B1193" t="str">
        <f>TEXT(Raw_Data[[#This Row],[Order Date]],"mmm")</f>
        <v>Jun</v>
      </c>
      <c r="C1193" t="s">
        <v>4510</v>
      </c>
      <c r="D1193" t="s">
        <v>6412</v>
      </c>
      <c r="E1193" t="s">
        <v>35</v>
      </c>
      <c r="F1193" t="s">
        <v>21</v>
      </c>
      <c r="G1193" t="s">
        <v>130</v>
      </c>
      <c r="H1193" t="s">
        <v>23</v>
      </c>
      <c r="I1193" t="s">
        <v>183</v>
      </c>
      <c r="J1193" t="s">
        <v>50</v>
      </c>
      <c r="K1193" t="s">
        <v>6413</v>
      </c>
      <c r="L1193">
        <v>0.05</v>
      </c>
      <c r="M1193" t="s">
        <v>6414</v>
      </c>
      <c r="N1193" t="s">
        <v>6415</v>
      </c>
      <c r="O1193" t="s">
        <v>43</v>
      </c>
      <c r="P1193" t="s">
        <v>95</v>
      </c>
      <c r="Q1193" t="s">
        <v>31</v>
      </c>
      <c r="R1193" s="3">
        <v>36595.9189999999</v>
      </c>
    </row>
    <row r="1194" spans="1:18" x14ac:dyDescent="0.3">
      <c r="A1194" t="s">
        <v>6416</v>
      </c>
      <c r="B1194" t="str">
        <f>TEXT(Raw_Data[[#This Row],[Order Date]],"mmm")</f>
        <v>Dec</v>
      </c>
      <c r="C1194" t="s">
        <v>965</v>
      </c>
      <c r="D1194" t="s">
        <v>6417</v>
      </c>
      <c r="E1194" t="s">
        <v>48</v>
      </c>
      <c r="F1194" t="s">
        <v>58</v>
      </c>
      <c r="G1194" t="s">
        <v>812</v>
      </c>
      <c r="H1194" t="s">
        <v>23</v>
      </c>
      <c r="I1194" t="s">
        <v>263</v>
      </c>
      <c r="J1194" t="s">
        <v>25</v>
      </c>
      <c r="K1194" t="s">
        <v>6418</v>
      </c>
      <c r="L1194">
        <v>0.05</v>
      </c>
      <c r="M1194" t="s">
        <v>6419</v>
      </c>
      <c r="N1194" t="s">
        <v>6420</v>
      </c>
      <c r="O1194" t="s">
        <v>64</v>
      </c>
      <c r="P1194" t="s">
        <v>30</v>
      </c>
      <c r="Q1194" t="s">
        <v>44</v>
      </c>
      <c r="R1194" s="3">
        <v>54174.13</v>
      </c>
    </row>
    <row r="1195" spans="1:18" x14ac:dyDescent="0.3">
      <c r="A1195" t="s">
        <v>6421</v>
      </c>
      <c r="B1195" t="str">
        <f>TEXT(Raw_Data[[#This Row],[Order Date]],"mmm")</f>
        <v>Apr</v>
      </c>
      <c r="C1195" t="s">
        <v>1904</v>
      </c>
      <c r="D1195" t="s">
        <v>6422</v>
      </c>
      <c r="E1195" t="s">
        <v>20</v>
      </c>
      <c r="F1195" t="s">
        <v>21</v>
      </c>
      <c r="G1195" t="s">
        <v>22</v>
      </c>
      <c r="H1195" t="s">
        <v>154</v>
      </c>
      <c r="I1195" t="s">
        <v>1061</v>
      </c>
      <c r="J1195" t="s">
        <v>100</v>
      </c>
      <c r="K1195" t="s">
        <v>6423</v>
      </c>
      <c r="L1195">
        <v>0</v>
      </c>
      <c r="M1195" t="s">
        <v>6424</v>
      </c>
      <c r="N1195" t="s">
        <v>6425</v>
      </c>
      <c r="O1195" t="s">
        <v>173</v>
      </c>
      <c r="P1195" t="s">
        <v>30</v>
      </c>
      <c r="Q1195" t="s">
        <v>44</v>
      </c>
      <c r="R1195" s="3">
        <v>7895.91</v>
      </c>
    </row>
    <row r="1196" spans="1:18" x14ac:dyDescent="0.3">
      <c r="A1196" t="s">
        <v>6426</v>
      </c>
      <c r="B1196" t="str">
        <f>TEXT(Raw_Data[[#This Row],[Order Date]],"mmm")</f>
        <v>Dec</v>
      </c>
      <c r="C1196" t="s">
        <v>268</v>
      </c>
      <c r="D1196" t="s">
        <v>6427</v>
      </c>
      <c r="E1196" t="s">
        <v>35</v>
      </c>
      <c r="F1196" t="s">
        <v>89</v>
      </c>
      <c r="G1196" t="s">
        <v>230</v>
      </c>
      <c r="H1196" t="s">
        <v>38</v>
      </c>
      <c r="I1196" t="s">
        <v>223</v>
      </c>
      <c r="J1196" t="s">
        <v>50</v>
      </c>
      <c r="K1196" t="s">
        <v>6428</v>
      </c>
      <c r="L1196">
        <v>0.15</v>
      </c>
      <c r="M1196" t="s">
        <v>6429</v>
      </c>
      <c r="N1196" t="s">
        <v>6430</v>
      </c>
      <c r="O1196" t="s">
        <v>173</v>
      </c>
      <c r="P1196" t="s">
        <v>30</v>
      </c>
      <c r="Q1196" t="s">
        <v>44</v>
      </c>
      <c r="R1196" s="3">
        <v>3527.9079999999899</v>
      </c>
    </row>
    <row r="1197" spans="1:18" x14ac:dyDescent="0.3">
      <c r="A1197" t="s">
        <v>6431</v>
      </c>
      <c r="B1197" t="str">
        <f>TEXT(Raw_Data[[#This Row],[Order Date]],"mmm")</f>
        <v>Sep</v>
      </c>
      <c r="C1197" t="s">
        <v>834</v>
      </c>
      <c r="D1197" t="s">
        <v>6432</v>
      </c>
      <c r="E1197" t="s">
        <v>20</v>
      </c>
      <c r="F1197" t="s">
        <v>36</v>
      </c>
      <c r="G1197" t="s">
        <v>153</v>
      </c>
      <c r="H1197" t="s">
        <v>38</v>
      </c>
      <c r="I1197" t="s">
        <v>39</v>
      </c>
      <c r="J1197" t="s">
        <v>25</v>
      </c>
      <c r="K1197" t="s">
        <v>6433</v>
      </c>
      <c r="L1197">
        <v>0</v>
      </c>
      <c r="M1197" t="s">
        <v>6434</v>
      </c>
      <c r="N1197" t="s">
        <v>6435</v>
      </c>
      <c r="O1197" t="s">
        <v>43</v>
      </c>
      <c r="P1197" t="s">
        <v>30</v>
      </c>
      <c r="Q1197" t="s">
        <v>65</v>
      </c>
      <c r="R1197" s="3">
        <v>5862.62</v>
      </c>
    </row>
    <row r="1198" spans="1:18" x14ac:dyDescent="0.3">
      <c r="A1198" t="s">
        <v>6436</v>
      </c>
      <c r="B1198" t="str">
        <f>TEXT(Raw_Data[[#This Row],[Order Date]],"mmm")</f>
        <v>Jul</v>
      </c>
      <c r="C1198" t="s">
        <v>1210</v>
      </c>
      <c r="D1198" t="s">
        <v>6437</v>
      </c>
      <c r="E1198" t="s">
        <v>35</v>
      </c>
      <c r="F1198" t="s">
        <v>89</v>
      </c>
      <c r="G1198" t="s">
        <v>230</v>
      </c>
      <c r="H1198" t="s">
        <v>154</v>
      </c>
      <c r="I1198" t="s">
        <v>309</v>
      </c>
      <c r="J1198" t="s">
        <v>100</v>
      </c>
      <c r="K1198" t="s">
        <v>6438</v>
      </c>
      <c r="L1198">
        <v>0.15</v>
      </c>
      <c r="M1198" t="s">
        <v>6439</v>
      </c>
      <c r="N1198" t="s">
        <v>6440</v>
      </c>
      <c r="O1198" t="s">
        <v>173</v>
      </c>
      <c r="P1198" t="s">
        <v>30</v>
      </c>
      <c r="Q1198" t="s">
        <v>65</v>
      </c>
      <c r="R1198" s="3">
        <v>14063.4539999999</v>
      </c>
    </row>
    <row r="1199" spans="1:18" x14ac:dyDescent="0.3">
      <c r="A1199" t="s">
        <v>6441</v>
      </c>
      <c r="B1199" t="str">
        <f>TEXT(Raw_Data[[#This Row],[Order Date]],"mmm")</f>
        <v>Nov</v>
      </c>
      <c r="C1199" t="s">
        <v>1009</v>
      </c>
      <c r="D1199" t="s">
        <v>6442</v>
      </c>
      <c r="E1199" t="s">
        <v>35</v>
      </c>
      <c r="F1199" t="s">
        <v>36</v>
      </c>
      <c r="G1199" t="s">
        <v>123</v>
      </c>
      <c r="H1199" t="s">
        <v>23</v>
      </c>
      <c r="I1199" t="s">
        <v>24</v>
      </c>
      <c r="J1199" t="s">
        <v>50</v>
      </c>
      <c r="K1199" t="s">
        <v>6443</v>
      </c>
      <c r="L1199">
        <v>0.1</v>
      </c>
      <c r="M1199" t="s">
        <v>6444</v>
      </c>
      <c r="N1199" t="s">
        <v>6445</v>
      </c>
      <c r="O1199" t="s">
        <v>173</v>
      </c>
      <c r="P1199" t="s">
        <v>30</v>
      </c>
      <c r="Q1199" t="s">
        <v>31</v>
      </c>
      <c r="R1199" s="3">
        <v>126360.594</v>
      </c>
    </row>
    <row r="1200" spans="1:18" x14ac:dyDescent="0.3">
      <c r="A1200" t="s">
        <v>6446</v>
      </c>
      <c r="B1200" t="str">
        <f>TEXT(Raw_Data[[#This Row],[Order Date]],"mmm")</f>
        <v>Sep</v>
      </c>
      <c r="C1200" t="s">
        <v>4639</v>
      </c>
      <c r="D1200" t="s">
        <v>6447</v>
      </c>
      <c r="E1200" t="s">
        <v>35</v>
      </c>
      <c r="F1200" t="s">
        <v>215</v>
      </c>
      <c r="G1200" t="s">
        <v>276</v>
      </c>
      <c r="H1200" t="s">
        <v>23</v>
      </c>
      <c r="I1200" t="s">
        <v>341</v>
      </c>
      <c r="J1200" t="s">
        <v>50</v>
      </c>
      <c r="K1200" t="s">
        <v>6448</v>
      </c>
      <c r="L1200">
        <v>0</v>
      </c>
      <c r="M1200" t="s">
        <v>6449</v>
      </c>
      <c r="N1200" t="s">
        <v>6450</v>
      </c>
      <c r="O1200" t="s">
        <v>173</v>
      </c>
      <c r="P1200" t="s">
        <v>30</v>
      </c>
      <c r="Q1200" t="s">
        <v>65</v>
      </c>
      <c r="R1200" s="3">
        <v>149605.22</v>
      </c>
    </row>
    <row r="1201" spans="1:18" x14ac:dyDescent="0.3">
      <c r="A1201" t="s">
        <v>6451</v>
      </c>
      <c r="B1201" t="str">
        <f>TEXT(Raw_Data[[#This Row],[Order Date]],"mmm")</f>
        <v>Mar</v>
      </c>
      <c r="C1201" t="s">
        <v>6452</v>
      </c>
      <c r="D1201" t="s">
        <v>6453</v>
      </c>
      <c r="E1201" t="s">
        <v>20</v>
      </c>
      <c r="F1201" t="s">
        <v>69</v>
      </c>
      <c r="G1201" t="s">
        <v>328</v>
      </c>
      <c r="H1201" t="s">
        <v>154</v>
      </c>
      <c r="I1201" t="s">
        <v>365</v>
      </c>
      <c r="J1201" t="s">
        <v>25</v>
      </c>
      <c r="K1201" t="s">
        <v>6454</v>
      </c>
      <c r="L1201">
        <v>0</v>
      </c>
      <c r="M1201" t="s">
        <v>6455</v>
      </c>
      <c r="N1201" t="s">
        <v>6456</v>
      </c>
      <c r="O1201" t="s">
        <v>43</v>
      </c>
      <c r="P1201" t="s">
        <v>30</v>
      </c>
      <c r="Q1201" t="s">
        <v>31</v>
      </c>
      <c r="R1201" s="3">
        <v>7170.04</v>
      </c>
    </row>
    <row r="1202" spans="1:18" x14ac:dyDescent="0.3">
      <c r="A1202" t="s">
        <v>6457</v>
      </c>
      <c r="B1202" t="str">
        <f>TEXT(Raw_Data[[#This Row],[Order Date]],"mmm")</f>
        <v>Jan</v>
      </c>
      <c r="C1202" t="s">
        <v>207</v>
      </c>
      <c r="D1202" t="s">
        <v>6458</v>
      </c>
      <c r="E1202" t="s">
        <v>48</v>
      </c>
      <c r="F1202" t="s">
        <v>106</v>
      </c>
      <c r="G1202" t="s">
        <v>163</v>
      </c>
      <c r="H1202" t="s">
        <v>80</v>
      </c>
      <c r="I1202" t="s">
        <v>91</v>
      </c>
      <c r="J1202" t="s">
        <v>25</v>
      </c>
      <c r="K1202" t="s">
        <v>6459</v>
      </c>
      <c r="L1202">
        <v>0.05</v>
      </c>
      <c r="M1202" t="s">
        <v>6460</v>
      </c>
      <c r="N1202" t="s">
        <v>6461</v>
      </c>
      <c r="O1202" t="s">
        <v>173</v>
      </c>
      <c r="P1202" t="s">
        <v>30</v>
      </c>
      <c r="Q1202" t="s">
        <v>65</v>
      </c>
      <c r="R1202" s="3">
        <v>4957.4799999999996</v>
      </c>
    </row>
    <row r="1203" spans="1:18" x14ac:dyDescent="0.3">
      <c r="A1203" t="s">
        <v>6462</v>
      </c>
      <c r="B1203" t="str">
        <f>TEXT(Raw_Data[[#This Row],[Order Date]],"mmm")</f>
        <v>Jun</v>
      </c>
      <c r="C1203" t="s">
        <v>370</v>
      </c>
      <c r="D1203" t="s">
        <v>6463</v>
      </c>
      <c r="E1203" t="s">
        <v>48</v>
      </c>
      <c r="F1203" t="s">
        <v>36</v>
      </c>
      <c r="G1203" t="s">
        <v>153</v>
      </c>
      <c r="H1203" t="s">
        <v>23</v>
      </c>
      <c r="I1203" t="s">
        <v>24</v>
      </c>
      <c r="J1203" t="s">
        <v>25</v>
      </c>
      <c r="K1203" t="s">
        <v>6464</v>
      </c>
      <c r="L1203">
        <v>0</v>
      </c>
      <c r="M1203" t="s">
        <v>6465</v>
      </c>
      <c r="N1203" t="s">
        <v>6466</v>
      </c>
      <c r="O1203" t="s">
        <v>43</v>
      </c>
      <c r="P1203" t="s">
        <v>30</v>
      </c>
      <c r="Q1203" t="s">
        <v>31</v>
      </c>
      <c r="R1203" s="3">
        <v>27423.38</v>
      </c>
    </row>
    <row r="1204" spans="1:18" x14ac:dyDescent="0.3">
      <c r="A1204" t="s">
        <v>6467</v>
      </c>
      <c r="B1204" t="str">
        <f>TEXT(Raw_Data[[#This Row],[Order Date]],"mmm")</f>
        <v>May</v>
      </c>
      <c r="C1204" t="s">
        <v>1257</v>
      </c>
      <c r="D1204" t="s">
        <v>6468</v>
      </c>
      <c r="E1204" t="s">
        <v>48</v>
      </c>
      <c r="F1204" t="s">
        <v>89</v>
      </c>
      <c r="G1204" t="s">
        <v>99</v>
      </c>
      <c r="H1204" t="s">
        <v>80</v>
      </c>
      <c r="I1204" t="s">
        <v>116</v>
      </c>
      <c r="J1204" t="s">
        <v>25</v>
      </c>
      <c r="K1204" t="s">
        <v>6469</v>
      </c>
      <c r="L1204">
        <v>0.1</v>
      </c>
      <c r="M1204" t="s">
        <v>6470</v>
      </c>
      <c r="N1204" t="s">
        <v>6471</v>
      </c>
      <c r="O1204" t="s">
        <v>64</v>
      </c>
      <c r="P1204" t="s">
        <v>159</v>
      </c>
      <c r="Q1204" t="s">
        <v>31</v>
      </c>
      <c r="R1204" s="3">
        <v>2304.9540000000002</v>
      </c>
    </row>
    <row r="1205" spans="1:18" x14ac:dyDescent="0.3">
      <c r="A1205" t="s">
        <v>6472</v>
      </c>
      <c r="B1205" t="str">
        <f>TEXT(Raw_Data[[#This Row],[Order Date]],"mmm")</f>
        <v>Aug</v>
      </c>
      <c r="C1205" t="s">
        <v>3133</v>
      </c>
      <c r="D1205" t="s">
        <v>6473</v>
      </c>
      <c r="E1205" t="s">
        <v>35</v>
      </c>
      <c r="F1205" t="s">
        <v>89</v>
      </c>
      <c r="G1205" t="s">
        <v>230</v>
      </c>
      <c r="H1205" t="s">
        <v>107</v>
      </c>
      <c r="I1205" t="s">
        <v>591</v>
      </c>
      <c r="J1205" t="s">
        <v>50</v>
      </c>
      <c r="K1205" t="s">
        <v>6474</v>
      </c>
      <c r="L1205">
        <v>0.15</v>
      </c>
      <c r="M1205" t="s">
        <v>6475</v>
      </c>
      <c r="N1205" t="s">
        <v>6476</v>
      </c>
      <c r="O1205" t="s">
        <v>43</v>
      </c>
      <c r="P1205" t="s">
        <v>95</v>
      </c>
      <c r="Q1205" t="s">
        <v>44</v>
      </c>
      <c r="R1205" s="3">
        <v>30307.242999999999</v>
      </c>
    </row>
    <row r="1206" spans="1:18" x14ac:dyDescent="0.3">
      <c r="A1206" t="s">
        <v>6477</v>
      </c>
      <c r="B1206" t="str">
        <f>TEXT(Raw_Data[[#This Row],[Order Date]],"mmm")</f>
        <v>Jul</v>
      </c>
      <c r="C1206" t="s">
        <v>114</v>
      </c>
      <c r="D1206" t="s">
        <v>6478</v>
      </c>
      <c r="E1206" t="s">
        <v>48</v>
      </c>
      <c r="F1206" t="s">
        <v>106</v>
      </c>
      <c r="G1206" t="s">
        <v>106</v>
      </c>
      <c r="H1206" t="s">
        <v>107</v>
      </c>
      <c r="I1206" t="s">
        <v>591</v>
      </c>
      <c r="J1206" t="s">
        <v>25</v>
      </c>
      <c r="K1206" t="s">
        <v>6479</v>
      </c>
      <c r="L1206">
        <v>0.1</v>
      </c>
      <c r="M1206" t="s">
        <v>6480</v>
      </c>
      <c r="N1206" t="s">
        <v>6481</v>
      </c>
      <c r="O1206" t="s">
        <v>29</v>
      </c>
      <c r="P1206" t="s">
        <v>30</v>
      </c>
      <c r="Q1206" t="s">
        <v>65</v>
      </c>
      <c r="R1206" s="3">
        <v>2877.3809999999999</v>
      </c>
    </row>
    <row r="1207" spans="1:18" x14ac:dyDescent="0.3">
      <c r="A1207" t="s">
        <v>6482</v>
      </c>
      <c r="B1207" t="str">
        <f>TEXT(Raw_Data[[#This Row],[Order Date]],"mmm")</f>
        <v>Oct</v>
      </c>
      <c r="C1207" t="s">
        <v>1846</v>
      </c>
      <c r="D1207" t="s">
        <v>6483</v>
      </c>
      <c r="E1207" t="s">
        <v>35</v>
      </c>
      <c r="F1207" t="s">
        <v>106</v>
      </c>
      <c r="G1207" t="s">
        <v>163</v>
      </c>
      <c r="H1207" t="s">
        <v>80</v>
      </c>
      <c r="I1207" t="s">
        <v>81</v>
      </c>
      <c r="J1207" t="s">
        <v>25</v>
      </c>
      <c r="K1207" t="s">
        <v>6484</v>
      </c>
      <c r="L1207">
        <v>0.15</v>
      </c>
      <c r="M1207" t="s">
        <v>6485</v>
      </c>
      <c r="N1207" t="s">
        <v>6486</v>
      </c>
      <c r="O1207" t="s">
        <v>173</v>
      </c>
      <c r="P1207" t="s">
        <v>30</v>
      </c>
      <c r="Q1207" t="s">
        <v>65</v>
      </c>
      <c r="R1207" s="3">
        <v>4844.7449999999999</v>
      </c>
    </row>
    <row r="1208" spans="1:18" x14ac:dyDescent="0.3">
      <c r="A1208" t="s">
        <v>6487</v>
      </c>
      <c r="B1208" t="str">
        <f>TEXT(Raw_Data[[#This Row],[Order Date]],"mmm")</f>
        <v>Jul</v>
      </c>
      <c r="C1208" t="s">
        <v>792</v>
      </c>
      <c r="D1208" t="s">
        <v>6488</v>
      </c>
      <c r="E1208" t="s">
        <v>20</v>
      </c>
      <c r="F1208" t="s">
        <v>215</v>
      </c>
      <c r="G1208" t="s">
        <v>276</v>
      </c>
      <c r="H1208" t="s">
        <v>107</v>
      </c>
      <c r="I1208" t="s">
        <v>591</v>
      </c>
      <c r="J1208" t="s">
        <v>100</v>
      </c>
      <c r="K1208" t="s">
        <v>6489</v>
      </c>
      <c r="L1208">
        <v>0.05</v>
      </c>
      <c r="M1208" t="s">
        <v>6490</v>
      </c>
      <c r="N1208" t="s">
        <v>6491</v>
      </c>
      <c r="O1208" t="s">
        <v>54</v>
      </c>
      <c r="P1208" t="s">
        <v>30</v>
      </c>
      <c r="Q1208" t="s">
        <v>31</v>
      </c>
      <c r="R1208" s="3">
        <v>22420.978499999899</v>
      </c>
    </row>
    <row r="1209" spans="1:18" x14ac:dyDescent="0.3">
      <c r="A1209" t="s">
        <v>6492</v>
      </c>
      <c r="B1209" t="str">
        <f>TEXT(Raw_Data[[#This Row],[Order Date]],"mmm")</f>
        <v>Jul</v>
      </c>
      <c r="C1209" t="s">
        <v>333</v>
      </c>
      <c r="D1209" t="s">
        <v>6493</v>
      </c>
      <c r="E1209" t="s">
        <v>20</v>
      </c>
      <c r="F1209" t="s">
        <v>215</v>
      </c>
      <c r="G1209" t="s">
        <v>276</v>
      </c>
      <c r="H1209" t="s">
        <v>154</v>
      </c>
      <c r="I1209" t="s">
        <v>309</v>
      </c>
      <c r="J1209" t="s">
        <v>50</v>
      </c>
      <c r="K1209" t="s">
        <v>6494</v>
      </c>
      <c r="L1209">
        <v>0.15</v>
      </c>
      <c r="M1209" t="s">
        <v>6495</v>
      </c>
      <c r="N1209" t="s">
        <v>6496</v>
      </c>
      <c r="O1209" t="s">
        <v>54</v>
      </c>
      <c r="P1209" t="s">
        <v>112</v>
      </c>
      <c r="Q1209" t="s">
        <v>44</v>
      </c>
      <c r="R1209" s="3">
        <v>6589.9480000000003</v>
      </c>
    </row>
    <row r="1210" spans="1:18" x14ac:dyDescent="0.3">
      <c r="A1210" t="s">
        <v>6497</v>
      </c>
      <c r="B1210" t="str">
        <f>TEXT(Raw_Data[[#This Row],[Order Date]],"mmm")</f>
        <v>Nov</v>
      </c>
      <c r="C1210" t="s">
        <v>2976</v>
      </c>
      <c r="D1210" t="s">
        <v>6498</v>
      </c>
      <c r="E1210" t="s">
        <v>48</v>
      </c>
      <c r="F1210" t="s">
        <v>36</v>
      </c>
      <c r="G1210" t="s">
        <v>37</v>
      </c>
      <c r="H1210" t="s">
        <v>154</v>
      </c>
      <c r="I1210" t="s">
        <v>365</v>
      </c>
      <c r="J1210" t="s">
        <v>25</v>
      </c>
      <c r="K1210" t="s">
        <v>6499</v>
      </c>
      <c r="L1210">
        <v>0.2</v>
      </c>
      <c r="M1210" t="s">
        <v>6500</v>
      </c>
      <c r="N1210" t="s">
        <v>6501</v>
      </c>
      <c r="O1210" t="s">
        <v>64</v>
      </c>
      <c r="P1210" t="s">
        <v>30</v>
      </c>
      <c r="Q1210" t="s">
        <v>31</v>
      </c>
      <c r="R1210" s="3">
        <v>6489.6319999999996</v>
      </c>
    </row>
    <row r="1211" spans="1:18" x14ac:dyDescent="0.3">
      <c r="A1211" t="s">
        <v>6502</v>
      </c>
      <c r="B1211" t="str">
        <f>TEXT(Raw_Data[[#This Row],[Order Date]],"mmm")</f>
        <v>Apr</v>
      </c>
      <c r="C1211" t="s">
        <v>2649</v>
      </c>
      <c r="D1211" t="s">
        <v>6503</v>
      </c>
      <c r="E1211" t="s">
        <v>20</v>
      </c>
      <c r="F1211" t="s">
        <v>215</v>
      </c>
      <c r="G1211" t="s">
        <v>216</v>
      </c>
      <c r="H1211" t="s">
        <v>80</v>
      </c>
      <c r="I1211" t="s">
        <v>146</v>
      </c>
      <c r="J1211" t="s">
        <v>25</v>
      </c>
      <c r="K1211" t="s">
        <v>6504</v>
      </c>
      <c r="L1211">
        <v>0.05</v>
      </c>
      <c r="M1211" t="s">
        <v>6505</v>
      </c>
      <c r="N1211" t="s">
        <v>6506</v>
      </c>
      <c r="O1211" t="s">
        <v>64</v>
      </c>
      <c r="P1211" t="s">
        <v>30</v>
      </c>
      <c r="Q1211" t="s">
        <v>65</v>
      </c>
      <c r="R1211" s="3">
        <v>4382.1409999999996</v>
      </c>
    </row>
    <row r="1212" spans="1:18" x14ac:dyDescent="0.3">
      <c r="A1212" t="s">
        <v>6507</v>
      </c>
      <c r="B1212" t="str">
        <f>TEXT(Raw_Data[[#This Row],[Order Date]],"mmm")</f>
        <v>Jul</v>
      </c>
      <c r="C1212" t="s">
        <v>2349</v>
      </c>
      <c r="D1212" t="s">
        <v>6508</v>
      </c>
      <c r="E1212" t="s">
        <v>20</v>
      </c>
      <c r="F1212" t="s">
        <v>21</v>
      </c>
      <c r="G1212" t="s">
        <v>130</v>
      </c>
      <c r="H1212" t="s">
        <v>38</v>
      </c>
      <c r="I1212" t="s">
        <v>39</v>
      </c>
      <c r="J1212" t="s">
        <v>50</v>
      </c>
      <c r="K1212" t="s">
        <v>6509</v>
      </c>
      <c r="L1212">
        <v>0.1</v>
      </c>
      <c r="M1212" t="s">
        <v>6510</v>
      </c>
      <c r="N1212" t="s">
        <v>6511</v>
      </c>
      <c r="O1212" t="s">
        <v>29</v>
      </c>
      <c r="P1212" t="s">
        <v>159</v>
      </c>
      <c r="Q1212" t="s">
        <v>65</v>
      </c>
      <c r="R1212" s="3">
        <v>1824.66</v>
      </c>
    </row>
    <row r="1213" spans="1:18" x14ac:dyDescent="0.3">
      <c r="A1213" t="s">
        <v>6512</v>
      </c>
      <c r="B1213" t="str">
        <f>TEXT(Raw_Data[[#This Row],[Order Date]],"mmm")</f>
        <v>Feb</v>
      </c>
      <c r="C1213" t="s">
        <v>307</v>
      </c>
      <c r="D1213" t="s">
        <v>6513</v>
      </c>
      <c r="E1213" t="s">
        <v>20</v>
      </c>
      <c r="F1213" t="s">
        <v>58</v>
      </c>
      <c r="G1213" t="s">
        <v>290</v>
      </c>
      <c r="H1213" t="s">
        <v>107</v>
      </c>
      <c r="I1213" t="s">
        <v>108</v>
      </c>
      <c r="J1213" t="s">
        <v>25</v>
      </c>
      <c r="K1213" t="s">
        <v>6514</v>
      </c>
      <c r="L1213">
        <v>0.1</v>
      </c>
      <c r="M1213" t="s">
        <v>6515</v>
      </c>
      <c r="N1213" t="s">
        <v>6516</v>
      </c>
      <c r="O1213" t="s">
        <v>54</v>
      </c>
      <c r="P1213" t="s">
        <v>30</v>
      </c>
      <c r="Q1213" t="s">
        <v>44</v>
      </c>
      <c r="R1213" s="3">
        <v>12090.519</v>
      </c>
    </row>
    <row r="1214" spans="1:18" x14ac:dyDescent="0.3">
      <c r="A1214" t="s">
        <v>6517</v>
      </c>
      <c r="B1214" t="str">
        <f>TEXT(Raw_Data[[#This Row],[Order Date]],"mmm")</f>
        <v>Sep</v>
      </c>
      <c r="C1214" t="s">
        <v>4639</v>
      </c>
      <c r="D1214" t="s">
        <v>6518</v>
      </c>
      <c r="E1214" t="s">
        <v>35</v>
      </c>
      <c r="F1214" t="s">
        <v>36</v>
      </c>
      <c r="G1214" t="s">
        <v>196</v>
      </c>
      <c r="H1214" t="s">
        <v>154</v>
      </c>
      <c r="I1214" t="s">
        <v>309</v>
      </c>
      <c r="J1214" t="s">
        <v>25</v>
      </c>
      <c r="K1214" t="s">
        <v>6519</v>
      </c>
      <c r="L1214">
        <v>0.1</v>
      </c>
      <c r="M1214" t="s">
        <v>5053</v>
      </c>
      <c r="N1214" t="s">
        <v>6520</v>
      </c>
      <c r="O1214" t="s">
        <v>64</v>
      </c>
      <c r="P1214" t="s">
        <v>30</v>
      </c>
      <c r="Q1214" t="s">
        <v>31</v>
      </c>
      <c r="R1214" s="3">
        <v>3016.3319999999999</v>
      </c>
    </row>
    <row r="1215" spans="1:18" x14ac:dyDescent="0.3">
      <c r="A1215" t="s">
        <v>6521</v>
      </c>
      <c r="B1215" t="str">
        <f>TEXT(Raw_Data[[#This Row],[Order Date]],"mmm")</f>
        <v>Apr</v>
      </c>
      <c r="C1215" t="s">
        <v>1466</v>
      </c>
      <c r="D1215" t="s">
        <v>6522</v>
      </c>
      <c r="E1215" t="s">
        <v>48</v>
      </c>
      <c r="F1215" t="s">
        <v>69</v>
      </c>
      <c r="G1215" t="s">
        <v>328</v>
      </c>
      <c r="H1215" t="s">
        <v>154</v>
      </c>
      <c r="I1215" t="s">
        <v>1061</v>
      </c>
      <c r="J1215" t="s">
        <v>50</v>
      </c>
      <c r="K1215" t="s">
        <v>6523</v>
      </c>
      <c r="L1215">
        <v>0.1</v>
      </c>
      <c r="M1215" t="s">
        <v>6524</v>
      </c>
      <c r="N1215" t="s">
        <v>6525</v>
      </c>
      <c r="O1215" t="s">
        <v>54</v>
      </c>
      <c r="P1215" t="s">
        <v>30</v>
      </c>
      <c r="Q1215" t="s">
        <v>65</v>
      </c>
      <c r="R1215" s="3">
        <v>19193.148000000001</v>
      </c>
    </row>
    <row r="1216" spans="1:18" x14ac:dyDescent="0.3">
      <c r="A1216" t="s">
        <v>6526</v>
      </c>
      <c r="B1216" t="str">
        <f>TEXT(Raw_Data[[#This Row],[Order Date]],"mmm")</f>
        <v>Mar</v>
      </c>
      <c r="C1216" t="s">
        <v>1021</v>
      </c>
      <c r="D1216" t="s">
        <v>6527</v>
      </c>
      <c r="E1216" t="s">
        <v>48</v>
      </c>
      <c r="F1216" t="s">
        <v>36</v>
      </c>
      <c r="G1216" t="s">
        <v>196</v>
      </c>
      <c r="H1216" t="s">
        <v>80</v>
      </c>
      <c r="I1216" t="s">
        <v>116</v>
      </c>
      <c r="J1216" t="s">
        <v>25</v>
      </c>
      <c r="K1216" t="s">
        <v>6528</v>
      </c>
      <c r="L1216">
        <v>0.1</v>
      </c>
      <c r="M1216" t="s">
        <v>6529</v>
      </c>
      <c r="N1216" t="s">
        <v>6530</v>
      </c>
      <c r="O1216" t="s">
        <v>173</v>
      </c>
      <c r="P1216" t="s">
        <v>159</v>
      </c>
      <c r="Q1216" t="s">
        <v>31</v>
      </c>
      <c r="R1216" s="3">
        <v>1210.8599999999999</v>
      </c>
    </row>
    <row r="1217" spans="1:18" x14ac:dyDescent="0.3">
      <c r="A1217" t="s">
        <v>6531</v>
      </c>
      <c r="B1217" t="str">
        <f>TEXT(Raw_Data[[#This Row],[Order Date]],"mmm")</f>
        <v>Jan</v>
      </c>
      <c r="C1217" t="s">
        <v>431</v>
      </c>
      <c r="D1217" t="s">
        <v>6532</v>
      </c>
      <c r="E1217" t="s">
        <v>20</v>
      </c>
      <c r="F1217" t="s">
        <v>78</v>
      </c>
      <c r="G1217" t="s">
        <v>731</v>
      </c>
      <c r="H1217" t="s">
        <v>38</v>
      </c>
      <c r="I1217" t="s">
        <v>223</v>
      </c>
      <c r="J1217" t="s">
        <v>100</v>
      </c>
      <c r="K1217" t="s">
        <v>6533</v>
      </c>
      <c r="L1217">
        <v>0.2</v>
      </c>
      <c r="M1217" t="s">
        <v>6534</v>
      </c>
      <c r="N1217" t="s">
        <v>6535</v>
      </c>
      <c r="O1217" t="s">
        <v>29</v>
      </c>
      <c r="P1217" t="s">
        <v>30</v>
      </c>
      <c r="Q1217" t="s">
        <v>44</v>
      </c>
      <c r="R1217" s="3">
        <v>13702.68</v>
      </c>
    </row>
    <row r="1218" spans="1:18" x14ac:dyDescent="0.3">
      <c r="A1218" t="s">
        <v>6536</v>
      </c>
      <c r="B1218" t="str">
        <f>TEXT(Raw_Data[[#This Row],[Order Date]],"mmm")</f>
        <v>Nov</v>
      </c>
      <c r="C1218" t="s">
        <v>1204</v>
      </c>
      <c r="D1218" t="s">
        <v>6537</v>
      </c>
      <c r="E1218" t="s">
        <v>20</v>
      </c>
      <c r="F1218" t="s">
        <v>58</v>
      </c>
      <c r="G1218" t="s">
        <v>812</v>
      </c>
      <c r="H1218" t="s">
        <v>154</v>
      </c>
      <c r="I1218" t="s">
        <v>365</v>
      </c>
      <c r="J1218" t="s">
        <v>25</v>
      </c>
      <c r="K1218" t="s">
        <v>6538</v>
      </c>
      <c r="L1218">
        <v>0</v>
      </c>
      <c r="M1218" t="s">
        <v>6539</v>
      </c>
      <c r="N1218" t="s">
        <v>6540</v>
      </c>
      <c r="O1218" t="s">
        <v>54</v>
      </c>
      <c r="P1218" t="s">
        <v>30</v>
      </c>
      <c r="Q1218" t="s">
        <v>44</v>
      </c>
      <c r="R1218" s="3">
        <v>6977.13</v>
      </c>
    </row>
    <row r="1219" spans="1:18" x14ac:dyDescent="0.3">
      <c r="A1219" t="s">
        <v>6541</v>
      </c>
      <c r="B1219" t="str">
        <f>TEXT(Raw_Data[[#This Row],[Order Date]],"mmm")</f>
        <v>Oct</v>
      </c>
      <c r="C1219" t="s">
        <v>3707</v>
      </c>
      <c r="D1219" t="s">
        <v>6542</v>
      </c>
      <c r="E1219" t="s">
        <v>20</v>
      </c>
      <c r="F1219" t="s">
        <v>78</v>
      </c>
      <c r="G1219" t="s">
        <v>79</v>
      </c>
      <c r="H1219" t="s">
        <v>80</v>
      </c>
      <c r="I1219" t="s">
        <v>146</v>
      </c>
      <c r="J1219" t="s">
        <v>25</v>
      </c>
      <c r="K1219" t="s">
        <v>6543</v>
      </c>
      <c r="L1219">
        <v>0.1</v>
      </c>
      <c r="M1219" t="s">
        <v>6544</v>
      </c>
      <c r="N1219" t="s">
        <v>6545</v>
      </c>
      <c r="O1219" t="s">
        <v>43</v>
      </c>
      <c r="P1219" t="s">
        <v>159</v>
      </c>
      <c r="Q1219" t="s">
        <v>65</v>
      </c>
      <c r="R1219" s="3">
        <v>5339.0069999999996</v>
      </c>
    </row>
    <row r="1220" spans="1:18" x14ac:dyDescent="0.3">
      <c r="A1220" t="s">
        <v>6546</v>
      </c>
      <c r="B1220" t="str">
        <f>TEXT(Raw_Data[[#This Row],[Order Date]],"mmm")</f>
        <v>Oct</v>
      </c>
      <c r="C1220" t="s">
        <v>3724</v>
      </c>
      <c r="D1220" t="s">
        <v>6547</v>
      </c>
      <c r="E1220" t="s">
        <v>20</v>
      </c>
      <c r="F1220" t="s">
        <v>21</v>
      </c>
      <c r="G1220" t="s">
        <v>22</v>
      </c>
      <c r="H1220" t="s">
        <v>23</v>
      </c>
      <c r="I1220" t="s">
        <v>341</v>
      </c>
      <c r="J1220" t="s">
        <v>25</v>
      </c>
      <c r="K1220" t="s">
        <v>6548</v>
      </c>
      <c r="L1220">
        <v>0.1</v>
      </c>
      <c r="M1220" t="s">
        <v>6549</v>
      </c>
      <c r="N1220" t="s">
        <v>6550</v>
      </c>
      <c r="O1220" t="s">
        <v>173</v>
      </c>
      <c r="P1220" t="s">
        <v>30</v>
      </c>
      <c r="Q1220" t="s">
        <v>65</v>
      </c>
      <c r="R1220" s="3">
        <v>18019.385999999999</v>
      </c>
    </row>
    <row r="1221" spans="1:18" x14ac:dyDescent="0.3">
      <c r="A1221" t="s">
        <v>6551</v>
      </c>
      <c r="B1221" t="str">
        <f>TEXT(Raw_Data[[#This Row],[Order Date]],"mmm")</f>
        <v>Jun</v>
      </c>
      <c r="C1221" t="s">
        <v>1521</v>
      </c>
      <c r="D1221" t="s">
        <v>6552</v>
      </c>
      <c r="E1221" t="s">
        <v>20</v>
      </c>
      <c r="F1221" t="s">
        <v>21</v>
      </c>
      <c r="G1221" t="s">
        <v>130</v>
      </c>
      <c r="H1221" t="s">
        <v>23</v>
      </c>
      <c r="I1221" t="s">
        <v>49</v>
      </c>
      <c r="J1221" t="s">
        <v>25</v>
      </c>
      <c r="K1221" t="s">
        <v>6553</v>
      </c>
      <c r="L1221">
        <v>0.05</v>
      </c>
      <c r="M1221" t="s">
        <v>6554</v>
      </c>
      <c r="N1221" t="s">
        <v>6555</v>
      </c>
      <c r="O1221" t="s">
        <v>54</v>
      </c>
      <c r="P1221" t="s">
        <v>95</v>
      </c>
      <c r="Q1221" t="s">
        <v>65</v>
      </c>
      <c r="R1221" s="3">
        <v>17740.9175</v>
      </c>
    </row>
    <row r="1222" spans="1:18" x14ac:dyDescent="0.3">
      <c r="A1222" t="s">
        <v>6556</v>
      </c>
      <c r="B1222" t="str">
        <f>TEXT(Raw_Data[[#This Row],[Order Date]],"mmm")</f>
        <v>Nov</v>
      </c>
      <c r="C1222" t="s">
        <v>1775</v>
      </c>
      <c r="D1222" t="s">
        <v>6557</v>
      </c>
      <c r="E1222" t="s">
        <v>20</v>
      </c>
      <c r="F1222" t="s">
        <v>106</v>
      </c>
      <c r="G1222" t="s">
        <v>163</v>
      </c>
      <c r="H1222" t="s">
        <v>80</v>
      </c>
      <c r="I1222" t="s">
        <v>81</v>
      </c>
      <c r="J1222" t="s">
        <v>82</v>
      </c>
      <c r="K1222" t="s">
        <v>6558</v>
      </c>
      <c r="L1222">
        <v>0.05</v>
      </c>
      <c r="M1222" t="s">
        <v>6559</v>
      </c>
      <c r="N1222" t="s">
        <v>6560</v>
      </c>
      <c r="O1222" t="s">
        <v>29</v>
      </c>
      <c r="P1222" t="s">
        <v>30</v>
      </c>
      <c r="Q1222" t="s">
        <v>44</v>
      </c>
      <c r="R1222" s="3">
        <v>19835.43</v>
      </c>
    </row>
    <row r="1223" spans="1:18" x14ac:dyDescent="0.3">
      <c r="A1223" t="s">
        <v>6561</v>
      </c>
      <c r="B1223" t="str">
        <f>TEXT(Raw_Data[[#This Row],[Order Date]],"mmm")</f>
        <v>Sep</v>
      </c>
      <c r="C1223" t="s">
        <v>1570</v>
      </c>
      <c r="D1223" t="s">
        <v>6562</v>
      </c>
      <c r="E1223" t="s">
        <v>48</v>
      </c>
      <c r="F1223" t="s">
        <v>215</v>
      </c>
      <c r="G1223" t="s">
        <v>216</v>
      </c>
      <c r="H1223" t="s">
        <v>80</v>
      </c>
      <c r="I1223" t="s">
        <v>81</v>
      </c>
      <c r="J1223" t="s">
        <v>25</v>
      </c>
      <c r="K1223" t="s">
        <v>6563</v>
      </c>
      <c r="L1223">
        <v>0.15</v>
      </c>
      <c r="M1223" t="s">
        <v>6564</v>
      </c>
      <c r="N1223" t="s">
        <v>6565</v>
      </c>
      <c r="O1223" t="s">
        <v>43</v>
      </c>
      <c r="P1223" t="s">
        <v>159</v>
      </c>
      <c r="Q1223" t="s">
        <v>44</v>
      </c>
      <c r="R1223" s="3">
        <v>5205.009</v>
      </c>
    </row>
    <row r="1224" spans="1:18" x14ac:dyDescent="0.3">
      <c r="A1224" t="s">
        <v>6566</v>
      </c>
      <c r="B1224" t="str">
        <f>TEXT(Raw_Data[[#This Row],[Order Date]],"mmm")</f>
        <v>Sep</v>
      </c>
      <c r="C1224" t="s">
        <v>1397</v>
      </c>
      <c r="D1224" t="s">
        <v>6567</v>
      </c>
      <c r="E1224" t="s">
        <v>48</v>
      </c>
      <c r="F1224" t="s">
        <v>69</v>
      </c>
      <c r="G1224" t="s">
        <v>139</v>
      </c>
      <c r="H1224" t="s">
        <v>107</v>
      </c>
      <c r="I1224" t="s">
        <v>378</v>
      </c>
      <c r="J1224" t="s">
        <v>25</v>
      </c>
      <c r="K1224" t="s">
        <v>6568</v>
      </c>
      <c r="L1224">
        <v>0.1</v>
      </c>
      <c r="M1224" t="s">
        <v>6569</v>
      </c>
      <c r="N1224" t="s">
        <v>6570</v>
      </c>
      <c r="O1224" t="s">
        <v>173</v>
      </c>
      <c r="P1224" t="s">
        <v>30</v>
      </c>
      <c r="Q1224" t="s">
        <v>65</v>
      </c>
      <c r="R1224" s="3">
        <v>11824.929</v>
      </c>
    </row>
    <row r="1225" spans="1:18" x14ac:dyDescent="0.3">
      <c r="A1225" t="s">
        <v>6571</v>
      </c>
      <c r="B1225" t="str">
        <f>TEXT(Raw_Data[[#This Row],[Order Date]],"mmm")</f>
        <v>Jul</v>
      </c>
      <c r="C1225" t="s">
        <v>389</v>
      </c>
      <c r="D1225" t="s">
        <v>6572</v>
      </c>
      <c r="E1225" t="s">
        <v>35</v>
      </c>
      <c r="F1225" t="s">
        <v>78</v>
      </c>
      <c r="G1225" t="s">
        <v>468</v>
      </c>
      <c r="H1225" t="s">
        <v>80</v>
      </c>
      <c r="I1225" t="s">
        <v>116</v>
      </c>
      <c r="J1225" t="s">
        <v>25</v>
      </c>
      <c r="K1225" t="s">
        <v>6573</v>
      </c>
      <c r="L1225">
        <v>0.05</v>
      </c>
      <c r="M1225" t="s">
        <v>6574</v>
      </c>
      <c r="N1225" t="s">
        <v>6575</v>
      </c>
      <c r="O1225" t="s">
        <v>64</v>
      </c>
      <c r="P1225" t="s">
        <v>30</v>
      </c>
      <c r="Q1225" t="s">
        <v>44</v>
      </c>
      <c r="R1225" s="3">
        <v>2472.6315</v>
      </c>
    </row>
    <row r="1226" spans="1:18" x14ac:dyDescent="0.3">
      <c r="A1226" t="s">
        <v>6576</v>
      </c>
      <c r="B1226" t="str">
        <f>TEXT(Raw_Data[[#This Row],[Order Date]],"mmm")</f>
        <v>Dec</v>
      </c>
      <c r="C1226" t="s">
        <v>868</v>
      </c>
      <c r="D1226" t="s">
        <v>6577</v>
      </c>
      <c r="E1226" t="s">
        <v>20</v>
      </c>
      <c r="F1226" t="s">
        <v>78</v>
      </c>
      <c r="G1226" t="s">
        <v>731</v>
      </c>
      <c r="H1226" t="s">
        <v>107</v>
      </c>
      <c r="I1226" t="s">
        <v>591</v>
      </c>
      <c r="J1226" t="s">
        <v>25</v>
      </c>
      <c r="K1226" t="s">
        <v>6578</v>
      </c>
      <c r="L1226">
        <v>0</v>
      </c>
      <c r="M1226" t="s">
        <v>6579</v>
      </c>
      <c r="N1226" t="s">
        <v>6580</v>
      </c>
      <c r="O1226" t="s">
        <v>54</v>
      </c>
      <c r="P1226" t="s">
        <v>30</v>
      </c>
      <c r="Q1226" t="s">
        <v>31</v>
      </c>
      <c r="R1226" s="3">
        <v>16409.66</v>
      </c>
    </row>
    <row r="1227" spans="1:18" x14ac:dyDescent="0.3">
      <c r="A1227" t="s">
        <v>6581</v>
      </c>
      <c r="B1227" t="str">
        <f>TEXT(Raw_Data[[#This Row],[Order Date]],"mmm")</f>
        <v>Dec</v>
      </c>
      <c r="C1227" t="s">
        <v>1515</v>
      </c>
      <c r="D1227" t="s">
        <v>6582</v>
      </c>
      <c r="E1227" t="s">
        <v>35</v>
      </c>
      <c r="F1227" t="s">
        <v>21</v>
      </c>
      <c r="G1227" t="s">
        <v>22</v>
      </c>
      <c r="H1227" t="s">
        <v>23</v>
      </c>
      <c r="I1227" t="s">
        <v>24</v>
      </c>
      <c r="J1227" t="s">
        <v>25</v>
      </c>
      <c r="K1227" t="s">
        <v>6583</v>
      </c>
      <c r="L1227">
        <v>0.05</v>
      </c>
      <c r="M1227" t="s">
        <v>6584</v>
      </c>
      <c r="N1227" t="s">
        <v>6585</v>
      </c>
      <c r="O1227" t="s">
        <v>54</v>
      </c>
      <c r="P1227" t="s">
        <v>30</v>
      </c>
      <c r="Q1227" t="s">
        <v>44</v>
      </c>
      <c r="R1227" s="3">
        <v>17215.567500000001</v>
      </c>
    </row>
    <row r="1228" spans="1:18" x14ac:dyDescent="0.3">
      <c r="A1228" t="s">
        <v>6586</v>
      </c>
      <c r="B1228" t="str">
        <f>TEXT(Raw_Data[[#This Row],[Order Date]],"mmm")</f>
        <v>Oct</v>
      </c>
      <c r="C1228" t="s">
        <v>2052</v>
      </c>
      <c r="D1228" t="s">
        <v>6587</v>
      </c>
      <c r="E1228" t="s">
        <v>48</v>
      </c>
      <c r="F1228" t="s">
        <v>78</v>
      </c>
      <c r="G1228" t="s">
        <v>79</v>
      </c>
      <c r="H1228" t="s">
        <v>38</v>
      </c>
      <c r="I1228" t="s">
        <v>60</v>
      </c>
      <c r="J1228" t="s">
        <v>25</v>
      </c>
      <c r="K1228" t="s">
        <v>6588</v>
      </c>
      <c r="L1228">
        <v>0.15</v>
      </c>
      <c r="M1228" t="s">
        <v>6589</v>
      </c>
      <c r="N1228" t="s">
        <v>6590</v>
      </c>
      <c r="O1228" t="s">
        <v>64</v>
      </c>
      <c r="P1228" t="s">
        <v>159</v>
      </c>
      <c r="Q1228" t="s">
        <v>31</v>
      </c>
      <c r="R1228" s="3">
        <v>2181.7374999999902</v>
      </c>
    </row>
    <row r="1229" spans="1:18" x14ac:dyDescent="0.3">
      <c r="A1229" t="s">
        <v>6591</v>
      </c>
      <c r="B1229" t="str">
        <f>TEXT(Raw_Data[[#This Row],[Order Date]],"mmm")</f>
        <v>Oct</v>
      </c>
      <c r="C1229" t="s">
        <v>2438</v>
      </c>
      <c r="D1229" t="s">
        <v>6592</v>
      </c>
      <c r="E1229" t="s">
        <v>35</v>
      </c>
      <c r="F1229" t="s">
        <v>215</v>
      </c>
      <c r="G1229" t="s">
        <v>276</v>
      </c>
      <c r="H1229" t="s">
        <v>154</v>
      </c>
      <c r="I1229" t="s">
        <v>365</v>
      </c>
      <c r="J1229" t="s">
        <v>25</v>
      </c>
      <c r="K1229" t="s">
        <v>6593</v>
      </c>
      <c r="L1229">
        <v>0.15</v>
      </c>
      <c r="M1229" t="s">
        <v>6594</v>
      </c>
      <c r="N1229" t="s">
        <v>6595</v>
      </c>
      <c r="O1229" t="s">
        <v>29</v>
      </c>
      <c r="P1229" t="s">
        <v>30</v>
      </c>
      <c r="Q1229" t="s">
        <v>44</v>
      </c>
      <c r="R1229" s="3">
        <v>6136.32</v>
      </c>
    </row>
    <row r="1230" spans="1:18" x14ac:dyDescent="0.3">
      <c r="A1230" t="s">
        <v>6596</v>
      </c>
      <c r="B1230" t="str">
        <f>TEXT(Raw_Data[[#This Row],[Order Date]],"mmm")</f>
        <v>Sep</v>
      </c>
      <c r="C1230" t="s">
        <v>1397</v>
      </c>
      <c r="D1230" t="s">
        <v>6597</v>
      </c>
      <c r="E1230" t="s">
        <v>35</v>
      </c>
      <c r="F1230" t="s">
        <v>21</v>
      </c>
      <c r="G1230" t="s">
        <v>22</v>
      </c>
      <c r="H1230" t="s">
        <v>23</v>
      </c>
      <c r="I1230" t="s">
        <v>341</v>
      </c>
      <c r="J1230" t="s">
        <v>25</v>
      </c>
      <c r="K1230" t="s">
        <v>6598</v>
      </c>
      <c r="L1230">
        <v>0.1</v>
      </c>
      <c r="M1230" t="s">
        <v>6599</v>
      </c>
      <c r="N1230" t="s">
        <v>6600</v>
      </c>
      <c r="O1230" t="s">
        <v>43</v>
      </c>
      <c r="P1230" t="s">
        <v>30</v>
      </c>
      <c r="Q1230" t="s">
        <v>65</v>
      </c>
      <c r="R1230" s="3">
        <v>5061.7889999999998</v>
      </c>
    </row>
    <row r="1231" spans="1:18" x14ac:dyDescent="0.3">
      <c r="A1231" t="s">
        <v>6601</v>
      </c>
      <c r="B1231" t="str">
        <f>TEXT(Raw_Data[[#This Row],[Order Date]],"mmm")</f>
        <v>Jun</v>
      </c>
      <c r="C1231" t="s">
        <v>2157</v>
      </c>
      <c r="D1231" t="s">
        <v>6602</v>
      </c>
      <c r="E1231" t="s">
        <v>48</v>
      </c>
      <c r="F1231" t="s">
        <v>215</v>
      </c>
      <c r="G1231" t="s">
        <v>216</v>
      </c>
      <c r="H1231" t="s">
        <v>154</v>
      </c>
      <c r="I1231" t="s">
        <v>237</v>
      </c>
      <c r="J1231" t="s">
        <v>50</v>
      </c>
      <c r="K1231" t="s">
        <v>6603</v>
      </c>
      <c r="L1231">
        <v>0.05</v>
      </c>
      <c r="M1231" t="s">
        <v>6604</v>
      </c>
      <c r="N1231" t="s">
        <v>6605</v>
      </c>
      <c r="O1231" t="s">
        <v>173</v>
      </c>
      <c r="P1231" t="s">
        <v>30</v>
      </c>
      <c r="Q1231" t="s">
        <v>44</v>
      </c>
      <c r="R1231" s="3">
        <v>6479.2470000000003</v>
      </c>
    </row>
    <row r="1232" spans="1:18" x14ac:dyDescent="0.3">
      <c r="A1232" t="s">
        <v>6606</v>
      </c>
      <c r="B1232" t="str">
        <f>TEXT(Raw_Data[[#This Row],[Order Date]],"mmm")</f>
        <v>Nov</v>
      </c>
      <c r="C1232" t="s">
        <v>2976</v>
      </c>
      <c r="D1232" t="s">
        <v>6607</v>
      </c>
      <c r="E1232" t="s">
        <v>20</v>
      </c>
      <c r="F1232" t="s">
        <v>106</v>
      </c>
      <c r="G1232" t="s">
        <v>106</v>
      </c>
      <c r="H1232" t="s">
        <v>23</v>
      </c>
      <c r="I1232" t="s">
        <v>263</v>
      </c>
      <c r="J1232" t="s">
        <v>50</v>
      </c>
      <c r="K1232" t="s">
        <v>6608</v>
      </c>
      <c r="L1232">
        <v>0.05</v>
      </c>
      <c r="M1232" t="s">
        <v>6609</v>
      </c>
      <c r="N1232" t="s">
        <v>6610</v>
      </c>
      <c r="O1232" t="s">
        <v>173</v>
      </c>
      <c r="P1232" t="s">
        <v>159</v>
      </c>
      <c r="Q1232" t="s">
        <v>44</v>
      </c>
      <c r="R1232" s="3">
        <v>83383.001000000004</v>
      </c>
    </row>
    <row r="1233" spans="1:18" x14ac:dyDescent="0.3">
      <c r="A1233" t="s">
        <v>6611</v>
      </c>
      <c r="B1233" t="str">
        <f>TEXT(Raw_Data[[#This Row],[Order Date]],"mmm")</f>
        <v>Feb</v>
      </c>
      <c r="C1233" t="s">
        <v>1268</v>
      </c>
      <c r="D1233" t="s">
        <v>6612</v>
      </c>
      <c r="E1233" t="s">
        <v>20</v>
      </c>
      <c r="F1233" t="s">
        <v>69</v>
      </c>
      <c r="G1233" t="s">
        <v>70</v>
      </c>
      <c r="H1233" t="s">
        <v>107</v>
      </c>
      <c r="I1233" t="s">
        <v>469</v>
      </c>
      <c r="J1233" t="s">
        <v>100</v>
      </c>
      <c r="K1233" t="s">
        <v>6613</v>
      </c>
      <c r="L1233">
        <v>0.05</v>
      </c>
      <c r="M1233" t="s">
        <v>6614</v>
      </c>
      <c r="N1233" t="s">
        <v>6615</v>
      </c>
      <c r="O1233" t="s">
        <v>29</v>
      </c>
      <c r="P1233" t="s">
        <v>30</v>
      </c>
      <c r="Q1233" t="s">
        <v>65</v>
      </c>
      <c r="R1233" s="3">
        <v>26965.7595</v>
      </c>
    </row>
    <row r="1234" spans="1:18" x14ac:dyDescent="0.3">
      <c r="A1234" t="s">
        <v>6616</v>
      </c>
      <c r="B1234" t="str">
        <f>TEXT(Raw_Data[[#This Row],[Order Date]],"mmm")</f>
        <v>Mar</v>
      </c>
      <c r="C1234" t="s">
        <v>504</v>
      </c>
      <c r="D1234" t="s">
        <v>6617</v>
      </c>
      <c r="E1234" t="s">
        <v>48</v>
      </c>
      <c r="F1234" t="s">
        <v>69</v>
      </c>
      <c r="G1234" t="s">
        <v>328</v>
      </c>
      <c r="H1234" t="s">
        <v>154</v>
      </c>
      <c r="I1234" t="s">
        <v>155</v>
      </c>
      <c r="J1234" t="s">
        <v>100</v>
      </c>
      <c r="K1234" t="s">
        <v>6618</v>
      </c>
      <c r="L1234">
        <v>0.15</v>
      </c>
      <c r="M1234" t="s">
        <v>6619</v>
      </c>
      <c r="N1234" t="s">
        <v>6620</v>
      </c>
      <c r="O1234" t="s">
        <v>29</v>
      </c>
      <c r="P1234" t="s">
        <v>30</v>
      </c>
      <c r="Q1234" t="s">
        <v>65</v>
      </c>
      <c r="R1234" s="3">
        <v>30443.710499999899</v>
      </c>
    </row>
    <row r="1235" spans="1:18" x14ac:dyDescent="0.3">
      <c r="A1235" t="s">
        <v>6621</v>
      </c>
      <c r="B1235" t="str">
        <f>TEXT(Raw_Data[[#This Row],[Order Date]],"mmm")</f>
        <v>Feb</v>
      </c>
      <c r="C1235" t="s">
        <v>201</v>
      </c>
      <c r="D1235" t="s">
        <v>6622</v>
      </c>
      <c r="E1235" t="s">
        <v>48</v>
      </c>
      <c r="F1235" t="s">
        <v>106</v>
      </c>
      <c r="G1235" t="s">
        <v>106</v>
      </c>
      <c r="H1235" t="s">
        <v>80</v>
      </c>
      <c r="I1235" t="s">
        <v>131</v>
      </c>
      <c r="J1235" t="s">
        <v>25</v>
      </c>
      <c r="K1235" t="s">
        <v>6623</v>
      </c>
      <c r="L1235">
        <v>0.1</v>
      </c>
      <c r="M1235" t="s">
        <v>6624</v>
      </c>
      <c r="N1235" t="s">
        <v>6625</v>
      </c>
      <c r="O1235" t="s">
        <v>173</v>
      </c>
      <c r="P1235" t="s">
        <v>30</v>
      </c>
      <c r="Q1235" t="s">
        <v>31</v>
      </c>
      <c r="R1235" s="3">
        <v>5350.2120000000004</v>
      </c>
    </row>
    <row r="1236" spans="1:18" x14ac:dyDescent="0.3">
      <c r="A1236" t="s">
        <v>6626</v>
      </c>
      <c r="B1236" t="str">
        <f>TEXT(Raw_Data[[#This Row],[Order Date]],"mmm")</f>
        <v>Mar</v>
      </c>
      <c r="C1236" t="s">
        <v>2180</v>
      </c>
      <c r="D1236" t="s">
        <v>6627</v>
      </c>
      <c r="E1236" t="s">
        <v>20</v>
      </c>
      <c r="F1236" t="s">
        <v>58</v>
      </c>
      <c r="G1236" t="s">
        <v>290</v>
      </c>
      <c r="H1236" t="s">
        <v>23</v>
      </c>
      <c r="I1236" t="s">
        <v>24</v>
      </c>
      <c r="J1236" t="s">
        <v>25</v>
      </c>
      <c r="K1236" t="s">
        <v>6628</v>
      </c>
      <c r="L1236">
        <v>0.1</v>
      </c>
      <c r="M1236" t="s">
        <v>6629</v>
      </c>
      <c r="N1236" t="s">
        <v>6630</v>
      </c>
      <c r="O1236" t="s">
        <v>173</v>
      </c>
      <c r="P1236" t="s">
        <v>30</v>
      </c>
      <c r="Q1236" t="s">
        <v>65</v>
      </c>
      <c r="R1236" s="3">
        <v>55740.392999999996</v>
      </c>
    </row>
    <row r="1237" spans="1:18" x14ac:dyDescent="0.3">
      <c r="A1237" t="s">
        <v>6631</v>
      </c>
      <c r="B1237" t="str">
        <f>TEXT(Raw_Data[[#This Row],[Order Date]],"mmm")</f>
        <v>Aug</v>
      </c>
      <c r="C1237" t="s">
        <v>1680</v>
      </c>
      <c r="D1237" t="s">
        <v>6632</v>
      </c>
      <c r="E1237" t="s">
        <v>20</v>
      </c>
      <c r="F1237" t="s">
        <v>69</v>
      </c>
      <c r="G1237" t="s">
        <v>139</v>
      </c>
      <c r="H1237" t="s">
        <v>23</v>
      </c>
      <c r="I1237" t="s">
        <v>263</v>
      </c>
      <c r="J1237" t="s">
        <v>25</v>
      </c>
      <c r="K1237" t="s">
        <v>6633</v>
      </c>
      <c r="L1237">
        <v>0.15</v>
      </c>
      <c r="M1237" t="s">
        <v>6634</v>
      </c>
      <c r="N1237" t="s">
        <v>6635</v>
      </c>
      <c r="O1237" t="s">
        <v>173</v>
      </c>
      <c r="P1237" t="s">
        <v>95</v>
      </c>
      <c r="Q1237" t="s">
        <v>44</v>
      </c>
      <c r="R1237" s="3">
        <v>54385.141999999898</v>
      </c>
    </row>
    <row r="1238" spans="1:18" x14ac:dyDescent="0.3">
      <c r="A1238" t="s">
        <v>6636</v>
      </c>
      <c r="B1238" t="str">
        <f>TEXT(Raw_Data[[#This Row],[Order Date]],"mmm")</f>
        <v>Jun</v>
      </c>
      <c r="C1238" t="s">
        <v>2272</v>
      </c>
      <c r="D1238" t="s">
        <v>6637</v>
      </c>
      <c r="E1238" t="s">
        <v>48</v>
      </c>
      <c r="F1238" t="s">
        <v>36</v>
      </c>
      <c r="G1238" t="s">
        <v>123</v>
      </c>
      <c r="H1238" t="s">
        <v>107</v>
      </c>
      <c r="I1238" t="s">
        <v>469</v>
      </c>
      <c r="J1238" t="s">
        <v>100</v>
      </c>
      <c r="K1238" t="s">
        <v>6638</v>
      </c>
      <c r="L1238">
        <v>0</v>
      </c>
      <c r="M1238" t="s">
        <v>6639</v>
      </c>
      <c r="N1238" t="s">
        <v>6640</v>
      </c>
      <c r="O1238" t="s">
        <v>173</v>
      </c>
      <c r="P1238" t="s">
        <v>30</v>
      </c>
      <c r="Q1238" t="s">
        <v>31</v>
      </c>
      <c r="R1238" s="3">
        <v>27729.27</v>
      </c>
    </row>
    <row r="1239" spans="1:18" x14ac:dyDescent="0.3">
      <c r="A1239" t="s">
        <v>6641</v>
      </c>
      <c r="B1239" t="str">
        <f>TEXT(Raw_Data[[#This Row],[Order Date]],"mmm")</f>
        <v>Feb</v>
      </c>
      <c r="C1239" t="s">
        <v>2515</v>
      </c>
      <c r="D1239" t="s">
        <v>6642</v>
      </c>
      <c r="E1239" t="s">
        <v>48</v>
      </c>
      <c r="F1239" t="s">
        <v>89</v>
      </c>
      <c r="G1239" t="s">
        <v>99</v>
      </c>
      <c r="H1239" t="s">
        <v>80</v>
      </c>
      <c r="I1239" t="s">
        <v>116</v>
      </c>
      <c r="J1239" t="s">
        <v>50</v>
      </c>
      <c r="K1239" t="s">
        <v>6643</v>
      </c>
      <c r="L1239">
        <v>0.1</v>
      </c>
      <c r="M1239" t="s">
        <v>6644</v>
      </c>
      <c r="N1239" t="s">
        <v>6645</v>
      </c>
      <c r="O1239" t="s">
        <v>64</v>
      </c>
      <c r="P1239" t="s">
        <v>30</v>
      </c>
      <c r="Q1239" t="s">
        <v>44</v>
      </c>
      <c r="R1239" s="3">
        <v>8322.8760000000002</v>
      </c>
    </row>
    <row r="1240" spans="1:18" x14ac:dyDescent="0.3">
      <c r="A1240" t="s">
        <v>6646</v>
      </c>
      <c r="B1240" t="str">
        <f>TEXT(Raw_Data[[#This Row],[Order Date]],"mmm")</f>
        <v>May</v>
      </c>
      <c r="C1240" t="s">
        <v>301</v>
      </c>
      <c r="D1240" t="s">
        <v>6647</v>
      </c>
      <c r="E1240" t="s">
        <v>48</v>
      </c>
      <c r="F1240" t="s">
        <v>58</v>
      </c>
      <c r="G1240" t="s">
        <v>290</v>
      </c>
      <c r="H1240" t="s">
        <v>23</v>
      </c>
      <c r="I1240" t="s">
        <v>49</v>
      </c>
      <c r="J1240" t="s">
        <v>50</v>
      </c>
      <c r="K1240" t="s">
        <v>6648</v>
      </c>
      <c r="L1240">
        <v>0.15</v>
      </c>
      <c r="M1240" t="s">
        <v>6649</v>
      </c>
      <c r="N1240" t="s">
        <v>6650</v>
      </c>
      <c r="O1240" t="s">
        <v>29</v>
      </c>
      <c r="P1240" t="s">
        <v>30</v>
      </c>
      <c r="Q1240" t="s">
        <v>31</v>
      </c>
      <c r="R1240" s="3">
        <v>99839.333999999901</v>
      </c>
    </row>
    <row r="1241" spans="1:18" x14ac:dyDescent="0.3">
      <c r="A1241" t="s">
        <v>6651</v>
      </c>
      <c r="B1241" t="str">
        <f>TEXT(Raw_Data[[#This Row],[Order Date]],"mmm")</f>
        <v>Dec</v>
      </c>
      <c r="C1241" t="s">
        <v>3159</v>
      </c>
      <c r="D1241" t="s">
        <v>6652</v>
      </c>
      <c r="E1241" t="s">
        <v>48</v>
      </c>
      <c r="F1241" t="s">
        <v>215</v>
      </c>
      <c r="G1241" t="s">
        <v>216</v>
      </c>
      <c r="H1241" t="s">
        <v>107</v>
      </c>
      <c r="I1241" t="s">
        <v>591</v>
      </c>
      <c r="J1241" t="s">
        <v>100</v>
      </c>
      <c r="K1241" t="s">
        <v>6653</v>
      </c>
      <c r="L1241">
        <v>0.15</v>
      </c>
      <c r="M1241" t="s">
        <v>6654</v>
      </c>
      <c r="N1241" t="s">
        <v>6655</v>
      </c>
      <c r="O1241" t="s">
        <v>43</v>
      </c>
      <c r="P1241" t="s">
        <v>30</v>
      </c>
      <c r="Q1241" t="s">
        <v>31</v>
      </c>
      <c r="R1241" s="3">
        <v>28580.680499999999</v>
      </c>
    </row>
    <row r="1242" spans="1:18" x14ac:dyDescent="0.3">
      <c r="A1242" t="s">
        <v>6656</v>
      </c>
      <c r="B1242" t="str">
        <f>TEXT(Raw_Data[[#This Row],[Order Date]],"mmm")</f>
        <v>Dec</v>
      </c>
      <c r="C1242" t="s">
        <v>1769</v>
      </c>
      <c r="D1242" t="s">
        <v>6657</v>
      </c>
      <c r="E1242" t="s">
        <v>20</v>
      </c>
      <c r="F1242" t="s">
        <v>21</v>
      </c>
      <c r="G1242" t="s">
        <v>130</v>
      </c>
      <c r="H1242" t="s">
        <v>80</v>
      </c>
      <c r="I1242" t="s">
        <v>146</v>
      </c>
      <c r="J1242" t="s">
        <v>50</v>
      </c>
      <c r="K1242" t="s">
        <v>6658</v>
      </c>
      <c r="L1242">
        <v>0.15</v>
      </c>
      <c r="M1242" t="s">
        <v>6659</v>
      </c>
      <c r="N1242" t="s">
        <v>6660</v>
      </c>
      <c r="O1242" t="s">
        <v>54</v>
      </c>
      <c r="P1242" t="s">
        <v>30</v>
      </c>
      <c r="Q1242" t="s">
        <v>65</v>
      </c>
      <c r="R1242" s="3">
        <v>4496.9929999999904</v>
      </c>
    </row>
    <row r="1243" spans="1:18" x14ac:dyDescent="0.3">
      <c r="A1243" t="s">
        <v>6661</v>
      </c>
      <c r="B1243" t="str">
        <f>TEXT(Raw_Data[[#This Row],[Order Date]],"mmm")</f>
        <v>Nov</v>
      </c>
      <c r="C1243" t="s">
        <v>657</v>
      </c>
      <c r="D1243" t="s">
        <v>6662</v>
      </c>
      <c r="E1243" t="s">
        <v>20</v>
      </c>
      <c r="F1243" t="s">
        <v>58</v>
      </c>
      <c r="G1243" t="s">
        <v>812</v>
      </c>
      <c r="H1243" t="s">
        <v>38</v>
      </c>
      <c r="I1243" t="s">
        <v>256</v>
      </c>
      <c r="J1243" t="s">
        <v>50</v>
      </c>
      <c r="K1243" t="s">
        <v>6663</v>
      </c>
      <c r="L1243">
        <v>0.05</v>
      </c>
      <c r="M1243" t="s">
        <v>6664</v>
      </c>
      <c r="N1243" t="s">
        <v>6665</v>
      </c>
      <c r="O1243" t="s">
        <v>173</v>
      </c>
      <c r="P1243" t="s">
        <v>112</v>
      </c>
      <c r="Q1243" t="s">
        <v>44</v>
      </c>
      <c r="R1243" s="3">
        <v>5736.29</v>
      </c>
    </row>
    <row r="1244" spans="1:18" x14ac:dyDescent="0.3">
      <c r="A1244" t="s">
        <v>6666</v>
      </c>
      <c r="B1244" t="str">
        <f>TEXT(Raw_Data[[#This Row],[Order Date]],"mmm")</f>
        <v>Sep</v>
      </c>
      <c r="C1244" t="s">
        <v>188</v>
      </c>
      <c r="D1244" t="s">
        <v>6667</v>
      </c>
      <c r="E1244" t="s">
        <v>35</v>
      </c>
      <c r="F1244" t="s">
        <v>69</v>
      </c>
      <c r="G1244" t="s">
        <v>139</v>
      </c>
      <c r="H1244" t="s">
        <v>38</v>
      </c>
      <c r="I1244" t="s">
        <v>39</v>
      </c>
      <c r="J1244" t="s">
        <v>100</v>
      </c>
      <c r="K1244" t="s">
        <v>6668</v>
      </c>
      <c r="L1244">
        <v>0.1</v>
      </c>
      <c r="M1244" t="s">
        <v>6669</v>
      </c>
      <c r="N1244" t="s">
        <v>6670</v>
      </c>
      <c r="O1244" t="s">
        <v>43</v>
      </c>
      <c r="P1244" t="s">
        <v>159</v>
      </c>
      <c r="Q1244" t="s">
        <v>44</v>
      </c>
      <c r="R1244" s="3">
        <v>2386.6379999999999</v>
      </c>
    </row>
    <row r="1245" spans="1:18" x14ac:dyDescent="0.3">
      <c r="A1245" t="s">
        <v>6671</v>
      </c>
      <c r="B1245" t="str">
        <f>TEXT(Raw_Data[[#This Row],[Order Date]],"mmm")</f>
        <v>Aug</v>
      </c>
      <c r="C1245" t="s">
        <v>1245</v>
      </c>
      <c r="D1245" t="s">
        <v>6672</v>
      </c>
      <c r="E1245" t="s">
        <v>20</v>
      </c>
      <c r="F1245" t="s">
        <v>21</v>
      </c>
      <c r="G1245" t="s">
        <v>130</v>
      </c>
      <c r="H1245" t="s">
        <v>154</v>
      </c>
      <c r="I1245" t="s">
        <v>309</v>
      </c>
      <c r="J1245" t="s">
        <v>50</v>
      </c>
      <c r="K1245" t="s">
        <v>6673</v>
      </c>
      <c r="L1245">
        <v>0.15</v>
      </c>
      <c r="M1245" t="s">
        <v>6674</v>
      </c>
      <c r="N1245" t="s">
        <v>6675</v>
      </c>
      <c r="O1245" t="s">
        <v>43</v>
      </c>
      <c r="P1245" t="s">
        <v>112</v>
      </c>
      <c r="Q1245" t="s">
        <v>31</v>
      </c>
      <c r="R1245" s="3">
        <v>5836.0829999999996</v>
      </c>
    </row>
    <row r="1246" spans="1:18" x14ac:dyDescent="0.3">
      <c r="A1246" t="s">
        <v>6676</v>
      </c>
      <c r="B1246" t="str">
        <f>TEXT(Raw_Data[[#This Row],[Order Date]],"mmm")</f>
        <v>Jun</v>
      </c>
      <c r="C1246" t="s">
        <v>2068</v>
      </c>
      <c r="D1246" t="s">
        <v>6677</v>
      </c>
      <c r="E1246" t="s">
        <v>35</v>
      </c>
      <c r="F1246" t="s">
        <v>78</v>
      </c>
      <c r="G1246" t="s">
        <v>731</v>
      </c>
      <c r="H1246" t="s">
        <v>38</v>
      </c>
      <c r="I1246" t="s">
        <v>223</v>
      </c>
      <c r="J1246" t="s">
        <v>50</v>
      </c>
      <c r="K1246" t="s">
        <v>6678</v>
      </c>
      <c r="L1246">
        <v>0.1</v>
      </c>
      <c r="M1246" t="s">
        <v>6679</v>
      </c>
      <c r="N1246" t="s">
        <v>6680</v>
      </c>
      <c r="O1246" t="s">
        <v>64</v>
      </c>
      <c r="P1246" t="s">
        <v>30</v>
      </c>
      <c r="Q1246" t="s">
        <v>65</v>
      </c>
      <c r="R1246" s="3">
        <v>3068.154</v>
      </c>
    </row>
    <row r="1247" spans="1:18" x14ac:dyDescent="0.3">
      <c r="A1247" t="s">
        <v>6681</v>
      </c>
      <c r="B1247" t="str">
        <f>TEXT(Raw_Data[[#This Row],[Order Date]],"mmm")</f>
        <v>Dec</v>
      </c>
      <c r="C1247" t="s">
        <v>1769</v>
      </c>
      <c r="D1247" t="s">
        <v>6682</v>
      </c>
      <c r="E1247" t="s">
        <v>20</v>
      </c>
      <c r="F1247" t="s">
        <v>106</v>
      </c>
      <c r="G1247" t="s">
        <v>163</v>
      </c>
      <c r="H1247" t="s">
        <v>107</v>
      </c>
      <c r="I1247" t="s">
        <v>108</v>
      </c>
      <c r="J1247" t="s">
        <v>25</v>
      </c>
      <c r="K1247" t="s">
        <v>6683</v>
      </c>
      <c r="L1247">
        <v>0.15</v>
      </c>
      <c r="M1247" t="s">
        <v>6684</v>
      </c>
      <c r="N1247" t="s">
        <v>6685</v>
      </c>
      <c r="O1247" t="s">
        <v>29</v>
      </c>
      <c r="P1247" t="s">
        <v>30</v>
      </c>
      <c r="Q1247" t="s">
        <v>65</v>
      </c>
      <c r="R1247" s="3">
        <v>12533.267</v>
      </c>
    </row>
    <row r="1248" spans="1:18" x14ac:dyDescent="0.3">
      <c r="A1248" t="s">
        <v>6686</v>
      </c>
      <c r="B1248" t="str">
        <f>TEXT(Raw_Data[[#This Row],[Order Date]],"mmm")</f>
        <v>Jul</v>
      </c>
      <c r="C1248" t="s">
        <v>3049</v>
      </c>
      <c r="D1248" t="s">
        <v>6687</v>
      </c>
      <c r="E1248" t="s">
        <v>20</v>
      </c>
      <c r="F1248" t="s">
        <v>78</v>
      </c>
      <c r="G1248" t="s">
        <v>731</v>
      </c>
      <c r="H1248" t="s">
        <v>23</v>
      </c>
      <c r="I1248" t="s">
        <v>24</v>
      </c>
      <c r="J1248" t="s">
        <v>25</v>
      </c>
      <c r="K1248" t="s">
        <v>6688</v>
      </c>
      <c r="L1248">
        <v>0</v>
      </c>
      <c r="M1248" t="s">
        <v>6689</v>
      </c>
      <c r="N1248" t="s">
        <v>6690</v>
      </c>
      <c r="O1248" t="s">
        <v>43</v>
      </c>
      <c r="P1248" t="s">
        <v>30</v>
      </c>
      <c r="Q1248" t="s">
        <v>65</v>
      </c>
      <c r="R1248" s="3">
        <v>16449.93</v>
      </c>
    </row>
    <row r="1249" spans="1:18" x14ac:dyDescent="0.3">
      <c r="A1249" t="s">
        <v>6691</v>
      </c>
      <c r="B1249" t="str">
        <f>TEXT(Raw_Data[[#This Row],[Order Date]],"mmm")</f>
        <v>Dec</v>
      </c>
      <c r="C1249" t="s">
        <v>1003</v>
      </c>
      <c r="D1249" t="s">
        <v>6692</v>
      </c>
      <c r="E1249" t="s">
        <v>20</v>
      </c>
      <c r="F1249" t="s">
        <v>58</v>
      </c>
      <c r="G1249" t="s">
        <v>59</v>
      </c>
      <c r="H1249" t="s">
        <v>23</v>
      </c>
      <c r="I1249" t="s">
        <v>263</v>
      </c>
      <c r="J1249" t="s">
        <v>25</v>
      </c>
      <c r="K1249" t="s">
        <v>6693</v>
      </c>
      <c r="L1249">
        <v>0.05</v>
      </c>
      <c r="M1249" t="s">
        <v>6694</v>
      </c>
      <c r="N1249" t="s">
        <v>6695</v>
      </c>
      <c r="O1249" t="s">
        <v>173</v>
      </c>
      <c r="P1249" t="s">
        <v>30</v>
      </c>
      <c r="Q1249" t="s">
        <v>31</v>
      </c>
      <c r="R1249" s="3">
        <v>64164.006999999998</v>
      </c>
    </row>
    <row r="1250" spans="1:18" x14ac:dyDescent="0.3">
      <c r="A1250" t="s">
        <v>6696</v>
      </c>
      <c r="B1250" t="str">
        <f>TEXT(Raw_Data[[#This Row],[Order Date]],"mmm")</f>
        <v>Mar</v>
      </c>
      <c r="C1250" t="s">
        <v>3718</v>
      </c>
      <c r="D1250" t="s">
        <v>6697</v>
      </c>
      <c r="E1250" t="s">
        <v>48</v>
      </c>
      <c r="F1250" t="s">
        <v>78</v>
      </c>
      <c r="G1250" t="s">
        <v>468</v>
      </c>
      <c r="H1250" t="s">
        <v>23</v>
      </c>
      <c r="I1250" t="s">
        <v>49</v>
      </c>
      <c r="J1250" t="s">
        <v>50</v>
      </c>
      <c r="K1250" t="s">
        <v>6698</v>
      </c>
      <c r="L1250">
        <v>0.15</v>
      </c>
      <c r="M1250" t="s">
        <v>6699</v>
      </c>
      <c r="N1250" t="s">
        <v>6700</v>
      </c>
      <c r="O1250" t="s">
        <v>29</v>
      </c>
      <c r="P1250" t="s">
        <v>30</v>
      </c>
      <c r="Q1250" t="s">
        <v>44</v>
      </c>
      <c r="R1250" s="3">
        <v>6422.8719999999903</v>
      </c>
    </row>
    <row r="1251" spans="1:18" x14ac:dyDescent="0.3">
      <c r="A1251" t="s">
        <v>6701</v>
      </c>
      <c r="B1251" t="str">
        <f>TEXT(Raw_Data[[#This Row],[Order Date]],"mmm")</f>
        <v>Nov</v>
      </c>
      <c r="C1251" t="s">
        <v>1144</v>
      </c>
      <c r="D1251" t="s">
        <v>6702</v>
      </c>
      <c r="E1251" t="s">
        <v>48</v>
      </c>
      <c r="F1251" t="s">
        <v>215</v>
      </c>
      <c r="G1251" t="s">
        <v>276</v>
      </c>
      <c r="H1251" t="s">
        <v>80</v>
      </c>
      <c r="I1251" t="s">
        <v>116</v>
      </c>
      <c r="J1251" t="s">
        <v>100</v>
      </c>
      <c r="K1251" t="s">
        <v>6703</v>
      </c>
      <c r="L1251">
        <v>0.05</v>
      </c>
      <c r="M1251" t="s">
        <v>6704</v>
      </c>
      <c r="N1251" t="s">
        <v>6705</v>
      </c>
      <c r="O1251" t="s">
        <v>54</v>
      </c>
      <c r="P1251" t="s">
        <v>30</v>
      </c>
      <c r="Q1251" t="s">
        <v>31</v>
      </c>
      <c r="R1251" s="3">
        <v>10457.5335</v>
      </c>
    </row>
    <row r="1252" spans="1:18" x14ac:dyDescent="0.3">
      <c r="A1252" t="s">
        <v>6706</v>
      </c>
      <c r="B1252" t="str">
        <f>TEXT(Raw_Data[[#This Row],[Order Date]],"mmm")</f>
        <v>Jun</v>
      </c>
      <c r="C1252" t="s">
        <v>2272</v>
      </c>
      <c r="D1252" t="s">
        <v>6707</v>
      </c>
      <c r="E1252" t="s">
        <v>35</v>
      </c>
      <c r="F1252" t="s">
        <v>78</v>
      </c>
      <c r="G1252" t="s">
        <v>468</v>
      </c>
      <c r="H1252" t="s">
        <v>23</v>
      </c>
      <c r="I1252" t="s">
        <v>24</v>
      </c>
      <c r="J1252" t="s">
        <v>100</v>
      </c>
      <c r="K1252" t="s">
        <v>6708</v>
      </c>
      <c r="L1252">
        <v>0.1</v>
      </c>
      <c r="M1252" t="s">
        <v>6709</v>
      </c>
      <c r="N1252" t="s">
        <v>6710</v>
      </c>
      <c r="O1252" t="s">
        <v>64</v>
      </c>
      <c r="P1252" t="s">
        <v>30</v>
      </c>
      <c r="Q1252" t="s">
        <v>31</v>
      </c>
      <c r="R1252" s="3">
        <v>126790.38</v>
      </c>
    </row>
    <row r="1253" spans="1:18" x14ac:dyDescent="0.3">
      <c r="A1253" t="s">
        <v>6711</v>
      </c>
      <c r="B1253" t="str">
        <f>TEXT(Raw_Data[[#This Row],[Order Date]],"mmm")</f>
        <v>Jan</v>
      </c>
      <c r="C1253" t="s">
        <v>2765</v>
      </c>
      <c r="D1253" t="s">
        <v>6712</v>
      </c>
      <c r="E1253" t="s">
        <v>48</v>
      </c>
      <c r="F1253" t="s">
        <v>106</v>
      </c>
      <c r="G1253" t="s">
        <v>163</v>
      </c>
      <c r="H1253" t="s">
        <v>154</v>
      </c>
      <c r="I1253" t="s">
        <v>309</v>
      </c>
      <c r="J1253" t="s">
        <v>50</v>
      </c>
      <c r="K1253" t="s">
        <v>6713</v>
      </c>
      <c r="L1253">
        <v>0.1</v>
      </c>
      <c r="M1253" t="s">
        <v>6714</v>
      </c>
      <c r="N1253" t="s">
        <v>6715</v>
      </c>
      <c r="O1253" t="s">
        <v>173</v>
      </c>
      <c r="P1253" t="s">
        <v>30</v>
      </c>
      <c r="Q1253" t="s">
        <v>31</v>
      </c>
      <c r="R1253" s="3">
        <v>6491.268</v>
      </c>
    </row>
    <row r="1254" spans="1:18" x14ac:dyDescent="0.3">
      <c r="A1254" t="s">
        <v>6716</v>
      </c>
      <c r="B1254" t="str">
        <f>TEXT(Raw_Data[[#This Row],[Order Date]],"mmm")</f>
        <v>Jan</v>
      </c>
      <c r="C1254" t="s">
        <v>669</v>
      </c>
      <c r="D1254" t="s">
        <v>6717</v>
      </c>
      <c r="E1254" t="s">
        <v>35</v>
      </c>
      <c r="F1254" t="s">
        <v>89</v>
      </c>
      <c r="G1254" t="s">
        <v>90</v>
      </c>
      <c r="H1254" t="s">
        <v>23</v>
      </c>
      <c r="I1254" t="s">
        <v>263</v>
      </c>
      <c r="J1254" t="s">
        <v>50</v>
      </c>
      <c r="K1254" t="s">
        <v>6718</v>
      </c>
      <c r="L1254">
        <v>0.05</v>
      </c>
      <c r="M1254" t="s">
        <v>6719</v>
      </c>
      <c r="N1254" t="s">
        <v>6720</v>
      </c>
      <c r="O1254" t="s">
        <v>43</v>
      </c>
      <c r="P1254" t="s">
        <v>30</v>
      </c>
      <c r="Q1254" t="s">
        <v>31</v>
      </c>
      <c r="R1254" s="3">
        <v>96416.525999999998</v>
      </c>
    </row>
    <row r="1255" spans="1:18" x14ac:dyDescent="0.3">
      <c r="A1255" t="s">
        <v>6721</v>
      </c>
      <c r="B1255" t="str">
        <f>TEXT(Raw_Data[[#This Row],[Order Date]],"mmm")</f>
        <v>Oct</v>
      </c>
      <c r="C1255" t="s">
        <v>1239</v>
      </c>
      <c r="D1255" t="s">
        <v>6722</v>
      </c>
      <c r="E1255" t="s">
        <v>35</v>
      </c>
      <c r="F1255" t="s">
        <v>69</v>
      </c>
      <c r="G1255" t="s">
        <v>70</v>
      </c>
      <c r="H1255" t="s">
        <v>80</v>
      </c>
      <c r="I1255" t="s">
        <v>131</v>
      </c>
      <c r="J1255" t="s">
        <v>25</v>
      </c>
      <c r="K1255" t="s">
        <v>6723</v>
      </c>
      <c r="L1255">
        <v>0.05</v>
      </c>
      <c r="M1255" t="s">
        <v>6724</v>
      </c>
      <c r="N1255" t="s">
        <v>6725</v>
      </c>
      <c r="O1255" t="s">
        <v>29</v>
      </c>
      <c r="P1255" t="s">
        <v>30</v>
      </c>
      <c r="Q1255" t="s">
        <v>44</v>
      </c>
      <c r="R1255" s="3">
        <v>4010.9189999999999</v>
      </c>
    </row>
    <row r="1256" spans="1:18" x14ac:dyDescent="0.3">
      <c r="A1256" t="s">
        <v>6726</v>
      </c>
      <c r="B1256" t="str">
        <f>TEXT(Raw_Data[[#This Row],[Order Date]],"mmm")</f>
        <v>Jan</v>
      </c>
      <c r="C1256" t="s">
        <v>1296</v>
      </c>
      <c r="D1256" t="s">
        <v>6727</v>
      </c>
      <c r="E1256" t="s">
        <v>20</v>
      </c>
      <c r="F1256" t="s">
        <v>36</v>
      </c>
      <c r="G1256" t="s">
        <v>37</v>
      </c>
      <c r="H1256" t="s">
        <v>107</v>
      </c>
      <c r="I1256" t="s">
        <v>277</v>
      </c>
      <c r="J1256" t="s">
        <v>25</v>
      </c>
      <c r="K1256" t="s">
        <v>6728</v>
      </c>
      <c r="L1256">
        <v>0.1</v>
      </c>
      <c r="M1256" t="s">
        <v>6729</v>
      </c>
      <c r="N1256" t="s">
        <v>6730</v>
      </c>
      <c r="O1256" t="s">
        <v>29</v>
      </c>
      <c r="P1256" t="s">
        <v>30</v>
      </c>
      <c r="Q1256" t="s">
        <v>44</v>
      </c>
      <c r="R1256" s="3">
        <v>15607.611000000001</v>
      </c>
    </row>
    <row r="1257" spans="1:18" x14ac:dyDescent="0.3">
      <c r="A1257" t="s">
        <v>6731</v>
      </c>
      <c r="B1257" t="str">
        <f>TEXT(Raw_Data[[#This Row],[Order Date]],"mmm")</f>
        <v>Jun</v>
      </c>
      <c r="C1257" t="s">
        <v>3638</v>
      </c>
      <c r="D1257" t="s">
        <v>6732</v>
      </c>
      <c r="E1257" t="s">
        <v>48</v>
      </c>
      <c r="F1257" t="s">
        <v>89</v>
      </c>
      <c r="G1257" t="s">
        <v>230</v>
      </c>
      <c r="H1257" t="s">
        <v>23</v>
      </c>
      <c r="I1257" t="s">
        <v>49</v>
      </c>
      <c r="J1257" t="s">
        <v>50</v>
      </c>
      <c r="K1257" t="s">
        <v>6733</v>
      </c>
      <c r="L1257">
        <v>0.15</v>
      </c>
      <c r="M1257" t="s">
        <v>6734</v>
      </c>
      <c r="N1257" t="s">
        <v>6735</v>
      </c>
      <c r="O1257" t="s">
        <v>43</v>
      </c>
      <c r="P1257" t="s">
        <v>30</v>
      </c>
      <c r="Q1257" t="s">
        <v>31</v>
      </c>
      <c r="R1257" s="3">
        <v>45897.161</v>
      </c>
    </row>
    <row r="1258" spans="1:18" x14ac:dyDescent="0.3">
      <c r="A1258" t="s">
        <v>6736</v>
      </c>
      <c r="B1258" t="str">
        <f>TEXT(Raw_Data[[#This Row],[Order Date]],"mmm")</f>
        <v>Sep</v>
      </c>
      <c r="C1258" t="s">
        <v>1280</v>
      </c>
      <c r="D1258" t="s">
        <v>6737</v>
      </c>
      <c r="E1258" t="s">
        <v>35</v>
      </c>
      <c r="F1258" t="s">
        <v>106</v>
      </c>
      <c r="G1258" t="s">
        <v>106</v>
      </c>
      <c r="H1258" t="s">
        <v>80</v>
      </c>
      <c r="I1258" t="s">
        <v>81</v>
      </c>
      <c r="J1258" t="s">
        <v>50</v>
      </c>
      <c r="K1258" t="s">
        <v>6738</v>
      </c>
      <c r="L1258">
        <v>0.15</v>
      </c>
      <c r="M1258" t="s">
        <v>6739</v>
      </c>
      <c r="N1258" t="s">
        <v>6740</v>
      </c>
      <c r="O1258" t="s">
        <v>43</v>
      </c>
      <c r="P1258" t="s">
        <v>30</v>
      </c>
      <c r="Q1258" t="s">
        <v>44</v>
      </c>
      <c r="R1258" s="3">
        <v>9555.4279999999999</v>
      </c>
    </row>
    <row r="1259" spans="1:18" x14ac:dyDescent="0.3">
      <c r="A1259" t="s">
        <v>6741</v>
      </c>
      <c r="B1259" t="str">
        <f>TEXT(Raw_Data[[#This Row],[Order Date]],"mmm")</f>
        <v>Nov</v>
      </c>
      <c r="C1259" t="s">
        <v>3096</v>
      </c>
      <c r="D1259" t="s">
        <v>6742</v>
      </c>
      <c r="E1259" t="s">
        <v>35</v>
      </c>
      <c r="F1259" t="s">
        <v>21</v>
      </c>
      <c r="G1259" t="s">
        <v>22</v>
      </c>
      <c r="H1259" t="s">
        <v>80</v>
      </c>
      <c r="I1259" t="s">
        <v>116</v>
      </c>
      <c r="J1259" t="s">
        <v>25</v>
      </c>
      <c r="K1259" t="s">
        <v>6743</v>
      </c>
      <c r="L1259">
        <v>0.1</v>
      </c>
      <c r="M1259" t="s">
        <v>6744</v>
      </c>
      <c r="N1259" t="s">
        <v>6745</v>
      </c>
      <c r="O1259" t="s">
        <v>29</v>
      </c>
      <c r="P1259" t="s">
        <v>30</v>
      </c>
      <c r="Q1259" t="s">
        <v>65</v>
      </c>
      <c r="R1259" s="3">
        <v>5211.2430000000004</v>
      </c>
    </row>
    <row r="1260" spans="1:18" x14ac:dyDescent="0.3">
      <c r="A1260" t="s">
        <v>6746</v>
      </c>
      <c r="B1260" t="str">
        <f>TEXT(Raw_Data[[#This Row],[Order Date]],"mmm")</f>
        <v>Dec</v>
      </c>
      <c r="C1260" t="s">
        <v>268</v>
      </c>
      <c r="D1260" t="s">
        <v>6747</v>
      </c>
      <c r="E1260" t="s">
        <v>48</v>
      </c>
      <c r="F1260" t="s">
        <v>106</v>
      </c>
      <c r="G1260" t="s">
        <v>163</v>
      </c>
      <c r="H1260" t="s">
        <v>23</v>
      </c>
      <c r="I1260" t="s">
        <v>341</v>
      </c>
      <c r="J1260" t="s">
        <v>50</v>
      </c>
      <c r="K1260" t="s">
        <v>6748</v>
      </c>
      <c r="L1260">
        <v>0.1</v>
      </c>
      <c r="M1260" t="s">
        <v>6749</v>
      </c>
      <c r="N1260" t="s">
        <v>6750</v>
      </c>
      <c r="O1260" t="s">
        <v>43</v>
      </c>
      <c r="P1260" t="s">
        <v>30</v>
      </c>
      <c r="Q1260" t="s">
        <v>44</v>
      </c>
      <c r="R1260" s="3">
        <v>95217.012000000002</v>
      </c>
    </row>
    <row r="1261" spans="1:18" x14ac:dyDescent="0.3">
      <c r="A1261" t="s">
        <v>6751</v>
      </c>
      <c r="B1261" t="str">
        <f>TEXT(Raw_Data[[#This Row],[Order Date]],"mmm")</f>
        <v>Oct</v>
      </c>
      <c r="C1261" t="s">
        <v>584</v>
      </c>
      <c r="D1261" t="s">
        <v>6752</v>
      </c>
      <c r="E1261" t="s">
        <v>48</v>
      </c>
      <c r="F1261" t="s">
        <v>106</v>
      </c>
      <c r="G1261" t="s">
        <v>163</v>
      </c>
      <c r="H1261" t="s">
        <v>38</v>
      </c>
      <c r="I1261" t="s">
        <v>71</v>
      </c>
      <c r="J1261" t="s">
        <v>100</v>
      </c>
      <c r="K1261" t="s">
        <v>6753</v>
      </c>
      <c r="L1261">
        <v>0.1</v>
      </c>
      <c r="M1261" t="s">
        <v>6754</v>
      </c>
      <c r="N1261" t="s">
        <v>6755</v>
      </c>
      <c r="O1261" t="s">
        <v>29</v>
      </c>
      <c r="P1261" t="s">
        <v>30</v>
      </c>
      <c r="Q1261" t="s">
        <v>31</v>
      </c>
      <c r="R1261" s="3">
        <v>2483.0549999999998</v>
      </c>
    </row>
    <row r="1262" spans="1:18" x14ac:dyDescent="0.3">
      <c r="A1262" t="s">
        <v>6756</v>
      </c>
      <c r="B1262" t="str">
        <f>TEXT(Raw_Data[[#This Row],[Order Date]],"mmm")</f>
        <v>Dec</v>
      </c>
      <c r="C1262" t="s">
        <v>1769</v>
      </c>
      <c r="D1262" t="s">
        <v>6757</v>
      </c>
      <c r="E1262" t="s">
        <v>48</v>
      </c>
      <c r="F1262" t="s">
        <v>106</v>
      </c>
      <c r="G1262" t="s">
        <v>163</v>
      </c>
      <c r="H1262" t="s">
        <v>80</v>
      </c>
      <c r="I1262" t="s">
        <v>81</v>
      </c>
      <c r="J1262" t="s">
        <v>25</v>
      </c>
      <c r="K1262" t="s">
        <v>6758</v>
      </c>
      <c r="L1262">
        <v>0.2</v>
      </c>
      <c r="M1262" t="s">
        <v>6759</v>
      </c>
      <c r="N1262" t="s">
        <v>6760</v>
      </c>
      <c r="O1262" t="s">
        <v>64</v>
      </c>
      <c r="P1262" t="s">
        <v>30</v>
      </c>
      <c r="Q1262" t="s">
        <v>31</v>
      </c>
      <c r="R1262" s="3">
        <v>2646.768</v>
      </c>
    </row>
    <row r="1263" spans="1:18" x14ac:dyDescent="0.3">
      <c r="A1263" t="s">
        <v>6761</v>
      </c>
      <c r="B1263" t="str">
        <f>TEXT(Raw_Data[[#This Row],[Order Date]],"mmm")</f>
        <v>Sep</v>
      </c>
      <c r="C1263" t="s">
        <v>834</v>
      </c>
      <c r="D1263" t="s">
        <v>6762</v>
      </c>
      <c r="E1263" t="s">
        <v>48</v>
      </c>
      <c r="F1263" t="s">
        <v>106</v>
      </c>
      <c r="G1263" t="s">
        <v>163</v>
      </c>
      <c r="H1263" t="s">
        <v>38</v>
      </c>
      <c r="I1263" t="s">
        <v>256</v>
      </c>
      <c r="J1263" t="s">
        <v>25</v>
      </c>
      <c r="K1263" t="s">
        <v>6763</v>
      </c>
      <c r="L1263">
        <v>0.05</v>
      </c>
      <c r="M1263" t="s">
        <v>6764</v>
      </c>
      <c r="N1263" t="s">
        <v>6765</v>
      </c>
      <c r="O1263" t="s">
        <v>54</v>
      </c>
      <c r="P1263" t="s">
        <v>30</v>
      </c>
      <c r="Q1263" t="s">
        <v>31</v>
      </c>
      <c r="R1263" s="3">
        <v>2035.70749999999</v>
      </c>
    </row>
    <row r="1264" spans="1:18" x14ac:dyDescent="0.3">
      <c r="A1264" t="s">
        <v>6766</v>
      </c>
      <c r="B1264" t="str">
        <f>TEXT(Raw_Data[[#This Row],[Order Date]],"mmm")</f>
        <v>Jan</v>
      </c>
      <c r="C1264" t="s">
        <v>1949</v>
      </c>
      <c r="D1264" t="s">
        <v>6767</v>
      </c>
      <c r="E1264" t="s">
        <v>48</v>
      </c>
      <c r="F1264" t="s">
        <v>58</v>
      </c>
      <c r="G1264" t="s">
        <v>812</v>
      </c>
      <c r="H1264" t="s">
        <v>23</v>
      </c>
      <c r="I1264" t="s">
        <v>24</v>
      </c>
      <c r="J1264" t="s">
        <v>50</v>
      </c>
      <c r="K1264" t="s">
        <v>6768</v>
      </c>
      <c r="L1264">
        <v>0.1</v>
      </c>
      <c r="M1264" t="s">
        <v>6769</v>
      </c>
      <c r="N1264" t="s">
        <v>6770</v>
      </c>
      <c r="O1264" t="s">
        <v>43</v>
      </c>
      <c r="P1264" t="s">
        <v>30</v>
      </c>
      <c r="Q1264" t="s">
        <v>31</v>
      </c>
      <c r="R1264" s="3">
        <v>93495.834000000003</v>
      </c>
    </row>
    <row r="1265" spans="1:18" x14ac:dyDescent="0.3">
      <c r="A1265" t="s">
        <v>6771</v>
      </c>
      <c r="B1265" t="str">
        <f>TEXT(Raw_Data[[#This Row],[Order Date]],"mmm")</f>
        <v>May</v>
      </c>
      <c r="C1265" t="s">
        <v>1348</v>
      </c>
      <c r="D1265" t="s">
        <v>6772</v>
      </c>
      <c r="E1265" t="s">
        <v>48</v>
      </c>
      <c r="F1265" t="s">
        <v>69</v>
      </c>
      <c r="G1265" t="s">
        <v>70</v>
      </c>
      <c r="H1265" t="s">
        <v>107</v>
      </c>
      <c r="I1265" t="s">
        <v>469</v>
      </c>
      <c r="J1265" t="s">
        <v>25</v>
      </c>
      <c r="K1265" t="s">
        <v>6773</v>
      </c>
      <c r="L1265">
        <v>0</v>
      </c>
      <c r="M1265" t="s">
        <v>6774</v>
      </c>
      <c r="N1265" t="s">
        <v>6775</v>
      </c>
      <c r="O1265" t="s">
        <v>29</v>
      </c>
      <c r="P1265" t="s">
        <v>112</v>
      </c>
      <c r="Q1265" t="s">
        <v>31</v>
      </c>
      <c r="R1265" s="3">
        <v>14412.44</v>
      </c>
    </row>
    <row r="1266" spans="1:18" x14ac:dyDescent="0.3">
      <c r="A1266" t="s">
        <v>6776</v>
      </c>
      <c r="B1266" t="str">
        <f>TEXT(Raw_Data[[#This Row],[Order Date]],"mmm")</f>
        <v>Aug</v>
      </c>
      <c r="C1266" t="s">
        <v>6777</v>
      </c>
      <c r="D1266" t="s">
        <v>6778</v>
      </c>
      <c r="E1266" t="s">
        <v>20</v>
      </c>
      <c r="F1266" t="s">
        <v>36</v>
      </c>
      <c r="G1266" t="s">
        <v>153</v>
      </c>
      <c r="H1266" t="s">
        <v>107</v>
      </c>
      <c r="I1266" t="s">
        <v>591</v>
      </c>
      <c r="J1266" t="s">
        <v>50</v>
      </c>
      <c r="K1266" t="s">
        <v>6779</v>
      </c>
      <c r="L1266">
        <v>0.05</v>
      </c>
      <c r="M1266" t="s">
        <v>6780</v>
      </c>
      <c r="N1266" t="s">
        <v>6781</v>
      </c>
      <c r="O1266" t="s">
        <v>43</v>
      </c>
      <c r="P1266" t="s">
        <v>159</v>
      </c>
      <c r="Q1266" t="s">
        <v>65</v>
      </c>
      <c r="R1266" s="3">
        <v>20167.530999999999</v>
      </c>
    </row>
    <row r="1267" spans="1:18" x14ac:dyDescent="0.3">
      <c r="A1267" t="s">
        <v>6782</v>
      </c>
      <c r="B1267" t="str">
        <f>TEXT(Raw_Data[[#This Row],[Order Date]],"mmm")</f>
        <v>Oct</v>
      </c>
      <c r="C1267" t="s">
        <v>5733</v>
      </c>
      <c r="D1267" t="s">
        <v>6783</v>
      </c>
      <c r="E1267" t="s">
        <v>35</v>
      </c>
      <c r="F1267" t="s">
        <v>36</v>
      </c>
      <c r="G1267" t="s">
        <v>37</v>
      </c>
      <c r="H1267" t="s">
        <v>23</v>
      </c>
      <c r="I1267" t="s">
        <v>49</v>
      </c>
      <c r="J1267" t="s">
        <v>25</v>
      </c>
      <c r="K1267" t="s">
        <v>6784</v>
      </c>
      <c r="L1267">
        <v>0.15</v>
      </c>
      <c r="M1267" t="s">
        <v>6785</v>
      </c>
      <c r="N1267" t="s">
        <v>6786</v>
      </c>
      <c r="O1267" t="s">
        <v>173</v>
      </c>
      <c r="P1267" t="s">
        <v>30</v>
      </c>
      <c r="Q1267" t="s">
        <v>44</v>
      </c>
      <c r="R1267" s="3">
        <v>11303.81</v>
      </c>
    </row>
    <row r="1268" spans="1:18" x14ac:dyDescent="0.3">
      <c r="A1268" t="s">
        <v>6787</v>
      </c>
      <c r="B1268" t="str">
        <f>TEXT(Raw_Data[[#This Row],[Order Date]],"mmm")</f>
        <v>Jul</v>
      </c>
      <c r="C1268" t="s">
        <v>3354</v>
      </c>
      <c r="D1268" t="s">
        <v>6788</v>
      </c>
      <c r="E1268" t="s">
        <v>35</v>
      </c>
      <c r="F1268" t="s">
        <v>69</v>
      </c>
      <c r="G1268" t="s">
        <v>139</v>
      </c>
      <c r="H1268" t="s">
        <v>107</v>
      </c>
      <c r="I1268" t="s">
        <v>378</v>
      </c>
      <c r="J1268" t="s">
        <v>50</v>
      </c>
      <c r="K1268" t="s">
        <v>6789</v>
      </c>
      <c r="L1268">
        <v>0.2</v>
      </c>
      <c r="M1268" t="s">
        <v>6790</v>
      </c>
      <c r="N1268" t="s">
        <v>6791</v>
      </c>
      <c r="O1268" t="s">
        <v>29</v>
      </c>
      <c r="P1268" t="s">
        <v>30</v>
      </c>
      <c r="Q1268" t="s">
        <v>31</v>
      </c>
      <c r="R1268" s="3">
        <v>5103.6000000000004</v>
      </c>
    </row>
    <row r="1269" spans="1:18" x14ac:dyDescent="0.3">
      <c r="A1269" t="s">
        <v>6792</v>
      </c>
      <c r="B1269" t="str">
        <f>TEXT(Raw_Data[[#This Row],[Order Date]],"mmm")</f>
        <v>Nov</v>
      </c>
      <c r="C1269" t="s">
        <v>1697</v>
      </c>
      <c r="D1269" t="s">
        <v>6793</v>
      </c>
      <c r="E1269" t="s">
        <v>48</v>
      </c>
      <c r="F1269" t="s">
        <v>69</v>
      </c>
      <c r="G1269" t="s">
        <v>328</v>
      </c>
      <c r="H1269" t="s">
        <v>154</v>
      </c>
      <c r="I1269" t="s">
        <v>365</v>
      </c>
      <c r="J1269" t="s">
        <v>25</v>
      </c>
      <c r="K1269" t="s">
        <v>6794</v>
      </c>
      <c r="L1269">
        <v>0.1</v>
      </c>
      <c r="M1269" t="s">
        <v>6795</v>
      </c>
      <c r="N1269" t="s">
        <v>6796</v>
      </c>
      <c r="O1269" t="s">
        <v>43</v>
      </c>
      <c r="P1269" t="s">
        <v>30</v>
      </c>
      <c r="Q1269" t="s">
        <v>65</v>
      </c>
      <c r="R1269" s="3">
        <v>7262.19</v>
      </c>
    </row>
    <row r="1270" spans="1:18" x14ac:dyDescent="0.3">
      <c r="A1270" t="s">
        <v>6797</v>
      </c>
      <c r="B1270" t="str">
        <f>TEXT(Raw_Data[[#This Row],[Order Date]],"mmm")</f>
        <v>Apr</v>
      </c>
      <c r="C1270" t="s">
        <v>596</v>
      </c>
      <c r="D1270" t="s">
        <v>6798</v>
      </c>
      <c r="E1270" t="s">
        <v>35</v>
      </c>
      <c r="F1270" t="s">
        <v>21</v>
      </c>
      <c r="G1270" t="s">
        <v>130</v>
      </c>
      <c r="H1270" t="s">
        <v>23</v>
      </c>
      <c r="I1270" t="s">
        <v>24</v>
      </c>
      <c r="J1270" t="s">
        <v>25</v>
      </c>
      <c r="K1270" t="s">
        <v>6799</v>
      </c>
      <c r="L1270">
        <v>0</v>
      </c>
      <c r="M1270" t="s">
        <v>6800</v>
      </c>
      <c r="N1270" t="s">
        <v>6801</v>
      </c>
      <c r="O1270" t="s">
        <v>54</v>
      </c>
      <c r="P1270" t="s">
        <v>30</v>
      </c>
      <c r="Q1270" t="s">
        <v>44</v>
      </c>
      <c r="R1270" s="3">
        <v>55044.71</v>
      </c>
    </row>
    <row r="1271" spans="1:18" x14ac:dyDescent="0.3">
      <c r="A1271" t="s">
        <v>6802</v>
      </c>
      <c r="B1271" t="str">
        <f>TEXT(Raw_Data[[#This Row],[Order Date]],"mmm")</f>
        <v>Dec</v>
      </c>
      <c r="C1271" t="s">
        <v>965</v>
      </c>
      <c r="D1271" t="s">
        <v>6803</v>
      </c>
      <c r="E1271" t="s">
        <v>48</v>
      </c>
      <c r="F1271" t="s">
        <v>89</v>
      </c>
      <c r="G1271" t="s">
        <v>230</v>
      </c>
      <c r="H1271" t="s">
        <v>80</v>
      </c>
      <c r="I1271" t="s">
        <v>131</v>
      </c>
      <c r="J1271" t="s">
        <v>25</v>
      </c>
      <c r="K1271" t="s">
        <v>6804</v>
      </c>
      <c r="L1271">
        <v>0.05</v>
      </c>
      <c r="M1271" t="s">
        <v>6805</v>
      </c>
      <c r="N1271" t="s">
        <v>6806</v>
      </c>
      <c r="O1271" t="s">
        <v>54</v>
      </c>
      <c r="P1271" t="s">
        <v>30</v>
      </c>
      <c r="Q1271" t="s">
        <v>31</v>
      </c>
      <c r="R1271" s="3">
        <v>1841.8125</v>
      </c>
    </row>
    <row r="1272" spans="1:18" x14ac:dyDescent="0.3">
      <c r="A1272" t="s">
        <v>6807</v>
      </c>
      <c r="B1272" t="str">
        <f>TEXT(Raw_Data[[#This Row],[Order Date]],"mmm")</f>
        <v>Jul</v>
      </c>
      <c r="C1272" t="s">
        <v>6808</v>
      </c>
      <c r="D1272" t="s">
        <v>6809</v>
      </c>
      <c r="E1272" t="s">
        <v>20</v>
      </c>
      <c r="F1272" t="s">
        <v>58</v>
      </c>
      <c r="G1272" t="s">
        <v>59</v>
      </c>
      <c r="H1272" t="s">
        <v>107</v>
      </c>
      <c r="I1272" t="s">
        <v>277</v>
      </c>
      <c r="J1272" t="s">
        <v>50</v>
      </c>
      <c r="K1272" t="s">
        <v>6810</v>
      </c>
      <c r="L1272">
        <v>0.05</v>
      </c>
      <c r="M1272" t="s">
        <v>6811</v>
      </c>
      <c r="N1272" t="s">
        <v>6812</v>
      </c>
      <c r="O1272" t="s">
        <v>43</v>
      </c>
      <c r="P1272" t="s">
        <v>30</v>
      </c>
      <c r="Q1272" t="s">
        <v>31</v>
      </c>
      <c r="R1272" s="3">
        <v>30524.088999999902</v>
      </c>
    </row>
    <row r="1273" spans="1:18" x14ac:dyDescent="0.3">
      <c r="A1273" t="s">
        <v>6813</v>
      </c>
      <c r="B1273" t="str">
        <f>TEXT(Raw_Data[[#This Row],[Order Date]],"mmm")</f>
        <v>Apr</v>
      </c>
      <c r="C1273" t="s">
        <v>137</v>
      </c>
      <c r="D1273" t="s">
        <v>6814</v>
      </c>
      <c r="E1273" t="s">
        <v>20</v>
      </c>
      <c r="F1273" t="s">
        <v>106</v>
      </c>
      <c r="G1273" t="s">
        <v>106</v>
      </c>
      <c r="H1273" t="s">
        <v>107</v>
      </c>
      <c r="I1273" t="s">
        <v>591</v>
      </c>
      <c r="J1273" t="s">
        <v>25</v>
      </c>
      <c r="K1273" t="s">
        <v>6815</v>
      </c>
      <c r="L1273">
        <v>0.05</v>
      </c>
      <c r="M1273" t="s">
        <v>6816</v>
      </c>
      <c r="N1273" t="s">
        <v>6817</v>
      </c>
      <c r="O1273" t="s">
        <v>29</v>
      </c>
      <c r="P1273" t="s">
        <v>30</v>
      </c>
      <c r="Q1273" t="s">
        <v>65</v>
      </c>
      <c r="R1273" s="3">
        <v>13257.772499999999</v>
      </c>
    </row>
    <row r="1274" spans="1:18" x14ac:dyDescent="0.3">
      <c r="A1274" t="s">
        <v>6818</v>
      </c>
      <c r="B1274" t="str">
        <f>TEXT(Raw_Data[[#This Row],[Order Date]],"mmm")</f>
        <v>Dec</v>
      </c>
      <c r="C1274" t="s">
        <v>573</v>
      </c>
      <c r="D1274" t="s">
        <v>6819</v>
      </c>
      <c r="E1274" t="s">
        <v>35</v>
      </c>
      <c r="F1274" t="s">
        <v>21</v>
      </c>
      <c r="G1274" t="s">
        <v>22</v>
      </c>
      <c r="H1274" t="s">
        <v>107</v>
      </c>
      <c r="I1274" t="s">
        <v>378</v>
      </c>
      <c r="J1274" t="s">
        <v>25</v>
      </c>
      <c r="K1274" t="s">
        <v>6820</v>
      </c>
      <c r="L1274">
        <v>0.05</v>
      </c>
      <c r="M1274" t="s">
        <v>6821</v>
      </c>
      <c r="N1274" t="s">
        <v>6822</v>
      </c>
      <c r="O1274" t="s">
        <v>29</v>
      </c>
      <c r="P1274" t="s">
        <v>30</v>
      </c>
      <c r="Q1274" t="s">
        <v>31</v>
      </c>
      <c r="R1274" s="3">
        <v>11156.724</v>
      </c>
    </row>
    <row r="1275" spans="1:18" x14ac:dyDescent="0.3">
      <c r="A1275" t="s">
        <v>6823</v>
      </c>
      <c r="B1275" t="str">
        <f>TEXT(Raw_Data[[#This Row],[Order Date]],"mmm")</f>
        <v>Apr</v>
      </c>
      <c r="C1275" t="s">
        <v>67</v>
      </c>
      <c r="D1275" t="s">
        <v>6824</v>
      </c>
      <c r="E1275" t="s">
        <v>35</v>
      </c>
      <c r="F1275" t="s">
        <v>58</v>
      </c>
      <c r="G1275" t="s">
        <v>290</v>
      </c>
      <c r="H1275" t="s">
        <v>38</v>
      </c>
      <c r="I1275" t="s">
        <v>60</v>
      </c>
      <c r="J1275" t="s">
        <v>50</v>
      </c>
      <c r="K1275" t="s">
        <v>6825</v>
      </c>
      <c r="L1275">
        <v>0</v>
      </c>
      <c r="M1275" t="s">
        <v>6826</v>
      </c>
      <c r="N1275" t="s">
        <v>6827</v>
      </c>
      <c r="O1275" t="s">
        <v>43</v>
      </c>
      <c r="P1275" t="s">
        <v>30</v>
      </c>
      <c r="Q1275" t="s">
        <v>44</v>
      </c>
      <c r="R1275" s="3">
        <v>6995.92</v>
      </c>
    </row>
    <row r="1276" spans="1:18" x14ac:dyDescent="0.3">
      <c r="A1276" t="s">
        <v>6828</v>
      </c>
      <c r="B1276" t="str">
        <f>TEXT(Raw_Data[[#This Row],[Order Date]],"mmm")</f>
        <v>Jun</v>
      </c>
      <c r="C1276" t="s">
        <v>3993</v>
      </c>
      <c r="D1276" t="s">
        <v>6829</v>
      </c>
      <c r="E1276" t="s">
        <v>20</v>
      </c>
      <c r="F1276" t="s">
        <v>78</v>
      </c>
      <c r="G1276" t="s">
        <v>468</v>
      </c>
      <c r="H1276" t="s">
        <v>23</v>
      </c>
      <c r="I1276" t="s">
        <v>49</v>
      </c>
      <c r="J1276" t="s">
        <v>25</v>
      </c>
      <c r="K1276" t="s">
        <v>6830</v>
      </c>
      <c r="L1276">
        <v>0</v>
      </c>
      <c r="M1276" t="s">
        <v>6831</v>
      </c>
      <c r="N1276" t="s">
        <v>6832</v>
      </c>
      <c r="O1276" t="s">
        <v>29</v>
      </c>
      <c r="P1276" t="s">
        <v>30</v>
      </c>
      <c r="Q1276" t="s">
        <v>44</v>
      </c>
      <c r="R1276" s="3">
        <v>6173.77</v>
      </c>
    </row>
    <row r="1277" spans="1:18" x14ac:dyDescent="0.3">
      <c r="A1277" t="s">
        <v>6833</v>
      </c>
      <c r="B1277" t="str">
        <f>TEXT(Raw_Data[[#This Row],[Order Date]],"mmm")</f>
        <v>May</v>
      </c>
      <c r="C1277" t="s">
        <v>1498</v>
      </c>
      <c r="D1277" t="s">
        <v>6834</v>
      </c>
      <c r="E1277" t="s">
        <v>20</v>
      </c>
      <c r="F1277" t="s">
        <v>36</v>
      </c>
      <c r="G1277" t="s">
        <v>123</v>
      </c>
      <c r="H1277" t="s">
        <v>80</v>
      </c>
      <c r="I1277" t="s">
        <v>116</v>
      </c>
      <c r="J1277" t="s">
        <v>25</v>
      </c>
      <c r="K1277" t="s">
        <v>6835</v>
      </c>
      <c r="L1277">
        <v>0.15</v>
      </c>
      <c r="M1277" t="s">
        <v>6836</v>
      </c>
      <c r="N1277" t="s">
        <v>6837</v>
      </c>
      <c r="O1277" t="s">
        <v>64</v>
      </c>
      <c r="P1277" t="s">
        <v>112</v>
      </c>
      <c r="Q1277" t="s">
        <v>65</v>
      </c>
      <c r="R1277" s="3">
        <v>4887.3639999999996</v>
      </c>
    </row>
    <row r="1278" spans="1:18" x14ac:dyDescent="0.3">
      <c r="A1278" t="s">
        <v>6838</v>
      </c>
      <c r="B1278" t="str">
        <f>TEXT(Raw_Data[[#This Row],[Order Date]],"mmm")</f>
        <v>Nov</v>
      </c>
      <c r="C1278" t="s">
        <v>516</v>
      </c>
      <c r="D1278" t="s">
        <v>6839</v>
      </c>
      <c r="E1278" t="s">
        <v>35</v>
      </c>
      <c r="F1278" t="s">
        <v>89</v>
      </c>
      <c r="G1278" t="s">
        <v>230</v>
      </c>
      <c r="H1278" t="s">
        <v>154</v>
      </c>
      <c r="I1278" t="s">
        <v>365</v>
      </c>
      <c r="J1278" t="s">
        <v>25</v>
      </c>
      <c r="K1278" t="s">
        <v>6840</v>
      </c>
      <c r="L1278">
        <v>0.1</v>
      </c>
      <c r="M1278" t="s">
        <v>6841</v>
      </c>
      <c r="N1278" t="s">
        <v>6135</v>
      </c>
      <c r="O1278" t="s">
        <v>64</v>
      </c>
      <c r="P1278" t="s">
        <v>159</v>
      </c>
      <c r="Q1278" t="s">
        <v>31</v>
      </c>
      <c r="R1278" s="3">
        <v>1772.325</v>
      </c>
    </row>
    <row r="1279" spans="1:18" x14ac:dyDescent="0.3">
      <c r="A1279" t="s">
        <v>6842</v>
      </c>
      <c r="B1279" t="str">
        <f>TEXT(Raw_Data[[#This Row],[Order Date]],"mmm")</f>
        <v>Jan</v>
      </c>
      <c r="C1279" t="s">
        <v>1296</v>
      </c>
      <c r="D1279" t="s">
        <v>6843</v>
      </c>
      <c r="E1279" t="s">
        <v>48</v>
      </c>
      <c r="F1279" t="s">
        <v>69</v>
      </c>
      <c r="G1279" t="s">
        <v>70</v>
      </c>
      <c r="H1279" t="s">
        <v>80</v>
      </c>
      <c r="I1279" t="s">
        <v>131</v>
      </c>
      <c r="J1279" t="s">
        <v>25</v>
      </c>
      <c r="K1279" t="s">
        <v>6844</v>
      </c>
      <c r="L1279">
        <v>0.15</v>
      </c>
      <c r="M1279" t="s">
        <v>6845</v>
      </c>
      <c r="N1279" t="s">
        <v>6846</v>
      </c>
      <c r="O1279" t="s">
        <v>29</v>
      </c>
      <c r="P1279" t="s">
        <v>30</v>
      </c>
      <c r="Q1279" t="s">
        <v>44</v>
      </c>
      <c r="R1279" s="3">
        <v>3147.0484999999999</v>
      </c>
    </row>
    <row r="1280" spans="1:18" x14ac:dyDescent="0.3">
      <c r="A1280" t="s">
        <v>6847</v>
      </c>
      <c r="B1280" t="str">
        <f>TEXT(Raw_Data[[#This Row],[Order Date]],"mmm")</f>
        <v>Jun</v>
      </c>
      <c r="C1280" t="s">
        <v>2163</v>
      </c>
      <c r="D1280" t="s">
        <v>6848</v>
      </c>
      <c r="E1280" t="s">
        <v>20</v>
      </c>
      <c r="F1280" t="s">
        <v>21</v>
      </c>
      <c r="G1280" t="s">
        <v>130</v>
      </c>
      <c r="H1280" t="s">
        <v>154</v>
      </c>
      <c r="I1280" t="s">
        <v>155</v>
      </c>
      <c r="J1280" t="s">
        <v>25</v>
      </c>
      <c r="K1280" t="s">
        <v>6849</v>
      </c>
      <c r="L1280">
        <v>0.05</v>
      </c>
      <c r="M1280" t="s">
        <v>6850</v>
      </c>
      <c r="N1280" t="s">
        <v>6851</v>
      </c>
      <c r="O1280" t="s">
        <v>173</v>
      </c>
      <c r="P1280" t="s">
        <v>112</v>
      </c>
      <c r="Q1280" t="s">
        <v>31</v>
      </c>
      <c r="R1280" s="3">
        <v>2260.6484999999998</v>
      </c>
    </row>
    <row r="1281" spans="1:18" x14ac:dyDescent="0.3">
      <c r="A1281" t="s">
        <v>6852</v>
      </c>
      <c r="B1281" t="str">
        <f>TEXT(Raw_Data[[#This Row],[Order Date]],"mmm")</f>
        <v>Apr</v>
      </c>
      <c r="C1281" t="s">
        <v>454</v>
      </c>
      <c r="D1281" t="s">
        <v>6853</v>
      </c>
      <c r="E1281" t="s">
        <v>35</v>
      </c>
      <c r="F1281" t="s">
        <v>215</v>
      </c>
      <c r="G1281" t="s">
        <v>276</v>
      </c>
      <c r="H1281" t="s">
        <v>80</v>
      </c>
      <c r="I1281" t="s">
        <v>131</v>
      </c>
      <c r="J1281" t="s">
        <v>25</v>
      </c>
      <c r="K1281" t="s">
        <v>6854</v>
      </c>
      <c r="L1281">
        <v>0.1</v>
      </c>
      <c r="M1281" t="s">
        <v>6855</v>
      </c>
      <c r="N1281" t="s">
        <v>6856</v>
      </c>
      <c r="O1281" t="s">
        <v>29</v>
      </c>
      <c r="P1281" t="s">
        <v>95</v>
      </c>
      <c r="Q1281" t="s">
        <v>31</v>
      </c>
      <c r="R1281" s="3">
        <v>1329.453</v>
      </c>
    </row>
    <row r="1282" spans="1:18" x14ac:dyDescent="0.3">
      <c r="A1282" t="s">
        <v>6857</v>
      </c>
      <c r="B1282" t="str">
        <f>TEXT(Raw_Data[[#This Row],[Order Date]],"mmm")</f>
        <v>Dec</v>
      </c>
      <c r="C1282" t="s">
        <v>1380</v>
      </c>
      <c r="D1282" t="s">
        <v>6858</v>
      </c>
      <c r="E1282" t="s">
        <v>20</v>
      </c>
      <c r="F1282" t="s">
        <v>21</v>
      </c>
      <c r="G1282" t="s">
        <v>130</v>
      </c>
      <c r="H1282" t="s">
        <v>154</v>
      </c>
      <c r="I1282" t="s">
        <v>365</v>
      </c>
      <c r="J1282" t="s">
        <v>25</v>
      </c>
      <c r="K1282" t="s">
        <v>6859</v>
      </c>
      <c r="L1282">
        <v>0.05</v>
      </c>
      <c r="M1282" t="s">
        <v>6860</v>
      </c>
      <c r="N1282" t="s">
        <v>6861</v>
      </c>
      <c r="O1282" t="s">
        <v>64</v>
      </c>
      <c r="P1282" t="s">
        <v>30</v>
      </c>
      <c r="Q1282" t="s">
        <v>65</v>
      </c>
      <c r="R1282" s="3">
        <v>7125.7979999999998</v>
      </c>
    </row>
    <row r="1283" spans="1:18" x14ac:dyDescent="0.3">
      <c r="A1283" t="s">
        <v>6862</v>
      </c>
      <c r="B1283" t="str">
        <f>TEXT(Raw_Data[[#This Row],[Order Date]],"mmm")</f>
        <v>Apr</v>
      </c>
      <c r="C1283" t="s">
        <v>4751</v>
      </c>
      <c r="D1283" t="s">
        <v>6863</v>
      </c>
      <c r="E1283" t="s">
        <v>35</v>
      </c>
      <c r="F1283" t="s">
        <v>21</v>
      </c>
      <c r="G1283" t="s">
        <v>22</v>
      </c>
      <c r="H1283" t="s">
        <v>107</v>
      </c>
      <c r="I1283" t="s">
        <v>378</v>
      </c>
      <c r="J1283" t="s">
        <v>25</v>
      </c>
      <c r="K1283" t="s">
        <v>6864</v>
      </c>
      <c r="L1283">
        <v>0</v>
      </c>
      <c r="M1283" t="s">
        <v>6865</v>
      </c>
      <c r="N1283" t="s">
        <v>6866</v>
      </c>
      <c r="O1283" t="s">
        <v>29</v>
      </c>
      <c r="P1283" t="s">
        <v>30</v>
      </c>
      <c r="Q1283" t="s">
        <v>31</v>
      </c>
      <c r="R1283" s="3">
        <v>2264.42</v>
      </c>
    </row>
    <row r="1284" spans="1:18" x14ac:dyDescent="0.3">
      <c r="A1284" t="s">
        <v>6867</v>
      </c>
      <c r="B1284" t="str">
        <f>TEXT(Raw_Data[[#This Row],[Order Date]],"mmm")</f>
        <v>Oct</v>
      </c>
      <c r="C1284" t="s">
        <v>584</v>
      </c>
      <c r="D1284" t="s">
        <v>6868</v>
      </c>
      <c r="E1284" t="s">
        <v>35</v>
      </c>
      <c r="F1284" t="s">
        <v>78</v>
      </c>
      <c r="G1284" t="s">
        <v>731</v>
      </c>
      <c r="H1284" t="s">
        <v>23</v>
      </c>
      <c r="I1284" t="s">
        <v>49</v>
      </c>
      <c r="J1284" t="s">
        <v>25</v>
      </c>
      <c r="K1284" t="s">
        <v>6869</v>
      </c>
      <c r="L1284">
        <v>0.1</v>
      </c>
      <c r="M1284" t="s">
        <v>6870</v>
      </c>
      <c r="N1284" t="s">
        <v>6871</v>
      </c>
      <c r="O1284" t="s">
        <v>173</v>
      </c>
      <c r="P1284" t="s">
        <v>30</v>
      </c>
      <c r="Q1284" t="s">
        <v>31</v>
      </c>
      <c r="R1284" s="3">
        <v>59520.023999999998</v>
      </c>
    </row>
    <row r="1285" spans="1:18" x14ac:dyDescent="0.3">
      <c r="A1285" t="s">
        <v>6872</v>
      </c>
      <c r="B1285" t="str">
        <f>TEXT(Raw_Data[[#This Row],[Order Date]],"mmm")</f>
        <v>Feb</v>
      </c>
      <c r="C1285" t="s">
        <v>702</v>
      </c>
      <c r="D1285" t="s">
        <v>6873</v>
      </c>
      <c r="E1285" t="s">
        <v>20</v>
      </c>
      <c r="F1285" t="s">
        <v>106</v>
      </c>
      <c r="G1285" t="s">
        <v>163</v>
      </c>
      <c r="H1285" t="s">
        <v>23</v>
      </c>
      <c r="I1285" t="s">
        <v>49</v>
      </c>
      <c r="J1285" t="s">
        <v>25</v>
      </c>
      <c r="K1285" t="s">
        <v>6874</v>
      </c>
      <c r="L1285">
        <v>0</v>
      </c>
      <c r="M1285" t="s">
        <v>6875</v>
      </c>
      <c r="N1285" t="s">
        <v>6876</v>
      </c>
      <c r="O1285" t="s">
        <v>29</v>
      </c>
      <c r="P1285" t="s">
        <v>30</v>
      </c>
      <c r="Q1285" t="s">
        <v>65</v>
      </c>
      <c r="R1285" s="3">
        <v>5341.92</v>
      </c>
    </row>
    <row r="1286" spans="1:18" x14ac:dyDescent="0.3">
      <c r="A1286" t="s">
        <v>6877</v>
      </c>
      <c r="B1286" t="str">
        <f>TEXT(Raw_Data[[#This Row],[Order Date]],"mmm")</f>
        <v>Mar</v>
      </c>
      <c r="C1286" t="s">
        <v>1915</v>
      </c>
      <c r="D1286" t="s">
        <v>6878</v>
      </c>
      <c r="E1286" t="s">
        <v>35</v>
      </c>
      <c r="F1286" t="s">
        <v>58</v>
      </c>
      <c r="G1286" t="s">
        <v>812</v>
      </c>
      <c r="H1286" t="s">
        <v>38</v>
      </c>
      <c r="I1286" t="s">
        <v>256</v>
      </c>
      <c r="J1286" t="s">
        <v>100</v>
      </c>
      <c r="K1286" t="s">
        <v>6879</v>
      </c>
      <c r="L1286">
        <v>0.15</v>
      </c>
      <c r="M1286" t="s">
        <v>6880</v>
      </c>
      <c r="N1286" t="s">
        <v>6881</v>
      </c>
      <c r="O1286" t="s">
        <v>43</v>
      </c>
      <c r="P1286" t="s">
        <v>30</v>
      </c>
      <c r="Q1286" t="s">
        <v>65</v>
      </c>
      <c r="R1286" s="3">
        <v>10760.7704999999</v>
      </c>
    </row>
    <row r="1287" spans="1:18" x14ac:dyDescent="0.3">
      <c r="A1287" t="s">
        <v>6882</v>
      </c>
      <c r="B1287" t="str">
        <f>TEXT(Raw_Data[[#This Row],[Order Date]],"mmm")</f>
        <v>Oct</v>
      </c>
      <c r="C1287" t="s">
        <v>383</v>
      </c>
      <c r="D1287" t="s">
        <v>6883</v>
      </c>
      <c r="E1287" t="s">
        <v>35</v>
      </c>
      <c r="F1287" t="s">
        <v>36</v>
      </c>
      <c r="G1287" t="s">
        <v>123</v>
      </c>
      <c r="H1287" t="s">
        <v>80</v>
      </c>
      <c r="I1287" t="s">
        <v>81</v>
      </c>
      <c r="J1287" t="s">
        <v>82</v>
      </c>
      <c r="K1287" t="s">
        <v>6884</v>
      </c>
      <c r="L1287">
        <v>0</v>
      </c>
      <c r="M1287" t="s">
        <v>6885</v>
      </c>
      <c r="N1287" t="s">
        <v>6886</v>
      </c>
      <c r="O1287" t="s">
        <v>43</v>
      </c>
      <c r="P1287" t="s">
        <v>30</v>
      </c>
      <c r="Q1287" t="s">
        <v>31</v>
      </c>
      <c r="R1287" s="3">
        <v>6733.32</v>
      </c>
    </row>
    <row r="1288" spans="1:18" x14ac:dyDescent="0.3">
      <c r="A1288" t="s">
        <v>6887</v>
      </c>
      <c r="B1288" t="str">
        <f>TEXT(Raw_Data[[#This Row],[Order Date]],"mmm")</f>
        <v>Apr</v>
      </c>
      <c r="C1288" t="s">
        <v>2903</v>
      </c>
      <c r="D1288" t="s">
        <v>6888</v>
      </c>
      <c r="E1288" t="s">
        <v>35</v>
      </c>
      <c r="F1288" t="s">
        <v>89</v>
      </c>
      <c r="G1288" t="s">
        <v>99</v>
      </c>
      <c r="H1288" t="s">
        <v>154</v>
      </c>
      <c r="I1288" t="s">
        <v>1061</v>
      </c>
      <c r="J1288" t="s">
        <v>25</v>
      </c>
      <c r="K1288" t="s">
        <v>6889</v>
      </c>
      <c r="L1288">
        <v>0</v>
      </c>
      <c r="M1288" t="s">
        <v>6890</v>
      </c>
      <c r="N1288" t="s">
        <v>6891</v>
      </c>
      <c r="O1288" t="s">
        <v>54</v>
      </c>
      <c r="P1288" t="s">
        <v>30</v>
      </c>
      <c r="Q1288" t="s">
        <v>65</v>
      </c>
      <c r="R1288" s="3">
        <v>3219.88</v>
      </c>
    </row>
    <row r="1289" spans="1:18" x14ac:dyDescent="0.3">
      <c r="A1289" t="s">
        <v>6892</v>
      </c>
      <c r="B1289" t="str">
        <f>TEXT(Raw_Data[[#This Row],[Order Date]],"mmm")</f>
        <v>May</v>
      </c>
      <c r="C1289" t="s">
        <v>1533</v>
      </c>
      <c r="D1289" t="s">
        <v>6893</v>
      </c>
      <c r="E1289" t="s">
        <v>35</v>
      </c>
      <c r="F1289" t="s">
        <v>58</v>
      </c>
      <c r="G1289" t="s">
        <v>812</v>
      </c>
      <c r="H1289" t="s">
        <v>38</v>
      </c>
      <c r="I1289" t="s">
        <v>39</v>
      </c>
      <c r="J1289" t="s">
        <v>25</v>
      </c>
      <c r="K1289" t="s">
        <v>6894</v>
      </c>
      <c r="L1289">
        <v>0.1</v>
      </c>
      <c r="M1289" t="s">
        <v>6895</v>
      </c>
      <c r="N1289" t="s">
        <v>6896</v>
      </c>
      <c r="O1289" t="s">
        <v>173</v>
      </c>
      <c r="P1289" t="s">
        <v>30</v>
      </c>
      <c r="Q1289" t="s">
        <v>44</v>
      </c>
      <c r="R1289" s="3">
        <v>316.53899999999999</v>
      </c>
    </row>
    <row r="1290" spans="1:18" x14ac:dyDescent="0.3">
      <c r="A1290" t="s">
        <v>6897</v>
      </c>
      <c r="B1290" t="str">
        <f>TEXT(Raw_Data[[#This Row],[Order Date]],"mmm")</f>
        <v>Apr</v>
      </c>
      <c r="C1290" t="s">
        <v>2649</v>
      </c>
      <c r="D1290" t="s">
        <v>6898</v>
      </c>
      <c r="E1290" t="s">
        <v>48</v>
      </c>
      <c r="F1290" t="s">
        <v>89</v>
      </c>
      <c r="G1290" t="s">
        <v>230</v>
      </c>
      <c r="H1290" t="s">
        <v>23</v>
      </c>
      <c r="I1290" t="s">
        <v>24</v>
      </c>
      <c r="J1290" t="s">
        <v>25</v>
      </c>
      <c r="K1290" t="s">
        <v>6899</v>
      </c>
      <c r="L1290">
        <v>0.05</v>
      </c>
      <c r="M1290" t="s">
        <v>6900</v>
      </c>
      <c r="N1290" t="s">
        <v>6901</v>
      </c>
      <c r="O1290" t="s">
        <v>43</v>
      </c>
      <c r="P1290" t="s">
        <v>159</v>
      </c>
      <c r="Q1290" t="s">
        <v>31</v>
      </c>
      <c r="R1290" s="3">
        <v>17432.015500000001</v>
      </c>
    </row>
    <row r="1291" spans="1:18" x14ac:dyDescent="0.3">
      <c r="A1291" t="s">
        <v>6902</v>
      </c>
      <c r="B1291" t="str">
        <f>TEXT(Raw_Data[[#This Row],[Order Date]],"mmm")</f>
        <v>May</v>
      </c>
      <c r="C1291" t="s">
        <v>2693</v>
      </c>
      <c r="D1291" t="s">
        <v>6903</v>
      </c>
      <c r="E1291" t="s">
        <v>35</v>
      </c>
      <c r="F1291" t="s">
        <v>89</v>
      </c>
      <c r="G1291" t="s">
        <v>230</v>
      </c>
      <c r="H1291" t="s">
        <v>38</v>
      </c>
      <c r="I1291" t="s">
        <v>223</v>
      </c>
      <c r="J1291" t="s">
        <v>25</v>
      </c>
      <c r="K1291" t="s">
        <v>6904</v>
      </c>
      <c r="L1291">
        <v>0.1</v>
      </c>
      <c r="M1291" t="s">
        <v>6905</v>
      </c>
      <c r="N1291" t="s">
        <v>6906</v>
      </c>
      <c r="O1291" t="s">
        <v>173</v>
      </c>
      <c r="P1291" t="s">
        <v>30</v>
      </c>
      <c r="Q1291" t="s">
        <v>44</v>
      </c>
      <c r="R1291" s="3">
        <v>3569.8049999999998</v>
      </c>
    </row>
    <row r="1292" spans="1:18" x14ac:dyDescent="0.3">
      <c r="A1292" t="s">
        <v>6907</v>
      </c>
      <c r="B1292" t="str">
        <f>TEXT(Raw_Data[[#This Row],[Order Date]],"mmm")</f>
        <v>Jun</v>
      </c>
      <c r="C1292" t="s">
        <v>1047</v>
      </c>
      <c r="D1292" t="s">
        <v>6908</v>
      </c>
      <c r="E1292" t="s">
        <v>35</v>
      </c>
      <c r="F1292" t="s">
        <v>89</v>
      </c>
      <c r="G1292" t="s">
        <v>99</v>
      </c>
      <c r="H1292" t="s">
        <v>107</v>
      </c>
      <c r="I1292" t="s">
        <v>277</v>
      </c>
      <c r="J1292" t="s">
        <v>25</v>
      </c>
      <c r="K1292" t="s">
        <v>6909</v>
      </c>
      <c r="L1292">
        <v>0</v>
      </c>
      <c r="M1292" t="s">
        <v>6910</v>
      </c>
      <c r="N1292" t="s">
        <v>6911</v>
      </c>
      <c r="O1292" t="s">
        <v>64</v>
      </c>
      <c r="P1292" t="s">
        <v>30</v>
      </c>
      <c r="Q1292" t="s">
        <v>44</v>
      </c>
      <c r="R1292" s="3">
        <v>6428.75</v>
      </c>
    </row>
    <row r="1293" spans="1:18" x14ac:dyDescent="0.3">
      <c r="A1293" t="s">
        <v>6912</v>
      </c>
      <c r="B1293" t="str">
        <f>TEXT(Raw_Data[[#This Row],[Order Date]],"mmm")</f>
        <v>Nov</v>
      </c>
      <c r="C1293" t="s">
        <v>3696</v>
      </c>
      <c r="D1293" t="s">
        <v>6913</v>
      </c>
      <c r="E1293" t="s">
        <v>35</v>
      </c>
      <c r="F1293" t="s">
        <v>215</v>
      </c>
      <c r="G1293" t="s">
        <v>216</v>
      </c>
      <c r="H1293" t="s">
        <v>38</v>
      </c>
      <c r="I1293" t="s">
        <v>60</v>
      </c>
      <c r="J1293" t="s">
        <v>25</v>
      </c>
      <c r="K1293" t="s">
        <v>6914</v>
      </c>
      <c r="L1293">
        <v>0.1</v>
      </c>
      <c r="M1293" t="s">
        <v>6915</v>
      </c>
      <c r="N1293" t="s">
        <v>6916</v>
      </c>
      <c r="O1293" t="s">
        <v>43</v>
      </c>
      <c r="P1293" t="s">
        <v>30</v>
      </c>
      <c r="Q1293" t="s">
        <v>44</v>
      </c>
      <c r="R1293" s="3">
        <v>4249.5569999999998</v>
      </c>
    </row>
    <row r="1294" spans="1:18" x14ac:dyDescent="0.3">
      <c r="A1294" t="s">
        <v>6917</v>
      </c>
      <c r="B1294" t="str">
        <f>TEXT(Raw_Data[[#This Row],[Order Date]],"mmm")</f>
        <v>Apr</v>
      </c>
      <c r="C1294" t="s">
        <v>3622</v>
      </c>
      <c r="D1294" t="s">
        <v>6918</v>
      </c>
      <c r="E1294" t="s">
        <v>20</v>
      </c>
      <c r="F1294" t="s">
        <v>78</v>
      </c>
      <c r="G1294" t="s">
        <v>731</v>
      </c>
      <c r="H1294" t="s">
        <v>80</v>
      </c>
      <c r="I1294" t="s">
        <v>91</v>
      </c>
      <c r="J1294" t="s">
        <v>82</v>
      </c>
      <c r="K1294" t="s">
        <v>6919</v>
      </c>
      <c r="L1294">
        <v>0.1</v>
      </c>
      <c r="M1294" t="s">
        <v>6920</v>
      </c>
      <c r="N1294" t="s">
        <v>6921</v>
      </c>
      <c r="O1294" t="s">
        <v>43</v>
      </c>
      <c r="P1294" t="s">
        <v>30</v>
      </c>
      <c r="Q1294" t="s">
        <v>65</v>
      </c>
      <c r="R1294" s="3">
        <v>11083.896000000001</v>
      </c>
    </row>
    <row r="1295" spans="1:18" x14ac:dyDescent="0.3">
      <c r="A1295" t="s">
        <v>6922</v>
      </c>
      <c r="B1295" t="str">
        <f>TEXT(Raw_Data[[#This Row],[Order Date]],"mmm")</f>
        <v>Jan</v>
      </c>
      <c r="C1295" t="s">
        <v>891</v>
      </c>
      <c r="D1295" t="s">
        <v>6923</v>
      </c>
      <c r="E1295" t="s">
        <v>48</v>
      </c>
      <c r="F1295" t="s">
        <v>69</v>
      </c>
      <c r="G1295" t="s">
        <v>328</v>
      </c>
      <c r="H1295" t="s">
        <v>38</v>
      </c>
      <c r="I1295" t="s">
        <v>256</v>
      </c>
      <c r="J1295" t="s">
        <v>50</v>
      </c>
      <c r="K1295" t="s">
        <v>6924</v>
      </c>
      <c r="L1295">
        <v>0</v>
      </c>
      <c r="M1295" t="s">
        <v>6925</v>
      </c>
      <c r="N1295" t="s">
        <v>6926</v>
      </c>
      <c r="O1295" t="s">
        <v>173</v>
      </c>
      <c r="P1295" t="s">
        <v>30</v>
      </c>
      <c r="Q1295" t="s">
        <v>65</v>
      </c>
      <c r="R1295" s="3">
        <v>9146.24</v>
      </c>
    </row>
    <row r="1296" spans="1:18" x14ac:dyDescent="0.3">
      <c r="A1296" t="s">
        <v>6927</v>
      </c>
      <c r="B1296" t="str">
        <f>TEXT(Raw_Data[[#This Row],[Order Date]],"mmm")</f>
        <v>Apr</v>
      </c>
      <c r="C1296" t="s">
        <v>4059</v>
      </c>
      <c r="D1296" t="s">
        <v>6928</v>
      </c>
      <c r="E1296" t="s">
        <v>48</v>
      </c>
      <c r="F1296" t="s">
        <v>215</v>
      </c>
      <c r="G1296" t="s">
        <v>216</v>
      </c>
      <c r="H1296" t="s">
        <v>80</v>
      </c>
      <c r="I1296" t="s">
        <v>81</v>
      </c>
      <c r="J1296" t="s">
        <v>25</v>
      </c>
      <c r="K1296" t="s">
        <v>6929</v>
      </c>
      <c r="L1296">
        <v>0.05</v>
      </c>
      <c r="M1296" t="s">
        <v>6930</v>
      </c>
      <c r="N1296" t="s">
        <v>6931</v>
      </c>
      <c r="O1296" t="s">
        <v>54</v>
      </c>
      <c r="P1296" t="s">
        <v>30</v>
      </c>
      <c r="Q1296" t="s">
        <v>31</v>
      </c>
      <c r="R1296" s="3">
        <v>840.23699999999997</v>
      </c>
    </row>
    <row r="1297" spans="1:18" x14ac:dyDescent="0.3">
      <c r="A1297" t="s">
        <v>6932</v>
      </c>
      <c r="B1297" t="str">
        <f>TEXT(Raw_Data[[#This Row],[Order Date]],"mmm")</f>
        <v>Jan</v>
      </c>
      <c r="C1297" t="s">
        <v>924</v>
      </c>
      <c r="D1297" t="s">
        <v>6933</v>
      </c>
      <c r="E1297" t="s">
        <v>20</v>
      </c>
      <c r="F1297" t="s">
        <v>106</v>
      </c>
      <c r="G1297" t="s">
        <v>163</v>
      </c>
      <c r="H1297" t="s">
        <v>80</v>
      </c>
      <c r="I1297" t="s">
        <v>81</v>
      </c>
      <c r="J1297" t="s">
        <v>25</v>
      </c>
      <c r="K1297" t="s">
        <v>6934</v>
      </c>
      <c r="L1297">
        <v>0.1</v>
      </c>
      <c r="M1297" t="s">
        <v>6935</v>
      </c>
      <c r="N1297" t="s">
        <v>6936</v>
      </c>
      <c r="O1297" t="s">
        <v>43</v>
      </c>
      <c r="P1297" t="s">
        <v>30</v>
      </c>
      <c r="Q1297" t="s">
        <v>65</v>
      </c>
      <c r="R1297" s="3">
        <v>6218.0730000000003</v>
      </c>
    </row>
    <row r="1298" spans="1:18" x14ac:dyDescent="0.3">
      <c r="A1298" t="s">
        <v>6937</v>
      </c>
      <c r="B1298" t="str">
        <f>TEXT(Raw_Data[[#This Row],[Order Date]],"mmm")</f>
        <v>Feb</v>
      </c>
      <c r="C1298" t="s">
        <v>2515</v>
      </c>
      <c r="D1298" t="s">
        <v>6938</v>
      </c>
      <c r="E1298" t="s">
        <v>20</v>
      </c>
      <c r="F1298" t="s">
        <v>21</v>
      </c>
      <c r="G1298" t="s">
        <v>22</v>
      </c>
      <c r="H1298" t="s">
        <v>38</v>
      </c>
      <c r="I1298" t="s">
        <v>60</v>
      </c>
      <c r="J1298" t="s">
        <v>50</v>
      </c>
      <c r="K1298" t="s">
        <v>6939</v>
      </c>
      <c r="L1298">
        <v>0</v>
      </c>
      <c r="M1298" t="s">
        <v>6940</v>
      </c>
      <c r="N1298" t="s">
        <v>6941</v>
      </c>
      <c r="O1298" t="s">
        <v>173</v>
      </c>
      <c r="P1298" t="s">
        <v>30</v>
      </c>
      <c r="Q1298" t="s">
        <v>65</v>
      </c>
      <c r="R1298" s="3">
        <v>11065.32</v>
      </c>
    </row>
    <row r="1299" spans="1:18" x14ac:dyDescent="0.3">
      <c r="A1299" t="s">
        <v>6942</v>
      </c>
      <c r="B1299" t="str">
        <f>TEXT(Raw_Data[[#This Row],[Order Date]],"mmm")</f>
        <v>Jul</v>
      </c>
      <c r="C1299" t="s">
        <v>128</v>
      </c>
      <c r="D1299" t="s">
        <v>6943</v>
      </c>
      <c r="E1299" t="s">
        <v>20</v>
      </c>
      <c r="F1299" t="s">
        <v>106</v>
      </c>
      <c r="G1299" t="s">
        <v>163</v>
      </c>
      <c r="H1299" t="s">
        <v>107</v>
      </c>
      <c r="I1299" t="s">
        <v>591</v>
      </c>
      <c r="J1299" t="s">
        <v>25</v>
      </c>
      <c r="K1299" t="s">
        <v>6944</v>
      </c>
      <c r="L1299">
        <v>0.05</v>
      </c>
      <c r="M1299" t="s">
        <v>6945</v>
      </c>
      <c r="N1299" t="s">
        <v>6946</v>
      </c>
      <c r="O1299" t="s">
        <v>54</v>
      </c>
      <c r="P1299" t="s">
        <v>30</v>
      </c>
      <c r="Q1299" t="s">
        <v>65</v>
      </c>
      <c r="R1299" s="3">
        <v>7229.2529999999997</v>
      </c>
    </row>
    <row r="1300" spans="1:18" x14ac:dyDescent="0.3">
      <c r="A1300" t="s">
        <v>6947</v>
      </c>
      <c r="B1300" t="str">
        <f>TEXT(Raw_Data[[#This Row],[Order Date]],"mmm")</f>
        <v>Aug</v>
      </c>
      <c r="C1300" t="s">
        <v>1426</v>
      </c>
      <c r="D1300" t="s">
        <v>6948</v>
      </c>
      <c r="E1300" t="s">
        <v>20</v>
      </c>
      <c r="F1300" t="s">
        <v>69</v>
      </c>
      <c r="G1300" t="s">
        <v>328</v>
      </c>
      <c r="H1300" t="s">
        <v>107</v>
      </c>
      <c r="I1300" t="s">
        <v>108</v>
      </c>
      <c r="J1300" t="s">
        <v>25</v>
      </c>
      <c r="K1300" t="s">
        <v>6949</v>
      </c>
      <c r="L1300">
        <v>0.15</v>
      </c>
      <c r="M1300" t="s">
        <v>6950</v>
      </c>
      <c r="N1300" t="s">
        <v>6951</v>
      </c>
      <c r="O1300" t="s">
        <v>54</v>
      </c>
      <c r="P1300" t="s">
        <v>159</v>
      </c>
      <c r="Q1300" t="s">
        <v>44</v>
      </c>
      <c r="R1300" s="3">
        <v>11978.165999999999</v>
      </c>
    </row>
    <row r="1301" spans="1:18" x14ac:dyDescent="0.3">
      <c r="A1301" t="s">
        <v>6952</v>
      </c>
      <c r="B1301" t="str">
        <f>TEXT(Raw_Data[[#This Row],[Order Date]],"mmm")</f>
        <v>Mar</v>
      </c>
      <c r="C1301" t="s">
        <v>602</v>
      </c>
      <c r="D1301" t="s">
        <v>6953</v>
      </c>
      <c r="E1301" t="s">
        <v>35</v>
      </c>
      <c r="F1301" t="s">
        <v>106</v>
      </c>
      <c r="G1301" t="s">
        <v>106</v>
      </c>
      <c r="H1301" t="s">
        <v>23</v>
      </c>
      <c r="I1301" t="s">
        <v>24</v>
      </c>
      <c r="J1301" t="s">
        <v>25</v>
      </c>
      <c r="K1301" t="s">
        <v>6954</v>
      </c>
      <c r="L1301">
        <v>0.1</v>
      </c>
      <c r="M1301" t="s">
        <v>6955</v>
      </c>
      <c r="N1301" t="s">
        <v>6956</v>
      </c>
      <c r="O1301" t="s">
        <v>43</v>
      </c>
      <c r="P1301" t="s">
        <v>112</v>
      </c>
      <c r="Q1301" t="s">
        <v>44</v>
      </c>
      <c r="R1301" s="3">
        <v>9522.1080000000002</v>
      </c>
    </row>
    <row r="1302" spans="1:18" x14ac:dyDescent="0.3">
      <c r="A1302" t="s">
        <v>6957</v>
      </c>
      <c r="B1302" t="str">
        <f>TEXT(Raw_Data[[#This Row],[Order Date]],"mmm")</f>
        <v>Nov</v>
      </c>
      <c r="C1302" t="s">
        <v>851</v>
      </c>
      <c r="D1302" t="s">
        <v>6958</v>
      </c>
      <c r="E1302" t="s">
        <v>20</v>
      </c>
      <c r="F1302" t="s">
        <v>89</v>
      </c>
      <c r="G1302" t="s">
        <v>230</v>
      </c>
      <c r="H1302" t="s">
        <v>38</v>
      </c>
      <c r="I1302" t="s">
        <v>256</v>
      </c>
      <c r="J1302" t="s">
        <v>100</v>
      </c>
      <c r="K1302" t="s">
        <v>6959</v>
      </c>
      <c r="L1302">
        <v>0</v>
      </c>
      <c r="M1302" t="s">
        <v>6960</v>
      </c>
      <c r="N1302" t="s">
        <v>6961</v>
      </c>
      <c r="O1302" t="s">
        <v>54</v>
      </c>
      <c r="P1302" t="s">
        <v>30</v>
      </c>
      <c r="Q1302" t="s">
        <v>44</v>
      </c>
      <c r="R1302" s="3">
        <v>874.58999999999901</v>
      </c>
    </row>
    <row r="1303" spans="1:18" x14ac:dyDescent="0.3">
      <c r="A1303" t="s">
        <v>6962</v>
      </c>
      <c r="B1303" t="str">
        <f>TEXT(Raw_Data[[#This Row],[Order Date]],"mmm")</f>
        <v>Nov</v>
      </c>
      <c r="C1303" t="s">
        <v>1643</v>
      </c>
      <c r="D1303" t="s">
        <v>6963</v>
      </c>
      <c r="E1303" t="s">
        <v>48</v>
      </c>
      <c r="F1303" t="s">
        <v>78</v>
      </c>
      <c r="G1303" t="s">
        <v>731</v>
      </c>
      <c r="H1303" t="s">
        <v>154</v>
      </c>
      <c r="I1303" t="s">
        <v>365</v>
      </c>
      <c r="J1303" t="s">
        <v>25</v>
      </c>
      <c r="K1303" t="s">
        <v>6964</v>
      </c>
      <c r="L1303">
        <v>0.1</v>
      </c>
      <c r="M1303" t="s">
        <v>6965</v>
      </c>
      <c r="N1303" t="s">
        <v>6966</v>
      </c>
      <c r="O1303" t="s">
        <v>43</v>
      </c>
      <c r="P1303" t="s">
        <v>95</v>
      </c>
      <c r="Q1303" t="s">
        <v>44</v>
      </c>
      <c r="R1303" s="3">
        <v>5360.2470000000003</v>
      </c>
    </row>
    <row r="1304" spans="1:18" x14ac:dyDescent="0.3">
      <c r="A1304" t="s">
        <v>6967</v>
      </c>
      <c r="B1304" t="str">
        <f>TEXT(Raw_Data[[#This Row],[Order Date]],"mmm")</f>
        <v>Mar</v>
      </c>
      <c r="C1304" t="s">
        <v>56</v>
      </c>
      <c r="D1304" t="s">
        <v>6968</v>
      </c>
      <c r="E1304" t="s">
        <v>35</v>
      </c>
      <c r="F1304" t="s">
        <v>58</v>
      </c>
      <c r="G1304" t="s">
        <v>59</v>
      </c>
      <c r="H1304" t="s">
        <v>80</v>
      </c>
      <c r="I1304" t="s">
        <v>131</v>
      </c>
      <c r="J1304" t="s">
        <v>50</v>
      </c>
      <c r="K1304" t="s">
        <v>6969</v>
      </c>
      <c r="L1304">
        <v>0</v>
      </c>
      <c r="M1304" t="s">
        <v>6970</v>
      </c>
      <c r="N1304" t="s">
        <v>6971</v>
      </c>
      <c r="O1304" t="s">
        <v>29</v>
      </c>
      <c r="P1304" t="s">
        <v>30</v>
      </c>
      <c r="Q1304" t="s">
        <v>31</v>
      </c>
      <c r="R1304" s="3">
        <v>9783.58</v>
      </c>
    </row>
    <row r="1305" spans="1:18" x14ac:dyDescent="0.3">
      <c r="A1305" t="s">
        <v>6972</v>
      </c>
      <c r="B1305" t="str">
        <f>TEXT(Raw_Data[[#This Row],[Order Date]],"mmm")</f>
        <v>Dec</v>
      </c>
      <c r="C1305" t="s">
        <v>1093</v>
      </c>
      <c r="D1305" t="s">
        <v>6973</v>
      </c>
      <c r="E1305" t="s">
        <v>20</v>
      </c>
      <c r="F1305" t="s">
        <v>106</v>
      </c>
      <c r="G1305" t="s">
        <v>163</v>
      </c>
      <c r="H1305" t="s">
        <v>107</v>
      </c>
      <c r="I1305" t="s">
        <v>591</v>
      </c>
      <c r="J1305" t="s">
        <v>25</v>
      </c>
      <c r="K1305" t="s">
        <v>6974</v>
      </c>
      <c r="L1305">
        <v>0.1</v>
      </c>
      <c r="M1305" t="s">
        <v>6975</v>
      </c>
      <c r="N1305" t="s">
        <v>6976</v>
      </c>
      <c r="O1305" t="s">
        <v>29</v>
      </c>
      <c r="P1305" t="s">
        <v>30</v>
      </c>
      <c r="Q1305" t="s">
        <v>65</v>
      </c>
      <c r="R1305" s="3">
        <v>10006.550999999999</v>
      </c>
    </row>
    <row r="1306" spans="1:18" x14ac:dyDescent="0.3">
      <c r="A1306" t="s">
        <v>6977</v>
      </c>
      <c r="B1306" t="str">
        <f>TEXT(Raw_Data[[#This Row],[Order Date]],"mmm")</f>
        <v>Apr</v>
      </c>
      <c r="C1306" t="s">
        <v>1466</v>
      </c>
      <c r="D1306" t="s">
        <v>6978</v>
      </c>
      <c r="E1306" t="s">
        <v>48</v>
      </c>
      <c r="F1306" t="s">
        <v>21</v>
      </c>
      <c r="G1306" t="s">
        <v>22</v>
      </c>
      <c r="H1306" t="s">
        <v>23</v>
      </c>
      <c r="I1306" t="s">
        <v>183</v>
      </c>
      <c r="J1306" t="s">
        <v>25</v>
      </c>
      <c r="K1306" t="s">
        <v>6979</v>
      </c>
      <c r="L1306">
        <v>0.05</v>
      </c>
      <c r="M1306" t="s">
        <v>6980</v>
      </c>
      <c r="N1306" t="s">
        <v>6981</v>
      </c>
      <c r="O1306" t="s">
        <v>64</v>
      </c>
      <c r="P1306" t="s">
        <v>30</v>
      </c>
      <c r="Q1306" t="s">
        <v>65</v>
      </c>
      <c r="R1306" s="3">
        <v>53991.862999999998</v>
      </c>
    </row>
    <row r="1307" spans="1:18" x14ac:dyDescent="0.3">
      <c r="A1307" t="s">
        <v>6982</v>
      </c>
      <c r="B1307" t="str">
        <f>TEXT(Raw_Data[[#This Row],[Order Date]],"mmm")</f>
        <v>Sep</v>
      </c>
      <c r="C1307" t="s">
        <v>401</v>
      </c>
      <c r="D1307" t="s">
        <v>6983</v>
      </c>
      <c r="E1307" t="s">
        <v>35</v>
      </c>
      <c r="F1307" t="s">
        <v>106</v>
      </c>
      <c r="G1307" t="s">
        <v>106</v>
      </c>
      <c r="H1307" t="s">
        <v>80</v>
      </c>
      <c r="I1307" t="s">
        <v>116</v>
      </c>
      <c r="J1307" t="s">
        <v>25</v>
      </c>
      <c r="K1307" t="s">
        <v>6984</v>
      </c>
      <c r="L1307">
        <v>0.15</v>
      </c>
      <c r="M1307" t="s">
        <v>6985</v>
      </c>
      <c r="N1307" t="s">
        <v>6986</v>
      </c>
      <c r="O1307" t="s">
        <v>43</v>
      </c>
      <c r="P1307" t="s">
        <v>30</v>
      </c>
      <c r="Q1307" t="s">
        <v>31</v>
      </c>
      <c r="R1307" s="3">
        <v>5176.0324999999903</v>
      </c>
    </row>
    <row r="1308" spans="1:18" x14ac:dyDescent="0.3">
      <c r="A1308" t="s">
        <v>6987</v>
      </c>
      <c r="B1308" t="str">
        <f>TEXT(Raw_Data[[#This Row],[Order Date]],"mmm")</f>
        <v>Sep</v>
      </c>
      <c r="C1308" t="s">
        <v>437</v>
      </c>
      <c r="D1308" t="s">
        <v>6988</v>
      </c>
      <c r="E1308" t="s">
        <v>48</v>
      </c>
      <c r="F1308" t="s">
        <v>36</v>
      </c>
      <c r="G1308" t="s">
        <v>123</v>
      </c>
      <c r="H1308" t="s">
        <v>80</v>
      </c>
      <c r="I1308" t="s">
        <v>116</v>
      </c>
      <c r="J1308" t="s">
        <v>25</v>
      </c>
      <c r="K1308" t="s">
        <v>6989</v>
      </c>
      <c r="L1308">
        <v>0.15</v>
      </c>
      <c r="M1308" t="s">
        <v>6990</v>
      </c>
      <c r="N1308" t="s">
        <v>6991</v>
      </c>
      <c r="O1308" t="s">
        <v>43</v>
      </c>
      <c r="P1308" t="s">
        <v>30</v>
      </c>
      <c r="Q1308" t="s">
        <v>31</v>
      </c>
      <c r="R1308" s="3">
        <v>1001.98849999999</v>
      </c>
    </row>
    <row r="1309" spans="1:18" x14ac:dyDescent="0.3">
      <c r="A1309" t="s">
        <v>6992</v>
      </c>
      <c r="B1309" t="str">
        <f>TEXT(Raw_Data[[#This Row],[Order Date]],"mmm")</f>
        <v>Feb</v>
      </c>
      <c r="C1309" t="s">
        <v>4453</v>
      </c>
      <c r="D1309" t="s">
        <v>6993</v>
      </c>
      <c r="E1309" t="s">
        <v>20</v>
      </c>
      <c r="F1309" t="s">
        <v>78</v>
      </c>
      <c r="G1309" t="s">
        <v>79</v>
      </c>
      <c r="H1309" t="s">
        <v>154</v>
      </c>
      <c r="I1309" t="s">
        <v>155</v>
      </c>
      <c r="J1309" t="s">
        <v>25</v>
      </c>
      <c r="K1309" t="s">
        <v>6994</v>
      </c>
      <c r="L1309">
        <v>0.1</v>
      </c>
      <c r="M1309" t="s">
        <v>6995</v>
      </c>
      <c r="N1309" t="s">
        <v>6996</v>
      </c>
      <c r="O1309" t="s">
        <v>173</v>
      </c>
      <c r="P1309" t="s">
        <v>30</v>
      </c>
      <c r="Q1309" t="s">
        <v>44</v>
      </c>
      <c r="R1309" s="3">
        <v>8797.9050000000007</v>
      </c>
    </row>
    <row r="1310" spans="1:18" x14ac:dyDescent="0.3">
      <c r="A1310" t="s">
        <v>6997</v>
      </c>
      <c r="B1310" t="str">
        <f>TEXT(Raw_Data[[#This Row],[Order Date]],"mmm")</f>
        <v>Dec</v>
      </c>
      <c r="C1310" t="s">
        <v>3180</v>
      </c>
      <c r="D1310" t="s">
        <v>6998</v>
      </c>
      <c r="E1310" t="s">
        <v>20</v>
      </c>
      <c r="F1310" t="s">
        <v>58</v>
      </c>
      <c r="G1310" t="s">
        <v>59</v>
      </c>
      <c r="H1310" t="s">
        <v>38</v>
      </c>
      <c r="I1310" t="s">
        <v>39</v>
      </c>
      <c r="J1310" t="s">
        <v>25</v>
      </c>
      <c r="K1310" t="s">
        <v>6999</v>
      </c>
      <c r="L1310">
        <v>0.1</v>
      </c>
      <c r="M1310" t="s">
        <v>7000</v>
      </c>
      <c r="N1310" t="s">
        <v>7001</v>
      </c>
      <c r="O1310" t="s">
        <v>64</v>
      </c>
      <c r="P1310" t="s">
        <v>112</v>
      </c>
      <c r="Q1310" t="s">
        <v>65</v>
      </c>
      <c r="R1310" s="3">
        <v>3291.723</v>
      </c>
    </row>
    <row r="1311" spans="1:18" x14ac:dyDescent="0.3">
      <c r="A1311" t="s">
        <v>7002</v>
      </c>
      <c r="B1311" t="str">
        <f>TEXT(Raw_Data[[#This Row],[Order Date]],"mmm")</f>
        <v>Oct</v>
      </c>
      <c r="C1311" t="s">
        <v>1076</v>
      </c>
      <c r="D1311" t="s">
        <v>7003</v>
      </c>
      <c r="E1311" t="s">
        <v>48</v>
      </c>
      <c r="F1311" t="s">
        <v>106</v>
      </c>
      <c r="G1311" t="s">
        <v>163</v>
      </c>
      <c r="H1311" t="s">
        <v>80</v>
      </c>
      <c r="I1311" t="s">
        <v>91</v>
      </c>
      <c r="J1311" t="s">
        <v>25</v>
      </c>
      <c r="K1311" t="s">
        <v>7004</v>
      </c>
      <c r="L1311">
        <v>0.1</v>
      </c>
      <c r="M1311" t="s">
        <v>7005</v>
      </c>
      <c r="N1311" t="s">
        <v>7006</v>
      </c>
      <c r="O1311" t="s">
        <v>54</v>
      </c>
      <c r="P1311" t="s">
        <v>30</v>
      </c>
      <c r="Q1311" t="s">
        <v>65</v>
      </c>
      <c r="R1311" s="3">
        <v>2652.768</v>
      </c>
    </row>
    <row r="1312" spans="1:18" x14ac:dyDescent="0.3">
      <c r="A1312" t="s">
        <v>7007</v>
      </c>
      <c r="B1312" t="str">
        <f>TEXT(Raw_Data[[#This Row],[Order Date]],"mmm")</f>
        <v>May</v>
      </c>
      <c r="C1312" t="s">
        <v>810</v>
      </c>
      <c r="D1312" t="s">
        <v>7008</v>
      </c>
      <c r="E1312" t="s">
        <v>20</v>
      </c>
      <c r="F1312" t="s">
        <v>36</v>
      </c>
      <c r="G1312" t="s">
        <v>37</v>
      </c>
      <c r="H1312" t="s">
        <v>23</v>
      </c>
      <c r="I1312" t="s">
        <v>24</v>
      </c>
      <c r="J1312" t="s">
        <v>82</v>
      </c>
      <c r="K1312" t="s">
        <v>7009</v>
      </c>
      <c r="L1312">
        <v>0.05</v>
      </c>
      <c r="M1312" t="s">
        <v>7010</v>
      </c>
      <c r="N1312" t="s">
        <v>7011</v>
      </c>
      <c r="O1312" t="s">
        <v>43</v>
      </c>
      <c r="P1312" t="s">
        <v>30</v>
      </c>
      <c r="Q1312" t="s">
        <v>65</v>
      </c>
      <c r="R1312" s="3">
        <v>13390.211999999899</v>
      </c>
    </row>
    <row r="1313" spans="1:18" x14ac:dyDescent="0.3">
      <c r="A1313" t="s">
        <v>7012</v>
      </c>
      <c r="B1313" t="str">
        <f>TEXT(Raw_Data[[#This Row],[Order Date]],"mmm")</f>
        <v>Nov</v>
      </c>
      <c r="C1313" t="s">
        <v>5647</v>
      </c>
      <c r="D1313" t="s">
        <v>7013</v>
      </c>
      <c r="E1313" t="s">
        <v>20</v>
      </c>
      <c r="F1313" t="s">
        <v>69</v>
      </c>
      <c r="G1313" t="s">
        <v>139</v>
      </c>
      <c r="H1313" t="s">
        <v>154</v>
      </c>
      <c r="I1313" t="s">
        <v>237</v>
      </c>
      <c r="J1313" t="s">
        <v>25</v>
      </c>
      <c r="K1313" t="s">
        <v>7014</v>
      </c>
      <c r="L1313">
        <v>0.1</v>
      </c>
      <c r="M1313" t="s">
        <v>7015</v>
      </c>
      <c r="N1313" t="s">
        <v>7016</v>
      </c>
      <c r="O1313" t="s">
        <v>54</v>
      </c>
      <c r="P1313" t="s">
        <v>159</v>
      </c>
      <c r="Q1313" t="s">
        <v>44</v>
      </c>
      <c r="R1313" s="3">
        <v>9989.2710000000006</v>
      </c>
    </row>
    <row r="1314" spans="1:18" x14ac:dyDescent="0.3">
      <c r="A1314" t="s">
        <v>7017</v>
      </c>
      <c r="B1314" t="str">
        <f>TEXT(Raw_Data[[#This Row],[Order Date]],"mmm")</f>
        <v>Sep</v>
      </c>
      <c r="C1314" t="s">
        <v>1192</v>
      </c>
      <c r="D1314" t="s">
        <v>7018</v>
      </c>
      <c r="E1314" t="s">
        <v>48</v>
      </c>
      <c r="F1314" t="s">
        <v>69</v>
      </c>
      <c r="G1314" t="s">
        <v>328</v>
      </c>
      <c r="H1314" t="s">
        <v>80</v>
      </c>
      <c r="I1314" t="s">
        <v>116</v>
      </c>
      <c r="J1314" t="s">
        <v>25</v>
      </c>
      <c r="K1314" t="s">
        <v>7019</v>
      </c>
      <c r="L1314">
        <v>0.1</v>
      </c>
      <c r="M1314" t="s">
        <v>7020</v>
      </c>
      <c r="N1314" t="s">
        <v>7021</v>
      </c>
      <c r="O1314" t="s">
        <v>43</v>
      </c>
      <c r="P1314" t="s">
        <v>30</v>
      </c>
      <c r="Q1314" t="s">
        <v>65</v>
      </c>
      <c r="R1314" s="3">
        <v>1526.22</v>
      </c>
    </row>
    <row r="1315" spans="1:18" x14ac:dyDescent="0.3">
      <c r="A1315" t="s">
        <v>7022</v>
      </c>
      <c r="B1315" t="str">
        <f>TEXT(Raw_Data[[#This Row],[Order Date]],"mmm")</f>
        <v>Aug</v>
      </c>
      <c r="C1315" t="s">
        <v>4227</v>
      </c>
      <c r="D1315" t="s">
        <v>7023</v>
      </c>
      <c r="E1315" t="s">
        <v>48</v>
      </c>
      <c r="F1315" t="s">
        <v>78</v>
      </c>
      <c r="G1315" t="s">
        <v>731</v>
      </c>
      <c r="H1315" t="s">
        <v>23</v>
      </c>
      <c r="I1315" t="s">
        <v>24</v>
      </c>
      <c r="J1315" t="s">
        <v>100</v>
      </c>
      <c r="K1315" t="s">
        <v>7024</v>
      </c>
      <c r="L1315">
        <v>0.15</v>
      </c>
      <c r="M1315" t="s">
        <v>7025</v>
      </c>
      <c r="N1315" t="s">
        <v>7026</v>
      </c>
      <c r="O1315" t="s">
        <v>29</v>
      </c>
      <c r="P1315" t="s">
        <v>30</v>
      </c>
      <c r="Q1315" t="s">
        <v>44</v>
      </c>
      <c r="R1315" s="3">
        <v>93486.774000000005</v>
      </c>
    </row>
    <row r="1316" spans="1:18" x14ac:dyDescent="0.3">
      <c r="A1316" t="s">
        <v>7027</v>
      </c>
      <c r="B1316" t="str">
        <f>TEXT(Raw_Data[[#This Row],[Order Date]],"mmm")</f>
        <v>Sep</v>
      </c>
      <c r="C1316" t="s">
        <v>4782</v>
      </c>
      <c r="D1316" t="s">
        <v>7028</v>
      </c>
      <c r="E1316" t="s">
        <v>48</v>
      </c>
      <c r="F1316" t="s">
        <v>58</v>
      </c>
      <c r="G1316" t="s">
        <v>59</v>
      </c>
      <c r="H1316" t="s">
        <v>107</v>
      </c>
      <c r="I1316" t="s">
        <v>469</v>
      </c>
      <c r="J1316" t="s">
        <v>50</v>
      </c>
      <c r="K1316" t="s">
        <v>7029</v>
      </c>
      <c r="L1316">
        <v>0.05</v>
      </c>
      <c r="M1316" t="s">
        <v>7030</v>
      </c>
      <c r="N1316" t="s">
        <v>7031</v>
      </c>
      <c r="O1316" t="s">
        <v>43</v>
      </c>
      <c r="P1316" t="s">
        <v>30</v>
      </c>
      <c r="Q1316" t="s">
        <v>65</v>
      </c>
      <c r="R1316" s="3">
        <v>26492.251</v>
      </c>
    </row>
    <row r="1317" spans="1:18" x14ac:dyDescent="0.3">
      <c r="A1317" t="s">
        <v>7032</v>
      </c>
      <c r="B1317" t="str">
        <f>TEXT(Raw_Data[[#This Row],[Order Date]],"mmm")</f>
        <v>Sep</v>
      </c>
      <c r="C1317" t="s">
        <v>4782</v>
      </c>
      <c r="D1317" t="s">
        <v>7033</v>
      </c>
      <c r="E1317" t="s">
        <v>20</v>
      </c>
      <c r="F1317" t="s">
        <v>78</v>
      </c>
      <c r="G1317" t="s">
        <v>468</v>
      </c>
      <c r="H1317" t="s">
        <v>23</v>
      </c>
      <c r="I1317" t="s">
        <v>263</v>
      </c>
      <c r="J1317" t="s">
        <v>25</v>
      </c>
      <c r="K1317" t="s">
        <v>7034</v>
      </c>
      <c r="L1317">
        <v>0.05</v>
      </c>
      <c r="M1317" t="s">
        <v>7035</v>
      </c>
      <c r="N1317" t="s">
        <v>7036</v>
      </c>
      <c r="O1317" t="s">
        <v>54</v>
      </c>
      <c r="P1317" t="s">
        <v>112</v>
      </c>
      <c r="Q1317" t="s">
        <v>31</v>
      </c>
      <c r="R1317" s="3">
        <v>18235.259499999898</v>
      </c>
    </row>
    <row r="1318" spans="1:18" x14ac:dyDescent="0.3">
      <c r="A1318" t="s">
        <v>7037</v>
      </c>
      <c r="B1318" t="str">
        <f>TEXT(Raw_Data[[#This Row],[Order Date]],"mmm")</f>
        <v>Jun</v>
      </c>
      <c r="C1318" t="s">
        <v>1274</v>
      </c>
      <c r="D1318" t="s">
        <v>7038</v>
      </c>
      <c r="E1318" t="s">
        <v>48</v>
      </c>
      <c r="F1318" t="s">
        <v>106</v>
      </c>
      <c r="G1318" t="s">
        <v>163</v>
      </c>
      <c r="H1318" t="s">
        <v>38</v>
      </c>
      <c r="I1318" t="s">
        <v>71</v>
      </c>
      <c r="J1318" t="s">
        <v>50</v>
      </c>
      <c r="K1318" t="s">
        <v>7039</v>
      </c>
      <c r="L1318">
        <v>0.15</v>
      </c>
      <c r="M1318" t="s">
        <v>7040</v>
      </c>
      <c r="N1318" t="s">
        <v>7041</v>
      </c>
      <c r="O1318" t="s">
        <v>54</v>
      </c>
      <c r="P1318" t="s">
        <v>30</v>
      </c>
      <c r="Q1318" t="s">
        <v>65</v>
      </c>
      <c r="R1318" s="3">
        <v>8161.3090000000002</v>
      </c>
    </row>
    <row r="1319" spans="1:18" x14ac:dyDescent="0.3">
      <c r="A1319" t="s">
        <v>7042</v>
      </c>
      <c r="B1319" t="str">
        <f>TEXT(Raw_Data[[#This Row],[Order Date]],"mmm")</f>
        <v>Feb</v>
      </c>
      <c r="C1319" t="s">
        <v>702</v>
      </c>
      <c r="D1319" t="s">
        <v>7043</v>
      </c>
      <c r="E1319" t="s">
        <v>35</v>
      </c>
      <c r="F1319" t="s">
        <v>69</v>
      </c>
      <c r="G1319" t="s">
        <v>328</v>
      </c>
      <c r="H1319" t="s">
        <v>107</v>
      </c>
      <c r="I1319" t="s">
        <v>591</v>
      </c>
      <c r="J1319" t="s">
        <v>100</v>
      </c>
      <c r="K1319" t="s">
        <v>7044</v>
      </c>
      <c r="L1319">
        <v>0.15</v>
      </c>
      <c r="M1319" t="s">
        <v>7045</v>
      </c>
      <c r="N1319" t="s">
        <v>7046</v>
      </c>
      <c r="O1319" t="s">
        <v>54</v>
      </c>
      <c r="P1319" t="s">
        <v>30</v>
      </c>
      <c r="Q1319" t="s">
        <v>44</v>
      </c>
      <c r="R1319" s="3">
        <v>31052.420999999998</v>
      </c>
    </row>
    <row r="1320" spans="1:18" x14ac:dyDescent="0.3">
      <c r="A1320" t="s">
        <v>7047</v>
      </c>
      <c r="B1320" t="str">
        <f>TEXT(Raw_Data[[#This Row],[Order Date]],"mmm")</f>
        <v>Sep</v>
      </c>
      <c r="C1320" t="s">
        <v>1192</v>
      </c>
      <c r="D1320" t="s">
        <v>7048</v>
      </c>
      <c r="E1320" t="s">
        <v>20</v>
      </c>
      <c r="F1320" t="s">
        <v>78</v>
      </c>
      <c r="G1320" t="s">
        <v>731</v>
      </c>
      <c r="H1320" t="s">
        <v>80</v>
      </c>
      <c r="I1320" t="s">
        <v>146</v>
      </c>
      <c r="J1320" t="s">
        <v>100</v>
      </c>
      <c r="K1320" t="s">
        <v>7049</v>
      </c>
      <c r="L1320">
        <v>0.1</v>
      </c>
      <c r="M1320" t="s">
        <v>7050</v>
      </c>
      <c r="N1320" t="s">
        <v>7051</v>
      </c>
      <c r="O1320" t="s">
        <v>64</v>
      </c>
      <c r="P1320" t="s">
        <v>30</v>
      </c>
      <c r="Q1320" t="s">
        <v>44</v>
      </c>
      <c r="R1320" s="3">
        <v>11714.679</v>
      </c>
    </row>
    <row r="1321" spans="1:18" x14ac:dyDescent="0.3">
      <c r="A1321" t="s">
        <v>7052</v>
      </c>
      <c r="B1321" t="str">
        <f>TEXT(Raw_Data[[#This Row],[Order Date]],"mmm")</f>
        <v>Sep</v>
      </c>
      <c r="C1321" t="s">
        <v>1632</v>
      </c>
      <c r="D1321" t="s">
        <v>7053</v>
      </c>
      <c r="E1321" t="s">
        <v>35</v>
      </c>
      <c r="F1321" t="s">
        <v>21</v>
      </c>
      <c r="G1321" t="s">
        <v>22</v>
      </c>
      <c r="H1321" t="s">
        <v>107</v>
      </c>
      <c r="I1321" t="s">
        <v>378</v>
      </c>
      <c r="J1321" t="s">
        <v>25</v>
      </c>
      <c r="K1321" t="s">
        <v>7054</v>
      </c>
      <c r="L1321">
        <v>0.1</v>
      </c>
      <c r="M1321" t="s">
        <v>7055</v>
      </c>
      <c r="N1321" t="s">
        <v>7056</v>
      </c>
      <c r="O1321" t="s">
        <v>29</v>
      </c>
      <c r="P1321" t="s">
        <v>30</v>
      </c>
      <c r="Q1321" t="s">
        <v>31</v>
      </c>
      <c r="R1321" s="3">
        <v>15001.866</v>
      </c>
    </row>
    <row r="1322" spans="1:18" x14ac:dyDescent="0.3">
      <c r="A1322" t="s">
        <v>7057</v>
      </c>
      <c r="B1322" t="str">
        <f>TEXT(Raw_Data[[#This Row],[Order Date]],"mmm")</f>
        <v>Jul</v>
      </c>
      <c r="C1322" t="s">
        <v>7058</v>
      </c>
      <c r="D1322" t="s">
        <v>7059</v>
      </c>
      <c r="E1322" t="s">
        <v>35</v>
      </c>
      <c r="F1322" t="s">
        <v>215</v>
      </c>
      <c r="G1322" t="s">
        <v>216</v>
      </c>
      <c r="H1322" t="s">
        <v>80</v>
      </c>
      <c r="I1322" t="s">
        <v>131</v>
      </c>
      <c r="J1322" t="s">
        <v>50</v>
      </c>
      <c r="K1322" t="s">
        <v>7060</v>
      </c>
      <c r="L1322">
        <v>0.05</v>
      </c>
      <c r="M1322" t="s">
        <v>7061</v>
      </c>
      <c r="N1322" t="s">
        <v>7062</v>
      </c>
      <c r="O1322" t="s">
        <v>54</v>
      </c>
      <c r="P1322" t="s">
        <v>30</v>
      </c>
      <c r="Q1322" t="s">
        <v>31</v>
      </c>
      <c r="R1322" s="3">
        <v>8219.4189999999999</v>
      </c>
    </row>
    <row r="1323" spans="1:18" x14ac:dyDescent="0.3">
      <c r="A1323" t="s">
        <v>7063</v>
      </c>
      <c r="B1323" t="str">
        <f>TEXT(Raw_Data[[#This Row],[Order Date]],"mmm")</f>
        <v>Jul</v>
      </c>
      <c r="C1323" t="s">
        <v>2372</v>
      </c>
      <c r="D1323" t="s">
        <v>7064</v>
      </c>
      <c r="E1323" t="s">
        <v>48</v>
      </c>
      <c r="F1323" t="s">
        <v>21</v>
      </c>
      <c r="G1323" t="s">
        <v>22</v>
      </c>
      <c r="H1323" t="s">
        <v>154</v>
      </c>
      <c r="I1323" t="s">
        <v>309</v>
      </c>
      <c r="J1323" t="s">
        <v>50</v>
      </c>
      <c r="K1323" t="s">
        <v>7065</v>
      </c>
      <c r="L1323">
        <v>0</v>
      </c>
      <c r="M1323" t="s">
        <v>7066</v>
      </c>
      <c r="N1323" t="s">
        <v>7067</v>
      </c>
      <c r="O1323" t="s">
        <v>54</v>
      </c>
      <c r="P1323" t="s">
        <v>30</v>
      </c>
      <c r="Q1323" t="s">
        <v>31</v>
      </c>
      <c r="R1323" s="3">
        <v>22283.84</v>
      </c>
    </row>
    <row r="1324" spans="1:18" x14ac:dyDescent="0.3">
      <c r="A1324" t="s">
        <v>7068</v>
      </c>
      <c r="B1324" t="str">
        <f>TEXT(Raw_Data[[#This Row],[Order Date]],"mmm")</f>
        <v>Feb</v>
      </c>
      <c r="C1324" t="s">
        <v>2676</v>
      </c>
      <c r="D1324" t="s">
        <v>7069</v>
      </c>
      <c r="E1324" t="s">
        <v>20</v>
      </c>
      <c r="F1324" t="s">
        <v>78</v>
      </c>
      <c r="G1324" t="s">
        <v>731</v>
      </c>
      <c r="H1324" t="s">
        <v>23</v>
      </c>
      <c r="I1324" t="s">
        <v>341</v>
      </c>
      <c r="J1324" t="s">
        <v>50</v>
      </c>
      <c r="K1324" t="s">
        <v>7070</v>
      </c>
      <c r="L1324">
        <v>0.2</v>
      </c>
      <c r="M1324" t="s">
        <v>7071</v>
      </c>
      <c r="N1324" t="s">
        <v>7072</v>
      </c>
      <c r="O1324" t="s">
        <v>43</v>
      </c>
      <c r="P1324" t="s">
        <v>30</v>
      </c>
      <c r="Q1324" t="s">
        <v>31</v>
      </c>
      <c r="R1324" s="3">
        <v>42022.192000000003</v>
      </c>
    </row>
    <row r="1325" spans="1:18" x14ac:dyDescent="0.3">
      <c r="A1325" t="s">
        <v>7073</v>
      </c>
      <c r="B1325" t="str">
        <f>TEXT(Raw_Data[[#This Row],[Order Date]],"mmm")</f>
        <v>Aug</v>
      </c>
      <c r="C1325" t="s">
        <v>971</v>
      </c>
      <c r="D1325" t="s">
        <v>7074</v>
      </c>
      <c r="E1325" t="s">
        <v>48</v>
      </c>
      <c r="F1325" t="s">
        <v>21</v>
      </c>
      <c r="G1325" t="s">
        <v>22</v>
      </c>
      <c r="H1325" t="s">
        <v>80</v>
      </c>
      <c r="I1325" t="s">
        <v>146</v>
      </c>
      <c r="J1325" t="s">
        <v>25</v>
      </c>
      <c r="K1325" t="s">
        <v>7075</v>
      </c>
      <c r="L1325">
        <v>0.1</v>
      </c>
      <c r="M1325" t="s">
        <v>7076</v>
      </c>
      <c r="N1325" t="s">
        <v>7077</v>
      </c>
      <c r="O1325" t="s">
        <v>173</v>
      </c>
      <c r="P1325" t="s">
        <v>30</v>
      </c>
      <c r="Q1325" t="s">
        <v>65</v>
      </c>
      <c r="R1325" s="3">
        <v>1247.229</v>
      </c>
    </row>
    <row r="1326" spans="1:18" x14ac:dyDescent="0.3">
      <c r="A1326" t="s">
        <v>7078</v>
      </c>
      <c r="B1326" t="str">
        <f>TEXT(Raw_Data[[#This Row],[Order Date]],"mmm")</f>
        <v>Sep</v>
      </c>
      <c r="C1326" t="s">
        <v>4639</v>
      </c>
      <c r="D1326" t="s">
        <v>7079</v>
      </c>
      <c r="E1326" t="s">
        <v>20</v>
      </c>
      <c r="F1326" t="s">
        <v>215</v>
      </c>
      <c r="G1326" t="s">
        <v>216</v>
      </c>
      <c r="H1326" t="s">
        <v>23</v>
      </c>
      <c r="I1326" t="s">
        <v>24</v>
      </c>
      <c r="J1326" t="s">
        <v>25</v>
      </c>
      <c r="K1326" t="s">
        <v>7080</v>
      </c>
      <c r="L1326">
        <v>0.15</v>
      </c>
      <c r="M1326" t="s">
        <v>7081</v>
      </c>
      <c r="N1326" t="s">
        <v>7082</v>
      </c>
      <c r="O1326" t="s">
        <v>29</v>
      </c>
      <c r="P1326" t="s">
        <v>30</v>
      </c>
      <c r="Q1326" t="s">
        <v>31</v>
      </c>
      <c r="R1326" s="3">
        <v>40565.340499999998</v>
      </c>
    </row>
    <row r="1327" spans="1:18" x14ac:dyDescent="0.3">
      <c r="A1327" t="s">
        <v>7083</v>
      </c>
      <c r="B1327" t="str">
        <f>TEXT(Raw_Data[[#This Row],[Order Date]],"mmm")</f>
        <v>Mar</v>
      </c>
      <c r="C1327" t="s">
        <v>6452</v>
      </c>
      <c r="D1327" t="s">
        <v>7084</v>
      </c>
      <c r="E1327" t="s">
        <v>35</v>
      </c>
      <c r="F1327" t="s">
        <v>215</v>
      </c>
      <c r="G1327" t="s">
        <v>276</v>
      </c>
      <c r="H1327" t="s">
        <v>38</v>
      </c>
      <c r="I1327" t="s">
        <v>60</v>
      </c>
      <c r="J1327" t="s">
        <v>25</v>
      </c>
      <c r="K1327" t="s">
        <v>7085</v>
      </c>
      <c r="L1327">
        <v>0</v>
      </c>
      <c r="M1327" t="s">
        <v>7086</v>
      </c>
      <c r="N1327" t="s">
        <v>7087</v>
      </c>
      <c r="O1327" t="s">
        <v>43</v>
      </c>
      <c r="P1327" t="s">
        <v>95</v>
      </c>
      <c r="Q1327" t="s">
        <v>65</v>
      </c>
      <c r="R1327" s="3">
        <v>4132.16</v>
      </c>
    </row>
    <row r="1328" spans="1:18" x14ac:dyDescent="0.3">
      <c r="A1328" t="s">
        <v>7088</v>
      </c>
      <c r="B1328" t="str">
        <f>TEXT(Raw_Data[[#This Row],[Order Date]],"mmm")</f>
        <v>Apr</v>
      </c>
      <c r="C1328" t="s">
        <v>1904</v>
      </c>
      <c r="D1328" t="s">
        <v>7089</v>
      </c>
      <c r="E1328" t="s">
        <v>35</v>
      </c>
      <c r="F1328" t="s">
        <v>58</v>
      </c>
      <c r="G1328" t="s">
        <v>59</v>
      </c>
      <c r="H1328" t="s">
        <v>23</v>
      </c>
      <c r="I1328" t="s">
        <v>263</v>
      </c>
      <c r="J1328" t="s">
        <v>25</v>
      </c>
      <c r="K1328" t="s">
        <v>7090</v>
      </c>
      <c r="L1328">
        <v>0.15</v>
      </c>
      <c r="M1328" t="s">
        <v>7091</v>
      </c>
      <c r="N1328" t="s">
        <v>7092</v>
      </c>
      <c r="O1328" t="s">
        <v>64</v>
      </c>
      <c r="P1328" t="s">
        <v>30</v>
      </c>
      <c r="Q1328" t="s">
        <v>65</v>
      </c>
      <c r="R1328" s="3">
        <v>5966.473</v>
      </c>
    </row>
    <row r="1329" spans="1:18" x14ac:dyDescent="0.3">
      <c r="A1329" t="s">
        <v>7093</v>
      </c>
      <c r="B1329" t="str">
        <f>TEXT(Raw_Data[[#This Row],[Order Date]],"mmm")</f>
        <v>Nov</v>
      </c>
      <c r="C1329" t="s">
        <v>2710</v>
      </c>
      <c r="D1329" t="s">
        <v>7094</v>
      </c>
      <c r="E1329" t="s">
        <v>48</v>
      </c>
      <c r="F1329" t="s">
        <v>215</v>
      </c>
      <c r="G1329" t="s">
        <v>276</v>
      </c>
      <c r="H1329" t="s">
        <v>107</v>
      </c>
      <c r="I1329" t="s">
        <v>591</v>
      </c>
      <c r="J1329" t="s">
        <v>25</v>
      </c>
      <c r="K1329" t="s">
        <v>7095</v>
      </c>
      <c r="L1329">
        <v>0.15</v>
      </c>
      <c r="M1329" t="s">
        <v>7096</v>
      </c>
      <c r="N1329" t="s">
        <v>7097</v>
      </c>
      <c r="O1329" t="s">
        <v>64</v>
      </c>
      <c r="P1329" t="s">
        <v>30</v>
      </c>
      <c r="Q1329" t="s">
        <v>65</v>
      </c>
      <c r="R1329" s="3">
        <v>6085.3710000000001</v>
      </c>
    </row>
    <row r="1330" spans="1:18" x14ac:dyDescent="0.3">
      <c r="A1330" t="s">
        <v>7098</v>
      </c>
      <c r="B1330" t="str">
        <f>TEXT(Raw_Data[[#This Row],[Order Date]],"mmm")</f>
        <v>Jan</v>
      </c>
      <c r="C1330" t="s">
        <v>4365</v>
      </c>
      <c r="D1330" t="s">
        <v>7099</v>
      </c>
      <c r="E1330" t="s">
        <v>35</v>
      </c>
      <c r="F1330" t="s">
        <v>106</v>
      </c>
      <c r="G1330" t="s">
        <v>106</v>
      </c>
      <c r="H1330" t="s">
        <v>107</v>
      </c>
      <c r="I1330" t="s">
        <v>108</v>
      </c>
      <c r="J1330" t="s">
        <v>50</v>
      </c>
      <c r="K1330" t="s">
        <v>7100</v>
      </c>
      <c r="L1330">
        <v>0.2</v>
      </c>
      <c r="M1330" t="s">
        <v>7101</v>
      </c>
      <c r="N1330" t="s">
        <v>7102</v>
      </c>
      <c r="O1330" t="s">
        <v>54</v>
      </c>
      <c r="P1330" t="s">
        <v>30</v>
      </c>
      <c r="Q1330" t="s">
        <v>31</v>
      </c>
      <c r="R1330" s="3">
        <v>2695.6640000000002</v>
      </c>
    </row>
    <row r="1331" spans="1:18" x14ac:dyDescent="0.3">
      <c r="A1331" t="s">
        <v>7103</v>
      </c>
      <c r="B1331" t="str">
        <f>TEXT(Raw_Data[[#This Row],[Order Date]],"mmm")</f>
        <v>Dec</v>
      </c>
      <c r="C1331" t="s">
        <v>3003</v>
      </c>
      <c r="D1331" t="s">
        <v>7104</v>
      </c>
      <c r="E1331" t="s">
        <v>48</v>
      </c>
      <c r="F1331" t="s">
        <v>215</v>
      </c>
      <c r="G1331" t="s">
        <v>276</v>
      </c>
      <c r="H1331" t="s">
        <v>154</v>
      </c>
      <c r="I1331" t="s">
        <v>237</v>
      </c>
      <c r="J1331" t="s">
        <v>100</v>
      </c>
      <c r="K1331" t="s">
        <v>7105</v>
      </c>
      <c r="L1331">
        <v>0.1</v>
      </c>
      <c r="M1331" t="s">
        <v>7106</v>
      </c>
      <c r="N1331" t="s">
        <v>7107</v>
      </c>
      <c r="O1331" t="s">
        <v>43</v>
      </c>
      <c r="P1331" t="s">
        <v>112</v>
      </c>
      <c r="Q1331" t="s">
        <v>31</v>
      </c>
      <c r="R1331" s="3">
        <v>20031.381000000001</v>
      </c>
    </row>
    <row r="1332" spans="1:18" x14ac:dyDescent="0.3">
      <c r="A1332" t="s">
        <v>7108</v>
      </c>
      <c r="B1332" t="str">
        <f>TEXT(Raw_Data[[#This Row],[Order Date]],"mmm")</f>
        <v>Jun</v>
      </c>
      <c r="C1332" t="s">
        <v>2223</v>
      </c>
      <c r="D1332" t="s">
        <v>7109</v>
      </c>
      <c r="E1332" t="s">
        <v>20</v>
      </c>
      <c r="F1332" t="s">
        <v>89</v>
      </c>
      <c r="G1332" t="s">
        <v>230</v>
      </c>
      <c r="H1332" t="s">
        <v>38</v>
      </c>
      <c r="I1332" t="s">
        <v>256</v>
      </c>
      <c r="J1332" t="s">
        <v>100</v>
      </c>
      <c r="K1332" t="s">
        <v>7110</v>
      </c>
      <c r="L1332">
        <v>0</v>
      </c>
      <c r="M1332" t="s">
        <v>7111</v>
      </c>
      <c r="N1332" t="s">
        <v>7112</v>
      </c>
      <c r="O1332" t="s">
        <v>64</v>
      </c>
      <c r="P1332" t="s">
        <v>30</v>
      </c>
      <c r="Q1332" t="s">
        <v>31</v>
      </c>
      <c r="R1332" s="3">
        <v>13506.72</v>
      </c>
    </row>
    <row r="1333" spans="1:18" x14ac:dyDescent="0.3">
      <c r="A1333" t="s">
        <v>7113</v>
      </c>
      <c r="B1333" t="str">
        <f>TEXT(Raw_Data[[#This Row],[Order Date]],"mmm")</f>
        <v>Feb</v>
      </c>
      <c r="C1333" t="s">
        <v>7114</v>
      </c>
      <c r="D1333" t="s">
        <v>7115</v>
      </c>
      <c r="E1333" t="s">
        <v>20</v>
      </c>
      <c r="F1333" t="s">
        <v>215</v>
      </c>
      <c r="G1333" t="s">
        <v>216</v>
      </c>
      <c r="H1333" t="s">
        <v>107</v>
      </c>
      <c r="I1333" t="s">
        <v>277</v>
      </c>
      <c r="J1333" t="s">
        <v>50</v>
      </c>
      <c r="K1333" t="s">
        <v>7116</v>
      </c>
      <c r="L1333">
        <v>0.15</v>
      </c>
      <c r="M1333" t="s">
        <v>7117</v>
      </c>
      <c r="N1333" t="s">
        <v>7118</v>
      </c>
      <c r="O1333" t="s">
        <v>54</v>
      </c>
      <c r="P1333" t="s">
        <v>30</v>
      </c>
      <c r="Q1333" t="s">
        <v>31</v>
      </c>
      <c r="R1333" s="3">
        <v>26459.207999999999</v>
      </c>
    </row>
    <row r="1334" spans="1:18" x14ac:dyDescent="0.3">
      <c r="A1334" t="s">
        <v>7119</v>
      </c>
      <c r="B1334" t="str">
        <f>TEXT(Raw_Data[[#This Row],[Order Date]],"mmm")</f>
        <v>Nov</v>
      </c>
      <c r="C1334" t="s">
        <v>1359</v>
      </c>
      <c r="D1334" t="s">
        <v>7120</v>
      </c>
      <c r="E1334" t="s">
        <v>20</v>
      </c>
      <c r="F1334" t="s">
        <v>21</v>
      </c>
      <c r="G1334" t="s">
        <v>130</v>
      </c>
      <c r="H1334" t="s">
        <v>80</v>
      </c>
      <c r="I1334" t="s">
        <v>116</v>
      </c>
      <c r="J1334" t="s">
        <v>25</v>
      </c>
      <c r="K1334" t="s">
        <v>7121</v>
      </c>
      <c r="L1334">
        <v>0.15</v>
      </c>
      <c r="M1334" t="s">
        <v>7122</v>
      </c>
      <c r="N1334" t="s">
        <v>7123</v>
      </c>
      <c r="O1334" t="s">
        <v>43</v>
      </c>
      <c r="P1334" t="s">
        <v>30</v>
      </c>
      <c r="Q1334" t="s">
        <v>44</v>
      </c>
      <c r="R1334" s="3">
        <v>2314.8815</v>
      </c>
    </row>
    <row r="1335" spans="1:18" x14ac:dyDescent="0.3">
      <c r="A1335" t="s">
        <v>7124</v>
      </c>
      <c r="B1335" t="str">
        <f>TEXT(Raw_Data[[#This Row],[Order Date]],"mmm")</f>
        <v>Apr</v>
      </c>
      <c r="C1335" t="s">
        <v>1466</v>
      </c>
      <c r="D1335" t="s">
        <v>7125</v>
      </c>
      <c r="E1335" t="s">
        <v>35</v>
      </c>
      <c r="F1335" t="s">
        <v>78</v>
      </c>
      <c r="G1335" t="s">
        <v>468</v>
      </c>
      <c r="H1335" t="s">
        <v>80</v>
      </c>
      <c r="I1335" t="s">
        <v>91</v>
      </c>
      <c r="J1335" t="s">
        <v>50</v>
      </c>
      <c r="K1335" t="s">
        <v>7126</v>
      </c>
      <c r="L1335">
        <v>0.15</v>
      </c>
      <c r="M1335" t="s">
        <v>7127</v>
      </c>
      <c r="N1335" t="s">
        <v>7128</v>
      </c>
      <c r="O1335" t="s">
        <v>64</v>
      </c>
      <c r="P1335" t="s">
        <v>30</v>
      </c>
      <c r="Q1335" t="s">
        <v>65</v>
      </c>
      <c r="R1335" s="3">
        <v>7885.1610000000001</v>
      </c>
    </row>
    <row r="1336" spans="1:18" x14ac:dyDescent="0.3">
      <c r="A1336" t="s">
        <v>7129</v>
      </c>
      <c r="B1336" t="str">
        <f>TEXT(Raw_Data[[#This Row],[Order Date]],"mmm")</f>
        <v>Dec</v>
      </c>
      <c r="C1336" t="s">
        <v>982</v>
      </c>
      <c r="D1336" t="s">
        <v>7130</v>
      </c>
      <c r="E1336" t="s">
        <v>48</v>
      </c>
      <c r="F1336" t="s">
        <v>58</v>
      </c>
      <c r="G1336" t="s">
        <v>59</v>
      </c>
      <c r="H1336" t="s">
        <v>38</v>
      </c>
      <c r="I1336" t="s">
        <v>256</v>
      </c>
      <c r="J1336" t="s">
        <v>25</v>
      </c>
      <c r="K1336" t="s">
        <v>7131</v>
      </c>
      <c r="L1336">
        <v>0.1</v>
      </c>
      <c r="M1336" t="s">
        <v>7132</v>
      </c>
      <c r="N1336" t="s">
        <v>7133</v>
      </c>
      <c r="O1336" t="s">
        <v>54</v>
      </c>
      <c r="P1336" t="s">
        <v>30</v>
      </c>
      <c r="Q1336" t="s">
        <v>31</v>
      </c>
      <c r="R1336" s="3">
        <v>3680.172</v>
      </c>
    </row>
    <row r="1337" spans="1:18" x14ac:dyDescent="0.3">
      <c r="A1337" t="s">
        <v>7134</v>
      </c>
      <c r="B1337" t="str">
        <f>TEXT(Raw_Data[[#This Row],[Order Date]],"mmm")</f>
        <v>Oct</v>
      </c>
      <c r="C1337" t="s">
        <v>2432</v>
      </c>
      <c r="D1337" t="s">
        <v>7135</v>
      </c>
      <c r="E1337" t="s">
        <v>35</v>
      </c>
      <c r="F1337" t="s">
        <v>89</v>
      </c>
      <c r="G1337" t="s">
        <v>90</v>
      </c>
      <c r="H1337" t="s">
        <v>80</v>
      </c>
      <c r="I1337" t="s">
        <v>81</v>
      </c>
      <c r="J1337" t="s">
        <v>50</v>
      </c>
      <c r="K1337" t="s">
        <v>7136</v>
      </c>
      <c r="L1337">
        <v>0.2</v>
      </c>
      <c r="M1337" t="s">
        <v>7137</v>
      </c>
      <c r="N1337" t="s">
        <v>7138</v>
      </c>
      <c r="O1337" t="s">
        <v>43</v>
      </c>
      <c r="P1337" t="s">
        <v>112</v>
      </c>
      <c r="Q1337" t="s">
        <v>31</v>
      </c>
      <c r="R1337" s="3">
        <v>10424.495999999999</v>
      </c>
    </row>
    <row r="1338" spans="1:18" x14ac:dyDescent="0.3">
      <c r="A1338" t="s">
        <v>7139</v>
      </c>
      <c r="B1338" t="str">
        <f>TEXT(Raw_Data[[#This Row],[Order Date]],"mmm")</f>
        <v>Aug</v>
      </c>
      <c r="C1338" t="s">
        <v>1426</v>
      </c>
      <c r="D1338" t="s">
        <v>7140</v>
      </c>
      <c r="E1338" t="s">
        <v>48</v>
      </c>
      <c r="F1338" t="s">
        <v>215</v>
      </c>
      <c r="G1338" t="s">
        <v>216</v>
      </c>
      <c r="H1338" t="s">
        <v>107</v>
      </c>
      <c r="I1338" t="s">
        <v>108</v>
      </c>
      <c r="J1338" t="s">
        <v>25</v>
      </c>
      <c r="K1338" t="s">
        <v>7141</v>
      </c>
      <c r="L1338">
        <v>0</v>
      </c>
      <c r="M1338" t="s">
        <v>7142</v>
      </c>
      <c r="N1338" t="s">
        <v>7143</v>
      </c>
      <c r="O1338" t="s">
        <v>173</v>
      </c>
      <c r="P1338" t="s">
        <v>95</v>
      </c>
      <c r="Q1338" t="s">
        <v>44</v>
      </c>
      <c r="R1338" s="3">
        <v>13126.64</v>
      </c>
    </row>
    <row r="1339" spans="1:18" x14ac:dyDescent="0.3">
      <c r="A1339" t="s">
        <v>7144</v>
      </c>
      <c r="B1339" t="str">
        <f>TEXT(Raw_Data[[#This Row],[Order Date]],"mmm")</f>
        <v>Oct</v>
      </c>
      <c r="C1339" t="s">
        <v>4474</v>
      </c>
      <c r="D1339" t="s">
        <v>7145</v>
      </c>
      <c r="E1339" t="s">
        <v>48</v>
      </c>
      <c r="F1339" t="s">
        <v>36</v>
      </c>
      <c r="G1339" t="s">
        <v>196</v>
      </c>
      <c r="H1339" t="s">
        <v>80</v>
      </c>
      <c r="I1339" t="s">
        <v>91</v>
      </c>
      <c r="J1339" t="s">
        <v>25</v>
      </c>
      <c r="K1339" t="s">
        <v>7146</v>
      </c>
      <c r="L1339">
        <v>0.15</v>
      </c>
      <c r="M1339" t="s">
        <v>7147</v>
      </c>
      <c r="N1339" t="s">
        <v>7148</v>
      </c>
      <c r="O1339" t="s">
        <v>64</v>
      </c>
      <c r="P1339" t="s">
        <v>30</v>
      </c>
      <c r="Q1339" t="s">
        <v>44</v>
      </c>
      <c r="R1339" s="3">
        <v>545.87850000000003</v>
      </c>
    </row>
    <row r="1340" spans="1:18" x14ac:dyDescent="0.3">
      <c r="A1340" t="s">
        <v>7149</v>
      </c>
      <c r="B1340" t="str">
        <f>TEXT(Raw_Data[[#This Row],[Order Date]],"mmm")</f>
        <v>Dec</v>
      </c>
      <c r="C1340" t="s">
        <v>640</v>
      </c>
      <c r="D1340" t="s">
        <v>7150</v>
      </c>
      <c r="E1340" t="s">
        <v>20</v>
      </c>
      <c r="F1340" t="s">
        <v>36</v>
      </c>
      <c r="G1340" t="s">
        <v>123</v>
      </c>
      <c r="H1340" t="s">
        <v>23</v>
      </c>
      <c r="I1340" t="s">
        <v>49</v>
      </c>
      <c r="J1340" t="s">
        <v>100</v>
      </c>
      <c r="K1340" t="s">
        <v>7151</v>
      </c>
      <c r="L1340">
        <v>0.1</v>
      </c>
      <c r="M1340" t="s">
        <v>7152</v>
      </c>
      <c r="N1340" t="s">
        <v>7153</v>
      </c>
      <c r="O1340" t="s">
        <v>173</v>
      </c>
      <c r="P1340" t="s">
        <v>30</v>
      </c>
      <c r="Q1340" t="s">
        <v>65</v>
      </c>
      <c r="R1340" s="3">
        <v>5037.12</v>
      </c>
    </row>
    <row r="1341" spans="1:18" x14ac:dyDescent="0.3">
      <c r="A1341" t="s">
        <v>7154</v>
      </c>
      <c r="B1341" t="str">
        <f>TEXT(Raw_Data[[#This Row],[Order Date]],"mmm")</f>
        <v>Nov</v>
      </c>
      <c r="C1341" t="s">
        <v>1775</v>
      </c>
      <c r="D1341" t="s">
        <v>7155</v>
      </c>
      <c r="E1341" t="s">
        <v>48</v>
      </c>
      <c r="F1341" t="s">
        <v>106</v>
      </c>
      <c r="G1341" t="s">
        <v>106</v>
      </c>
      <c r="H1341" t="s">
        <v>23</v>
      </c>
      <c r="I1341" t="s">
        <v>49</v>
      </c>
      <c r="J1341" t="s">
        <v>25</v>
      </c>
      <c r="K1341" t="s">
        <v>7156</v>
      </c>
      <c r="L1341">
        <v>0.1</v>
      </c>
      <c r="M1341" t="s">
        <v>7157</v>
      </c>
      <c r="N1341" t="s">
        <v>7158</v>
      </c>
      <c r="O1341" t="s">
        <v>173</v>
      </c>
      <c r="P1341" t="s">
        <v>112</v>
      </c>
      <c r="Q1341" t="s">
        <v>31</v>
      </c>
      <c r="R1341" s="3">
        <v>60644.196000000004</v>
      </c>
    </row>
    <row r="1342" spans="1:18" x14ac:dyDescent="0.3">
      <c r="A1342" t="s">
        <v>7159</v>
      </c>
      <c r="B1342" t="str">
        <f>TEXT(Raw_Data[[#This Row],[Order Date]],"mmm")</f>
        <v>May</v>
      </c>
      <c r="C1342" t="s">
        <v>1937</v>
      </c>
      <c r="D1342" t="s">
        <v>7160</v>
      </c>
      <c r="E1342" t="s">
        <v>48</v>
      </c>
      <c r="F1342" t="s">
        <v>106</v>
      </c>
      <c r="G1342" t="s">
        <v>163</v>
      </c>
      <c r="H1342" t="s">
        <v>154</v>
      </c>
      <c r="I1342" t="s">
        <v>1061</v>
      </c>
      <c r="J1342" t="s">
        <v>25</v>
      </c>
      <c r="K1342" t="s">
        <v>7161</v>
      </c>
      <c r="L1342">
        <v>0.1</v>
      </c>
      <c r="M1342" t="s">
        <v>7162</v>
      </c>
      <c r="N1342" t="s">
        <v>7163</v>
      </c>
      <c r="O1342" t="s">
        <v>43</v>
      </c>
      <c r="P1342" t="s">
        <v>95</v>
      </c>
      <c r="Q1342" t="s">
        <v>65</v>
      </c>
      <c r="R1342" s="3">
        <v>2035.665</v>
      </c>
    </row>
    <row r="1343" spans="1:18" x14ac:dyDescent="0.3">
      <c r="A1343" t="s">
        <v>7164</v>
      </c>
      <c r="B1343" t="str">
        <f>TEXT(Raw_Data[[#This Row],[Order Date]],"mmm")</f>
        <v>Apr</v>
      </c>
      <c r="C1343" t="s">
        <v>97</v>
      </c>
      <c r="D1343" t="s">
        <v>7165</v>
      </c>
      <c r="E1343" t="s">
        <v>20</v>
      </c>
      <c r="F1343" t="s">
        <v>58</v>
      </c>
      <c r="G1343" t="s">
        <v>812</v>
      </c>
      <c r="H1343" t="s">
        <v>107</v>
      </c>
      <c r="I1343" t="s">
        <v>378</v>
      </c>
      <c r="J1343" t="s">
        <v>50</v>
      </c>
      <c r="K1343" t="s">
        <v>7166</v>
      </c>
      <c r="L1343">
        <v>0.05</v>
      </c>
      <c r="M1343" t="s">
        <v>7167</v>
      </c>
      <c r="N1343" t="s">
        <v>7168</v>
      </c>
      <c r="O1343" t="s">
        <v>173</v>
      </c>
      <c r="P1343" t="s">
        <v>30</v>
      </c>
      <c r="Q1343" t="s">
        <v>65</v>
      </c>
      <c r="R1343" s="3">
        <v>14053.7869999999</v>
      </c>
    </row>
    <row r="1344" spans="1:18" x14ac:dyDescent="0.3">
      <c r="A1344" t="s">
        <v>7169</v>
      </c>
      <c r="B1344" t="str">
        <f>TEXT(Raw_Data[[#This Row],[Order Date]],"mmm")</f>
        <v>Feb</v>
      </c>
      <c r="C1344" t="s">
        <v>862</v>
      </c>
      <c r="D1344" t="s">
        <v>7170</v>
      </c>
      <c r="E1344" t="s">
        <v>48</v>
      </c>
      <c r="F1344" t="s">
        <v>58</v>
      </c>
      <c r="G1344" t="s">
        <v>290</v>
      </c>
      <c r="H1344" t="s">
        <v>23</v>
      </c>
      <c r="I1344" t="s">
        <v>263</v>
      </c>
      <c r="J1344" t="s">
        <v>25</v>
      </c>
      <c r="K1344" t="s">
        <v>7171</v>
      </c>
      <c r="L1344">
        <v>0.1</v>
      </c>
      <c r="M1344" t="s">
        <v>7172</v>
      </c>
      <c r="N1344" t="s">
        <v>7173</v>
      </c>
      <c r="O1344" t="s">
        <v>54</v>
      </c>
      <c r="P1344" t="s">
        <v>30</v>
      </c>
      <c r="Q1344" t="s">
        <v>31</v>
      </c>
      <c r="R1344" s="3">
        <v>62052.614999999998</v>
      </c>
    </row>
    <row r="1345" spans="1:18" x14ac:dyDescent="0.3">
      <c r="A1345" t="s">
        <v>7174</v>
      </c>
      <c r="B1345" t="str">
        <f>TEXT(Raw_Data[[#This Row],[Order Date]],"mmm")</f>
        <v>Sep</v>
      </c>
      <c r="C1345" t="s">
        <v>719</v>
      </c>
      <c r="D1345" t="s">
        <v>7175</v>
      </c>
      <c r="E1345" t="s">
        <v>20</v>
      </c>
      <c r="F1345" t="s">
        <v>36</v>
      </c>
      <c r="G1345" t="s">
        <v>123</v>
      </c>
      <c r="H1345" t="s">
        <v>23</v>
      </c>
      <c r="I1345" t="s">
        <v>49</v>
      </c>
      <c r="J1345" t="s">
        <v>82</v>
      </c>
      <c r="K1345" t="s">
        <v>7176</v>
      </c>
      <c r="L1345">
        <v>0.15</v>
      </c>
      <c r="M1345" t="s">
        <v>7177</v>
      </c>
      <c r="N1345" t="s">
        <v>7178</v>
      </c>
      <c r="O1345" t="s">
        <v>43</v>
      </c>
      <c r="P1345" t="s">
        <v>30</v>
      </c>
      <c r="Q1345" t="s">
        <v>44</v>
      </c>
      <c r="R1345" s="3">
        <v>204223.889999999</v>
      </c>
    </row>
    <row r="1346" spans="1:18" x14ac:dyDescent="0.3">
      <c r="A1346" t="s">
        <v>7179</v>
      </c>
      <c r="B1346" t="str">
        <f>TEXT(Raw_Data[[#This Row],[Order Date]],"mmm")</f>
        <v>Jun</v>
      </c>
      <c r="C1346" t="s">
        <v>3780</v>
      </c>
      <c r="D1346" t="s">
        <v>7180</v>
      </c>
      <c r="E1346" t="s">
        <v>48</v>
      </c>
      <c r="F1346" t="s">
        <v>58</v>
      </c>
      <c r="G1346" t="s">
        <v>290</v>
      </c>
      <c r="H1346" t="s">
        <v>80</v>
      </c>
      <c r="I1346" t="s">
        <v>91</v>
      </c>
      <c r="J1346" t="s">
        <v>50</v>
      </c>
      <c r="K1346" t="s">
        <v>7181</v>
      </c>
      <c r="L1346">
        <v>0.05</v>
      </c>
      <c r="M1346" t="s">
        <v>7182</v>
      </c>
      <c r="N1346" t="s">
        <v>7183</v>
      </c>
      <c r="O1346" t="s">
        <v>64</v>
      </c>
      <c r="P1346" t="s">
        <v>30</v>
      </c>
      <c r="Q1346" t="s">
        <v>65</v>
      </c>
      <c r="R1346" s="3">
        <v>4774.1109999999999</v>
      </c>
    </row>
    <row r="1347" spans="1:18" x14ac:dyDescent="0.3">
      <c r="A1347" t="s">
        <v>7184</v>
      </c>
      <c r="B1347" t="str">
        <f>TEXT(Raw_Data[[#This Row],[Order Date]],"mmm")</f>
        <v>Jun</v>
      </c>
      <c r="C1347" t="s">
        <v>753</v>
      </c>
      <c r="D1347" t="s">
        <v>7185</v>
      </c>
      <c r="E1347" t="s">
        <v>20</v>
      </c>
      <c r="F1347" t="s">
        <v>69</v>
      </c>
      <c r="G1347" t="s">
        <v>70</v>
      </c>
      <c r="H1347" t="s">
        <v>23</v>
      </c>
      <c r="I1347" t="s">
        <v>263</v>
      </c>
      <c r="J1347" t="s">
        <v>50</v>
      </c>
      <c r="K1347" t="s">
        <v>7186</v>
      </c>
      <c r="L1347">
        <v>0</v>
      </c>
      <c r="M1347" t="s">
        <v>7187</v>
      </c>
      <c r="N1347" t="s">
        <v>7188</v>
      </c>
      <c r="O1347" t="s">
        <v>43</v>
      </c>
      <c r="P1347" t="s">
        <v>159</v>
      </c>
      <c r="Q1347" t="s">
        <v>44</v>
      </c>
      <c r="R1347" s="3">
        <v>22300.78</v>
      </c>
    </row>
    <row r="1348" spans="1:18" x14ac:dyDescent="0.3">
      <c r="A1348" t="s">
        <v>7189</v>
      </c>
      <c r="B1348" t="str">
        <f>TEXT(Raw_Data[[#This Row],[Order Date]],"mmm")</f>
        <v>Jul</v>
      </c>
      <c r="C1348" t="s">
        <v>3949</v>
      </c>
      <c r="D1348" t="s">
        <v>7190</v>
      </c>
      <c r="E1348" t="s">
        <v>48</v>
      </c>
      <c r="F1348" t="s">
        <v>215</v>
      </c>
      <c r="G1348" t="s">
        <v>276</v>
      </c>
      <c r="H1348" t="s">
        <v>107</v>
      </c>
      <c r="I1348" t="s">
        <v>469</v>
      </c>
      <c r="J1348" t="s">
        <v>50</v>
      </c>
      <c r="K1348" t="s">
        <v>7191</v>
      </c>
      <c r="L1348">
        <v>0</v>
      </c>
      <c r="M1348" t="s">
        <v>7192</v>
      </c>
      <c r="N1348" t="s">
        <v>7193</v>
      </c>
      <c r="O1348" t="s">
        <v>64</v>
      </c>
      <c r="P1348" t="s">
        <v>30</v>
      </c>
      <c r="Q1348" t="s">
        <v>31</v>
      </c>
      <c r="R1348" s="3">
        <v>27431.9</v>
      </c>
    </row>
    <row r="1349" spans="1:18" x14ac:dyDescent="0.3">
      <c r="A1349" t="s">
        <v>7194</v>
      </c>
      <c r="B1349" t="str">
        <f>TEXT(Raw_Data[[#This Row],[Order Date]],"mmm")</f>
        <v>Mar</v>
      </c>
      <c r="C1349" t="s">
        <v>1128</v>
      </c>
      <c r="D1349" t="s">
        <v>7195</v>
      </c>
      <c r="E1349" t="s">
        <v>20</v>
      </c>
      <c r="F1349" t="s">
        <v>69</v>
      </c>
      <c r="G1349" t="s">
        <v>328</v>
      </c>
      <c r="H1349" t="s">
        <v>107</v>
      </c>
      <c r="I1349" t="s">
        <v>108</v>
      </c>
      <c r="J1349" t="s">
        <v>25</v>
      </c>
      <c r="K1349" t="s">
        <v>7196</v>
      </c>
      <c r="L1349">
        <v>0.15</v>
      </c>
      <c r="M1349" t="s">
        <v>7197</v>
      </c>
      <c r="N1349" t="s">
        <v>7198</v>
      </c>
      <c r="O1349" t="s">
        <v>135</v>
      </c>
      <c r="P1349" t="s">
        <v>112</v>
      </c>
      <c r="Q1349" t="s">
        <v>44</v>
      </c>
      <c r="R1349" s="3">
        <v>1856.213</v>
      </c>
    </row>
    <row r="1350" spans="1:18" x14ac:dyDescent="0.3">
      <c r="A1350" t="s">
        <v>7199</v>
      </c>
      <c r="B1350" t="str">
        <f>TEXT(Raw_Data[[#This Row],[Order Date]],"mmm")</f>
        <v>Oct</v>
      </c>
      <c r="C1350" t="s">
        <v>1171</v>
      </c>
      <c r="D1350" t="s">
        <v>7200</v>
      </c>
      <c r="E1350" t="s">
        <v>20</v>
      </c>
      <c r="F1350" t="s">
        <v>69</v>
      </c>
      <c r="G1350" t="s">
        <v>139</v>
      </c>
      <c r="H1350" t="s">
        <v>80</v>
      </c>
      <c r="I1350" t="s">
        <v>91</v>
      </c>
      <c r="J1350" t="s">
        <v>25</v>
      </c>
      <c r="K1350" t="s">
        <v>7201</v>
      </c>
      <c r="L1350">
        <v>0.15</v>
      </c>
      <c r="M1350" t="s">
        <v>7202</v>
      </c>
      <c r="N1350" t="s">
        <v>7203</v>
      </c>
      <c r="O1350" t="s">
        <v>54</v>
      </c>
      <c r="P1350" t="s">
        <v>30</v>
      </c>
      <c r="Q1350" t="s">
        <v>44</v>
      </c>
      <c r="R1350" s="3">
        <v>5699.2924999999996</v>
      </c>
    </row>
    <row r="1351" spans="1:18" x14ac:dyDescent="0.3">
      <c r="A1351" t="s">
        <v>7204</v>
      </c>
      <c r="B1351" t="str">
        <f>TEXT(Raw_Data[[#This Row],[Order Date]],"mmm")</f>
        <v>Apr</v>
      </c>
      <c r="C1351" t="s">
        <v>1904</v>
      </c>
      <c r="D1351" t="s">
        <v>7205</v>
      </c>
      <c r="E1351" t="s">
        <v>35</v>
      </c>
      <c r="F1351" t="s">
        <v>58</v>
      </c>
      <c r="G1351" t="s">
        <v>59</v>
      </c>
      <c r="H1351" t="s">
        <v>23</v>
      </c>
      <c r="I1351" t="s">
        <v>49</v>
      </c>
      <c r="J1351" t="s">
        <v>25</v>
      </c>
      <c r="K1351" t="s">
        <v>7206</v>
      </c>
      <c r="L1351">
        <v>0.1</v>
      </c>
      <c r="M1351" t="s">
        <v>7207</v>
      </c>
      <c r="N1351" t="s">
        <v>7208</v>
      </c>
      <c r="O1351" t="s">
        <v>173</v>
      </c>
      <c r="P1351" t="s">
        <v>95</v>
      </c>
      <c r="Q1351" t="s">
        <v>44</v>
      </c>
      <c r="R1351" s="3">
        <v>4030.2629999999999</v>
      </c>
    </row>
    <row r="1352" spans="1:18" x14ac:dyDescent="0.3">
      <c r="A1352" t="s">
        <v>7209</v>
      </c>
      <c r="B1352" t="str">
        <f>TEXT(Raw_Data[[#This Row],[Order Date]],"mmm")</f>
        <v>Oct</v>
      </c>
      <c r="C1352" t="s">
        <v>5733</v>
      </c>
      <c r="D1352" t="s">
        <v>7210</v>
      </c>
      <c r="E1352" t="s">
        <v>48</v>
      </c>
      <c r="F1352" t="s">
        <v>36</v>
      </c>
      <c r="G1352" t="s">
        <v>196</v>
      </c>
      <c r="H1352" t="s">
        <v>107</v>
      </c>
      <c r="I1352" t="s">
        <v>469</v>
      </c>
      <c r="J1352" t="s">
        <v>50</v>
      </c>
      <c r="K1352" t="s">
        <v>7211</v>
      </c>
      <c r="L1352">
        <v>0.15</v>
      </c>
      <c r="M1352" t="s">
        <v>7212</v>
      </c>
      <c r="N1352" t="s">
        <v>7213</v>
      </c>
      <c r="O1352" t="s">
        <v>173</v>
      </c>
      <c r="P1352" t="s">
        <v>30</v>
      </c>
      <c r="Q1352" t="s">
        <v>44</v>
      </c>
      <c r="R1352" s="3">
        <v>8302.9529999999995</v>
      </c>
    </row>
    <row r="1353" spans="1:18" x14ac:dyDescent="0.3">
      <c r="A1353" t="s">
        <v>7214</v>
      </c>
      <c r="B1353" t="str">
        <f>TEXT(Raw_Data[[#This Row],[Order Date]],"mmm")</f>
        <v>Jun</v>
      </c>
      <c r="C1353" t="s">
        <v>3514</v>
      </c>
      <c r="D1353" t="s">
        <v>7215</v>
      </c>
      <c r="E1353" t="s">
        <v>20</v>
      </c>
      <c r="F1353" t="s">
        <v>89</v>
      </c>
      <c r="G1353" t="s">
        <v>99</v>
      </c>
      <c r="H1353" t="s">
        <v>80</v>
      </c>
      <c r="I1353" t="s">
        <v>131</v>
      </c>
      <c r="J1353" t="s">
        <v>100</v>
      </c>
      <c r="K1353" t="s">
        <v>7216</v>
      </c>
      <c r="L1353">
        <v>0.15</v>
      </c>
      <c r="M1353" t="s">
        <v>7217</v>
      </c>
      <c r="N1353" t="s">
        <v>7218</v>
      </c>
      <c r="O1353" t="s">
        <v>43</v>
      </c>
      <c r="P1353" t="s">
        <v>30</v>
      </c>
      <c r="Q1353" t="s">
        <v>31</v>
      </c>
      <c r="R1353" s="3">
        <v>9064.2554999999993</v>
      </c>
    </row>
    <row r="1354" spans="1:18" x14ac:dyDescent="0.3">
      <c r="A1354" t="s">
        <v>7219</v>
      </c>
      <c r="B1354" t="str">
        <f>TEXT(Raw_Data[[#This Row],[Order Date]],"mmm")</f>
        <v>Aug</v>
      </c>
      <c r="C1354" t="s">
        <v>954</v>
      </c>
      <c r="D1354" t="s">
        <v>7220</v>
      </c>
      <c r="E1354" t="s">
        <v>20</v>
      </c>
      <c r="F1354" t="s">
        <v>215</v>
      </c>
      <c r="G1354" t="s">
        <v>216</v>
      </c>
      <c r="H1354" t="s">
        <v>107</v>
      </c>
      <c r="I1354" t="s">
        <v>108</v>
      </c>
      <c r="J1354" t="s">
        <v>82</v>
      </c>
      <c r="K1354" t="s">
        <v>7221</v>
      </c>
      <c r="L1354">
        <v>0.15</v>
      </c>
      <c r="M1354" t="s">
        <v>7222</v>
      </c>
      <c r="N1354" t="s">
        <v>7223</v>
      </c>
      <c r="O1354" t="s">
        <v>43</v>
      </c>
      <c r="P1354" t="s">
        <v>30</v>
      </c>
      <c r="Q1354" t="s">
        <v>31</v>
      </c>
      <c r="R1354" s="3">
        <v>32325.84</v>
      </c>
    </row>
    <row r="1355" spans="1:18" x14ac:dyDescent="0.3">
      <c r="A1355" t="s">
        <v>7224</v>
      </c>
      <c r="B1355" t="str">
        <f>TEXT(Raw_Data[[#This Row],[Order Date]],"mmm")</f>
        <v>Jun</v>
      </c>
      <c r="C1355" t="s">
        <v>1274</v>
      </c>
      <c r="D1355" t="s">
        <v>7225</v>
      </c>
      <c r="E1355" t="s">
        <v>35</v>
      </c>
      <c r="F1355" t="s">
        <v>106</v>
      </c>
      <c r="G1355" t="s">
        <v>106</v>
      </c>
      <c r="H1355" t="s">
        <v>38</v>
      </c>
      <c r="I1355" t="s">
        <v>39</v>
      </c>
      <c r="J1355" t="s">
        <v>25</v>
      </c>
      <c r="K1355" t="s">
        <v>7226</v>
      </c>
      <c r="L1355">
        <v>0.15</v>
      </c>
      <c r="M1355" t="s">
        <v>7227</v>
      </c>
      <c r="N1355" t="s">
        <v>7228</v>
      </c>
      <c r="O1355" t="s">
        <v>54</v>
      </c>
      <c r="P1355" t="s">
        <v>30</v>
      </c>
      <c r="Q1355" t="s">
        <v>65</v>
      </c>
      <c r="R1355" s="3">
        <v>2533.5524999999998</v>
      </c>
    </row>
    <row r="1356" spans="1:18" x14ac:dyDescent="0.3">
      <c r="A1356" t="s">
        <v>7229</v>
      </c>
      <c r="B1356" t="str">
        <f>TEXT(Raw_Data[[#This Row],[Order Date]],"mmm")</f>
        <v>Jun</v>
      </c>
      <c r="C1356" t="s">
        <v>753</v>
      </c>
      <c r="D1356" t="s">
        <v>7230</v>
      </c>
      <c r="E1356" t="s">
        <v>48</v>
      </c>
      <c r="F1356" t="s">
        <v>106</v>
      </c>
      <c r="G1356" t="s">
        <v>163</v>
      </c>
      <c r="H1356" t="s">
        <v>80</v>
      </c>
      <c r="I1356" t="s">
        <v>91</v>
      </c>
      <c r="J1356" t="s">
        <v>25</v>
      </c>
      <c r="K1356" t="s">
        <v>7231</v>
      </c>
      <c r="L1356">
        <v>0.05</v>
      </c>
      <c r="M1356" t="s">
        <v>7232</v>
      </c>
      <c r="N1356" t="s">
        <v>7233</v>
      </c>
      <c r="O1356" t="s">
        <v>64</v>
      </c>
      <c r="P1356" t="s">
        <v>159</v>
      </c>
      <c r="Q1356" t="s">
        <v>44</v>
      </c>
      <c r="R1356" s="3">
        <v>805.96100000000001</v>
      </c>
    </row>
    <row r="1357" spans="1:18" x14ac:dyDescent="0.3">
      <c r="A1357" t="s">
        <v>7234</v>
      </c>
      <c r="B1357" t="str">
        <f>TEXT(Raw_Data[[#This Row],[Order Date]],"mmm")</f>
        <v>Dec</v>
      </c>
      <c r="C1357" t="s">
        <v>982</v>
      </c>
      <c r="D1357" t="s">
        <v>7235</v>
      </c>
      <c r="E1357" t="s">
        <v>48</v>
      </c>
      <c r="F1357" t="s">
        <v>106</v>
      </c>
      <c r="G1357" t="s">
        <v>106</v>
      </c>
      <c r="H1357" t="s">
        <v>107</v>
      </c>
      <c r="I1357" t="s">
        <v>591</v>
      </c>
      <c r="J1357" t="s">
        <v>25</v>
      </c>
      <c r="K1357" t="s">
        <v>7236</v>
      </c>
      <c r="L1357">
        <v>0.05</v>
      </c>
      <c r="M1357" t="s">
        <v>7237</v>
      </c>
      <c r="N1357" t="s">
        <v>7238</v>
      </c>
      <c r="O1357" t="s">
        <v>173</v>
      </c>
      <c r="P1357" t="s">
        <v>30</v>
      </c>
      <c r="Q1357" t="s">
        <v>65</v>
      </c>
      <c r="R1357" s="3">
        <v>5832.7434999999996</v>
      </c>
    </row>
    <row r="1358" spans="1:18" x14ac:dyDescent="0.3">
      <c r="A1358" t="s">
        <v>7239</v>
      </c>
      <c r="B1358" t="str">
        <f>TEXT(Raw_Data[[#This Row],[Order Date]],"mmm")</f>
        <v>May</v>
      </c>
      <c r="C1358" t="s">
        <v>2299</v>
      </c>
      <c r="D1358" t="s">
        <v>7240</v>
      </c>
      <c r="E1358" t="s">
        <v>20</v>
      </c>
      <c r="F1358" t="s">
        <v>89</v>
      </c>
      <c r="G1358" t="s">
        <v>90</v>
      </c>
      <c r="H1358" t="s">
        <v>38</v>
      </c>
      <c r="I1358" t="s">
        <v>223</v>
      </c>
      <c r="J1358" t="s">
        <v>25</v>
      </c>
      <c r="K1358" t="s">
        <v>7241</v>
      </c>
      <c r="L1358">
        <v>0.1</v>
      </c>
      <c r="M1358" t="s">
        <v>7242</v>
      </c>
      <c r="N1358" t="s">
        <v>7243</v>
      </c>
      <c r="O1358" t="s">
        <v>54</v>
      </c>
      <c r="P1358" t="s">
        <v>159</v>
      </c>
      <c r="Q1358" t="s">
        <v>31</v>
      </c>
      <c r="R1358" s="3">
        <v>5366.241</v>
      </c>
    </row>
    <row r="1359" spans="1:18" x14ac:dyDescent="0.3">
      <c r="A1359" t="s">
        <v>7244</v>
      </c>
      <c r="B1359" t="str">
        <f>TEXT(Raw_Data[[#This Row],[Order Date]],"mmm")</f>
        <v>Apr</v>
      </c>
      <c r="C1359" t="s">
        <v>121</v>
      </c>
      <c r="D1359" t="s">
        <v>7245</v>
      </c>
      <c r="E1359" t="s">
        <v>48</v>
      </c>
      <c r="F1359" t="s">
        <v>58</v>
      </c>
      <c r="G1359" t="s">
        <v>290</v>
      </c>
      <c r="H1359" t="s">
        <v>80</v>
      </c>
      <c r="I1359" t="s">
        <v>116</v>
      </c>
      <c r="J1359" t="s">
        <v>100</v>
      </c>
      <c r="K1359" t="s">
        <v>7246</v>
      </c>
      <c r="L1359">
        <v>0.15</v>
      </c>
      <c r="M1359" t="s">
        <v>7247</v>
      </c>
      <c r="N1359" t="s">
        <v>7248</v>
      </c>
      <c r="O1359" t="s">
        <v>54</v>
      </c>
      <c r="P1359" t="s">
        <v>30</v>
      </c>
      <c r="Q1359" t="s">
        <v>44</v>
      </c>
      <c r="R1359" s="3">
        <v>5168.1359999999904</v>
      </c>
    </row>
    <row r="1360" spans="1:18" x14ac:dyDescent="0.3">
      <c r="A1360" t="s">
        <v>7249</v>
      </c>
      <c r="B1360" t="str">
        <f>TEXT(Raw_Data[[#This Row],[Order Date]],"mmm")</f>
        <v>Sep</v>
      </c>
      <c r="C1360" t="s">
        <v>1539</v>
      </c>
      <c r="D1360" t="s">
        <v>7250</v>
      </c>
      <c r="E1360" t="s">
        <v>35</v>
      </c>
      <c r="F1360" t="s">
        <v>78</v>
      </c>
      <c r="G1360" t="s">
        <v>79</v>
      </c>
      <c r="H1360" t="s">
        <v>107</v>
      </c>
      <c r="I1360" t="s">
        <v>378</v>
      </c>
      <c r="J1360" t="s">
        <v>25</v>
      </c>
      <c r="K1360" t="s">
        <v>7251</v>
      </c>
      <c r="L1360">
        <v>0.05</v>
      </c>
      <c r="M1360" t="s">
        <v>7252</v>
      </c>
      <c r="N1360" t="s">
        <v>7253</v>
      </c>
      <c r="O1360" t="s">
        <v>64</v>
      </c>
      <c r="P1360" t="s">
        <v>30</v>
      </c>
      <c r="Q1360" t="s">
        <v>44</v>
      </c>
      <c r="R1360" s="3">
        <v>9387.8619999999992</v>
      </c>
    </row>
    <row r="1361" spans="1:18" x14ac:dyDescent="0.3">
      <c r="A1361" t="s">
        <v>7254</v>
      </c>
      <c r="B1361" t="str">
        <f>TEXT(Raw_Data[[#This Row],[Order Date]],"mmm")</f>
        <v>Sep</v>
      </c>
      <c r="C1361" t="s">
        <v>663</v>
      </c>
      <c r="D1361" t="s">
        <v>7255</v>
      </c>
      <c r="E1361" t="s">
        <v>20</v>
      </c>
      <c r="F1361" t="s">
        <v>21</v>
      </c>
      <c r="G1361" t="s">
        <v>130</v>
      </c>
      <c r="H1361" t="s">
        <v>23</v>
      </c>
      <c r="I1361" t="s">
        <v>263</v>
      </c>
      <c r="J1361" t="s">
        <v>82</v>
      </c>
      <c r="K1361" t="s">
        <v>7256</v>
      </c>
      <c r="L1361">
        <v>0.15</v>
      </c>
      <c r="M1361" t="s">
        <v>7257</v>
      </c>
      <c r="N1361" t="s">
        <v>7258</v>
      </c>
      <c r="O1361" t="s">
        <v>64</v>
      </c>
      <c r="P1361" t="s">
        <v>159</v>
      </c>
      <c r="Q1361" t="s">
        <v>31</v>
      </c>
      <c r="R1361" s="3">
        <v>178916.39799999999</v>
      </c>
    </row>
    <row r="1362" spans="1:18" x14ac:dyDescent="0.3">
      <c r="A1362" t="s">
        <v>7259</v>
      </c>
      <c r="B1362" t="str">
        <f>TEXT(Raw_Data[[#This Row],[Order Date]],"mmm")</f>
        <v>Mar</v>
      </c>
      <c r="C1362" t="s">
        <v>3669</v>
      </c>
      <c r="D1362" t="s">
        <v>7260</v>
      </c>
      <c r="E1362" t="s">
        <v>35</v>
      </c>
      <c r="F1362" t="s">
        <v>69</v>
      </c>
      <c r="G1362" t="s">
        <v>70</v>
      </c>
      <c r="H1362" t="s">
        <v>23</v>
      </c>
      <c r="I1362" t="s">
        <v>341</v>
      </c>
      <c r="J1362" t="s">
        <v>25</v>
      </c>
      <c r="K1362" t="s">
        <v>7261</v>
      </c>
      <c r="L1362">
        <v>0.1</v>
      </c>
      <c r="M1362" t="s">
        <v>7262</v>
      </c>
      <c r="N1362" t="s">
        <v>7263</v>
      </c>
      <c r="O1362" t="s">
        <v>43</v>
      </c>
      <c r="P1362" t="s">
        <v>159</v>
      </c>
      <c r="Q1362" t="s">
        <v>31</v>
      </c>
      <c r="R1362" s="3">
        <v>1098.3779999999999</v>
      </c>
    </row>
    <row r="1363" spans="1:18" x14ac:dyDescent="0.3">
      <c r="A1363" t="s">
        <v>7264</v>
      </c>
      <c r="B1363" t="str">
        <f>TEXT(Raw_Data[[#This Row],[Order Date]],"mmm")</f>
        <v>Sep</v>
      </c>
      <c r="C1363" t="s">
        <v>1632</v>
      </c>
      <c r="D1363" t="s">
        <v>7265</v>
      </c>
      <c r="E1363" t="s">
        <v>48</v>
      </c>
      <c r="F1363" t="s">
        <v>215</v>
      </c>
      <c r="G1363" t="s">
        <v>276</v>
      </c>
      <c r="H1363" t="s">
        <v>80</v>
      </c>
      <c r="I1363" t="s">
        <v>131</v>
      </c>
      <c r="J1363" t="s">
        <v>25</v>
      </c>
      <c r="K1363" t="s">
        <v>7266</v>
      </c>
      <c r="L1363">
        <v>0</v>
      </c>
      <c r="M1363" t="s">
        <v>7267</v>
      </c>
      <c r="N1363" t="s">
        <v>7268</v>
      </c>
      <c r="O1363" t="s">
        <v>173</v>
      </c>
      <c r="P1363" t="s">
        <v>30</v>
      </c>
      <c r="Q1363" t="s">
        <v>31</v>
      </c>
      <c r="R1363" s="3">
        <v>6603.58</v>
      </c>
    </row>
    <row r="1364" spans="1:18" x14ac:dyDescent="0.3">
      <c r="A1364" t="s">
        <v>7269</v>
      </c>
      <c r="B1364" t="str">
        <f>TEXT(Raw_Data[[#This Row],[Order Date]],"mmm")</f>
        <v>Jun</v>
      </c>
      <c r="C1364" t="s">
        <v>2758</v>
      </c>
      <c r="D1364" t="s">
        <v>7270</v>
      </c>
      <c r="E1364" t="s">
        <v>48</v>
      </c>
      <c r="F1364" t="s">
        <v>215</v>
      </c>
      <c r="G1364" t="s">
        <v>216</v>
      </c>
      <c r="H1364" t="s">
        <v>23</v>
      </c>
      <c r="I1364" t="s">
        <v>263</v>
      </c>
      <c r="J1364" t="s">
        <v>25</v>
      </c>
      <c r="K1364" t="s">
        <v>7271</v>
      </c>
      <c r="L1364">
        <v>0.15</v>
      </c>
      <c r="M1364" t="s">
        <v>7272</v>
      </c>
      <c r="N1364" t="s">
        <v>7273</v>
      </c>
      <c r="O1364" t="s">
        <v>43</v>
      </c>
      <c r="P1364" t="s">
        <v>30</v>
      </c>
      <c r="Q1364" t="s">
        <v>31</v>
      </c>
      <c r="R1364" s="3">
        <v>41358.161</v>
      </c>
    </row>
    <row r="1365" spans="1:18" x14ac:dyDescent="0.3">
      <c r="A1365" t="s">
        <v>7274</v>
      </c>
      <c r="B1365" t="str">
        <f>TEXT(Raw_Data[[#This Row],[Order Date]],"mmm")</f>
        <v>May</v>
      </c>
      <c r="C1365" t="s">
        <v>301</v>
      </c>
      <c r="D1365" t="s">
        <v>7275</v>
      </c>
      <c r="E1365" t="s">
        <v>20</v>
      </c>
      <c r="F1365" t="s">
        <v>89</v>
      </c>
      <c r="G1365" t="s">
        <v>230</v>
      </c>
      <c r="H1365" t="s">
        <v>23</v>
      </c>
      <c r="I1365" t="s">
        <v>263</v>
      </c>
      <c r="J1365" t="s">
        <v>25</v>
      </c>
      <c r="K1365" t="s">
        <v>7276</v>
      </c>
      <c r="L1365">
        <v>0.05</v>
      </c>
      <c r="M1365" t="s">
        <v>7277</v>
      </c>
      <c r="N1365" t="s">
        <v>7278</v>
      </c>
      <c r="O1365" t="s">
        <v>29</v>
      </c>
      <c r="P1365" t="s">
        <v>112</v>
      </c>
      <c r="Q1365" t="s">
        <v>31</v>
      </c>
      <c r="R1365" s="3">
        <v>59654.869999999901</v>
      </c>
    </row>
    <row r="1366" spans="1:18" x14ac:dyDescent="0.3">
      <c r="A1366" t="s">
        <v>7279</v>
      </c>
      <c r="B1366" t="str">
        <f>TEXT(Raw_Data[[#This Row],[Order Date]],"mmm")</f>
        <v>Mar</v>
      </c>
      <c r="C1366" t="s">
        <v>1915</v>
      </c>
      <c r="D1366" t="s">
        <v>7280</v>
      </c>
      <c r="E1366" t="s">
        <v>20</v>
      </c>
      <c r="F1366" t="s">
        <v>69</v>
      </c>
      <c r="G1366" t="s">
        <v>70</v>
      </c>
      <c r="H1366" t="s">
        <v>23</v>
      </c>
      <c r="I1366" t="s">
        <v>263</v>
      </c>
      <c r="J1366" t="s">
        <v>50</v>
      </c>
      <c r="K1366" t="s">
        <v>7281</v>
      </c>
      <c r="L1366">
        <v>0</v>
      </c>
      <c r="M1366" t="s">
        <v>7282</v>
      </c>
      <c r="N1366" t="s">
        <v>7283</v>
      </c>
      <c r="O1366" t="s">
        <v>29</v>
      </c>
      <c r="P1366" t="s">
        <v>112</v>
      </c>
      <c r="Q1366" t="s">
        <v>65</v>
      </c>
      <c r="R1366" s="3">
        <v>46958.02</v>
      </c>
    </row>
    <row r="1367" spans="1:18" x14ac:dyDescent="0.3">
      <c r="A1367" t="s">
        <v>7284</v>
      </c>
      <c r="B1367" t="str">
        <f>TEXT(Raw_Data[[#This Row],[Order Date]],"mmm")</f>
        <v>Oct</v>
      </c>
      <c r="C1367" t="s">
        <v>629</v>
      </c>
      <c r="D1367" t="s">
        <v>7285</v>
      </c>
      <c r="E1367" t="s">
        <v>35</v>
      </c>
      <c r="F1367" t="s">
        <v>58</v>
      </c>
      <c r="G1367" t="s">
        <v>812</v>
      </c>
      <c r="H1367" t="s">
        <v>23</v>
      </c>
      <c r="I1367" t="s">
        <v>49</v>
      </c>
      <c r="J1367" t="s">
        <v>100</v>
      </c>
      <c r="K1367" t="s">
        <v>7286</v>
      </c>
      <c r="L1367">
        <v>0.15</v>
      </c>
      <c r="M1367" t="s">
        <v>7287</v>
      </c>
      <c r="N1367" t="s">
        <v>7288</v>
      </c>
      <c r="O1367" t="s">
        <v>54</v>
      </c>
      <c r="P1367" t="s">
        <v>30</v>
      </c>
      <c r="Q1367" t="s">
        <v>31</v>
      </c>
      <c r="R1367" s="3">
        <v>121130.4825</v>
      </c>
    </row>
    <row r="1368" spans="1:18" x14ac:dyDescent="0.3">
      <c r="A1368" t="s">
        <v>7289</v>
      </c>
      <c r="B1368" t="str">
        <f>TEXT(Raw_Data[[#This Row],[Order Date]],"mmm")</f>
        <v>Jul</v>
      </c>
      <c r="C1368" t="s">
        <v>7058</v>
      </c>
      <c r="D1368" t="s">
        <v>7290</v>
      </c>
      <c r="E1368" t="s">
        <v>20</v>
      </c>
      <c r="F1368" t="s">
        <v>58</v>
      </c>
      <c r="G1368" t="s">
        <v>290</v>
      </c>
      <c r="H1368" t="s">
        <v>107</v>
      </c>
      <c r="I1368" t="s">
        <v>378</v>
      </c>
      <c r="J1368" t="s">
        <v>25</v>
      </c>
      <c r="K1368" t="s">
        <v>7291</v>
      </c>
      <c r="L1368">
        <v>0.05</v>
      </c>
      <c r="M1368" t="s">
        <v>7292</v>
      </c>
      <c r="N1368" t="s">
        <v>7293</v>
      </c>
      <c r="O1368" t="s">
        <v>43</v>
      </c>
      <c r="P1368" t="s">
        <v>159</v>
      </c>
      <c r="Q1368" t="s">
        <v>44</v>
      </c>
      <c r="R1368" s="3">
        <v>16479.136999999999</v>
      </c>
    </row>
    <row r="1369" spans="1:18" x14ac:dyDescent="0.3">
      <c r="A1369" t="s">
        <v>7294</v>
      </c>
      <c r="B1369" t="str">
        <f>TEXT(Raw_Data[[#This Row],[Order Date]],"mmm")</f>
        <v>Jun</v>
      </c>
      <c r="C1369" t="s">
        <v>3263</v>
      </c>
      <c r="D1369" t="s">
        <v>7295</v>
      </c>
      <c r="E1369" t="s">
        <v>20</v>
      </c>
      <c r="F1369" t="s">
        <v>58</v>
      </c>
      <c r="G1369" t="s">
        <v>59</v>
      </c>
      <c r="H1369" t="s">
        <v>80</v>
      </c>
      <c r="I1369" t="s">
        <v>131</v>
      </c>
      <c r="J1369" t="s">
        <v>100</v>
      </c>
      <c r="K1369" t="s">
        <v>7296</v>
      </c>
      <c r="L1369">
        <v>0.1</v>
      </c>
      <c r="M1369" t="s">
        <v>7297</v>
      </c>
      <c r="N1369" t="s">
        <v>7298</v>
      </c>
      <c r="O1369" t="s">
        <v>173</v>
      </c>
      <c r="P1369" t="s">
        <v>30</v>
      </c>
      <c r="Q1369" t="s">
        <v>65</v>
      </c>
      <c r="R1369" s="3">
        <v>18582.021000000001</v>
      </c>
    </row>
    <row r="1370" spans="1:18" x14ac:dyDescent="0.3">
      <c r="A1370" t="s">
        <v>7299</v>
      </c>
      <c r="B1370" t="str">
        <f>TEXT(Raw_Data[[#This Row],[Order Date]],"mmm")</f>
        <v>Nov</v>
      </c>
      <c r="C1370" t="s">
        <v>851</v>
      </c>
      <c r="D1370" t="s">
        <v>7300</v>
      </c>
      <c r="E1370" t="s">
        <v>35</v>
      </c>
      <c r="F1370" t="s">
        <v>58</v>
      </c>
      <c r="G1370" t="s">
        <v>812</v>
      </c>
      <c r="H1370" t="s">
        <v>38</v>
      </c>
      <c r="I1370" t="s">
        <v>39</v>
      </c>
      <c r="J1370" t="s">
        <v>25</v>
      </c>
      <c r="K1370" t="s">
        <v>7301</v>
      </c>
      <c r="L1370">
        <v>0</v>
      </c>
      <c r="M1370" t="s">
        <v>7302</v>
      </c>
      <c r="N1370" t="s">
        <v>7303</v>
      </c>
      <c r="O1370" t="s">
        <v>54</v>
      </c>
      <c r="P1370" t="s">
        <v>30</v>
      </c>
      <c r="Q1370" t="s">
        <v>31</v>
      </c>
      <c r="R1370" s="3">
        <v>4930.92</v>
      </c>
    </row>
    <row r="1371" spans="1:18" x14ac:dyDescent="0.3">
      <c r="A1371" t="s">
        <v>7304</v>
      </c>
      <c r="B1371" t="str">
        <f>TEXT(Raw_Data[[#This Row],[Order Date]],"mmm")</f>
        <v>Feb</v>
      </c>
      <c r="C1371" t="s">
        <v>2892</v>
      </c>
      <c r="D1371" t="s">
        <v>7305</v>
      </c>
      <c r="E1371" t="s">
        <v>20</v>
      </c>
      <c r="F1371" t="s">
        <v>106</v>
      </c>
      <c r="G1371" t="s">
        <v>163</v>
      </c>
      <c r="H1371" t="s">
        <v>107</v>
      </c>
      <c r="I1371" t="s">
        <v>277</v>
      </c>
      <c r="J1371" t="s">
        <v>50</v>
      </c>
      <c r="K1371" t="s">
        <v>7306</v>
      </c>
      <c r="L1371">
        <v>0.15</v>
      </c>
      <c r="M1371" t="s">
        <v>7307</v>
      </c>
      <c r="N1371" t="s">
        <v>7308</v>
      </c>
      <c r="O1371" t="s">
        <v>64</v>
      </c>
      <c r="P1371" t="s">
        <v>30</v>
      </c>
      <c r="Q1371" t="s">
        <v>65</v>
      </c>
      <c r="R1371" s="3">
        <v>2256.75</v>
      </c>
    </row>
    <row r="1372" spans="1:18" x14ac:dyDescent="0.3">
      <c r="A1372" t="s">
        <v>7309</v>
      </c>
      <c r="B1372" t="str">
        <f>TEXT(Raw_Data[[#This Row],[Order Date]],"mmm")</f>
        <v>Nov</v>
      </c>
      <c r="C1372" t="s">
        <v>4386</v>
      </c>
      <c r="D1372" t="s">
        <v>7310</v>
      </c>
      <c r="E1372" t="s">
        <v>35</v>
      </c>
      <c r="F1372" t="s">
        <v>106</v>
      </c>
      <c r="G1372" t="s">
        <v>106</v>
      </c>
      <c r="H1372" t="s">
        <v>23</v>
      </c>
      <c r="I1372" t="s">
        <v>49</v>
      </c>
      <c r="J1372" t="s">
        <v>25</v>
      </c>
      <c r="K1372" t="s">
        <v>7311</v>
      </c>
      <c r="L1372">
        <v>0.1</v>
      </c>
      <c r="M1372" t="s">
        <v>7312</v>
      </c>
      <c r="N1372" t="s">
        <v>7313</v>
      </c>
      <c r="O1372" t="s">
        <v>135</v>
      </c>
      <c r="P1372" t="s">
        <v>112</v>
      </c>
      <c r="Q1372" t="s">
        <v>65</v>
      </c>
      <c r="R1372" s="3">
        <v>65481.849000000002</v>
      </c>
    </row>
    <row r="1373" spans="1:18" x14ac:dyDescent="0.3">
      <c r="A1373" t="s">
        <v>7314</v>
      </c>
      <c r="B1373" t="str">
        <f>TEXT(Raw_Data[[#This Row],[Order Date]],"mmm")</f>
        <v>Feb</v>
      </c>
      <c r="C1373" t="s">
        <v>7114</v>
      </c>
      <c r="D1373" t="s">
        <v>7315</v>
      </c>
      <c r="E1373" t="s">
        <v>35</v>
      </c>
      <c r="F1373" t="s">
        <v>69</v>
      </c>
      <c r="G1373" t="s">
        <v>70</v>
      </c>
      <c r="H1373" t="s">
        <v>154</v>
      </c>
      <c r="I1373" t="s">
        <v>309</v>
      </c>
      <c r="J1373" t="s">
        <v>50</v>
      </c>
      <c r="K1373" t="s">
        <v>7316</v>
      </c>
      <c r="L1373">
        <v>0.05</v>
      </c>
      <c r="M1373" t="s">
        <v>7317</v>
      </c>
      <c r="N1373" t="s">
        <v>7318</v>
      </c>
      <c r="O1373" t="s">
        <v>29</v>
      </c>
      <c r="P1373" t="s">
        <v>30</v>
      </c>
      <c r="Q1373" t="s">
        <v>65</v>
      </c>
      <c r="R1373" s="3">
        <v>12800.053</v>
      </c>
    </row>
    <row r="1374" spans="1:18" x14ac:dyDescent="0.3">
      <c r="A1374" t="s">
        <v>7319</v>
      </c>
      <c r="B1374" t="str">
        <f>TEXT(Raw_Data[[#This Row],[Order Date]],"mmm")</f>
        <v>Oct</v>
      </c>
      <c r="C1374" t="s">
        <v>3724</v>
      </c>
      <c r="D1374" t="s">
        <v>7320</v>
      </c>
      <c r="E1374" t="s">
        <v>48</v>
      </c>
      <c r="F1374" t="s">
        <v>36</v>
      </c>
      <c r="G1374" t="s">
        <v>196</v>
      </c>
      <c r="H1374" t="s">
        <v>80</v>
      </c>
      <c r="I1374" t="s">
        <v>91</v>
      </c>
      <c r="J1374" t="s">
        <v>82</v>
      </c>
      <c r="K1374" t="s">
        <v>7321</v>
      </c>
      <c r="L1374">
        <v>0.05</v>
      </c>
      <c r="M1374" t="s">
        <v>7322</v>
      </c>
      <c r="N1374" t="s">
        <v>7323</v>
      </c>
      <c r="O1374" t="s">
        <v>43</v>
      </c>
      <c r="P1374" t="s">
        <v>30</v>
      </c>
      <c r="Q1374" t="s">
        <v>65</v>
      </c>
      <c r="R1374" s="3">
        <v>21308.309999999899</v>
      </c>
    </row>
    <row r="1375" spans="1:18" x14ac:dyDescent="0.3">
      <c r="A1375" t="s">
        <v>7324</v>
      </c>
      <c r="B1375" t="str">
        <f>TEXT(Raw_Data[[#This Row],[Order Date]],"mmm")</f>
        <v>Apr</v>
      </c>
      <c r="C1375" t="s">
        <v>2687</v>
      </c>
      <c r="D1375" t="s">
        <v>7325</v>
      </c>
      <c r="E1375" t="s">
        <v>35</v>
      </c>
      <c r="F1375" t="s">
        <v>89</v>
      </c>
      <c r="G1375" t="s">
        <v>90</v>
      </c>
      <c r="H1375" t="s">
        <v>107</v>
      </c>
      <c r="I1375" t="s">
        <v>277</v>
      </c>
      <c r="J1375" t="s">
        <v>25</v>
      </c>
      <c r="K1375" t="s">
        <v>7326</v>
      </c>
      <c r="L1375">
        <v>0.15</v>
      </c>
      <c r="M1375" t="s">
        <v>7327</v>
      </c>
      <c r="N1375" t="s">
        <v>7328</v>
      </c>
      <c r="O1375" t="s">
        <v>29</v>
      </c>
      <c r="P1375" t="s">
        <v>95</v>
      </c>
      <c r="Q1375" t="s">
        <v>44</v>
      </c>
      <c r="R1375" s="3">
        <v>11928.509</v>
      </c>
    </row>
    <row r="1376" spans="1:18" x14ac:dyDescent="0.3">
      <c r="A1376" t="s">
        <v>7329</v>
      </c>
      <c r="B1376" t="str">
        <f>TEXT(Raw_Data[[#This Row],[Order Date]],"mmm")</f>
        <v>Jun</v>
      </c>
      <c r="C1376" t="s">
        <v>2272</v>
      </c>
      <c r="D1376" t="s">
        <v>7330</v>
      </c>
      <c r="E1376" t="s">
        <v>20</v>
      </c>
      <c r="F1376" t="s">
        <v>21</v>
      </c>
      <c r="G1376" t="s">
        <v>130</v>
      </c>
      <c r="H1376" t="s">
        <v>80</v>
      </c>
      <c r="I1376" t="s">
        <v>81</v>
      </c>
      <c r="J1376" t="s">
        <v>50</v>
      </c>
      <c r="K1376" t="s">
        <v>7331</v>
      </c>
      <c r="L1376">
        <v>0</v>
      </c>
      <c r="M1376" t="s">
        <v>7332</v>
      </c>
      <c r="N1376" t="s">
        <v>7333</v>
      </c>
      <c r="O1376" t="s">
        <v>173</v>
      </c>
      <c r="P1376" t="s">
        <v>30</v>
      </c>
      <c r="Q1376" t="s">
        <v>31</v>
      </c>
      <c r="R1376" s="3">
        <v>3959.58</v>
      </c>
    </row>
    <row r="1377" spans="1:18" x14ac:dyDescent="0.3">
      <c r="A1377" t="s">
        <v>7334</v>
      </c>
      <c r="B1377" t="str">
        <f>TEXT(Raw_Data[[#This Row],[Order Date]],"mmm")</f>
        <v>Jan</v>
      </c>
      <c r="C1377" t="s">
        <v>254</v>
      </c>
      <c r="D1377" t="s">
        <v>7335</v>
      </c>
      <c r="E1377" t="s">
        <v>20</v>
      </c>
      <c r="F1377" t="s">
        <v>36</v>
      </c>
      <c r="G1377" t="s">
        <v>414</v>
      </c>
      <c r="H1377" t="s">
        <v>38</v>
      </c>
      <c r="I1377" t="s">
        <v>223</v>
      </c>
      <c r="J1377" t="s">
        <v>50</v>
      </c>
      <c r="K1377" t="s">
        <v>7336</v>
      </c>
      <c r="L1377">
        <v>0</v>
      </c>
      <c r="M1377" t="s">
        <v>7337</v>
      </c>
      <c r="N1377" t="s">
        <v>7338</v>
      </c>
      <c r="O1377" t="s">
        <v>29</v>
      </c>
      <c r="P1377" t="s">
        <v>1762</v>
      </c>
      <c r="Q1377" t="s">
        <v>31</v>
      </c>
      <c r="R1377" s="3">
        <v>8902.16</v>
      </c>
    </row>
    <row r="1378" spans="1:18" x14ac:dyDescent="0.3">
      <c r="A1378" t="s">
        <v>7339</v>
      </c>
      <c r="B1378" t="str">
        <f>TEXT(Raw_Data[[#This Row],[Order Date]],"mmm")</f>
        <v>Dec</v>
      </c>
      <c r="C1378" t="s">
        <v>646</v>
      </c>
      <c r="D1378" t="s">
        <v>7340</v>
      </c>
      <c r="E1378" t="s">
        <v>20</v>
      </c>
      <c r="F1378" t="s">
        <v>69</v>
      </c>
      <c r="G1378" t="s">
        <v>139</v>
      </c>
      <c r="H1378" t="s">
        <v>23</v>
      </c>
      <c r="I1378" t="s">
        <v>341</v>
      </c>
      <c r="J1378" t="s">
        <v>25</v>
      </c>
      <c r="K1378" t="s">
        <v>7341</v>
      </c>
      <c r="L1378">
        <v>0.15</v>
      </c>
      <c r="M1378" t="s">
        <v>7342</v>
      </c>
      <c r="N1378" t="s">
        <v>7343</v>
      </c>
      <c r="O1378" t="s">
        <v>173</v>
      </c>
      <c r="P1378" t="s">
        <v>30</v>
      </c>
      <c r="Q1378" t="s">
        <v>65</v>
      </c>
      <c r="R1378" s="3">
        <v>43325.817499999997</v>
      </c>
    </row>
    <row r="1379" spans="1:18" x14ac:dyDescent="0.3">
      <c r="A1379" t="s">
        <v>7344</v>
      </c>
      <c r="B1379" t="str">
        <f>TEXT(Raw_Data[[#This Row],[Order Date]],"mmm")</f>
        <v>Jul</v>
      </c>
      <c r="C1379" t="s">
        <v>389</v>
      </c>
      <c r="D1379" t="s">
        <v>7345</v>
      </c>
      <c r="E1379" t="s">
        <v>48</v>
      </c>
      <c r="F1379" t="s">
        <v>58</v>
      </c>
      <c r="G1379" t="s">
        <v>290</v>
      </c>
      <c r="H1379" t="s">
        <v>107</v>
      </c>
      <c r="I1379" t="s">
        <v>378</v>
      </c>
      <c r="J1379" t="s">
        <v>25</v>
      </c>
      <c r="K1379" t="s">
        <v>7346</v>
      </c>
      <c r="L1379">
        <v>0.1</v>
      </c>
      <c r="M1379" t="s">
        <v>7347</v>
      </c>
      <c r="N1379" t="s">
        <v>7348</v>
      </c>
      <c r="O1379" t="s">
        <v>43</v>
      </c>
      <c r="P1379" t="s">
        <v>159</v>
      </c>
      <c r="Q1379" t="s">
        <v>44</v>
      </c>
      <c r="R1379" s="3">
        <v>4377.78</v>
      </c>
    </row>
    <row r="1380" spans="1:18" x14ac:dyDescent="0.3">
      <c r="A1380" t="s">
        <v>7349</v>
      </c>
      <c r="B1380" t="str">
        <f>TEXT(Raw_Data[[#This Row],[Order Date]],"mmm")</f>
        <v>Apr</v>
      </c>
      <c r="C1380" t="s">
        <v>5341</v>
      </c>
      <c r="D1380" t="s">
        <v>7350</v>
      </c>
      <c r="E1380" t="s">
        <v>48</v>
      </c>
      <c r="F1380" t="s">
        <v>89</v>
      </c>
      <c r="G1380" t="s">
        <v>230</v>
      </c>
      <c r="H1380" t="s">
        <v>80</v>
      </c>
      <c r="I1380" t="s">
        <v>116</v>
      </c>
      <c r="J1380" t="s">
        <v>25</v>
      </c>
      <c r="K1380" t="s">
        <v>7351</v>
      </c>
      <c r="L1380">
        <v>0</v>
      </c>
      <c r="M1380" t="s">
        <v>7352</v>
      </c>
      <c r="N1380" t="s">
        <v>7353</v>
      </c>
      <c r="O1380" t="s">
        <v>43</v>
      </c>
      <c r="P1380" t="s">
        <v>30</v>
      </c>
      <c r="Q1380" t="s">
        <v>65</v>
      </c>
      <c r="R1380" s="3">
        <v>1212.1300000000001</v>
      </c>
    </row>
    <row r="1381" spans="1:18" x14ac:dyDescent="0.3">
      <c r="A1381" t="s">
        <v>7354</v>
      </c>
      <c r="B1381" t="str">
        <f>TEXT(Raw_Data[[#This Row],[Order Date]],"mmm")</f>
        <v>Jan</v>
      </c>
      <c r="C1381" t="s">
        <v>924</v>
      </c>
      <c r="D1381" t="s">
        <v>7355</v>
      </c>
      <c r="E1381" t="s">
        <v>20</v>
      </c>
      <c r="F1381" t="s">
        <v>89</v>
      </c>
      <c r="G1381" t="s">
        <v>230</v>
      </c>
      <c r="H1381" t="s">
        <v>23</v>
      </c>
      <c r="I1381" t="s">
        <v>263</v>
      </c>
      <c r="J1381" t="s">
        <v>25</v>
      </c>
      <c r="K1381" t="s">
        <v>7356</v>
      </c>
      <c r="L1381">
        <v>0.15</v>
      </c>
      <c r="M1381" t="s">
        <v>7357</v>
      </c>
      <c r="N1381" t="s">
        <v>7358</v>
      </c>
      <c r="O1381" t="s">
        <v>29</v>
      </c>
      <c r="P1381" t="s">
        <v>30</v>
      </c>
      <c r="Q1381" t="s">
        <v>31</v>
      </c>
      <c r="R1381" s="3">
        <v>49925.735999999997</v>
      </c>
    </row>
    <row r="1382" spans="1:18" x14ac:dyDescent="0.3">
      <c r="A1382" t="s">
        <v>7359</v>
      </c>
      <c r="B1382" t="str">
        <f>TEXT(Raw_Data[[#This Row],[Order Date]],"mmm")</f>
        <v>Jul</v>
      </c>
      <c r="C1382" t="s">
        <v>114</v>
      </c>
      <c r="D1382" t="s">
        <v>7360</v>
      </c>
      <c r="E1382" t="s">
        <v>20</v>
      </c>
      <c r="F1382" t="s">
        <v>58</v>
      </c>
      <c r="G1382" t="s">
        <v>812</v>
      </c>
      <c r="H1382" t="s">
        <v>23</v>
      </c>
      <c r="I1382" t="s">
        <v>24</v>
      </c>
      <c r="J1382" t="s">
        <v>25</v>
      </c>
      <c r="K1382" t="s">
        <v>7361</v>
      </c>
      <c r="L1382">
        <v>0.2</v>
      </c>
      <c r="M1382" t="s">
        <v>7362</v>
      </c>
      <c r="N1382" t="s">
        <v>7363</v>
      </c>
      <c r="O1382" t="s">
        <v>43</v>
      </c>
      <c r="P1382" t="s">
        <v>30</v>
      </c>
      <c r="Q1382" t="s">
        <v>65</v>
      </c>
      <c r="R1382" s="3">
        <v>56398.184000000001</v>
      </c>
    </row>
    <row r="1383" spans="1:18" x14ac:dyDescent="0.3">
      <c r="A1383" t="s">
        <v>7364</v>
      </c>
      <c r="B1383" t="str">
        <f>TEXT(Raw_Data[[#This Row],[Order Date]],"mmm")</f>
        <v>Sep</v>
      </c>
      <c r="C1383" t="s">
        <v>2569</v>
      </c>
      <c r="D1383" t="s">
        <v>7365</v>
      </c>
      <c r="E1383" t="s">
        <v>20</v>
      </c>
      <c r="F1383" t="s">
        <v>58</v>
      </c>
      <c r="G1383" t="s">
        <v>59</v>
      </c>
      <c r="H1383" t="s">
        <v>107</v>
      </c>
      <c r="I1383" t="s">
        <v>591</v>
      </c>
      <c r="J1383" t="s">
        <v>25</v>
      </c>
      <c r="K1383" t="s">
        <v>7366</v>
      </c>
      <c r="L1383">
        <v>0.1</v>
      </c>
      <c r="M1383" t="s">
        <v>7367</v>
      </c>
      <c r="N1383" t="s">
        <v>7368</v>
      </c>
      <c r="O1383" t="s">
        <v>29</v>
      </c>
      <c r="P1383" t="s">
        <v>30</v>
      </c>
      <c r="Q1383" t="s">
        <v>44</v>
      </c>
      <c r="R1383" s="3">
        <v>5796.5940000000001</v>
      </c>
    </row>
    <row r="1384" spans="1:18" x14ac:dyDescent="0.3">
      <c r="A1384" t="s">
        <v>7369</v>
      </c>
      <c r="B1384" t="str">
        <f>TEXT(Raw_Data[[#This Row],[Order Date]],"mmm")</f>
        <v>Jul</v>
      </c>
      <c r="C1384" t="s">
        <v>2776</v>
      </c>
      <c r="D1384" t="s">
        <v>7370</v>
      </c>
      <c r="E1384" t="s">
        <v>20</v>
      </c>
      <c r="F1384" t="s">
        <v>36</v>
      </c>
      <c r="G1384" t="s">
        <v>37</v>
      </c>
      <c r="H1384" t="s">
        <v>38</v>
      </c>
      <c r="I1384" t="s">
        <v>39</v>
      </c>
      <c r="J1384" t="s">
        <v>25</v>
      </c>
      <c r="K1384" t="s">
        <v>7371</v>
      </c>
      <c r="L1384">
        <v>0.1</v>
      </c>
      <c r="M1384" t="s">
        <v>7372</v>
      </c>
      <c r="N1384" t="s">
        <v>7373</v>
      </c>
      <c r="O1384" t="s">
        <v>29</v>
      </c>
      <c r="P1384" t="s">
        <v>30</v>
      </c>
      <c r="Q1384" t="s">
        <v>44</v>
      </c>
      <c r="R1384" s="3">
        <v>4147.0469999999996</v>
      </c>
    </row>
    <row r="1385" spans="1:18" x14ac:dyDescent="0.3">
      <c r="A1385" t="s">
        <v>7374</v>
      </c>
      <c r="B1385" t="str">
        <f>TEXT(Raw_Data[[#This Row],[Order Date]],"mmm")</f>
        <v>Jan</v>
      </c>
      <c r="C1385" t="s">
        <v>1878</v>
      </c>
      <c r="D1385" t="s">
        <v>7375</v>
      </c>
      <c r="E1385" t="s">
        <v>35</v>
      </c>
      <c r="F1385" t="s">
        <v>215</v>
      </c>
      <c r="G1385" t="s">
        <v>276</v>
      </c>
      <c r="H1385" t="s">
        <v>23</v>
      </c>
      <c r="I1385" t="s">
        <v>49</v>
      </c>
      <c r="J1385" t="s">
        <v>25</v>
      </c>
      <c r="K1385" t="s">
        <v>7376</v>
      </c>
      <c r="L1385">
        <v>0.1</v>
      </c>
      <c r="M1385" t="s">
        <v>7377</v>
      </c>
      <c r="N1385" t="s">
        <v>7378</v>
      </c>
      <c r="O1385" t="s">
        <v>64</v>
      </c>
      <c r="P1385" t="s">
        <v>30</v>
      </c>
      <c r="Q1385" t="s">
        <v>65</v>
      </c>
      <c r="R1385" s="3">
        <v>56960.531999999999</v>
      </c>
    </row>
    <row r="1386" spans="1:18" x14ac:dyDescent="0.3">
      <c r="A1386" t="s">
        <v>7379</v>
      </c>
      <c r="B1386" t="str">
        <f>TEXT(Raw_Data[[#This Row],[Order Date]],"mmm")</f>
        <v>Mar</v>
      </c>
      <c r="C1386" t="s">
        <v>4670</v>
      </c>
      <c r="D1386" t="s">
        <v>7380</v>
      </c>
      <c r="E1386" t="s">
        <v>48</v>
      </c>
      <c r="F1386" t="s">
        <v>78</v>
      </c>
      <c r="G1386" t="s">
        <v>79</v>
      </c>
      <c r="H1386" t="s">
        <v>107</v>
      </c>
      <c r="I1386" t="s">
        <v>469</v>
      </c>
      <c r="J1386" t="s">
        <v>25</v>
      </c>
      <c r="K1386" t="s">
        <v>7381</v>
      </c>
      <c r="L1386">
        <v>0</v>
      </c>
      <c r="M1386" t="s">
        <v>7382</v>
      </c>
      <c r="N1386" t="s">
        <v>7383</v>
      </c>
      <c r="O1386" t="s">
        <v>43</v>
      </c>
      <c r="P1386" t="s">
        <v>30</v>
      </c>
      <c r="Q1386" t="s">
        <v>31</v>
      </c>
      <c r="R1386" s="3">
        <v>5481.82</v>
      </c>
    </row>
    <row r="1387" spans="1:18" x14ac:dyDescent="0.3">
      <c r="A1387" t="s">
        <v>7384</v>
      </c>
      <c r="B1387" t="str">
        <f>TEXT(Raw_Data[[#This Row],[Order Date]],"mmm")</f>
        <v>Apr</v>
      </c>
      <c r="C1387" t="s">
        <v>376</v>
      </c>
      <c r="D1387" t="s">
        <v>7385</v>
      </c>
      <c r="E1387" t="s">
        <v>35</v>
      </c>
      <c r="F1387" t="s">
        <v>215</v>
      </c>
      <c r="G1387" t="s">
        <v>276</v>
      </c>
      <c r="H1387" t="s">
        <v>38</v>
      </c>
      <c r="I1387" t="s">
        <v>60</v>
      </c>
      <c r="J1387" t="s">
        <v>25</v>
      </c>
      <c r="K1387" t="s">
        <v>7386</v>
      </c>
      <c r="L1387">
        <v>0.1</v>
      </c>
      <c r="M1387" t="s">
        <v>7387</v>
      </c>
      <c r="N1387" t="s">
        <v>7388</v>
      </c>
      <c r="O1387" t="s">
        <v>29</v>
      </c>
      <c r="P1387" t="s">
        <v>30</v>
      </c>
      <c r="Q1387" t="s">
        <v>31</v>
      </c>
      <c r="R1387" s="3">
        <v>1338.597</v>
      </c>
    </row>
    <row r="1388" spans="1:18" x14ac:dyDescent="0.3">
      <c r="A1388" t="s">
        <v>7389</v>
      </c>
      <c r="B1388" t="str">
        <f>TEXT(Raw_Data[[#This Row],[Order Date]],"mmm")</f>
        <v>Aug</v>
      </c>
      <c r="C1388" t="s">
        <v>1442</v>
      </c>
      <c r="D1388" t="s">
        <v>7390</v>
      </c>
      <c r="E1388" t="s">
        <v>35</v>
      </c>
      <c r="F1388" t="s">
        <v>21</v>
      </c>
      <c r="G1388" t="s">
        <v>130</v>
      </c>
      <c r="H1388" t="s">
        <v>38</v>
      </c>
      <c r="I1388" t="s">
        <v>39</v>
      </c>
      <c r="J1388" t="s">
        <v>25</v>
      </c>
      <c r="K1388" t="s">
        <v>7391</v>
      </c>
      <c r="L1388">
        <v>0.15</v>
      </c>
      <c r="M1388" t="s">
        <v>7392</v>
      </c>
      <c r="N1388" t="s">
        <v>7393</v>
      </c>
      <c r="O1388" t="s">
        <v>43</v>
      </c>
      <c r="P1388" t="s">
        <v>112</v>
      </c>
      <c r="Q1388" t="s">
        <v>31</v>
      </c>
      <c r="R1388" s="3">
        <v>4561.0320000000002</v>
      </c>
    </row>
    <row r="1389" spans="1:18" x14ac:dyDescent="0.3">
      <c r="A1389" t="s">
        <v>7394</v>
      </c>
      <c r="B1389" t="str">
        <f>TEXT(Raw_Data[[#This Row],[Order Date]],"mmm")</f>
        <v>Sep</v>
      </c>
      <c r="C1389" t="s">
        <v>719</v>
      </c>
      <c r="D1389" t="s">
        <v>7395</v>
      </c>
      <c r="E1389" t="s">
        <v>35</v>
      </c>
      <c r="F1389" t="s">
        <v>215</v>
      </c>
      <c r="G1389" t="s">
        <v>276</v>
      </c>
      <c r="H1389" t="s">
        <v>80</v>
      </c>
      <c r="I1389" t="s">
        <v>146</v>
      </c>
      <c r="J1389" t="s">
        <v>50</v>
      </c>
      <c r="K1389" t="s">
        <v>7396</v>
      </c>
      <c r="L1389">
        <v>0.05</v>
      </c>
      <c r="M1389" t="s">
        <v>7397</v>
      </c>
      <c r="N1389" t="s">
        <v>7398</v>
      </c>
      <c r="O1389" t="s">
        <v>173</v>
      </c>
      <c r="P1389" t="s">
        <v>30</v>
      </c>
      <c r="Q1389" t="s">
        <v>31</v>
      </c>
      <c r="R1389" s="3">
        <v>1115.1859999999999</v>
      </c>
    </row>
    <row r="1390" spans="1:18" x14ac:dyDescent="0.3">
      <c r="A1390" t="s">
        <v>7399</v>
      </c>
      <c r="B1390" t="str">
        <f>TEXT(Raw_Data[[#This Row],[Order Date]],"mmm")</f>
        <v>Aug</v>
      </c>
      <c r="C1390" t="s">
        <v>1426</v>
      </c>
      <c r="D1390" t="s">
        <v>7400</v>
      </c>
      <c r="E1390" t="s">
        <v>48</v>
      </c>
      <c r="F1390" t="s">
        <v>58</v>
      </c>
      <c r="G1390" t="s">
        <v>59</v>
      </c>
      <c r="H1390" t="s">
        <v>107</v>
      </c>
      <c r="I1390" t="s">
        <v>469</v>
      </c>
      <c r="J1390" t="s">
        <v>25</v>
      </c>
      <c r="K1390" t="s">
        <v>7401</v>
      </c>
      <c r="L1390">
        <v>0.05</v>
      </c>
      <c r="M1390" t="s">
        <v>7402</v>
      </c>
      <c r="N1390" t="s">
        <v>7403</v>
      </c>
      <c r="O1390" t="s">
        <v>64</v>
      </c>
      <c r="P1390" t="s">
        <v>30</v>
      </c>
      <c r="Q1390" t="s">
        <v>31</v>
      </c>
      <c r="R1390" s="3">
        <v>14676.255499999999</v>
      </c>
    </row>
    <row r="1391" spans="1:18" x14ac:dyDescent="0.3">
      <c r="A1391" t="s">
        <v>7404</v>
      </c>
      <c r="B1391" t="str">
        <f>TEXT(Raw_Data[[#This Row],[Order Date]],"mmm")</f>
        <v>Apr</v>
      </c>
      <c r="C1391" t="s">
        <v>3090</v>
      </c>
      <c r="D1391" t="s">
        <v>7405</v>
      </c>
      <c r="E1391" t="s">
        <v>35</v>
      </c>
      <c r="F1391" t="s">
        <v>106</v>
      </c>
      <c r="G1391" t="s">
        <v>106</v>
      </c>
      <c r="H1391" t="s">
        <v>80</v>
      </c>
      <c r="I1391" t="s">
        <v>131</v>
      </c>
      <c r="J1391" t="s">
        <v>100</v>
      </c>
      <c r="K1391" t="s">
        <v>7406</v>
      </c>
      <c r="L1391">
        <v>0</v>
      </c>
      <c r="M1391" t="s">
        <v>7407</v>
      </c>
      <c r="N1391" t="s">
        <v>7408</v>
      </c>
      <c r="O1391" t="s">
        <v>29</v>
      </c>
      <c r="P1391" t="s">
        <v>30</v>
      </c>
      <c r="Q1391" t="s">
        <v>65</v>
      </c>
      <c r="R1391" s="3">
        <v>15543.42</v>
      </c>
    </row>
    <row r="1392" spans="1:18" x14ac:dyDescent="0.3">
      <c r="A1392" t="s">
        <v>7409</v>
      </c>
      <c r="B1392" t="str">
        <f>TEXT(Raw_Data[[#This Row],[Order Date]],"mmm")</f>
        <v>Jan</v>
      </c>
      <c r="C1392" t="s">
        <v>3581</v>
      </c>
      <c r="D1392" t="s">
        <v>7410</v>
      </c>
      <c r="E1392" t="s">
        <v>48</v>
      </c>
      <c r="F1392" t="s">
        <v>69</v>
      </c>
      <c r="G1392" t="s">
        <v>328</v>
      </c>
      <c r="H1392" t="s">
        <v>107</v>
      </c>
      <c r="I1392" t="s">
        <v>378</v>
      </c>
      <c r="J1392" t="s">
        <v>50</v>
      </c>
      <c r="K1392" t="s">
        <v>7411</v>
      </c>
      <c r="L1392">
        <v>0.2</v>
      </c>
      <c r="M1392" t="s">
        <v>2329</v>
      </c>
      <c r="N1392" t="s">
        <v>7412</v>
      </c>
      <c r="O1392" t="s">
        <v>173</v>
      </c>
      <c r="P1392" t="s">
        <v>30</v>
      </c>
      <c r="Q1392" t="s">
        <v>31</v>
      </c>
      <c r="R1392" s="3">
        <v>1278.1759999999999</v>
      </c>
    </row>
    <row r="1393" spans="1:18" x14ac:dyDescent="0.3">
      <c r="A1393" t="s">
        <v>7413</v>
      </c>
      <c r="B1393" t="str">
        <f>TEXT(Raw_Data[[#This Row],[Order Date]],"mmm")</f>
        <v>Jun</v>
      </c>
      <c r="C1393" t="s">
        <v>1725</v>
      </c>
      <c r="D1393" t="s">
        <v>7414</v>
      </c>
      <c r="E1393" t="s">
        <v>35</v>
      </c>
      <c r="F1393" t="s">
        <v>215</v>
      </c>
      <c r="G1393" t="s">
        <v>276</v>
      </c>
      <c r="H1393" t="s">
        <v>23</v>
      </c>
      <c r="I1393" t="s">
        <v>341</v>
      </c>
      <c r="J1393" t="s">
        <v>50</v>
      </c>
      <c r="K1393" t="s">
        <v>7415</v>
      </c>
      <c r="L1393">
        <v>0.1</v>
      </c>
      <c r="M1393" t="s">
        <v>7416</v>
      </c>
      <c r="N1393" t="s">
        <v>7417</v>
      </c>
      <c r="O1393" t="s">
        <v>43</v>
      </c>
      <c r="P1393" t="s">
        <v>30</v>
      </c>
      <c r="Q1393" t="s">
        <v>44</v>
      </c>
      <c r="R1393" s="3">
        <v>78017.255999999994</v>
      </c>
    </row>
    <row r="1394" spans="1:18" x14ac:dyDescent="0.3">
      <c r="A1394" t="s">
        <v>7418</v>
      </c>
      <c r="B1394" t="str">
        <f>TEXT(Raw_Data[[#This Row],[Order Date]],"mmm")</f>
        <v>Dec</v>
      </c>
      <c r="C1394" t="s">
        <v>1233</v>
      </c>
      <c r="D1394" t="s">
        <v>7419</v>
      </c>
      <c r="E1394" t="s">
        <v>35</v>
      </c>
      <c r="F1394" t="s">
        <v>58</v>
      </c>
      <c r="G1394" t="s">
        <v>59</v>
      </c>
      <c r="H1394" t="s">
        <v>107</v>
      </c>
      <c r="I1394" t="s">
        <v>591</v>
      </c>
      <c r="J1394" t="s">
        <v>25</v>
      </c>
      <c r="K1394" t="s">
        <v>7420</v>
      </c>
      <c r="L1394">
        <v>0.15</v>
      </c>
      <c r="M1394" t="s">
        <v>7421</v>
      </c>
      <c r="N1394" t="s">
        <v>7422</v>
      </c>
      <c r="O1394" t="s">
        <v>54</v>
      </c>
      <c r="P1394" t="s">
        <v>30</v>
      </c>
      <c r="Q1394" t="s">
        <v>65</v>
      </c>
      <c r="R1394" s="3">
        <v>3282.4535000000001</v>
      </c>
    </row>
    <row r="1395" spans="1:18" x14ac:dyDescent="0.3">
      <c r="A1395" t="s">
        <v>7423</v>
      </c>
      <c r="B1395" t="str">
        <f>TEXT(Raw_Data[[#This Row],[Order Date]],"mmm")</f>
        <v>Dec</v>
      </c>
      <c r="C1395" t="s">
        <v>965</v>
      </c>
      <c r="D1395" t="s">
        <v>7424</v>
      </c>
      <c r="E1395" t="s">
        <v>35</v>
      </c>
      <c r="F1395" t="s">
        <v>215</v>
      </c>
      <c r="G1395" t="s">
        <v>276</v>
      </c>
      <c r="H1395" t="s">
        <v>154</v>
      </c>
      <c r="I1395" t="s">
        <v>365</v>
      </c>
      <c r="J1395" t="s">
        <v>25</v>
      </c>
      <c r="K1395" t="s">
        <v>7425</v>
      </c>
      <c r="L1395">
        <v>0.05</v>
      </c>
      <c r="M1395" t="s">
        <v>7426</v>
      </c>
      <c r="N1395" t="s">
        <v>7427</v>
      </c>
      <c r="O1395" t="s">
        <v>173</v>
      </c>
      <c r="P1395" t="s">
        <v>30</v>
      </c>
      <c r="Q1395" t="s">
        <v>31</v>
      </c>
      <c r="R1395" s="3">
        <v>6920.0469999999996</v>
      </c>
    </row>
    <row r="1396" spans="1:18" x14ac:dyDescent="0.3">
      <c r="A1396" t="s">
        <v>7428</v>
      </c>
      <c r="B1396" t="str">
        <f>TEXT(Raw_Data[[#This Row],[Order Date]],"mmm")</f>
        <v>Jul</v>
      </c>
      <c r="C1396" t="s">
        <v>2305</v>
      </c>
      <c r="D1396" t="s">
        <v>7429</v>
      </c>
      <c r="E1396" t="s">
        <v>48</v>
      </c>
      <c r="F1396" t="s">
        <v>21</v>
      </c>
      <c r="G1396" t="s">
        <v>22</v>
      </c>
      <c r="H1396" t="s">
        <v>154</v>
      </c>
      <c r="I1396" t="s">
        <v>155</v>
      </c>
      <c r="J1396" t="s">
        <v>50</v>
      </c>
      <c r="K1396" t="s">
        <v>7430</v>
      </c>
      <c r="L1396">
        <v>0.15</v>
      </c>
      <c r="M1396" t="s">
        <v>7431</v>
      </c>
      <c r="N1396" t="s">
        <v>7432</v>
      </c>
      <c r="O1396" t="s">
        <v>54</v>
      </c>
      <c r="P1396" t="s">
        <v>30</v>
      </c>
      <c r="Q1396" t="s">
        <v>31</v>
      </c>
      <c r="R1396" s="3">
        <v>12277.790999999999</v>
      </c>
    </row>
    <row r="1397" spans="1:18" x14ac:dyDescent="0.3">
      <c r="A1397" t="s">
        <v>7433</v>
      </c>
      <c r="B1397" t="str">
        <f>TEXT(Raw_Data[[#This Row],[Order Date]],"mmm")</f>
        <v>Mar</v>
      </c>
      <c r="C1397" t="s">
        <v>1527</v>
      </c>
      <c r="D1397" t="s">
        <v>7434</v>
      </c>
      <c r="E1397" t="s">
        <v>35</v>
      </c>
      <c r="F1397" t="s">
        <v>69</v>
      </c>
      <c r="G1397" t="s">
        <v>328</v>
      </c>
      <c r="H1397" t="s">
        <v>107</v>
      </c>
      <c r="I1397" t="s">
        <v>469</v>
      </c>
      <c r="J1397" t="s">
        <v>25</v>
      </c>
      <c r="K1397" t="s">
        <v>7435</v>
      </c>
      <c r="L1397">
        <v>0.1</v>
      </c>
      <c r="M1397" t="s">
        <v>7436</v>
      </c>
      <c r="N1397" t="s">
        <v>7437</v>
      </c>
      <c r="O1397" t="s">
        <v>64</v>
      </c>
      <c r="P1397" t="s">
        <v>30</v>
      </c>
      <c r="Q1397" t="s">
        <v>65</v>
      </c>
      <c r="R1397" s="3">
        <v>12051.63</v>
      </c>
    </row>
    <row r="1398" spans="1:18" x14ac:dyDescent="0.3">
      <c r="A1398" t="s">
        <v>7438</v>
      </c>
      <c r="B1398" t="str">
        <f>TEXT(Raw_Data[[#This Row],[Order Date]],"mmm")</f>
        <v>Aug</v>
      </c>
      <c r="C1398" t="s">
        <v>1155</v>
      </c>
      <c r="D1398" t="s">
        <v>7439</v>
      </c>
      <c r="E1398" t="s">
        <v>20</v>
      </c>
      <c r="F1398" t="s">
        <v>58</v>
      </c>
      <c r="G1398" t="s">
        <v>812</v>
      </c>
      <c r="H1398" t="s">
        <v>80</v>
      </c>
      <c r="I1398" t="s">
        <v>116</v>
      </c>
      <c r="J1398" t="s">
        <v>25</v>
      </c>
      <c r="K1398" t="s">
        <v>7440</v>
      </c>
      <c r="L1398">
        <v>0</v>
      </c>
      <c r="M1398" t="s">
        <v>7441</v>
      </c>
      <c r="N1398" t="s">
        <v>7442</v>
      </c>
      <c r="O1398" t="s">
        <v>43</v>
      </c>
      <c r="P1398" t="s">
        <v>95</v>
      </c>
      <c r="Q1398" t="s">
        <v>31</v>
      </c>
      <c r="R1398" s="3">
        <v>4775.7700000000004</v>
      </c>
    </row>
    <row r="1399" spans="1:18" x14ac:dyDescent="0.3">
      <c r="A1399" t="s">
        <v>7443</v>
      </c>
      <c r="B1399" t="str">
        <f>TEXT(Raw_Data[[#This Row],[Order Date]],"mmm")</f>
        <v>Jul</v>
      </c>
      <c r="C1399" t="s">
        <v>114</v>
      </c>
      <c r="D1399" t="s">
        <v>7444</v>
      </c>
      <c r="E1399" t="s">
        <v>48</v>
      </c>
      <c r="F1399" t="s">
        <v>89</v>
      </c>
      <c r="G1399" t="s">
        <v>230</v>
      </c>
      <c r="H1399" t="s">
        <v>80</v>
      </c>
      <c r="I1399" t="s">
        <v>91</v>
      </c>
      <c r="J1399" t="s">
        <v>25</v>
      </c>
      <c r="K1399" t="s">
        <v>7445</v>
      </c>
      <c r="L1399">
        <v>0.15</v>
      </c>
      <c r="M1399" t="s">
        <v>7446</v>
      </c>
      <c r="N1399" t="s">
        <v>7447</v>
      </c>
      <c r="O1399" t="s">
        <v>54</v>
      </c>
      <c r="P1399" t="s">
        <v>30</v>
      </c>
      <c r="Q1399" t="s">
        <v>65</v>
      </c>
      <c r="R1399" s="3">
        <v>4633.4859999999999</v>
      </c>
    </row>
    <row r="1400" spans="1:18" x14ac:dyDescent="0.3">
      <c r="A1400" t="s">
        <v>7448</v>
      </c>
      <c r="B1400" t="str">
        <f>TEXT(Raw_Data[[#This Row],[Order Date]],"mmm")</f>
        <v>Oct</v>
      </c>
      <c r="C1400" t="s">
        <v>1846</v>
      </c>
      <c r="D1400" t="s">
        <v>7449</v>
      </c>
      <c r="E1400" t="s">
        <v>48</v>
      </c>
      <c r="F1400" t="s">
        <v>36</v>
      </c>
      <c r="G1400" t="s">
        <v>37</v>
      </c>
      <c r="H1400" t="s">
        <v>80</v>
      </c>
      <c r="I1400" t="s">
        <v>131</v>
      </c>
      <c r="J1400" t="s">
        <v>50</v>
      </c>
      <c r="K1400" t="s">
        <v>7450</v>
      </c>
      <c r="L1400">
        <v>0.1</v>
      </c>
      <c r="M1400" t="s">
        <v>7451</v>
      </c>
      <c r="N1400" t="s">
        <v>7452</v>
      </c>
      <c r="O1400" t="s">
        <v>54</v>
      </c>
      <c r="P1400" t="s">
        <v>30</v>
      </c>
      <c r="Q1400" t="s">
        <v>65</v>
      </c>
      <c r="R1400" s="3">
        <v>7811.8919999999998</v>
      </c>
    </row>
    <row r="1401" spans="1:18" x14ac:dyDescent="0.3">
      <c r="A1401" t="s">
        <v>7453</v>
      </c>
      <c r="B1401" t="str">
        <f>TEXT(Raw_Data[[#This Row],[Order Date]],"mmm")</f>
        <v>Nov</v>
      </c>
      <c r="C1401" t="s">
        <v>510</v>
      </c>
      <c r="D1401" t="s">
        <v>7454</v>
      </c>
      <c r="E1401" t="s">
        <v>48</v>
      </c>
      <c r="F1401" t="s">
        <v>21</v>
      </c>
      <c r="G1401" t="s">
        <v>130</v>
      </c>
      <c r="H1401" t="s">
        <v>80</v>
      </c>
      <c r="I1401" t="s">
        <v>116</v>
      </c>
      <c r="J1401" t="s">
        <v>25</v>
      </c>
      <c r="K1401" t="s">
        <v>7455</v>
      </c>
      <c r="L1401">
        <v>0.1</v>
      </c>
      <c r="M1401" t="s">
        <v>7456</v>
      </c>
      <c r="N1401" t="s">
        <v>7457</v>
      </c>
      <c r="O1401" t="s">
        <v>173</v>
      </c>
      <c r="P1401" t="s">
        <v>30</v>
      </c>
      <c r="Q1401" t="s">
        <v>31</v>
      </c>
      <c r="R1401" s="3">
        <v>5468.8140000000003</v>
      </c>
    </row>
    <row r="1402" spans="1:18" x14ac:dyDescent="0.3">
      <c r="A1402" t="s">
        <v>7458</v>
      </c>
      <c r="B1402" t="str">
        <f>TEXT(Raw_Data[[#This Row],[Order Date]],"mmm")</f>
        <v>Oct</v>
      </c>
      <c r="C1402" t="s">
        <v>2217</v>
      </c>
      <c r="D1402" t="s">
        <v>7459</v>
      </c>
      <c r="E1402" t="s">
        <v>48</v>
      </c>
      <c r="F1402" t="s">
        <v>36</v>
      </c>
      <c r="G1402" t="s">
        <v>414</v>
      </c>
      <c r="H1402" t="s">
        <v>107</v>
      </c>
      <c r="I1402" t="s">
        <v>378</v>
      </c>
      <c r="J1402" t="s">
        <v>82</v>
      </c>
      <c r="K1402" t="s">
        <v>7460</v>
      </c>
      <c r="L1402">
        <v>0.1</v>
      </c>
      <c r="M1402" t="s">
        <v>7461</v>
      </c>
      <c r="N1402" t="s">
        <v>7462</v>
      </c>
      <c r="O1402" t="s">
        <v>173</v>
      </c>
      <c r="P1402" t="s">
        <v>30</v>
      </c>
      <c r="Q1402" t="s">
        <v>31</v>
      </c>
      <c r="R1402" s="3">
        <v>46774.62</v>
      </c>
    </row>
    <row r="1403" spans="1:18" x14ac:dyDescent="0.3">
      <c r="A1403" t="s">
        <v>7463</v>
      </c>
      <c r="B1403" t="str">
        <f>TEXT(Raw_Data[[#This Row],[Order Date]],"mmm")</f>
        <v>Aug</v>
      </c>
      <c r="C1403" t="s">
        <v>1053</v>
      </c>
      <c r="D1403" t="s">
        <v>7464</v>
      </c>
      <c r="E1403" t="s">
        <v>48</v>
      </c>
      <c r="F1403" t="s">
        <v>36</v>
      </c>
      <c r="G1403" t="s">
        <v>414</v>
      </c>
      <c r="H1403" t="s">
        <v>80</v>
      </c>
      <c r="I1403" t="s">
        <v>91</v>
      </c>
      <c r="J1403" t="s">
        <v>50</v>
      </c>
      <c r="K1403" t="s">
        <v>7465</v>
      </c>
      <c r="L1403">
        <v>0.2</v>
      </c>
      <c r="M1403" t="s">
        <v>7466</v>
      </c>
      <c r="N1403" t="s">
        <v>7467</v>
      </c>
      <c r="O1403" t="s">
        <v>64</v>
      </c>
      <c r="P1403" t="s">
        <v>30</v>
      </c>
      <c r="Q1403" t="s">
        <v>65</v>
      </c>
      <c r="R1403" s="3">
        <v>484.464</v>
      </c>
    </row>
    <row r="1404" spans="1:18" x14ac:dyDescent="0.3">
      <c r="A1404" t="s">
        <v>7468</v>
      </c>
      <c r="B1404" t="str">
        <f>TEXT(Raw_Data[[#This Row],[Order Date]],"mmm")</f>
        <v>Apr</v>
      </c>
      <c r="C1404" t="s">
        <v>2687</v>
      </c>
      <c r="D1404" t="s">
        <v>7469</v>
      </c>
      <c r="E1404" t="s">
        <v>35</v>
      </c>
      <c r="F1404" t="s">
        <v>89</v>
      </c>
      <c r="G1404" t="s">
        <v>230</v>
      </c>
      <c r="H1404" t="s">
        <v>23</v>
      </c>
      <c r="I1404" t="s">
        <v>24</v>
      </c>
      <c r="J1404" t="s">
        <v>50</v>
      </c>
      <c r="K1404" t="s">
        <v>7470</v>
      </c>
      <c r="L1404">
        <v>0.1</v>
      </c>
      <c r="M1404" t="s">
        <v>7471</v>
      </c>
      <c r="N1404" t="s">
        <v>7472</v>
      </c>
      <c r="O1404" t="s">
        <v>173</v>
      </c>
      <c r="P1404" t="s">
        <v>95</v>
      </c>
      <c r="Q1404" t="s">
        <v>31</v>
      </c>
      <c r="R1404" s="3">
        <v>21798.9</v>
      </c>
    </row>
    <row r="1405" spans="1:18" x14ac:dyDescent="0.3">
      <c r="A1405" t="s">
        <v>7473</v>
      </c>
      <c r="B1405" t="str">
        <f>TEXT(Raw_Data[[#This Row],[Order Date]],"mmm")</f>
        <v>May</v>
      </c>
      <c r="C1405" t="s">
        <v>817</v>
      </c>
      <c r="D1405" t="s">
        <v>7474</v>
      </c>
      <c r="E1405" t="s">
        <v>48</v>
      </c>
      <c r="F1405" t="s">
        <v>106</v>
      </c>
      <c r="G1405" t="s">
        <v>163</v>
      </c>
      <c r="H1405" t="s">
        <v>107</v>
      </c>
      <c r="I1405" t="s">
        <v>591</v>
      </c>
      <c r="J1405" t="s">
        <v>50</v>
      </c>
      <c r="K1405" t="s">
        <v>7475</v>
      </c>
      <c r="L1405">
        <v>0.1</v>
      </c>
      <c r="M1405" t="s">
        <v>7476</v>
      </c>
      <c r="N1405" t="s">
        <v>7477</v>
      </c>
      <c r="O1405" t="s">
        <v>64</v>
      </c>
      <c r="P1405" t="s">
        <v>30</v>
      </c>
      <c r="Q1405" t="s">
        <v>65</v>
      </c>
      <c r="R1405" s="3">
        <v>26580.905999999999</v>
      </c>
    </row>
    <row r="1406" spans="1:18" x14ac:dyDescent="0.3">
      <c r="A1406" t="s">
        <v>7478</v>
      </c>
      <c r="B1406" t="str">
        <f>TEXT(Raw_Data[[#This Row],[Order Date]],"mmm")</f>
        <v>Sep</v>
      </c>
      <c r="C1406" t="s">
        <v>76</v>
      </c>
      <c r="D1406" t="s">
        <v>7479</v>
      </c>
      <c r="E1406" t="s">
        <v>35</v>
      </c>
      <c r="F1406" t="s">
        <v>215</v>
      </c>
      <c r="G1406" t="s">
        <v>216</v>
      </c>
      <c r="H1406" t="s">
        <v>80</v>
      </c>
      <c r="I1406" t="s">
        <v>116</v>
      </c>
      <c r="J1406" t="s">
        <v>100</v>
      </c>
      <c r="K1406" t="s">
        <v>7480</v>
      </c>
      <c r="L1406">
        <v>0</v>
      </c>
      <c r="M1406" t="s">
        <v>7481</v>
      </c>
      <c r="N1406" t="s">
        <v>7482</v>
      </c>
      <c r="O1406" t="s">
        <v>64</v>
      </c>
      <c r="P1406" t="s">
        <v>30</v>
      </c>
      <c r="Q1406" t="s">
        <v>44</v>
      </c>
      <c r="R1406" s="3">
        <v>1157.07</v>
      </c>
    </row>
    <row r="1407" spans="1:18" x14ac:dyDescent="0.3">
      <c r="A1407" t="s">
        <v>7483</v>
      </c>
      <c r="B1407" t="str">
        <f>TEXT(Raw_Data[[#This Row],[Order Date]],"mmm")</f>
        <v>Apr</v>
      </c>
      <c r="C1407" t="s">
        <v>3090</v>
      </c>
      <c r="D1407" t="s">
        <v>7484</v>
      </c>
      <c r="E1407" t="s">
        <v>20</v>
      </c>
      <c r="F1407" t="s">
        <v>69</v>
      </c>
      <c r="G1407" t="s">
        <v>70</v>
      </c>
      <c r="H1407" t="s">
        <v>107</v>
      </c>
      <c r="I1407" t="s">
        <v>108</v>
      </c>
      <c r="J1407" t="s">
        <v>25</v>
      </c>
      <c r="K1407" t="s">
        <v>7485</v>
      </c>
      <c r="L1407">
        <v>0.05</v>
      </c>
      <c r="M1407" t="s">
        <v>7486</v>
      </c>
      <c r="N1407" t="s">
        <v>7487</v>
      </c>
      <c r="O1407" t="s">
        <v>54</v>
      </c>
      <c r="P1407" t="s">
        <v>30</v>
      </c>
      <c r="Q1407" t="s">
        <v>31</v>
      </c>
      <c r="R1407" s="3">
        <v>9489.018</v>
      </c>
    </row>
    <row r="1408" spans="1:18" x14ac:dyDescent="0.3">
      <c r="A1408" t="s">
        <v>7488</v>
      </c>
      <c r="B1408" t="str">
        <f>TEXT(Raw_Data[[#This Row],[Order Date]],"mmm")</f>
        <v>Nov</v>
      </c>
      <c r="C1408" t="s">
        <v>221</v>
      </c>
      <c r="D1408" t="s">
        <v>7489</v>
      </c>
      <c r="E1408" t="s">
        <v>35</v>
      </c>
      <c r="F1408" t="s">
        <v>36</v>
      </c>
      <c r="G1408" t="s">
        <v>414</v>
      </c>
      <c r="H1408" t="s">
        <v>23</v>
      </c>
      <c r="I1408" t="s">
        <v>341</v>
      </c>
      <c r="J1408" t="s">
        <v>50</v>
      </c>
      <c r="K1408" t="s">
        <v>7490</v>
      </c>
      <c r="L1408">
        <v>0.2</v>
      </c>
      <c r="M1408" t="s">
        <v>7491</v>
      </c>
      <c r="N1408" t="s">
        <v>7492</v>
      </c>
      <c r="O1408" t="s">
        <v>173</v>
      </c>
      <c r="P1408" t="s">
        <v>30</v>
      </c>
      <c r="Q1408" t="s">
        <v>44</v>
      </c>
      <c r="R1408" s="3">
        <v>82246.592000000004</v>
      </c>
    </row>
    <row r="1409" spans="1:18" x14ac:dyDescent="0.3">
      <c r="A1409" t="s">
        <v>7493</v>
      </c>
      <c r="B1409" t="str">
        <f>TEXT(Raw_Data[[#This Row],[Order Date]],"mmm")</f>
        <v>Jan</v>
      </c>
      <c r="C1409" t="s">
        <v>7494</v>
      </c>
      <c r="D1409" t="s">
        <v>7495</v>
      </c>
      <c r="E1409" t="s">
        <v>48</v>
      </c>
      <c r="F1409" t="s">
        <v>106</v>
      </c>
      <c r="G1409" t="s">
        <v>163</v>
      </c>
      <c r="H1409" t="s">
        <v>107</v>
      </c>
      <c r="I1409" t="s">
        <v>108</v>
      </c>
      <c r="J1409" t="s">
        <v>50</v>
      </c>
      <c r="K1409" t="s">
        <v>7496</v>
      </c>
      <c r="L1409">
        <v>0.1</v>
      </c>
      <c r="M1409" t="s">
        <v>7497</v>
      </c>
      <c r="N1409" t="s">
        <v>7498</v>
      </c>
      <c r="O1409" t="s">
        <v>29</v>
      </c>
      <c r="P1409" t="s">
        <v>30</v>
      </c>
      <c r="Q1409" t="s">
        <v>31</v>
      </c>
      <c r="R1409" s="3">
        <v>23529.815999999999</v>
      </c>
    </row>
    <row r="1410" spans="1:18" x14ac:dyDescent="0.3">
      <c r="A1410" t="s">
        <v>7499</v>
      </c>
      <c r="B1410" t="str">
        <f>TEXT(Raw_Data[[#This Row],[Order Date]],"mmm")</f>
        <v>Jan</v>
      </c>
      <c r="C1410" t="s">
        <v>254</v>
      </c>
      <c r="D1410" t="s">
        <v>7500</v>
      </c>
      <c r="E1410" t="s">
        <v>48</v>
      </c>
      <c r="F1410" t="s">
        <v>58</v>
      </c>
      <c r="G1410" t="s">
        <v>812</v>
      </c>
      <c r="H1410" t="s">
        <v>23</v>
      </c>
      <c r="I1410" t="s">
        <v>183</v>
      </c>
      <c r="J1410" t="s">
        <v>50</v>
      </c>
      <c r="K1410" t="s">
        <v>7501</v>
      </c>
      <c r="L1410">
        <v>0.15</v>
      </c>
      <c r="M1410" t="s">
        <v>7502</v>
      </c>
      <c r="N1410" t="s">
        <v>7503</v>
      </c>
      <c r="O1410" t="s">
        <v>43</v>
      </c>
      <c r="P1410" t="s">
        <v>30</v>
      </c>
      <c r="Q1410" t="s">
        <v>31</v>
      </c>
      <c r="R1410" s="3">
        <v>16634.278999999999</v>
      </c>
    </row>
    <row r="1411" spans="1:18" x14ac:dyDescent="0.3">
      <c r="A1411" t="s">
        <v>7504</v>
      </c>
      <c r="B1411" t="str">
        <f>TEXT(Raw_Data[[#This Row],[Order Date]],"mmm")</f>
        <v>Apr</v>
      </c>
      <c r="C1411" t="s">
        <v>419</v>
      </c>
      <c r="D1411" t="s">
        <v>7505</v>
      </c>
      <c r="E1411" t="s">
        <v>48</v>
      </c>
      <c r="F1411" t="s">
        <v>106</v>
      </c>
      <c r="G1411" t="s">
        <v>106</v>
      </c>
      <c r="H1411" t="s">
        <v>23</v>
      </c>
      <c r="I1411" t="s">
        <v>183</v>
      </c>
      <c r="J1411" t="s">
        <v>25</v>
      </c>
      <c r="K1411" t="s">
        <v>7506</v>
      </c>
      <c r="L1411">
        <v>0.15</v>
      </c>
      <c r="M1411" t="s">
        <v>7507</v>
      </c>
      <c r="N1411" t="s">
        <v>7508</v>
      </c>
      <c r="O1411" t="s">
        <v>173</v>
      </c>
      <c r="P1411" t="s">
        <v>159</v>
      </c>
      <c r="Q1411" t="s">
        <v>31</v>
      </c>
      <c r="R1411" s="3">
        <v>20212.107499999998</v>
      </c>
    </row>
    <row r="1412" spans="1:18" x14ac:dyDescent="0.3">
      <c r="A1412" t="s">
        <v>7509</v>
      </c>
      <c r="B1412" t="str">
        <f>TEXT(Raw_Data[[#This Row],[Order Date]],"mmm")</f>
        <v>Jun</v>
      </c>
      <c r="C1412" t="s">
        <v>1047</v>
      </c>
      <c r="D1412" t="s">
        <v>7510</v>
      </c>
      <c r="E1412" t="s">
        <v>48</v>
      </c>
      <c r="F1412" t="s">
        <v>21</v>
      </c>
      <c r="G1412" t="s">
        <v>22</v>
      </c>
      <c r="H1412" t="s">
        <v>23</v>
      </c>
      <c r="I1412" t="s">
        <v>24</v>
      </c>
      <c r="J1412" t="s">
        <v>50</v>
      </c>
      <c r="K1412" t="s">
        <v>7511</v>
      </c>
      <c r="L1412">
        <v>0</v>
      </c>
      <c r="M1412" t="s">
        <v>7512</v>
      </c>
      <c r="N1412" t="s">
        <v>7513</v>
      </c>
      <c r="O1412" t="s">
        <v>29</v>
      </c>
      <c r="P1412" t="s">
        <v>30</v>
      </c>
      <c r="Q1412" t="s">
        <v>44</v>
      </c>
      <c r="R1412" s="3">
        <v>130861.74</v>
      </c>
    </row>
    <row r="1413" spans="1:18" x14ac:dyDescent="0.3">
      <c r="A1413" t="s">
        <v>7514</v>
      </c>
      <c r="B1413" t="str">
        <f>TEXT(Raw_Data[[#This Row],[Order Date]],"mmm")</f>
        <v>Jun</v>
      </c>
      <c r="C1413" t="s">
        <v>1047</v>
      </c>
      <c r="D1413" t="s">
        <v>7515</v>
      </c>
      <c r="E1413" t="s">
        <v>20</v>
      </c>
      <c r="F1413" t="s">
        <v>215</v>
      </c>
      <c r="G1413" t="s">
        <v>276</v>
      </c>
      <c r="H1413" t="s">
        <v>154</v>
      </c>
      <c r="I1413" t="s">
        <v>237</v>
      </c>
      <c r="J1413" t="s">
        <v>50</v>
      </c>
      <c r="K1413" t="s">
        <v>7516</v>
      </c>
      <c r="L1413">
        <v>0.1</v>
      </c>
      <c r="M1413" t="s">
        <v>7517</v>
      </c>
      <c r="N1413" t="s">
        <v>7518</v>
      </c>
      <c r="O1413" t="s">
        <v>173</v>
      </c>
      <c r="P1413" t="s">
        <v>30</v>
      </c>
      <c r="Q1413" t="s">
        <v>31</v>
      </c>
      <c r="R1413" s="3">
        <v>18598.266</v>
      </c>
    </row>
    <row r="1414" spans="1:18" x14ac:dyDescent="0.3">
      <c r="A1414" t="s">
        <v>7519</v>
      </c>
      <c r="B1414" t="str">
        <f>TEXT(Raw_Data[[#This Row],[Order Date]],"mmm")</f>
        <v>Jul</v>
      </c>
      <c r="C1414" t="s">
        <v>412</v>
      </c>
      <c r="D1414" t="s">
        <v>7520</v>
      </c>
      <c r="E1414" t="s">
        <v>48</v>
      </c>
      <c r="F1414" t="s">
        <v>89</v>
      </c>
      <c r="G1414" t="s">
        <v>230</v>
      </c>
      <c r="H1414" t="s">
        <v>107</v>
      </c>
      <c r="I1414" t="s">
        <v>591</v>
      </c>
      <c r="J1414" t="s">
        <v>25</v>
      </c>
      <c r="K1414" t="s">
        <v>7521</v>
      </c>
      <c r="L1414">
        <v>0</v>
      </c>
      <c r="M1414" t="s">
        <v>7522</v>
      </c>
      <c r="N1414" t="s">
        <v>7523</v>
      </c>
      <c r="O1414" t="s">
        <v>64</v>
      </c>
      <c r="P1414" t="s">
        <v>30</v>
      </c>
      <c r="Q1414" t="s">
        <v>31</v>
      </c>
      <c r="R1414" s="3">
        <v>8260.66</v>
      </c>
    </row>
    <row r="1415" spans="1:18" x14ac:dyDescent="0.3">
      <c r="A1415" t="s">
        <v>7524</v>
      </c>
      <c r="B1415" t="str">
        <f>TEXT(Raw_Data[[#This Row],[Order Date]],"mmm")</f>
        <v>Sep</v>
      </c>
      <c r="C1415" t="s">
        <v>2608</v>
      </c>
      <c r="D1415" t="s">
        <v>7525</v>
      </c>
      <c r="E1415" t="s">
        <v>35</v>
      </c>
      <c r="F1415" t="s">
        <v>21</v>
      </c>
      <c r="G1415" t="s">
        <v>130</v>
      </c>
      <c r="H1415" t="s">
        <v>107</v>
      </c>
      <c r="I1415" t="s">
        <v>591</v>
      </c>
      <c r="J1415" t="s">
        <v>25</v>
      </c>
      <c r="K1415" t="s">
        <v>7526</v>
      </c>
      <c r="L1415">
        <v>0.2</v>
      </c>
      <c r="M1415" t="s">
        <v>7527</v>
      </c>
      <c r="N1415" t="s">
        <v>7528</v>
      </c>
      <c r="O1415" t="s">
        <v>64</v>
      </c>
      <c r="P1415" t="s">
        <v>30</v>
      </c>
      <c r="Q1415" t="s">
        <v>31</v>
      </c>
      <c r="R1415" s="3">
        <v>4684.4880000000003</v>
      </c>
    </row>
    <row r="1416" spans="1:18" x14ac:dyDescent="0.3">
      <c r="A1416" t="s">
        <v>7529</v>
      </c>
      <c r="B1416" t="str">
        <f>TEXT(Raw_Data[[#This Row],[Order Date]],"mmm")</f>
        <v>Jun</v>
      </c>
      <c r="C1416" t="s">
        <v>1862</v>
      </c>
      <c r="D1416" t="s">
        <v>7530</v>
      </c>
      <c r="E1416" t="s">
        <v>35</v>
      </c>
      <c r="F1416" t="s">
        <v>69</v>
      </c>
      <c r="G1416" t="s">
        <v>70</v>
      </c>
      <c r="H1416" t="s">
        <v>38</v>
      </c>
      <c r="I1416" t="s">
        <v>256</v>
      </c>
      <c r="J1416" t="s">
        <v>25</v>
      </c>
      <c r="K1416" t="s">
        <v>7531</v>
      </c>
      <c r="L1416">
        <v>0.1</v>
      </c>
      <c r="M1416" t="s">
        <v>7532</v>
      </c>
      <c r="N1416" t="s">
        <v>7533</v>
      </c>
      <c r="O1416" t="s">
        <v>173</v>
      </c>
      <c r="P1416" t="s">
        <v>112</v>
      </c>
      <c r="Q1416" t="s">
        <v>44</v>
      </c>
      <c r="R1416" s="3">
        <v>4328.0550000000003</v>
      </c>
    </row>
    <row r="1417" spans="1:18" x14ac:dyDescent="0.3">
      <c r="A1417" t="s">
        <v>7534</v>
      </c>
      <c r="B1417" t="str">
        <f>TEXT(Raw_Data[[#This Row],[Order Date]],"mmm")</f>
        <v>Aug</v>
      </c>
      <c r="C1417" t="s">
        <v>3841</v>
      </c>
      <c r="D1417" t="s">
        <v>7535</v>
      </c>
      <c r="E1417" t="s">
        <v>20</v>
      </c>
      <c r="F1417" t="s">
        <v>69</v>
      </c>
      <c r="G1417" t="s">
        <v>139</v>
      </c>
      <c r="H1417" t="s">
        <v>38</v>
      </c>
      <c r="I1417" t="s">
        <v>256</v>
      </c>
      <c r="J1417" t="s">
        <v>50</v>
      </c>
      <c r="K1417" t="s">
        <v>7536</v>
      </c>
      <c r="L1417">
        <v>0.05</v>
      </c>
      <c r="M1417" t="s">
        <v>7537</v>
      </c>
      <c r="N1417" t="s">
        <v>7538</v>
      </c>
      <c r="O1417" t="s">
        <v>43</v>
      </c>
      <c r="P1417" t="s">
        <v>30</v>
      </c>
      <c r="Q1417" t="s">
        <v>44</v>
      </c>
      <c r="R1417" s="3">
        <v>4884.9759999999997</v>
      </c>
    </row>
    <row r="1418" spans="1:18" x14ac:dyDescent="0.3">
      <c r="A1418" t="s">
        <v>7539</v>
      </c>
      <c r="B1418" t="str">
        <f>TEXT(Raw_Data[[#This Row],[Order Date]],"mmm")</f>
        <v>Nov</v>
      </c>
      <c r="C1418" t="s">
        <v>657</v>
      </c>
      <c r="D1418" t="s">
        <v>7540</v>
      </c>
      <c r="E1418" t="s">
        <v>48</v>
      </c>
      <c r="F1418" t="s">
        <v>36</v>
      </c>
      <c r="G1418" t="s">
        <v>414</v>
      </c>
      <c r="H1418" t="s">
        <v>23</v>
      </c>
      <c r="I1418" t="s">
        <v>263</v>
      </c>
      <c r="J1418" t="s">
        <v>25</v>
      </c>
      <c r="K1418" t="s">
        <v>7541</v>
      </c>
      <c r="L1418">
        <v>0</v>
      </c>
      <c r="M1418" t="s">
        <v>7542</v>
      </c>
      <c r="N1418" t="s">
        <v>7543</v>
      </c>
      <c r="O1418" t="s">
        <v>43</v>
      </c>
      <c r="P1418" t="s">
        <v>30</v>
      </c>
      <c r="Q1418" t="s">
        <v>31</v>
      </c>
      <c r="R1418" s="3">
        <v>17603.560000000001</v>
      </c>
    </row>
    <row r="1419" spans="1:18" x14ac:dyDescent="0.3">
      <c r="A1419" t="s">
        <v>7544</v>
      </c>
      <c r="B1419" t="str">
        <f>TEXT(Raw_Data[[#This Row],[Order Date]],"mmm")</f>
        <v>Oct</v>
      </c>
      <c r="C1419" t="s">
        <v>828</v>
      </c>
      <c r="D1419" t="s">
        <v>7545</v>
      </c>
      <c r="E1419" t="s">
        <v>35</v>
      </c>
      <c r="F1419" t="s">
        <v>89</v>
      </c>
      <c r="G1419" t="s">
        <v>99</v>
      </c>
      <c r="H1419" t="s">
        <v>23</v>
      </c>
      <c r="I1419" t="s">
        <v>24</v>
      </c>
      <c r="J1419" t="s">
        <v>50</v>
      </c>
      <c r="K1419" t="s">
        <v>7546</v>
      </c>
      <c r="L1419">
        <v>0.15</v>
      </c>
      <c r="M1419" t="s">
        <v>7547</v>
      </c>
      <c r="N1419" t="s">
        <v>7548</v>
      </c>
      <c r="O1419" t="s">
        <v>29</v>
      </c>
      <c r="P1419" t="s">
        <v>30</v>
      </c>
      <c r="Q1419" t="s">
        <v>65</v>
      </c>
      <c r="R1419" s="3">
        <v>93651.027999999904</v>
      </c>
    </row>
    <row r="1420" spans="1:18" x14ac:dyDescent="0.3">
      <c r="A1420" t="s">
        <v>7549</v>
      </c>
      <c r="B1420" t="str">
        <f>TEXT(Raw_Data[[#This Row],[Order Date]],"mmm")</f>
        <v>Feb</v>
      </c>
      <c r="C1420" t="s">
        <v>2676</v>
      </c>
      <c r="D1420" t="s">
        <v>7550</v>
      </c>
      <c r="E1420" t="s">
        <v>48</v>
      </c>
      <c r="F1420" t="s">
        <v>215</v>
      </c>
      <c r="G1420" t="s">
        <v>276</v>
      </c>
      <c r="H1420" t="s">
        <v>23</v>
      </c>
      <c r="I1420" t="s">
        <v>24</v>
      </c>
      <c r="J1420" t="s">
        <v>50</v>
      </c>
      <c r="K1420" t="s">
        <v>7551</v>
      </c>
      <c r="L1420">
        <v>0.15</v>
      </c>
      <c r="M1420" t="s">
        <v>7552</v>
      </c>
      <c r="N1420" t="s">
        <v>7553</v>
      </c>
      <c r="O1420" t="s">
        <v>43</v>
      </c>
      <c r="P1420" t="s">
        <v>159</v>
      </c>
      <c r="Q1420" t="s">
        <v>31</v>
      </c>
      <c r="R1420" s="3">
        <v>3506.2669999999998</v>
      </c>
    </row>
    <row r="1421" spans="1:18" x14ac:dyDescent="0.3">
      <c r="A1421" t="s">
        <v>7554</v>
      </c>
      <c r="B1421" t="str">
        <f>TEXT(Raw_Data[[#This Row],[Order Date]],"mmm")</f>
        <v>Jul</v>
      </c>
      <c r="C1421" t="s">
        <v>3390</v>
      </c>
      <c r="D1421" t="s">
        <v>7555</v>
      </c>
      <c r="E1421" t="s">
        <v>35</v>
      </c>
      <c r="F1421" t="s">
        <v>58</v>
      </c>
      <c r="G1421" t="s">
        <v>59</v>
      </c>
      <c r="H1421" t="s">
        <v>23</v>
      </c>
      <c r="I1421" t="s">
        <v>183</v>
      </c>
      <c r="J1421" t="s">
        <v>25</v>
      </c>
      <c r="K1421" t="s">
        <v>7556</v>
      </c>
      <c r="L1421">
        <v>0</v>
      </c>
      <c r="M1421" t="s">
        <v>7557</v>
      </c>
      <c r="N1421" t="s">
        <v>7558</v>
      </c>
      <c r="O1421" t="s">
        <v>29</v>
      </c>
      <c r="P1421" t="s">
        <v>30</v>
      </c>
      <c r="Q1421" t="s">
        <v>31</v>
      </c>
      <c r="R1421" s="3">
        <v>33017.800000000003</v>
      </c>
    </row>
    <row r="1422" spans="1:18" x14ac:dyDescent="0.3">
      <c r="A1422" t="s">
        <v>7559</v>
      </c>
      <c r="B1422" t="str">
        <f>TEXT(Raw_Data[[#This Row],[Order Date]],"mmm")</f>
        <v>Mar</v>
      </c>
      <c r="C1422" t="s">
        <v>3284</v>
      </c>
      <c r="D1422" t="s">
        <v>7560</v>
      </c>
      <c r="E1422" t="s">
        <v>35</v>
      </c>
      <c r="F1422" t="s">
        <v>89</v>
      </c>
      <c r="G1422" t="s">
        <v>90</v>
      </c>
      <c r="H1422" t="s">
        <v>107</v>
      </c>
      <c r="I1422" t="s">
        <v>469</v>
      </c>
      <c r="J1422" t="s">
        <v>50</v>
      </c>
      <c r="K1422" t="s">
        <v>7561</v>
      </c>
      <c r="L1422">
        <v>0.1</v>
      </c>
      <c r="M1422" t="s">
        <v>7562</v>
      </c>
      <c r="N1422" t="s">
        <v>7563</v>
      </c>
      <c r="O1422" t="s">
        <v>29</v>
      </c>
      <c r="P1422" t="s">
        <v>112</v>
      </c>
      <c r="Q1422" t="s">
        <v>44</v>
      </c>
      <c r="R1422" s="3">
        <v>17207.603999999999</v>
      </c>
    </row>
    <row r="1423" spans="1:18" x14ac:dyDescent="0.3">
      <c r="A1423" t="s">
        <v>7564</v>
      </c>
      <c r="B1423" t="str">
        <f>TEXT(Raw_Data[[#This Row],[Order Date]],"mmm")</f>
        <v>Aug</v>
      </c>
      <c r="C1423" t="s">
        <v>3841</v>
      </c>
      <c r="D1423" t="s">
        <v>7565</v>
      </c>
      <c r="E1423" t="s">
        <v>48</v>
      </c>
      <c r="F1423" t="s">
        <v>106</v>
      </c>
      <c r="G1423" t="s">
        <v>163</v>
      </c>
      <c r="H1423" t="s">
        <v>23</v>
      </c>
      <c r="I1423" t="s">
        <v>183</v>
      </c>
      <c r="J1423" t="s">
        <v>25</v>
      </c>
      <c r="K1423" t="s">
        <v>7566</v>
      </c>
      <c r="L1423">
        <v>0</v>
      </c>
      <c r="M1423" t="s">
        <v>7567</v>
      </c>
      <c r="N1423" t="s">
        <v>7568</v>
      </c>
      <c r="O1423" t="s">
        <v>54</v>
      </c>
      <c r="P1423" t="s">
        <v>1762</v>
      </c>
      <c r="Q1423" t="s">
        <v>31</v>
      </c>
      <c r="R1423" s="3">
        <v>43830.51</v>
      </c>
    </row>
    <row r="1424" spans="1:18" x14ac:dyDescent="0.3">
      <c r="A1424" t="s">
        <v>7569</v>
      </c>
      <c r="B1424" t="str">
        <f>TEXT(Raw_Data[[#This Row],[Order Date]],"mmm")</f>
        <v>Jan</v>
      </c>
      <c r="C1424" t="s">
        <v>431</v>
      </c>
      <c r="D1424" t="s">
        <v>7570</v>
      </c>
      <c r="E1424" t="s">
        <v>48</v>
      </c>
      <c r="F1424" t="s">
        <v>89</v>
      </c>
      <c r="G1424" t="s">
        <v>230</v>
      </c>
      <c r="H1424" t="s">
        <v>154</v>
      </c>
      <c r="I1424" t="s">
        <v>309</v>
      </c>
      <c r="J1424" t="s">
        <v>82</v>
      </c>
      <c r="K1424" t="s">
        <v>7571</v>
      </c>
      <c r="L1424">
        <v>0.1</v>
      </c>
      <c r="M1424" t="s">
        <v>7572</v>
      </c>
      <c r="N1424" t="s">
        <v>7573</v>
      </c>
      <c r="O1424" t="s">
        <v>29</v>
      </c>
      <c r="P1424" t="s">
        <v>30</v>
      </c>
      <c r="Q1424" t="s">
        <v>44</v>
      </c>
      <c r="R1424" s="3">
        <v>35238.527999999998</v>
      </c>
    </row>
    <row r="1425" spans="1:18" x14ac:dyDescent="0.3">
      <c r="A1425" t="s">
        <v>7574</v>
      </c>
      <c r="B1425" t="str">
        <f>TEXT(Raw_Data[[#This Row],[Order Date]],"mmm")</f>
        <v>Sep</v>
      </c>
      <c r="C1425" t="s">
        <v>1397</v>
      </c>
      <c r="D1425" t="s">
        <v>7575</v>
      </c>
      <c r="E1425" t="s">
        <v>35</v>
      </c>
      <c r="F1425" t="s">
        <v>215</v>
      </c>
      <c r="G1425" t="s">
        <v>216</v>
      </c>
      <c r="H1425" t="s">
        <v>38</v>
      </c>
      <c r="I1425" t="s">
        <v>39</v>
      </c>
      <c r="J1425" t="s">
        <v>25</v>
      </c>
      <c r="K1425" t="s">
        <v>7576</v>
      </c>
      <c r="L1425">
        <v>0</v>
      </c>
      <c r="M1425" t="s">
        <v>7577</v>
      </c>
      <c r="N1425" t="s">
        <v>7578</v>
      </c>
      <c r="O1425" t="s">
        <v>29</v>
      </c>
      <c r="P1425" t="s">
        <v>30</v>
      </c>
      <c r="Q1425" t="s">
        <v>65</v>
      </c>
      <c r="R1425" s="3">
        <v>3685.36</v>
      </c>
    </row>
    <row r="1426" spans="1:18" x14ac:dyDescent="0.3">
      <c r="A1426" t="s">
        <v>7579</v>
      </c>
      <c r="B1426" t="str">
        <f>TEXT(Raw_Data[[#This Row],[Order Date]],"mmm")</f>
        <v>Aug</v>
      </c>
      <c r="C1426" t="s">
        <v>954</v>
      </c>
      <c r="D1426" t="s">
        <v>7580</v>
      </c>
      <c r="E1426" t="s">
        <v>20</v>
      </c>
      <c r="F1426" t="s">
        <v>78</v>
      </c>
      <c r="G1426" t="s">
        <v>468</v>
      </c>
      <c r="H1426" t="s">
        <v>23</v>
      </c>
      <c r="I1426" t="s">
        <v>24</v>
      </c>
      <c r="J1426" t="s">
        <v>50</v>
      </c>
      <c r="K1426" t="s">
        <v>7581</v>
      </c>
      <c r="L1426">
        <v>0.15</v>
      </c>
      <c r="M1426" t="s">
        <v>7582</v>
      </c>
      <c r="N1426" t="s">
        <v>7583</v>
      </c>
      <c r="O1426" t="s">
        <v>29</v>
      </c>
      <c r="P1426" t="s">
        <v>30</v>
      </c>
      <c r="Q1426" t="s">
        <v>65</v>
      </c>
      <c r="R1426" s="3">
        <v>106869.667</v>
      </c>
    </row>
    <row r="1427" spans="1:18" x14ac:dyDescent="0.3">
      <c r="A1427" t="s">
        <v>7584</v>
      </c>
      <c r="B1427" t="str">
        <f>TEXT(Raw_Data[[#This Row],[Order Date]],"mmm")</f>
        <v>Aug</v>
      </c>
      <c r="C1427" t="s">
        <v>1104</v>
      </c>
      <c r="D1427" t="s">
        <v>7585</v>
      </c>
      <c r="E1427" t="s">
        <v>48</v>
      </c>
      <c r="F1427" t="s">
        <v>21</v>
      </c>
      <c r="G1427" t="s">
        <v>22</v>
      </c>
      <c r="H1427" t="s">
        <v>107</v>
      </c>
      <c r="I1427" t="s">
        <v>277</v>
      </c>
      <c r="J1427" t="s">
        <v>25</v>
      </c>
      <c r="K1427" t="s">
        <v>7586</v>
      </c>
      <c r="L1427">
        <v>0.05</v>
      </c>
      <c r="M1427" t="s">
        <v>7587</v>
      </c>
      <c r="N1427" t="s">
        <v>7588</v>
      </c>
      <c r="O1427" t="s">
        <v>173</v>
      </c>
      <c r="P1427" t="s">
        <v>30</v>
      </c>
      <c r="Q1427" t="s">
        <v>44</v>
      </c>
      <c r="R1427" s="3">
        <v>1851.037</v>
      </c>
    </row>
    <row r="1428" spans="1:18" x14ac:dyDescent="0.3">
      <c r="A1428" t="s">
        <v>7589</v>
      </c>
      <c r="B1428" t="str">
        <f>TEXT(Raw_Data[[#This Row],[Order Date]],"mmm")</f>
        <v>Jul</v>
      </c>
      <c r="C1428" t="s">
        <v>2416</v>
      </c>
      <c r="D1428" t="s">
        <v>7590</v>
      </c>
      <c r="E1428" t="s">
        <v>20</v>
      </c>
      <c r="F1428" t="s">
        <v>69</v>
      </c>
      <c r="G1428" t="s">
        <v>70</v>
      </c>
      <c r="H1428" t="s">
        <v>38</v>
      </c>
      <c r="I1428" t="s">
        <v>39</v>
      </c>
      <c r="J1428" t="s">
        <v>50</v>
      </c>
      <c r="K1428" t="s">
        <v>7591</v>
      </c>
      <c r="L1428">
        <v>0.15</v>
      </c>
      <c r="M1428" t="s">
        <v>7592</v>
      </c>
      <c r="N1428" t="s">
        <v>7593</v>
      </c>
      <c r="O1428" t="s">
        <v>43</v>
      </c>
      <c r="P1428" t="s">
        <v>30</v>
      </c>
      <c r="Q1428" t="s">
        <v>31</v>
      </c>
      <c r="R1428" s="3">
        <v>6528.1189999999997</v>
      </c>
    </row>
    <row r="1429" spans="1:18" x14ac:dyDescent="0.3">
      <c r="A1429" t="s">
        <v>7594</v>
      </c>
      <c r="B1429" t="str">
        <f>TEXT(Raw_Data[[#This Row],[Order Date]],"mmm")</f>
        <v>Feb</v>
      </c>
      <c r="C1429" t="s">
        <v>33</v>
      </c>
      <c r="D1429" t="s">
        <v>7595</v>
      </c>
      <c r="E1429" t="s">
        <v>35</v>
      </c>
      <c r="F1429" t="s">
        <v>215</v>
      </c>
      <c r="G1429" t="s">
        <v>216</v>
      </c>
      <c r="H1429" t="s">
        <v>23</v>
      </c>
      <c r="I1429" t="s">
        <v>24</v>
      </c>
      <c r="J1429" t="s">
        <v>25</v>
      </c>
      <c r="K1429" t="s">
        <v>7596</v>
      </c>
      <c r="L1429">
        <v>0.15</v>
      </c>
      <c r="M1429" t="s">
        <v>7597</v>
      </c>
      <c r="N1429" t="s">
        <v>7598</v>
      </c>
      <c r="O1429" t="s">
        <v>43</v>
      </c>
      <c r="P1429" t="s">
        <v>30</v>
      </c>
      <c r="Q1429" t="s">
        <v>44</v>
      </c>
      <c r="R1429" s="3">
        <v>7356.9030000000002</v>
      </c>
    </row>
    <row r="1430" spans="1:18" x14ac:dyDescent="0.3">
      <c r="A1430" t="s">
        <v>7599</v>
      </c>
      <c r="B1430" t="str">
        <f>TEXT(Raw_Data[[#This Row],[Order Date]],"mmm")</f>
        <v>Dec</v>
      </c>
      <c r="C1430" t="s">
        <v>3159</v>
      </c>
      <c r="D1430" t="s">
        <v>7600</v>
      </c>
      <c r="E1430" t="s">
        <v>48</v>
      </c>
      <c r="F1430" t="s">
        <v>106</v>
      </c>
      <c r="G1430" t="s">
        <v>106</v>
      </c>
      <c r="H1430" t="s">
        <v>80</v>
      </c>
      <c r="I1430" t="s">
        <v>91</v>
      </c>
      <c r="J1430" t="s">
        <v>50</v>
      </c>
      <c r="K1430" t="s">
        <v>7601</v>
      </c>
      <c r="L1430">
        <v>0.15</v>
      </c>
      <c r="M1430" t="s">
        <v>7602</v>
      </c>
      <c r="N1430" t="s">
        <v>7603</v>
      </c>
      <c r="O1430" t="s">
        <v>173</v>
      </c>
      <c r="P1430" t="s">
        <v>30</v>
      </c>
      <c r="Q1430" t="s">
        <v>31</v>
      </c>
      <c r="R1430" s="3">
        <v>9209.6479999999992</v>
      </c>
    </row>
    <row r="1431" spans="1:18" x14ac:dyDescent="0.3">
      <c r="A1431" t="s">
        <v>7604</v>
      </c>
      <c r="B1431" t="str">
        <f>TEXT(Raw_Data[[#This Row],[Order Date]],"mmm")</f>
        <v>May</v>
      </c>
      <c r="C1431" t="s">
        <v>2693</v>
      </c>
      <c r="D1431" t="s">
        <v>7605</v>
      </c>
      <c r="E1431" t="s">
        <v>48</v>
      </c>
      <c r="F1431" t="s">
        <v>36</v>
      </c>
      <c r="G1431" t="s">
        <v>37</v>
      </c>
      <c r="H1431" t="s">
        <v>80</v>
      </c>
      <c r="I1431" t="s">
        <v>116</v>
      </c>
      <c r="J1431" t="s">
        <v>25</v>
      </c>
      <c r="K1431" t="s">
        <v>7606</v>
      </c>
      <c r="L1431">
        <v>0.2</v>
      </c>
      <c r="M1431" t="s">
        <v>7607</v>
      </c>
      <c r="N1431" t="s">
        <v>7608</v>
      </c>
      <c r="O1431" t="s">
        <v>29</v>
      </c>
      <c r="P1431" t="s">
        <v>159</v>
      </c>
      <c r="Q1431" t="s">
        <v>44</v>
      </c>
      <c r="R1431" s="3">
        <v>4888.0159999999996</v>
      </c>
    </row>
    <row r="1432" spans="1:18" x14ac:dyDescent="0.3">
      <c r="A1432" t="s">
        <v>7609</v>
      </c>
      <c r="B1432" t="str">
        <f>TEXT(Raw_Data[[#This Row],[Order Date]],"mmm")</f>
        <v>Apr</v>
      </c>
      <c r="C1432" t="s">
        <v>2649</v>
      </c>
      <c r="D1432" t="s">
        <v>7610</v>
      </c>
      <c r="E1432" t="s">
        <v>20</v>
      </c>
      <c r="F1432" t="s">
        <v>78</v>
      </c>
      <c r="G1432" t="s">
        <v>79</v>
      </c>
      <c r="H1432" t="s">
        <v>80</v>
      </c>
      <c r="I1432" t="s">
        <v>91</v>
      </c>
      <c r="J1432" t="s">
        <v>25</v>
      </c>
      <c r="K1432" t="s">
        <v>7611</v>
      </c>
      <c r="L1432">
        <v>0</v>
      </c>
      <c r="M1432" t="s">
        <v>7612</v>
      </c>
      <c r="N1432" t="s">
        <v>7613</v>
      </c>
      <c r="O1432" t="s">
        <v>29</v>
      </c>
      <c r="P1432" t="s">
        <v>30</v>
      </c>
      <c r="Q1432" t="s">
        <v>44</v>
      </c>
      <c r="R1432" s="3">
        <v>6650.21</v>
      </c>
    </row>
    <row r="1433" spans="1:18" x14ac:dyDescent="0.3">
      <c r="A1433" t="s">
        <v>7614</v>
      </c>
      <c r="B1433" t="str">
        <f>TEXT(Raw_Data[[#This Row],[Order Date]],"mmm")</f>
        <v>Jul</v>
      </c>
      <c r="C1433" t="s">
        <v>2776</v>
      </c>
      <c r="D1433" t="s">
        <v>7615</v>
      </c>
      <c r="E1433" t="s">
        <v>35</v>
      </c>
      <c r="F1433" t="s">
        <v>36</v>
      </c>
      <c r="G1433" t="s">
        <v>196</v>
      </c>
      <c r="H1433" t="s">
        <v>154</v>
      </c>
      <c r="I1433" t="s">
        <v>365</v>
      </c>
      <c r="J1433" t="s">
        <v>25</v>
      </c>
      <c r="K1433" t="s">
        <v>7616</v>
      </c>
      <c r="L1433">
        <v>0.1</v>
      </c>
      <c r="M1433" t="s">
        <v>7617</v>
      </c>
      <c r="N1433" t="s">
        <v>7618</v>
      </c>
      <c r="O1433" t="s">
        <v>64</v>
      </c>
      <c r="P1433" t="s">
        <v>30</v>
      </c>
      <c r="Q1433" t="s">
        <v>31</v>
      </c>
      <c r="R1433" s="3">
        <v>2336.0129999999999</v>
      </c>
    </row>
    <row r="1434" spans="1:18" x14ac:dyDescent="0.3">
      <c r="A1434" t="s">
        <v>7619</v>
      </c>
      <c r="B1434" t="str">
        <f>TEXT(Raw_Data[[#This Row],[Order Date]],"mmm")</f>
        <v>Oct</v>
      </c>
      <c r="C1434" t="s">
        <v>474</v>
      </c>
      <c r="D1434" t="s">
        <v>7620</v>
      </c>
      <c r="E1434" t="s">
        <v>48</v>
      </c>
      <c r="F1434" t="s">
        <v>21</v>
      </c>
      <c r="G1434" t="s">
        <v>130</v>
      </c>
      <c r="H1434" t="s">
        <v>80</v>
      </c>
      <c r="I1434" t="s">
        <v>131</v>
      </c>
      <c r="J1434" t="s">
        <v>25</v>
      </c>
      <c r="K1434" t="s">
        <v>7621</v>
      </c>
      <c r="L1434">
        <v>0.1</v>
      </c>
      <c r="M1434" t="s">
        <v>7622</v>
      </c>
      <c r="N1434" t="s">
        <v>7623</v>
      </c>
      <c r="O1434" t="s">
        <v>29</v>
      </c>
      <c r="P1434" t="s">
        <v>30</v>
      </c>
      <c r="Q1434" t="s">
        <v>44</v>
      </c>
      <c r="R1434" s="3">
        <v>3283.6320000000001</v>
      </c>
    </row>
    <row r="1435" spans="1:18" x14ac:dyDescent="0.3">
      <c r="A1435" t="s">
        <v>7624</v>
      </c>
      <c r="B1435" t="str">
        <f>TEXT(Raw_Data[[#This Row],[Order Date]],"mmm")</f>
        <v>Apr</v>
      </c>
      <c r="C1435" t="s">
        <v>2101</v>
      </c>
      <c r="D1435" t="s">
        <v>7625</v>
      </c>
      <c r="E1435" t="s">
        <v>48</v>
      </c>
      <c r="F1435" t="s">
        <v>106</v>
      </c>
      <c r="G1435" t="s">
        <v>163</v>
      </c>
      <c r="H1435" t="s">
        <v>80</v>
      </c>
      <c r="I1435" t="s">
        <v>131</v>
      </c>
      <c r="J1435" t="s">
        <v>82</v>
      </c>
      <c r="K1435" t="s">
        <v>7626</v>
      </c>
      <c r="L1435">
        <v>0</v>
      </c>
      <c r="M1435" t="s">
        <v>7627</v>
      </c>
      <c r="N1435" t="s">
        <v>7628</v>
      </c>
      <c r="O1435" t="s">
        <v>43</v>
      </c>
      <c r="P1435" t="s">
        <v>159</v>
      </c>
      <c r="Q1435" t="s">
        <v>31</v>
      </c>
      <c r="R1435" s="3">
        <v>23030.6</v>
      </c>
    </row>
    <row r="1436" spans="1:18" x14ac:dyDescent="0.3">
      <c r="A1436" t="s">
        <v>7629</v>
      </c>
      <c r="B1436" t="str">
        <f>TEXT(Raw_Data[[#This Row],[Order Date]],"mmm")</f>
        <v>Jan</v>
      </c>
      <c r="C1436" t="s">
        <v>18</v>
      </c>
      <c r="D1436" t="s">
        <v>7630</v>
      </c>
      <c r="E1436" t="s">
        <v>48</v>
      </c>
      <c r="F1436" t="s">
        <v>78</v>
      </c>
      <c r="G1436" t="s">
        <v>468</v>
      </c>
      <c r="H1436" t="s">
        <v>80</v>
      </c>
      <c r="I1436" t="s">
        <v>131</v>
      </c>
      <c r="J1436" t="s">
        <v>25</v>
      </c>
      <c r="K1436" t="s">
        <v>7631</v>
      </c>
      <c r="L1436">
        <v>0.1</v>
      </c>
      <c r="M1436" t="s">
        <v>7632</v>
      </c>
      <c r="N1436" t="s">
        <v>7633</v>
      </c>
      <c r="O1436" t="s">
        <v>173</v>
      </c>
      <c r="P1436" t="s">
        <v>112</v>
      </c>
      <c r="Q1436" t="s">
        <v>44</v>
      </c>
      <c r="R1436" s="3">
        <v>2903.625</v>
      </c>
    </row>
    <row r="1437" spans="1:18" x14ac:dyDescent="0.3">
      <c r="A1437" t="s">
        <v>7634</v>
      </c>
      <c r="B1437" t="str">
        <f>TEXT(Raw_Data[[#This Row],[Order Date]],"mmm")</f>
        <v>Oct</v>
      </c>
      <c r="C1437" t="s">
        <v>2217</v>
      </c>
      <c r="D1437" t="s">
        <v>7635</v>
      </c>
      <c r="E1437" t="s">
        <v>20</v>
      </c>
      <c r="F1437" t="s">
        <v>78</v>
      </c>
      <c r="G1437" t="s">
        <v>79</v>
      </c>
      <c r="H1437" t="s">
        <v>23</v>
      </c>
      <c r="I1437" t="s">
        <v>24</v>
      </c>
      <c r="J1437" t="s">
        <v>25</v>
      </c>
      <c r="K1437" t="s">
        <v>7636</v>
      </c>
      <c r="L1437">
        <v>0</v>
      </c>
      <c r="M1437" t="s">
        <v>7637</v>
      </c>
      <c r="N1437" t="s">
        <v>7638</v>
      </c>
      <c r="O1437" t="s">
        <v>29</v>
      </c>
      <c r="P1437" t="s">
        <v>30</v>
      </c>
      <c r="Q1437" t="s">
        <v>65</v>
      </c>
      <c r="R1437" s="3">
        <v>69869.13</v>
      </c>
    </row>
    <row r="1438" spans="1:18" x14ac:dyDescent="0.3">
      <c r="A1438" t="s">
        <v>7639</v>
      </c>
      <c r="B1438" t="str">
        <f>TEXT(Raw_Data[[#This Row],[Order Date]],"mmm")</f>
        <v>Mar</v>
      </c>
      <c r="C1438" t="s">
        <v>602</v>
      </c>
      <c r="D1438" t="s">
        <v>7640</v>
      </c>
      <c r="E1438" t="s">
        <v>35</v>
      </c>
      <c r="F1438" t="s">
        <v>89</v>
      </c>
      <c r="G1438" t="s">
        <v>230</v>
      </c>
      <c r="H1438" t="s">
        <v>80</v>
      </c>
      <c r="I1438" t="s">
        <v>91</v>
      </c>
      <c r="J1438" t="s">
        <v>25</v>
      </c>
      <c r="K1438" t="s">
        <v>7641</v>
      </c>
      <c r="L1438">
        <v>0</v>
      </c>
      <c r="M1438" t="s">
        <v>7642</v>
      </c>
      <c r="N1438" t="s">
        <v>7643</v>
      </c>
      <c r="O1438" t="s">
        <v>64</v>
      </c>
      <c r="P1438" t="s">
        <v>30</v>
      </c>
      <c r="Q1438" t="s">
        <v>44</v>
      </c>
      <c r="R1438" s="3">
        <v>6827.32</v>
      </c>
    </row>
    <row r="1439" spans="1:18" x14ac:dyDescent="0.3">
      <c r="A1439" t="s">
        <v>7644</v>
      </c>
      <c r="B1439" t="str">
        <f>TEXT(Raw_Data[[#This Row],[Order Date]],"mmm")</f>
        <v>Apr</v>
      </c>
      <c r="C1439" t="s">
        <v>2338</v>
      </c>
      <c r="D1439" t="s">
        <v>7645</v>
      </c>
      <c r="E1439" t="s">
        <v>20</v>
      </c>
      <c r="F1439" t="s">
        <v>215</v>
      </c>
      <c r="G1439" t="s">
        <v>216</v>
      </c>
      <c r="H1439" t="s">
        <v>154</v>
      </c>
      <c r="I1439" t="s">
        <v>237</v>
      </c>
      <c r="J1439" t="s">
        <v>100</v>
      </c>
      <c r="K1439" t="s">
        <v>7646</v>
      </c>
      <c r="L1439">
        <v>0.1</v>
      </c>
      <c r="M1439" t="s">
        <v>7647</v>
      </c>
      <c r="N1439" t="s">
        <v>7648</v>
      </c>
      <c r="O1439" t="s">
        <v>173</v>
      </c>
      <c r="P1439" t="s">
        <v>30</v>
      </c>
      <c r="Q1439" t="s">
        <v>44</v>
      </c>
      <c r="R1439" s="3">
        <v>27703.835999999999</v>
      </c>
    </row>
    <row r="1440" spans="1:18" x14ac:dyDescent="0.3">
      <c r="A1440" t="s">
        <v>7649</v>
      </c>
      <c r="B1440" t="str">
        <f>TEXT(Raw_Data[[#This Row],[Order Date]],"mmm")</f>
        <v>Jun</v>
      </c>
      <c r="C1440" t="s">
        <v>2586</v>
      </c>
      <c r="D1440" t="s">
        <v>7650</v>
      </c>
      <c r="E1440" t="s">
        <v>48</v>
      </c>
      <c r="F1440" t="s">
        <v>36</v>
      </c>
      <c r="G1440" t="s">
        <v>153</v>
      </c>
      <c r="H1440" t="s">
        <v>80</v>
      </c>
      <c r="I1440" t="s">
        <v>131</v>
      </c>
      <c r="J1440" t="s">
        <v>82</v>
      </c>
      <c r="K1440" t="s">
        <v>7651</v>
      </c>
      <c r="L1440">
        <v>0.1</v>
      </c>
      <c r="M1440" t="s">
        <v>7652</v>
      </c>
      <c r="N1440" t="s">
        <v>7653</v>
      </c>
      <c r="O1440" t="s">
        <v>54</v>
      </c>
      <c r="P1440" t="s">
        <v>30</v>
      </c>
      <c r="Q1440" t="s">
        <v>31</v>
      </c>
      <c r="R1440" s="3">
        <v>10307.915999999999</v>
      </c>
    </row>
    <row r="1441" spans="1:18" x14ac:dyDescent="0.3">
      <c r="A1441" t="s">
        <v>7654</v>
      </c>
      <c r="B1441" t="str">
        <f>TEXT(Raw_Data[[#This Row],[Order Date]],"mmm")</f>
        <v>Dec</v>
      </c>
      <c r="C1441" t="s">
        <v>786</v>
      </c>
      <c r="D1441" t="s">
        <v>7655</v>
      </c>
      <c r="E1441" t="s">
        <v>48</v>
      </c>
      <c r="F1441" t="s">
        <v>89</v>
      </c>
      <c r="G1441" t="s">
        <v>99</v>
      </c>
      <c r="H1441" t="s">
        <v>107</v>
      </c>
      <c r="I1441" t="s">
        <v>108</v>
      </c>
      <c r="J1441" t="s">
        <v>25</v>
      </c>
      <c r="K1441" t="s">
        <v>7656</v>
      </c>
      <c r="L1441">
        <v>0.1</v>
      </c>
      <c r="M1441" t="s">
        <v>7657</v>
      </c>
      <c r="N1441" t="s">
        <v>7658</v>
      </c>
      <c r="O1441" t="s">
        <v>54</v>
      </c>
      <c r="P1441" t="s">
        <v>30</v>
      </c>
      <c r="Q1441" t="s">
        <v>44</v>
      </c>
      <c r="R1441" s="3">
        <v>7767.8819999999996</v>
      </c>
    </row>
    <row r="1442" spans="1:18" x14ac:dyDescent="0.3">
      <c r="A1442" t="s">
        <v>7659</v>
      </c>
      <c r="B1442" t="str">
        <f>TEXT(Raw_Data[[#This Row],[Order Date]],"mmm")</f>
        <v>May</v>
      </c>
      <c r="C1442" t="s">
        <v>1348</v>
      </c>
      <c r="D1442" t="s">
        <v>7660</v>
      </c>
      <c r="E1442" t="s">
        <v>48</v>
      </c>
      <c r="F1442" t="s">
        <v>89</v>
      </c>
      <c r="G1442" t="s">
        <v>90</v>
      </c>
      <c r="H1442" t="s">
        <v>23</v>
      </c>
      <c r="I1442" t="s">
        <v>263</v>
      </c>
      <c r="J1442" t="s">
        <v>25</v>
      </c>
      <c r="K1442" t="s">
        <v>7661</v>
      </c>
      <c r="L1442">
        <v>0.05</v>
      </c>
      <c r="M1442" t="s">
        <v>7662</v>
      </c>
      <c r="N1442" t="s">
        <v>7663</v>
      </c>
      <c r="O1442" t="s">
        <v>43</v>
      </c>
      <c r="P1442" t="s">
        <v>112</v>
      </c>
      <c r="Q1442" t="s">
        <v>65</v>
      </c>
      <c r="R1442" s="3">
        <v>44886.74</v>
      </c>
    </row>
    <row r="1443" spans="1:18" x14ac:dyDescent="0.3">
      <c r="A1443" t="s">
        <v>7664</v>
      </c>
      <c r="B1443" t="str">
        <f>TEXT(Raw_Data[[#This Row],[Order Date]],"mmm")</f>
        <v>Jul</v>
      </c>
      <c r="C1443" t="s">
        <v>2349</v>
      </c>
      <c r="D1443" t="s">
        <v>7665</v>
      </c>
      <c r="E1443" t="s">
        <v>35</v>
      </c>
      <c r="F1443" t="s">
        <v>78</v>
      </c>
      <c r="G1443" t="s">
        <v>79</v>
      </c>
      <c r="H1443" t="s">
        <v>23</v>
      </c>
      <c r="I1443" t="s">
        <v>49</v>
      </c>
      <c r="J1443" t="s">
        <v>50</v>
      </c>
      <c r="K1443" t="s">
        <v>7666</v>
      </c>
      <c r="L1443">
        <v>0</v>
      </c>
      <c r="M1443" t="s">
        <v>7667</v>
      </c>
      <c r="N1443" t="s">
        <v>7668</v>
      </c>
      <c r="O1443" t="s">
        <v>173</v>
      </c>
      <c r="P1443" t="s">
        <v>30</v>
      </c>
      <c r="Q1443" t="s">
        <v>31</v>
      </c>
      <c r="R1443" s="3">
        <v>14829.56</v>
      </c>
    </row>
    <row r="1444" spans="1:18" x14ac:dyDescent="0.3">
      <c r="A1444" t="s">
        <v>7669</v>
      </c>
      <c r="B1444" t="str">
        <f>TEXT(Raw_Data[[#This Row],[Order Date]],"mmm")</f>
        <v>Feb</v>
      </c>
      <c r="C1444" t="s">
        <v>2515</v>
      </c>
      <c r="D1444" t="s">
        <v>7670</v>
      </c>
      <c r="E1444" t="s">
        <v>20</v>
      </c>
      <c r="F1444" t="s">
        <v>78</v>
      </c>
      <c r="G1444" t="s">
        <v>468</v>
      </c>
      <c r="H1444" t="s">
        <v>107</v>
      </c>
      <c r="I1444" t="s">
        <v>591</v>
      </c>
      <c r="J1444" t="s">
        <v>25</v>
      </c>
      <c r="K1444" t="s">
        <v>7671</v>
      </c>
      <c r="L1444">
        <v>0.2</v>
      </c>
      <c r="M1444" t="s">
        <v>7672</v>
      </c>
      <c r="N1444" t="s">
        <v>7673</v>
      </c>
      <c r="O1444" t="s">
        <v>54</v>
      </c>
      <c r="P1444" t="s">
        <v>30</v>
      </c>
      <c r="Q1444" t="s">
        <v>44</v>
      </c>
      <c r="R1444" s="3">
        <v>7299.2560000000003</v>
      </c>
    </row>
    <row r="1445" spans="1:18" x14ac:dyDescent="0.3">
      <c r="A1445" t="s">
        <v>7674</v>
      </c>
      <c r="B1445" t="str">
        <f>TEXT(Raw_Data[[#This Row],[Order Date]],"mmm")</f>
        <v>Jun</v>
      </c>
      <c r="C1445" t="s">
        <v>2157</v>
      </c>
      <c r="D1445" t="s">
        <v>7675</v>
      </c>
      <c r="E1445" t="s">
        <v>20</v>
      </c>
      <c r="F1445" t="s">
        <v>78</v>
      </c>
      <c r="G1445" t="s">
        <v>731</v>
      </c>
      <c r="H1445" t="s">
        <v>154</v>
      </c>
      <c r="I1445" t="s">
        <v>155</v>
      </c>
      <c r="J1445" t="s">
        <v>25</v>
      </c>
      <c r="K1445" t="s">
        <v>7676</v>
      </c>
      <c r="L1445">
        <v>0</v>
      </c>
      <c r="M1445" t="s">
        <v>7677</v>
      </c>
      <c r="N1445" t="s">
        <v>7678</v>
      </c>
      <c r="O1445" t="s">
        <v>29</v>
      </c>
      <c r="P1445" t="s">
        <v>159</v>
      </c>
      <c r="Q1445" t="s">
        <v>44</v>
      </c>
      <c r="R1445" s="3">
        <v>10865.29</v>
      </c>
    </row>
    <row r="1446" spans="1:18" x14ac:dyDescent="0.3">
      <c r="A1446" t="s">
        <v>7679</v>
      </c>
      <c r="B1446" t="str">
        <f>TEXT(Raw_Data[[#This Row],[Order Date]],"mmm")</f>
        <v>Mar</v>
      </c>
      <c r="C1446" t="s">
        <v>713</v>
      </c>
      <c r="D1446" t="s">
        <v>7680</v>
      </c>
      <c r="E1446" t="s">
        <v>35</v>
      </c>
      <c r="F1446" t="s">
        <v>89</v>
      </c>
      <c r="G1446" t="s">
        <v>99</v>
      </c>
      <c r="H1446" t="s">
        <v>154</v>
      </c>
      <c r="I1446" t="s">
        <v>365</v>
      </c>
      <c r="J1446" t="s">
        <v>25</v>
      </c>
      <c r="K1446" t="s">
        <v>7681</v>
      </c>
      <c r="L1446">
        <v>0.15</v>
      </c>
      <c r="M1446" t="s">
        <v>7682</v>
      </c>
      <c r="N1446" t="s">
        <v>7683</v>
      </c>
      <c r="O1446" t="s">
        <v>43</v>
      </c>
      <c r="P1446" t="s">
        <v>30</v>
      </c>
      <c r="Q1446" t="s">
        <v>31</v>
      </c>
      <c r="R1446" s="3">
        <v>5774.0924999999997</v>
      </c>
    </row>
    <row r="1447" spans="1:18" x14ac:dyDescent="0.3">
      <c r="A1447" t="s">
        <v>7684</v>
      </c>
      <c r="B1447" t="str">
        <f>TEXT(Raw_Data[[#This Row],[Order Date]],"mmm")</f>
        <v>Jun</v>
      </c>
      <c r="C1447" t="s">
        <v>2798</v>
      </c>
      <c r="D1447" t="s">
        <v>7685</v>
      </c>
      <c r="E1447" t="s">
        <v>20</v>
      </c>
      <c r="F1447" t="s">
        <v>21</v>
      </c>
      <c r="G1447" t="s">
        <v>22</v>
      </c>
      <c r="H1447" t="s">
        <v>80</v>
      </c>
      <c r="I1447" t="s">
        <v>146</v>
      </c>
      <c r="J1447" t="s">
        <v>50</v>
      </c>
      <c r="K1447" t="s">
        <v>7686</v>
      </c>
      <c r="L1447">
        <v>0.05</v>
      </c>
      <c r="M1447" t="s">
        <v>7687</v>
      </c>
      <c r="N1447" t="s">
        <v>7688</v>
      </c>
      <c r="O1447" t="s">
        <v>135</v>
      </c>
      <c r="P1447" t="s">
        <v>30</v>
      </c>
      <c r="Q1447" t="s">
        <v>44</v>
      </c>
      <c r="R1447" s="3">
        <v>7723.8799999999901</v>
      </c>
    </row>
    <row r="1448" spans="1:18" x14ac:dyDescent="0.3">
      <c r="A1448" t="s">
        <v>7689</v>
      </c>
      <c r="B1448" t="str">
        <f>TEXT(Raw_Data[[#This Row],[Order Date]],"mmm")</f>
        <v>Nov</v>
      </c>
      <c r="C1448" t="s">
        <v>1643</v>
      </c>
      <c r="D1448" t="s">
        <v>7690</v>
      </c>
      <c r="E1448" t="s">
        <v>48</v>
      </c>
      <c r="F1448" t="s">
        <v>106</v>
      </c>
      <c r="G1448" t="s">
        <v>106</v>
      </c>
      <c r="H1448" t="s">
        <v>80</v>
      </c>
      <c r="I1448" t="s">
        <v>131</v>
      </c>
      <c r="J1448" t="s">
        <v>25</v>
      </c>
      <c r="K1448" t="s">
        <v>7691</v>
      </c>
      <c r="L1448">
        <v>0.1</v>
      </c>
      <c r="M1448" t="s">
        <v>7692</v>
      </c>
      <c r="N1448" t="s">
        <v>7693</v>
      </c>
      <c r="O1448" t="s">
        <v>64</v>
      </c>
      <c r="P1448" t="s">
        <v>159</v>
      </c>
      <c r="Q1448" t="s">
        <v>65</v>
      </c>
      <c r="R1448" s="3">
        <v>5479.4880000000003</v>
      </c>
    </row>
    <row r="1449" spans="1:18" x14ac:dyDescent="0.3">
      <c r="A1449" t="s">
        <v>7694</v>
      </c>
      <c r="B1449" t="str">
        <f>TEXT(Raw_Data[[#This Row],[Order Date]],"mmm")</f>
        <v>Feb</v>
      </c>
      <c r="C1449" t="s">
        <v>2361</v>
      </c>
      <c r="D1449" t="s">
        <v>7695</v>
      </c>
      <c r="E1449" t="s">
        <v>48</v>
      </c>
      <c r="F1449" t="s">
        <v>36</v>
      </c>
      <c r="G1449" t="s">
        <v>123</v>
      </c>
      <c r="H1449" t="s">
        <v>154</v>
      </c>
      <c r="I1449" t="s">
        <v>309</v>
      </c>
      <c r="J1449" t="s">
        <v>25</v>
      </c>
      <c r="K1449" t="s">
        <v>7696</v>
      </c>
      <c r="L1449">
        <v>0.15</v>
      </c>
      <c r="M1449" t="s">
        <v>7697</v>
      </c>
      <c r="N1449" t="s">
        <v>7698</v>
      </c>
      <c r="O1449" t="s">
        <v>43</v>
      </c>
      <c r="P1449" t="s">
        <v>30</v>
      </c>
      <c r="Q1449" t="s">
        <v>44</v>
      </c>
      <c r="R1449" s="3">
        <v>595.43349999999998</v>
      </c>
    </row>
    <row r="1450" spans="1:18" x14ac:dyDescent="0.3">
      <c r="A1450" t="s">
        <v>7699</v>
      </c>
      <c r="B1450" t="str">
        <f>TEXT(Raw_Data[[#This Row],[Order Date]],"mmm")</f>
        <v>May</v>
      </c>
      <c r="C1450" t="s">
        <v>5513</v>
      </c>
      <c r="D1450" t="s">
        <v>7700</v>
      </c>
      <c r="E1450" t="s">
        <v>20</v>
      </c>
      <c r="F1450" t="s">
        <v>89</v>
      </c>
      <c r="G1450" t="s">
        <v>99</v>
      </c>
      <c r="H1450" t="s">
        <v>154</v>
      </c>
      <c r="I1450" t="s">
        <v>155</v>
      </c>
      <c r="J1450" t="s">
        <v>25</v>
      </c>
      <c r="K1450" t="s">
        <v>7701</v>
      </c>
      <c r="L1450">
        <v>0.05</v>
      </c>
      <c r="M1450" t="s">
        <v>7702</v>
      </c>
      <c r="N1450" t="s">
        <v>7703</v>
      </c>
      <c r="O1450" t="s">
        <v>43</v>
      </c>
      <c r="P1450" t="s">
        <v>30</v>
      </c>
      <c r="Q1450" t="s">
        <v>31</v>
      </c>
      <c r="R1450" s="3">
        <v>1772.25349999999</v>
      </c>
    </row>
    <row r="1451" spans="1:18" x14ac:dyDescent="0.3">
      <c r="A1451" t="s">
        <v>7704</v>
      </c>
      <c r="B1451" t="str">
        <f>TEXT(Raw_Data[[#This Row],[Order Date]],"mmm")</f>
        <v>May</v>
      </c>
      <c r="C1451" t="s">
        <v>1533</v>
      </c>
      <c r="D1451" t="s">
        <v>7705</v>
      </c>
      <c r="E1451" t="s">
        <v>20</v>
      </c>
      <c r="F1451" t="s">
        <v>89</v>
      </c>
      <c r="G1451" t="s">
        <v>230</v>
      </c>
      <c r="H1451" t="s">
        <v>80</v>
      </c>
      <c r="I1451" t="s">
        <v>146</v>
      </c>
      <c r="J1451" t="s">
        <v>25</v>
      </c>
      <c r="K1451" t="s">
        <v>7706</v>
      </c>
      <c r="L1451">
        <v>0</v>
      </c>
      <c r="M1451" t="s">
        <v>7707</v>
      </c>
      <c r="N1451" t="s">
        <v>7708</v>
      </c>
      <c r="O1451" t="s">
        <v>173</v>
      </c>
      <c r="P1451" t="s">
        <v>159</v>
      </c>
      <c r="Q1451" t="s">
        <v>44</v>
      </c>
      <c r="R1451" s="3">
        <v>2725.42</v>
      </c>
    </row>
    <row r="1452" spans="1:18" x14ac:dyDescent="0.3">
      <c r="A1452" t="s">
        <v>7709</v>
      </c>
      <c r="B1452" t="str">
        <f>TEXT(Raw_Data[[#This Row],[Order Date]],"mmm")</f>
        <v>Feb</v>
      </c>
      <c r="C1452" t="s">
        <v>3493</v>
      </c>
      <c r="D1452" t="s">
        <v>7710</v>
      </c>
      <c r="E1452" t="s">
        <v>35</v>
      </c>
      <c r="F1452" t="s">
        <v>106</v>
      </c>
      <c r="G1452" t="s">
        <v>163</v>
      </c>
      <c r="H1452" t="s">
        <v>23</v>
      </c>
      <c r="I1452" t="s">
        <v>341</v>
      </c>
      <c r="J1452" t="s">
        <v>25</v>
      </c>
      <c r="K1452" t="s">
        <v>7711</v>
      </c>
      <c r="L1452">
        <v>0.1</v>
      </c>
      <c r="M1452" t="s">
        <v>7712</v>
      </c>
      <c r="N1452" t="s">
        <v>7713</v>
      </c>
      <c r="O1452" t="s">
        <v>43</v>
      </c>
      <c r="P1452" t="s">
        <v>30</v>
      </c>
      <c r="Q1452" t="s">
        <v>65</v>
      </c>
      <c r="R1452" s="3">
        <v>32503.752</v>
      </c>
    </row>
    <row r="1453" spans="1:18" x14ac:dyDescent="0.3">
      <c r="A1453" t="s">
        <v>7714</v>
      </c>
      <c r="B1453" t="str">
        <f>TEXT(Raw_Data[[#This Row],[Order Date]],"mmm")</f>
        <v>Aug</v>
      </c>
      <c r="C1453" t="s">
        <v>1680</v>
      </c>
      <c r="D1453" t="s">
        <v>7715</v>
      </c>
      <c r="E1453" t="s">
        <v>35</v>
      </c>
      <c r="F1453" t="s">
        <v>215</v>
      </c>
      <c r="G1453" t="s">
        <v>216</v>
      </c>
      <c r="H1453" t="s">
        <v>23</v>
      </c>
      <c r="I1453" t="s">
        <v>341</v>
      </c>
      <c r="J1453" t="s">
        <v>25</v>
      </c>
      <c r="K1453" t="s">
        <v>7716</v>
      </c>
      <c r="L1453">
        <v>0.2</v>
      </c>
      <c r="M1453" t="s">
        <v>7717</v>
      </c>
      <c r="N1453" t="s">
        <v>7718</v>
      </c>
      <c r="O1453" t="s">
        <v>64</v>
      </c>
      <c r="P1453" t="s">
        <v>95</v>
      </c>
      <c r="Q1453" t="s">
        <v>31</v>
      </c>
      <c r="R1453" s="3">
        <v>28972.559999999899</v>
      </c>
    </row>
    <row r="1454" spans="1:18" x14ac:dyDescent="0.3">
      <c r="A1454" t="s">
        <v>7719</v>
      </c>
      <c r="B1454" t="str">
        <f>TEXT(Raw_Data[[#This Row],[Order Date]],"mmm")</f>
        <v>Apr</v>
      </c>
      <c r="C1454" t="s">
        <v>454</v>
      </c>
      <c r="D1454" t="s">
        <v>7720</v>
      </c>
      <c r="E1454" t="s">
        <v>35</v>
      </c>
      <c r="F1454" t="s">
        <v>215</v>
      </c>
      <c r="G1454" t="s">
        <v>276</v>
      </c>
      <c r="H1454" t="s">
        <v>154</v>
      </c>
      <c r="I1454" t="s">
        <v>365</v>
      </c>
      <c r="J1454" t="s">
        <v>50</v>
      </c>
      <c r="K1454" t="s">
        <v>7721</v>
      </c>
      <c r="L1454">
        <v>0</v>
      </c>
      <c r="M1454" t="s">
        <v>7722</v>
      </c>
      <c r="N1454" t="s">
        <v>7723</v>
      </c>
      <c r="O1454" t="s">
        <v>54</v>
      </c>
      <c r="P1454" t="s">
        <v>30</v>
      </c>
      <c r="Q1454" t="s">
        <v>44</v>
      </c>
      <c r="R1454" s="3">
        <v>20932.740000000002</v>
      </c>
    </row>
    <row r="1455" spans="1:18" x14ac:dyDescent="0.3">
      <c r="A1455" t="s">
        <v>7724</v>
      </c>
      <c r="B1455" t="str">
        <f>TEXT(Raw_Data[[#This Row],[Order Date]],"mmm")</f>
        <v>Jun</v>
      </c>
      <c r="C1455" t="s">
        <v>2586</v>
      </c>
      <c r="D1455" t="s">
        <v>7725</v>
      </c>
      <c r="E1455" t="s">
        <v>48</v>
      </c>
      <c r="F1455" t="s">
        <v>215</v>
      </c>
      <c r="G1455" t="s">
        <v>276</v>
      </c>
      <c r="H1455" t="s">
        <v>38</v>
      </c>
      <c r="I1455" t="s">
        <v>223</v>
      </c>
      <c r="J1455" t="s">
        <v>50</v>
      </c>
      <c r="K1455" t="s">
        <v>7726</v>
      </c>
      <c r="L1455">
        <v>0.15</v>
      </c>
      <c r="M1455" t="s">
        <v>7727</v>
      </c>
      <c r="N1455" t="s">
        <v>7728</v>
      </c>
      <c r="O1455" t="s">
        <v>64</v>
      </c>
      <c r="P1455" t="s">
        <v>30</v>
      </c>
      <c r="Q1455" t="s">
        <v>65</v>
      </c>
      <c r="R1455" s="3">
        <v>5111.7469999999903</v>
      </c>
    </row>
    <row r="1456" spans="1:18" x14ac:dyDescent="0.3">
      <c r="A1456" t="s">
        <v>7729</v>
      </c>
      <c r="B1456" t="str">
        <f>TEXT(Raw_Data[[#This Row],[Order Date]],"mmm")</f>
        <v>May</v>
      </c>
      <c r="C1456" t="s">
        <v>2089</v>
      </c>
      <c r="D1456" t="s">
        <v>7730</v>
      </c>
      <c r="E1456" t="s">
        <v>20</v>
      </c>
      <c r="F1456" t="s">
        <v>215</v>
      </c>
      <c r="G1456" t="s">
        <v>276</v>
      </c>
      <c r="H1456" t="s">
        <v>80</v>
      </c>
      <c r="I1456" t="s">
        <v>146</v>
      </c>
      <c r="J1456" t="s">
        <v>50</v>
      </c>
      <c r="K1456" t="s">
        <v>7731</v>
      </c>
      <c r="L1456">
        <v>0</v>
      </c>
      <c r="M1456" t="s">
        <v>7732</v>
      </c>
      <c r="N1456" t="s">
        <v>7733</v>
      </c>
      <c r="O1456" t="s">
        <v>29</v>
      </c>
      <c r="P1456" t="s">
        <v>30</v>
      </c>
      <c r="Q1456" t="s">
        <v>44</v>
      </c>
      <c r="R1456" s="3">
        <v>13699.24</v>
      </c>
    </row>
    <row r="1457" spans="1:18" x14ac:dyDescent="0.3">
      <c r="A1457" t="s">
        <v>7734</v>
      </c>
      <c r="B1457" t="str">
        <f>TEXT(Raw_Data[[#This Row],[Order Date]],"mmm")</f>
        <v>Jul</v>
      </c>
      <c r="C1457" t="s">
        <v>358</v>
      </c>
      <c r="D1457" t="s">
        <v>7735</v>
      </c>
      <c r="E1457" t="s">
        <v>35</v>
      </c>
      <c r="F1457" t="s">
        <v>106</v>
      </c>
      <c r="G1457" t="s">
        <v>106</v>
      </c>
      <c r="H1457" t="s">
        <v>80</v>
      </c>
      <c r="I1457" t="s">
        <v>91</v>
      </c>
      <c r="J1457" t="s">
        <v>25</v>
      </c>
      <c r="K1457" t="s">
        <v>7736</v>
      </c>
      <c r="L1457">
        <v>0</v>
      </c>
      <c r="M1457" t="s">
        <v>7737</v>
      </c>
      <c r="N1457" t="s">
        <v>7738</v>
      </c>
      <c r="O1457" t="s">
        <v>29</v>
      </c>
      <c r="P1457" t="s">
        <v>30</v>
      </c>
      <c r="Q1457" t="s">
        <v>65</v>
      </c>
      <c r="R1457" s="3">
        <v>885.21</v>
      </c>
    </row>
    <row r="1458" spans="1:18" x14ac:dyDescent="0.3">
      <c r="A1458" t="s">
        <v>7739</v>
      </c>
      <c r="B1458" t="str">
        <f>TEXT(Raw_Data[[#This Row],[Order Date]],"mmm")</f>
        <v>Mar</v>
      </c>
      <c r="C1458" t="s">
        <v>326</v>
      </c>
      <c r="D1458" t="s">
        <v>7740</v>
      </c>
      <c r="E1458" t="s">
        <v>48</v>
      </c>
      <c r="F1458" t="s">
        <v>215</v>
      </c>
      <c r="G1458" t="s">
        <v>216</v>
      </c>
      <c r="H1458" t="s">
        <v>23</v>
      </c>
      <c r="I1458" t="s">
        <v>341</v>
      </c>
      <c r="J1458" t="s">
        <v>25</v>
      </c>
      <c r="K1458" t="s">
        <v>7741</v>
      </c>
      <c r="L1458">
        <v>0</v>
      </c>
      <c r="M1458" t="s">
        <v>7742</v>
      </c>
      <c r="N1458" t="s">
        <v>7743</v>
      </c>
      <c r="O1458" t="s">
        <v>173</v>
      </c>
      <c r="P1458" t="s">
        <v>159</v>
      </c>
      <c r="Q1458" t="s">
        <v>44</v>
      </c>
      <c r="R1458" s="3">
        <v>62878.66</v>
      </c>
    </row>
    <row r="1459" spans="1:18" x14ac:dyDescent="0.3">
      <c r="A1459" t="s">
        <v>7744</v>
      </c>
      <c r="B1459" t="str">
        <f>TEXT(Raw_Data[[#This Row],[Order Date]],"mmm")</f>
        <v>May</v>
      </c>
      <c r="C1459" t="s">
        <v>1472</v>
      </c>
      <c r="D1459" t="s">
        <v>7745</v>
      </c>
      <c r="E1459" t="s">
        <v>35</v>
      </c>
      <c r="F1459" t="s">
        <v>58</v>
      </c>
      <c r="G1459" t="s">
        <v>290</v>
      </c>
      <c r="H1459" t="s">
        <v>38</v>
      </c>
      <c r="I1459" t="s">
        <v>71</v>
      </c>
      <c r="J1459" t="s">
        <v>100</v>
      </c>
      <c r="K1459" t="s">
        <v>7746</v>
      </c>
      <c r="L1459">
        <v>0.1</v>
      </c>
      <c r="M1459" t="s">
        <v>7747</v>
      </c>
      <c r="N1459" t="s">
        <v>7748</v>
      </c>
      <c r="O1459" t="s">
        <v>173</v>
      </c>
      <c r="P1459" t="s">
        <v>159</v>
      </c>
      <c r="Q1459" t="s">
        <v>31</v>
      </c>
      <c r="R1459" s="3">
        <v>1944.4589999999901</v>
      </c>
    </row>
    <row r="1460" spans="1:18" x14ac:dyDescent="0.3">
      <c r="A1460" t="s">
        <v>7749</v>
      </c>
      <c r="B1460" t="str">
        <f>TEXT(Raw_Data[[#This Row],[Order Date]],"mmm")</f>
        <v>Jul</v>
      </c>
      <c r="C1460" t="s">
        <v>358</v>
      </c>
      <c r="D1460" t="s">
        <v>7750</v>
      </c>
      <c r="E1460" t="s">
        <v>48</v>
      </c>
      <c r="F1460" t="s">
        <v>89</v>
      </c>
      <c r="G1460" t="s">
        <v>99</v>
      </c>
      <c r="H1460" t="s">
        <v>107</v>
      </c>
      <c r="I1460" t="s">
        <v>591</v>
      </c>
      <c r="J1460" t="s">
        <v>82</v>
      </c>
      <c r="K1460" t="s">
        <v>7751</v>
      </c>
      <c r="L1460">
        <v>0.1</v>
      </c>
      <c r="M1460" t="s">
        <v>7752</v>
      </c>
      <c r="N1460" t="s">
        <v>7753</v>
      </c>
      <c r="O1460" t="s">
        <v>64</v>
      </c>
      <c r="P1460" t="s">
        <v>30</v>
      </c>
      <c r="Q1460" t="s">
        <v>31</v>
      </c>
      <c r="R1460" s="3">
        <v>32209.415999999899</v>
      </c>
    </row>
    <row r="1461" spans="1:18" x14ac:dyDescent="0.3">
      <c r="A1461" t="s">
        <v>7754</v>
      </c>
      <c r="B1461" t="str">
        <f>TEXT(Raw_Data[[#This Row],[Order Date]],"mmm")</f>
        <v>Sep</v>
      </c>
      <c r="C1461" t="s">
        <v>1632</v>
      </c>
      <c r="D1461" t="s">
        <v>7755</v>
      </c>
      <c r="E1461" t="s">
        <v>20</v>
      </c>
      <c r="F1461" t="s">
        <v>21</v>
      </c>
      <c r="G1461" t="s">
        <v>130</v>
      </c>
      <c r="H1461" t="s">
        <v>80</v>
      </c>
      <c r="I1461" t="s">
        <v>146</v>
      </c>
      <c r="J1461" t="s">
        <v>25</v>
      </c>
      <c r="K1461" t="s">
        <v>7756</v>
      </c>
      <c r="L1461">
        <v>0.15</v>
      </c>
      <c r="M1461" t="s">
        <v>7757</v>
      </c>
      <c r="N1461" t="s">
        <v>7758</v>
      </c>
      <c r="O1461" t="s">
        <v>64</v>
      </c>
      <c r="P1461" t="s">
        <v>30</v>
      </c>
      <c r="Q1461" t="s">
        <v>65</v>
      </c>
      <c r="R1461" s="3">
        <v>2025.71999999999</v>
      </c>
    </row>
    <row r="1462" spans="1:18" x14ac:dyDescent="0.3">
      <c r="A1462" t="s">
        <v>7759</v>
      </c>
      <c r="B1462" t="str">
        <f>TEXT(Raw_Data[[#This Row],[Order Date]],"mmm")</f>
        <v>Mar</v>
      </c>
      <c r="C1462" t="s">
        <v>326</v>
      </c>
      <c r="D1462" t="s">
        <v>7760</v>
      </c>
      <c r="E1462" t="s">
        <v>48</v>
      </c>
      <c r="F1462" t="s">
        <v>106</v>
      </c>
      <c r="G1462" t="s">
        <v>163</v>
      </c>
      <c r="H1462" t="s">
        <v>80</v>
      </c>
      <c r="I1462" t="s">
        <v>146</v>
      </c>
      <c r="J1462" t="s">
        <v>25</v>
      </c>
      <c r="K1462" t="s">
        <v>7761</v>
      </c>
      <c r="L1462">
        <v>0.2</v>
      </c>
      <c r="M1462" t="s">
        <v>7762</v>
      </c>
      <c r="N1462" t="s">
        <v>7763</v>
      </c>
      <c r="O1462" t="s">
        <v>43</v>
      </c>
      <c r="P1462" t="s">
        <v>30</v>
      </c>
      <c r="Q1462" t="s">
        <v>44</v>
      </c>
      <c r="R1462" s="3">
        <v>4538.6719999999996</v>
      </c>
    </row>
    <row r="1463" spans="1:18" x14ac:dyDescent="0.3">
      <c r="A1463" t="s">
        <v>7764</v>
      </c>
      <c r="B1463" t="str">
        <f>TEXT(Raw_Data[[#This Row],[Order Date]],"mmm")</f>
        <v>Oct</v>
      </c>
      <c r="C1463" t="s">
        <v>314</v>
      </c>
      <c r="D1463" t="s">
        <v>7765</v>
      </c>
      <c r="E1463" t="s">
        <v>35</v>
      </c>
      <c r="F1463" t="s">
        <v>36</v>
      </c>
      <c r="G1463" t="s">
        <v>37</v>
      </c>
      <c r="H1463" t="s">
        <v>154</v>
      </c>
      <c r="I1463" t="s">
        <v>365</v>
      </c>
      <c r="J1463" t="s">
        <v>25</v>
      </c>
      <c r="K1463" t="s">
        <v>7766</v>
      </c>
      <c r="L1463">
        <v>0.2</v>
      </c>
      <c r="M1463" t="s">
        <v>7767</v>
      </c>
      <c r="N1463" t="s">
        <v>7768</v>
      </c>
      <c r="O1463" t="s">
        <v>43</v>
      </c>
      <c r="P1463" t="s">
        <v>30</v>
      </c>
      <c r="Q1463" t="s">
        <v>65</v>
      </c>
      <c r="R1463" s="3">
        <v>4875.9440000000004</v>
      </c>
    </row>
    <row r="1464" spans="1:18" x14ac:dyDescent="0.3">
      <c r="A1464" t="s">
        <v>7769</v>
      </c>
      <c r="B1464" t="str">
        <f>TEXT(Raw_Data[[#This Row],[Order Date]],"mmm")</f>
        <v>Aug</v>
      </c>
      <c r="C1464" t="s">
        <v>1454</v>
      </c>
      <c r="D1464" t="s">
        <v>7770</v>
      </c>
      <c r="E1464" t="s">
        <v>48</v>
      </c>
      <c r="F1464" t="s">
        <v>78</v>
      </c>
      <c r="G1464" t="s">
        <v>468</v>
      </c>
      <c r="H1464" t="s">
        <v>23</v>
      </c>
      <c r="I1464" t="s">
        <v>49</v>
      </c>
      <c r="J1464" t="s">
        <v>50</v>
      </c>
      <c r="K1464" t="s">
        <v>7771</v>
      </c>
      <c r="L1464">
        <v>0.1</v>
      </c>
      <c r="M1464" t="s">
        <v>7772</v>
      </c>
      <c r="N1464" t="s">
        <v>7773</v>
      </c>
      <c r="O1464" t="s">
        <v>173</v>
      </c>
      <c r="P1464" t="s">
        <v>30</v>
      </c>
      <c r="Q1464" t="s">
        <v>31</v>
      </c>
      <c r="R1464" s="3">
        <v>90791.225999999995</v>
      </c>
    </row>
    <row r="1465" spans="1:18" x14ac:dyDescent="0.3">
      <c r="A1465" t="s">
        <v>7774</v>
      </c>
      <c r="B1465" t="str">
        <f>TEXT(Raw_Data[[#This Row],[Order Date]],"mmm")</f>
        <v>Jan</v>
      </c>
      <c r="C1465" t="s">
        <v>1414</v>
      </c>
      <c r="D1465" t="s">
        <v>7775</v>
      </c>
      <c r="E1465" t="s">
        <v>20</v>
      </c>
      <c r="F1465" t="s">
        <v>58</v>
      </c>
      <c r="G1465" t="s">
        <v>59</v>
      </c>
      <c r="H1465" t="s">
        <v>107</v>
      </c>
      <c r="I1465" t="s">
        <v>591</v>
      </c>
      <c r="J1465" t="s">
        <v>25</v>
      </c>
      <c r="K1465" t="s">
        <v>7776</v>
      </c>
      <c r="L1465">
        <v>0.05</v>
      </c>
      <c r="M1465" t="s">
        <v>7777</v>
      </c>
      <c r="N1465" t="s">
        <v>7778</v>
      </c>
      <c r="O1465" t="s">
        <v>64</v>
      </c>
      <c r="P1465" t="s">
        <v>30</v>
      </c>
      <c r="Q1465" t="s">
        <v>65</v>
      </c>
      <c r="R1465" s="3">
        <v>2869.8359999999998</v>
      </c>
    </row>
    <row r="1466" spans="1:18" x14ac:dyDescent="0.3">
      <c r="A1466" t="s">
        <v>7779</v>
      </c>
      <c r="B1466" t="str">
        <f>TEXT(Raw_Data[[#This Row],[Order Date]],"mmm")</f>
        <v>Jun</v>
      </c>
      <c r="C1466" t="s">
        <v>3514</v>
      </c>
      <c r="D1466" t="s">
        <v>7780</v>
      </c>
      <c r="E1466" t="s">
        <v>48</v>
      </c>
      <c r="F1466" t="s">
        <v>106</v>
      </c>
      <c r="G1466" t="s">
        <v>163</v>
      </c>
      <c r="H1466" t="s">
        <v>23</v>
      </c>
      <c r="I1466" t="s">
        <v>341</v>
      </c>
      <c r="J1466" t="s">
        <v>25</v>
      </c>
      <c r="K1466" t="s">
        <v>7781</v>
      </c>
      <c r="L1466">
        <v>0.05</v>
      </c>
      <c r="M1466" t="s">
        <v>7782</v>
      </c>
      <c r="N1466" t="s">
        <v>7783</v>
      </c>
      <c r="O1466" t="s">
        <v>64</v>
      </c>
      <c r="P1466" t="s">
        <v>30</v>
      </c>
      <c r="Q1466" t="s">
        <v>44</v>
      </c>
      <c r="R1466" s="3">
        <v>13365.264999999999</v>
      </c>
    </row>
    <row r="1467" spans="1:18" x14ac:dyDescent="0.3">
      <c r="A1467" t="s">
        <v>7784</v>
      </c>
      <c r="B1467" t="str">
        <f>TEXT(Raw_Data[[#This Row],[Order Date]],"mmm")</f>
        <v>May</v>
      </c>
      <c r="C1467" t="s">
        <v>301</v>
      </c>
      <c r="D1467" t="s">
        <v>7785</v>
      </c>
      <c r="E1467" t="s">
        <v>48</v>
      </c>
      <c r="F1467" t="s">
        <v>89</v>
      </c>
      <c r="G1467" t="s">
        <v>90</v>
      </c>
      <c r="H1467" t="s">
        <v>80</v>
      </c>
      <c r="I1467" t="s">
        <v>146</v>
      </c>
      <c r="J1467" t="s">
        <v>25</v>
      </c>
      <c r="K1467" t="s">
        <v>7786</v>
      </c>
      <c r="L1467">
        <v>0</v>
      </c>
      <c r="M1467" t="s">
        <v>7787</v>
      </c>
      <c r="N1467" t="s">
        <v>7788</v>
      </c>
      <c r="O1467" t="s">
        <v>43</v>
      </c>
      <c r="P1467" t="s">
        <v>30</v>
      </c>
      <c r="Q1467" t="s">
        <v>65</v>
      </c>
      <c r="R1467" s="3">
        <v>3403.53</v>
      </c>
    </row>
    <row r="1468" spans="1:18" x14ac:dyDescent="0.3">
      <c r="A1468" t="s">
        <v>7789</v>
      </c>
      <c r="B1468" t="str">
        <f>TEXT(Raw_Data[[#This Row],[Order Date]],"mmm")</f>
        <v>Jun</v>
      </c>
      <c r="C1468" t="s">
        <v>2586</v>
      </c>
      <c r="D1468" t="s">
        <v>7790</v>
      </c>
      <c r="E1468" t="s">
        <v>48</v>
      </c>
      <c r="F1468" t="s">
        <v>106</v>
      </c>
      <c r="G1468" t="s">
        <v>163</v>
      </c>
      <c r="H1468" t="s">
        <v>154</v>
      </c>
      <c r="I1468" t="s">
        <v>309</v>
      </c>
      <c r="J1468" t="s">
        <v>100</v>
      </c>
      <c r="K1468" t="s">
        <v>7791</v>
      </c>
      <c r="L1468">
        <v>0.15</v>
      </c>
      <c r="M1468" t="s">
        <v>7792</v>
      </c>
      <c r="N1468" t="s">
        <v>7793</v>
      </c>
      <c r="O1468" t="s">
        <v>29</v>
      </c>
      <c r="P1468" t="s">
        <v>30</v>
      </c>
      <c r="Q1468" t="s">
        <v>31</v>
      </c>
      <c r="R1468" s="3">
        <v>29636.788499999999</v>
      </c>
    </row>
    <row r="1469" spans="1:18" x14ac:dyDescent="0.3">
      <c r="A1469" t="s">
        <v>7794</v>
      </c>
      <c r="B1469" t="str">
        <f>TEXT(Raw_Data[[#This Row],[Order Date]],"mmm")</f>
        <v>Mar</v>
      </c>
      <c r="C1469" t="s">
        <v>1216</v>
      </c>
      <c r="D1469" t="s">
        <v>7795</v>
      </c>
      <c r="E1469" t="s">
        <v>20</v>
      </c>
      <c r="F1469" t="s">
        <v>106</v>
      </c>
      <c r="G1469" t="s">
        <v>106</v>
      </c>
      <c r="H1469" t="s">
        <v>154</v>
      </c>
      <c r="I1469" t="s">
        <v>237</v>
      </c>
      <c r="J1469" t="s">
        <v>25</v>
      </c>
      <c r="K1469" t="s">
        <v>7796</v>
      </c>
      <c r="L1469">
        <v>0.1</v>
      </c>
      <c r="M1469" t="s">
        <v>7797</v>
      </c>
      <c r="N1469" t="s">
        <v>7798</v>
      </c>
      <c r="O1469" t="s">
        <v>43</v>
      </c>
      <c r="P1469" t="s">
        <v>30</v>
      </c>
      <c r="Q1469" t="s">
        <v>44</v>
      </c>
      <c r="R1469" s="3">
        <v>3898.5659999999998</v>
      </c>
    </row>
    <row r="1470" spans="1:18" x14ac:dyDescent="0.3">
      <c r="A1470" t="s">
        <v>7799</v>
      </c>
      <c r="B1470" t="str">
        <f>TEXT(Raw_Data[[#This Row],[Order Date]],"mmm")</f>
        <v>Jun</v>
      </c>
      <c r="C1470" t="s">
        <v>1047</v>
      </c>
      <c r="D1470" t="s">
        <v>7800</v>
      </c>
      <c r="E1470" t="s">
        <v>35</v>
      </c>
      <c r="F1470" t="s">
        <v>69</v>
      </c>
      <c r="G1470" t="s">
        <v>70</v>
      </c>
      <c r="H1470" t="s">
        <v>23</v>
      </c>
      <c r="I1470" t="s">
        <v>341</v>
      </c>
      <c r="J1470" t="s">
        <v>25</v>
      </c>
      <c r="K1470" t="s">
        <v>7801</v>
      </c>
      <c r="L1470">
        <v>0.15</v>
      </c>
      <c r="M1470" t="s">
        <v>7802</v>
      </c>
      <c r="N1470" t="s">
        <v>7803</v>
      </c>
      <c r="O1470" t="s">
        <v>173</v>
      </c>
      <c r="P1470" t="s">
        <v>30</v>
      </c>
      <c r="Q1470" t="s">
        <v>65</v>
      </c>
      <c r="R1470" s="3">
        <v>26065.6325</v>
      </c>
    </row>
    <row r="1471" spans="1:18" x14ac:dyDescent="0.3">
      <c r="A1471" t="s">
        <v>7804</v>
      </c>
      <c r="B1471" t="str">
        <f>TEXT(Raw_Data[[#This Row],[Order Date]],"mmm")</f>
        <v>Sep</v>
      </c>
      <c r="C1471" t="s">
        <v>2151</v>
      </c>
      <c r="D1471" t="s">
        <v>7805</v>
      </c>
      <c r="E1471" t="s">
        <v>35</v>
      </c>
      <c r="F1471" t="s">
        <v>58</v>
      </c>
      <c r="G1471" t="s">
        <v>59</v>
      </c>
      <c r="H1471" t="s">
        <v>80</v>
      </c>
      <c r="I1471" t="s">
        <v>91</v>
      </c>
      <c r="J1471" t="s">
        <v>25</v>
      </c>
      <c r="K1471" t="s">
        <v>7806</v>
      </c>
      <c r="L1471">
        <v>0.1</v>
      </c>
      <c r="M1471" t="s">
        <v>7807</v>
      </c>
      <c r="N1471" t="s">
        <v>7808</v>
      </c>
      <c r="O1471" t="s">
        <v>29</v>
      </c>
      <c r="P1471" t="s">
        <v>30</v>
      </c>
      <c r="Q1471" t="s">
        <v>44</v>
      </c>
      <c r="R1471" s="3">
        <v>4013.0189999999998</v>
      </c>
    </row>
    <row r="1472" spans="1:18" x14ac:dyDescent="0.3">
      <c r="A1472" t="s">
        <v>7809</v>
      </c>
      <c r="B1472" t="str">
        <f>TEXT(Raw_Data[[#This Row],[Order Date]],"mmm")</f>
        <v>Nov</v>
      </c>
      <c r="C1472" t="s">
        <v>3696</v>
      </c>
      <c r="D1472" t="s">
        <v>7810</v>
      </c>
      <c r="E1472" t="s">
        <v>48</v>
      </c>
      <c r="F1472" t="s">
        <v>58</v>
      </c>
      <c r="G1472" t="s">
        <v>290</v>
      </c>
      <c r="H1472" t="s">
        <v>4794</v>
      </c>
      <c r="I1472" t="s">
        <v>378</v>
      </c>
      <c r="J1472" t="s">
        <v>25</v>
      </c>
      <c r="K1472" t="s">
        <v>7811</v>
      </c>
      <c r="L1472">
        <v>0.1</v>
      </c>
      <c r="M1472" t="s">
        <v>7812</v>
      </c>
      <c r="N1472" t="s">
        <v>7813</v>
      </c>
      <c r="O1472" t="s">
        <v>173</v>
      </c>
      <c r="P1472" t="s">
        <v>30</v>
      </c>
      <c r="Q1472" t="s">
        <v>65</v>
      </c>
      <c r="R1472" s="3">
        <v>9103.14</v>
      </c>
    </row>
    <row r="1473" spans="1:18" x14ac:dyDescent="0.3">
      <c r="A1473" t="s">
        <v>7814</v>
      </c>
      <c r="B1473" t="str">
        <f>TEXT(Raw_Data[[#This Row],[Order Date]],"mmm")</f>
        <v>Feb</v>
      </c>
      <c r="C1473" t="s">
        <v>201</v>
      </c>
      <c r="D1473" t="s">
        <v>7815</v>
      </c>
      <c r="E1473" t="s">
        <v>48</v>
      </c>
      <c r="F1473" t="s">
        <v>69</v>
      </c>
      <c r="G1473" t="s">
        <v>328</v>
      </c>
      <c r="H1473" t="s">
        <v>107</v>
      </c>
      <c r="I1473" t="s">
        <v>108</v>
      </c>
      <c r="J1473" t="s">
        <v>25</v>
      </c>
      <c r="K1473" t="s">
        <v>7816</v>
      </c>
      <c r="L1473">
        <v>0.1</v>
      </c>
      <c r="M1473" t="s">
        <v>7817</v>
      </c>
      <c r="N1473" t="s">
        <v>7818</v>
      </c>
      <c r="O1473" t="s">
        <v>43</v>
      </c>
      <c r="P1473" t="s">
        <v>30</v>
      </c>
      <c r="Q1473" t="s">
        <v>65</v>
      </c>
      <c r="R1473" s="3">
        <v>5663.7809999999999</v>
      </c>
    </row>
    <row r="1474" spans="1:18" x14ac:dyDescent="0.3">
      <c r="A1474" t="s">
        <v>7819</v>
      </c>
      <c r="B1474" t="str">
        <f>TEXT(Raw_Data[[#This Row],[Order Date]],"mmm")</f>
        <v>Jun</v>
      </c>
      <c r="C1474" t="s">
        <v>1521</v>
      </c>
      <c r="D1474" t="s">
        <v>7820</v>
      </c>
      <c r="E1474" t="s">
        <v>35</v>
      </c>
      <c r="F1474" t="s">
        <v>89</v>
      </c>
      <c r="G1474" t="s">
        <v>90</v>
      </c>
      <c r="H1474" t="s">
        <v>38</v>
      </c>
      <c r="I1474" t="s">
        <v>60</v>
      </c>
      <c r="J1474" t="s">
        <v>25</v>
      </c>
      <c r="K1474" t="s">
        <v>7821</v>
      </c>
      <c r="L1474">
        <v>0.05</v>
      </c>
      <c r="M1474" t="s">
        <v>7822</v>
      </c>
      <c r="N1474" t="s">
        <v>7823</v>
      </c>
      <c r="O1474" t="s">
        <v>64</v>
      </c>
      <c r="P1474" t="s">
        <v>30</v>
      </c>
      <c r="Q1474" t="s">
        <v>65</v>
      </c>
      <c r="R1474" s="3">
        <v>352.3075</v>
      </c>
    </row>
    <row r="1475" spans="1:18" x14ac:dyDescent="0.3">
      <c r="A1475" t="s">
        <v>7824</v>
      </c>
      <c r="B1475" t="str">
        <f>TEXT(Raw_Data[[#This Row],[Order Date]],"mmm")</f>
        <v>Jul</v>
      </c>
      <c r="C1475" t="s">
        <v>7058</v>
      </c>
      <c r="D1475" t="s">
        <v>7825</v>
      </c>
      <c r="E1475" t="s">
        <v>20</v>
      </c>
      <c r="F1475" t="s">
        <v>106</v>
      </c>
      <c r="G1475" t="s">
        <v>106</v>
      </c>
      <c r="H1475" t="s">
        <v>38</v>
      </c>
      <c r="I1475" t="s">
        <v>223</v>
      </c>
      <c r="J1475" t="s">
        <v>82</v>
      </c>
      <c r="K1475" t="s">
        <v>7826</v>
      </c>
      <c r="L1475">
        <v>0.05</v>
      </c>
      <c r="M1475" t="s">
        <v>7827</v>
      </c>
      <c r="N1475" t="s">
        <v>7828</v>
      </c>
      <c r="O1475" t="s">
        <v>43</v>
      </c>
      <c r="P1475" t="s">
        <v>112</v>
      </c>
      <c r="Q1475" t="s">
        <v>31</v>
      </c>
      <c r="R1475" s="3">
        <v>15022.768</v>
      </c>
    </row>
    <row r="1476" spans="1:18" x14ac:dyDescent="0.3">
      <c r="A1476" t="s">
        <v>7829</v>
      </c>
      <c r="B1476" t="str">
        <f>TEXT(Raw_Data[[#This Row],[Order Date]],"mmm")</f>
        <v>Jan</v>
      </c>
      <c r="C1476" t="s">
        <v>6081</v>
      </c>
      <c r="D1476" t="s">
        <v>7830</v>
      </c>
      <c r="E1476" t="s">
        <v>20</v>
      </c>
      <c r="F1476" t="s">
        <v>215</v>
      </c>
      <c r="G1476" t="s">
        <v>216</v>
      </c>
      <c r="H1476" t="s">
        <v>80</v>
      </c>
      <c r="I1476" t="s">
        <v>116</v>
      </c>
      <c r="J1476" t="s">
        <v>25</v>
      </c>
      <c r="K1476" t="s">
        <v>7831</v>
      </c>
      <c r="L1476">
        <v>0.15</v>
      </c>
      <c r="M1476" t="s">
        <v>7832</v>
      </c>
      <c r="N1476" t="s">
        <v>7833</v>
      </c>
      <c r="O1476" t="s">
        <v>64</v>
      </c>
      <c r="P1476" t="s">
        <v>30</v>
      </c>
      <c r="Q1476" t="s">
        <v>44</v>
      </c>
      <c r="R1476" s="3">
        <v>2440.1884999999902</v>
      </c>
    </row>
    <row r="1477" spans="1:18" x14ac:dyDescent="0.3">
      <c r="A1477" t="s">
        <v>7834</v>
      </c>
      <c r="B1477" t="str">
        <f>TEXT(Raw_Data[[#This Row],[Order Date]],"mmm")</f>
        <v>Jan</v>
      </c>
      <c r="C1477" t="s">
        <v>2765</v>
      </c>
      <c r="D1477" t="s">
        <v>7835</v>
      </c>
      <c r="E1477" t="s">
        <v>48</v>
      </c>
      <c r="F1477" t="s">
        <v>36</v>
      </c>
      <c r="G1477" t="s">
        <v>414</v>
      </c>
      <c r="H1477" t="s">
        <v>154</v>
      </c>
      <c r="I1477" t="s">
        <v>309</v>
      </c>
      <c r="J1477" t="s">
        <v>25</v>
      </c>
      <c r="K1477" t="s">
        <v>7836</v>
      </c>
      <c r="L1477">
        <v>0.05</v>
      </c>
      <c r="M1477" t="s">
        <v>7837</v>
      </c>
      <c r="N1477" t="s">
        <v>7838</v>
      </c>
      <c r="O1477" t="s">
        <v>173</v>
      </c>
      <c r="P1477" t="s">
        <v>30</v>
      </c>
      <c r="Q1477" t="s">
        <v>65</v>
      </c>
      <c r="R1477" s="3">
        <v>3352.4549999999999</v>
      </c>
    </row>
    <row r="1478" spans="1:18" x14ac:dyDescent="0.3">
      <c r="A1478" t="s">
        <v>7839</v>
      </c>
      <c r="B1478" t="str">
        <f>TEXT(Raw_Data[[#This Row],[Order Date]],"mmm")</f>
        <v>Mar</v>
      </c>
      <c r="C1478" t="s">
        <v>1527</v>
      </c>
      <c r="D1478" t="s">
        <v>7840</v>
      </c>
      <c r="E1478" t="s">
        <v>35</v>
      </c>
      <c r="F1478" t="s">
        <v>58</v>
      </c>
      <c r="G1478" t="s">
        <v>59</v>
      </c>
      <c r="H1478" t="s">
        <v>80</v>
      </c>
      <c r="I1478" t="s">
        <v>81</v>
      </c>
      <c r="J1478" t="s">
        <v>25</v>
      </c>
      <c r="K1478" t="s">
        <v>7841</v>
      </c>
      <c r="L1478">
        <v>0</v>
      </c>
      <c r="M1478" t="s">
        <v>7842</v>
      </c>
      <c r="N1478" t="s">
        <v>7843</v>
      </c>
      <c r="O1478" t="s">
        <v>29</v>
      </c>
      <c r="P1478" t="s">
        <v>112</v>
      </c>
      <c r="Q1478" t="s">
        <v>31</v>
      </c>
      <c r="R1478" s="3">
        <v>4809.24</v>
      </c>
    </row>
    <row r="1479" spans="1:18" x14ac:dyDescent="0.3">
      <c r="A1479" t="s">
        <v>7844</v>
      </c>
      <c r="B1479" t="str">
        <f>TEXT(Raw_Data[[#This Row],[Order Date]],"mmm")</f>
        <v>Jan</v>
      </c>
      <c r="C1479" t="s">
        <v>485</v>
      </c>
      <c r="D1479" t="s">
        <v>7845</v>
      </c>
      <c r="E1479" t="s">
        <v>20</v>
      </c>
      <c r="F1479" t="s">
        <v>58</v>
      </c>
      <c r="G1479" t="s">
        <v>812</v>
      </c>
      <c r="H1479" t="s">
        <v>23</v>
      </c>
      <c r="I1479" t="s">
        <v>24</v>
      </c>
      <c r="J1479" t="s">
        <v>25</v>
      </c>
      <c r="K1479" t="s">
        <v>7846</v>
      </c>
      <c r="L1479">
        <v>0.1</v>
      </c>
      <c r="M1479" t="s">
        <v>7847</v>
      </c>
      <c r="N1479" t="s">
        <v>7848</v>
      </c>
      <c r="O1479" t="s">
        <v>64</v>
      </c>
      <c r="P1479" t="s">
        <v>30</v>
      </c>
      <c r="Q1479" t="s">
        <v>31</v>
      </c>
      <c r="R1479" s="3">
        <v>46250.703000000001</v>
      </c>
    </row>
    <row r="1480" spans="1:18" x14ac:dyDescent="0.3">
      <c r="A1480" t="s">
        <v>7849</v>
      </c>
      <c r="B1480" t="str">
        <f>TEXT(Raw_Data[[#This Row],[Order Date]],"mmm")</f>
        <v>Apr</v>
      </c>
      <c r="C1480" t="s">
        <v>121</v>
      </c>
      <c r="D1480" t="s">
        <v>7850</v>
      </c>
      <c r="E1480" t="s">
        <v>35</v>
      </c>
      <c r="F1480" t="s">
        <v>21</v>
      </c>
      <c r="G1480" t="s">
        <v>130</v>
      </c>
      <c r="H1480" t="s">
        <v>38</v>
      </c>
      <c r="I1480" t="s">
        <v>60</v>
      </c>
      <c r="J1480" t="s">
        <v>25</v>
      </c>
      <c r="K1480" t="s">
        <v>7851</v>
      </c>
      <c r="L1480">
        <v>0.15</v>
      </c>
      <c r="M1480" t="s">
        <v>7852</v>
      </c>
      <c r="N1480" t="s">
        <v>7853</v>
      </c>
      <c r="O1480" t="s">
        <v>54</v>
      </c>
      <c r="P1480" t="s">
        <v>112</v>
      </c>
      <c r="Q1480" t="s">
        <v>31</v>
      </c>
      <c r="R1480" s="3">
        <v>3757.2464999999902</v>
      </c>
    </row>
    <row r="1481" spans="1:18" x14ac:dyDescent="0.3">
      <c r="A1481" t="s">
        <v>7854</v>
      </c>
      <c r="B1481" t="str">
        <f>TEXT(Raw_Data[[#This Row],[Order Date]],"mmm")</f>
        <v>Feb</v>
      </c>
      <c r="C1481" t="s">
        <v>3493</v>
      </c>
      <c r="D1481" t="s">
        <v>7855</v>
      </c>
      <c r="E1481" t="s">
        <v>48</v>
      </c>
      <c r="F1481" t="s">
        <v>36</v>
      </c>
      <c r="G1481" t="s">
        <v>153</v>
      </c>
      <c r="H1481" t="s">
        <v>154</v>
      </c>
      <c r="I1481" t="s">
        <v>309</v>
      </c>
      <c r="J1481" t="s">
        <v>25</v>
      </c>
      <c r="K1481" t="s">
        <v>7856</v>
      </c>
      <c r="L1481">
        <v>0.05</v>
      </c>
      <c r="M1481" t="s">
        <v>7857</v>
      </c>
      <c r="N1481" t="s">
        <v>7858</v>
      </c>
      <c r="O1481" t="s">
        <v>173</v>
      </c>
      <c r="P1481" t="s">
        <v>30</v>
      </c>
      <c r="Q1481" t="s">
        <v>31</v>
      </c>
      <c r="R1481" s="3">
        <v>4017.0369999999998</v>
      </c>
    </row>
    <row r="1482" spans="1:18" x14ac:dyDescent="0.3">
      <c r="A1482" t="s">
        <v>7859</v>
      </c>
      <c r="B1482" t="str">
        <f>TEXT(Raw_Data[[#This Row],[Order Date]],"mmm")</f>
        <v>Apr</v>
      </c>
      <c r="C1482" t="s">
        <v>2101</v>
      </c>
      <c r="D1482" t="s">
        <v>7860</v>
      </c>
      <c r="E1482" t="s">
        <v>20</v>
      </c>
      <c r="F1482" t="s">
        <v>89</v>
      </c>
      <c r="G1482" t="s">
        <v>90</v>
      </c>
      <c r="H1482" t="s">
        <v>23</v>
      </c>
      <c r="I1482" t="s">
        <v>24</v>
      </c>
      <c r="J1482" t="s">
        <v>100</v>
      </c>
      <c r="K1482" t="s">
        <v>7861</v>
      </c>
      <c r="L1482">
        <v>0.15</v>
      </c>
      <c r="M1482" t="s">
        <v>7862</v>
      </c>
      <c r="N1482" t="s">
        <v>7863</v>
      </c>
      <c r="O1482" t="s">
        <v>54</v>
      </c>
      <c r="P1482" t="s">
        <v>30</v>
      </c>
      <c r="Q1482" t="s">
        <v>44</v>
      </c>
      <c r="R1482" s="3">
        <v>179596.8315</v>
      </c>
    </row>
    <row r="1483" spans="1:18" x14ac:dyDescent="0.3">
      <c r="A1483" t="s">
        <v>7864</v>
      </c>
      <c r="B1483" t="str">
        <f>TEXT(Raw_Data[[#This Row],[Order Date]],"mmm")</f>
        <v>Sep</v>
      </c>
      <c r="C1483" t="s">
        <v>7865</v>
      </c>
      <c r="D1483" t="s">
        <v>7866</v>
      </c>
      <c r="E1483" t="s">
        <v>35</v>
      </c>
      <c r="F1483" t="s">
        <v>78</v>
      </c>
      <c r="G1483" t="s">
        <v>79</v>
      </c>
      <c r="H1483" t="s">
        <v>23</v>
      </c>
      <c r="I1483" t="s">
        <v>341</v>
      </c>
      <c r="J1483" t="s">
        <v>50</v>
      </c>
      <c r="K1483" t="s">
        <v>7867</v>
      </c>
      <c r="L1483">
        <v>0</v>
      </c>
      <c r="M1483" t="s">
        <v>7868</v>
      </c>
      <c r="N1483" t="s">
        <v>7869</v>
      </c>
      <c r="O1483" t="s">
        <v>54</v>
      </c>
      <c r="P1483" t="s">
        <v>112</v>
      </c>
      <c r="Q1483" t="s">
        <v>44</v>
      </c>
      <c r="R1483" s="3">
        <v>81206.759999999995</v>
      </c>
    </row>
    <row r="1484" spans="1:18" x14ac:dyDescent="0.3">
      <c r="A1484" t="s">
        <v>7870</v>
      </c>
      <c r="B1484" t="str">
        <f>TEXT(Raw_Data[[#This Row],[Order Date]],"mmm")</f>
        <v>Apr</v>
      </c>
      <c r="C1484" t="s">
        <v>2095</v>
      </c>
      <c r="D1484" t="s">
        <v>7871</v>
      </c>
      <c r="E1484" t="s">
        <v>48</v>
      </c>
      <c r="F1484" t="s">
        <v>36</v>
      </c>
      <c r="G1484" t="s">
        <v>153</v>
      </c>
      <c r="H1484" t="s">
        <v>107</v>
      </c>
      <c r="I1484" t="s">
        <v>378</v>
      </c>
      <c r="J1484" t="s">
        <v>50</v>
      </c>
      <c r="K1484" t="s">
        <v>7872</v>
      </c>
      <c r="L1484">
        <v>0.15</v>
      </c>
      <c r="M1484" t="s">
        <v>7873</v>
      </c>
      <c r="N1484" t="s">
        <v>7874</v>
      </c>
      <c r="O1484" t="s">
        <v>173</v>
      </c>
      <c r="P1484" t="s">
        <v>30</v>
      </c>
      <c r="Q1484" t="s">
        <v>44</v>
      </c>
      <c r="R1484" s="3">
        <v>10766.4909999999</v>
      </c>
    </row>
    <row r="1485" spans="1:18" x14ac:dyDescent="0.3">
      <c r="A1485" t="s">
        <v>7875</v>
      </c>
      <c r="B1485" t="str">
        <f>TEXT(Raw_Data[[#This Row],[Order Date]],"mmm")</f>
        <v>Jul</v>
      </c>
      <c r="C1485" t="s">
        <v>2372</v>
      </c>
      <c r="D1485" t="s">
        <v>7876</v>
      </c>
      <c r="E1485" t="s">
        <v>48</v>
      </c>
      <c r="F1485" t="s">
        <v>78</v>
      </c>
      <c r="G1485" t="s">
        <v>468</v>
      </c>
      <c r="H1485" t="s">
        <v>38</v>
      </c>
      <c r="I1485" t="s">
        <v>71</v>
      </c>
      <c r="J1485" t="s">
        <v>25</v>
      </c>
      <c r="K1485" t="s">
        <v>7877</v>
      </c>
      <c r="L1485">
        <v>0.2</v>
      </c>
      <c r="M1485" t="s">
        <v>7878</v>
      </c>
      <c r="N1485" t="s">
        <v>7879</v>
      </c>
      <c r="O1485" t="s">
        <v>54</v>
      </c>
      <c r="P1485" t="s">
        <v>30</v>
      </c>
      <c r="Q1485" t="s">
        <v>65</v>
      </c>
      <c r="R1485" s="3">
        <v>3814.752</v>
      </c>
    </row>
    <row r="1486" spans="1:18" x14ac:dyDescent="0.3">
      <c r="A1486" t="s">
        <v>7880</v>
      </c>
      <c r="B1486" t="str">
        <f>TEXT(Raw_Data[[#This Row],[Order Date]],"mmm")</f>
        <v>May</v>
      </c>
      <c r="C1486" t="s">
        <v>498</v>
      </c>
      <c r="D1486" t="s">
        <v>7881</v>
      </c>
      <c r="E1486" t="s">
        <v>35</v>
      </c>
      <c r="F1486" t="s">
        <v>89</v>
      </c>
      <c r="G1486" t="s">
        <v>230</v>
      </c>
      <c r="H1486" t="s">
        <v>80</v>
      </c>
      <c r="I1486" t="s">
        <v>131</v>
      </c>
      <c r="J1486" t="s">
        <v>25</v>
      </c>
      <c r="K1486" t="s">
        <v>7882</v>
      </c>
      <c r="L1486">
        <v>0.05</v>
      </c>
      <c r="M1486" t="s">
        <v>7883</v>
      </c>
      <c r="N1486" t="s">
        <v>7884</v>
      </c>
      <c r="O1486" t="s">
        <v>64</v>
      </c>
      <c r="P1486" t="s">
        <v>30</v>
      </c>
      <c r="Q1486" t="s">
        <v>65</v>
      </c>
      <c r="R1486" s="3">
        <v>3800.5699999999902</v>
      </c>
    </row>
    <row r="1487" spans="1:18" x14ac:dyDescent="0.3">
      <c r="A1487" t="s">
        <v>7885</v>
      </c>
      <c r="B1487" t="str">
        <f>TEXT(Raw_Data[[#This Row],[Order Date]],"mmm")</f>
        <v>May</v>
      </c>
      <c r="C1487" t="s">
        <v>3102</v>
      </c>
      <c r="D1487" t="s">
        <v>7886</v>
      </c>
      <c r="E1487" t="s">
        <v>20</v>
      </c>
      <c r="F1487" t="s">
        <v>36</v>
      </c>
      <c r="G1487" t="s">
        <v>414</v>
      </c>
      <c r="H1487" t="s">
        <v>107</v>
      </c>
      <c r="I1487" t="s">
        <v>277</v>
      </c>
      <c r="J1487" t="s">
        <v>50</v>
      </c>
      <c r="K1487" t="s">
        <v>7887</v>
      </c>
      <c r="L1487">
        <v>0.1</v>
      </c>
      <c r="M1487" t="s">
        <v>7888</v>
      </c>
      <c r="N1487" t="s">
        <v>7889</v>
      </c>
      <c r="O1487" t="s">
        <v>29</v>
      </c>
      <c r="P1487" t="s">
        <v>112</v>
      </c>
      <c r="Q1487" t="s">
        <v>44</v>
      </c>
      <c r="R1487" s="3">
        <v>16274.034</v>
      </c>
    </row>
    <row r="1488" spans="1:18" x14ac:dyDescent="0.3">
      <c r="A1488" t="s">
        <v>7890</v>
      </c>
      <c r="B1488" t="str">
        <f>TEXT(Raw_Data[[#This Row],[Order Date]],"mmm")</f>
        <v>Jun</v>
      </c>
      <c r="C1488" t="s">
        <v>2157</v>
      </c>
      <c r="D1488" t="s">
        <v>7891</v>
      </c>
      <c r="E1488" t="s">
        <v>35</v>
      </c>
      <c r="F1488" t="s">
        <v>69</v>
      </c>
      <c r="G1488" t="s">
        <v>70</v>
      </c>
      <c r="H1488" t="s">
        <v>80</v>
      </c>
      <c r="I1488" t="s">
        <v>91</v>
      </c>
      <c r="J1488" t="s">
        <v>50</v>
      </c>
      <c r="K1488" t="s">
        <v>7892</v>
      </c>
      <c r="L1488">
        <v>0</v>
      </c>
      <c r="M1488" t="s">
        <v>7893</v>
      </c>
      <c r="N1488" t="s">
        <v>7894</v>
      </c>
      <c r="O1488" t="s">
        <v>54</v>
      </c>
      <c r="P1488" t="s">
        <v>30</v>
      </c>
      <c r="Q1488" t="s">
        <v>31</v>
      </c>
      <c r="R1488" s="3">
        <v>3645.06</v>
      </c>
    </row>
    <row r="1489" spans="1:18" x14ac:dyDescent="0.3">
      <c r="A1489" t="s">
        <v>7895</v>
      </c>
      <c r="B1489" t="str">
        <f>TEXT(Raw_Data[[#This Row],[Order Date]],"mmm")</f>
        <v>Jun</v>
      </c>
      <c r="C1489" t="s">
        <v>3638</v>
      </c>
      <c r="D1489" t="s">
        <v>7896</v>
      </c>
      <c r="E1489" t="s">
        <v>20</v>
      </c>
      <c r="F1489" t="s">
        <v>21</v>
      </c>
      <c r="G1489" t="s">
        <v>22</v>
      </c>
      <c r="H1489" t="s">
        <v>80</v>
      </c>
      <c r="I1489" t="s">
        <v>131</v>
      </c>
      <c r="J1489" t="s">
        <v>25</v>
      </c>
      <c r="K1489" t="s">
        <v>7897</v>
      </c>
      <c r="L1489">
        <v>0.2</v>
      </c>
      <c r="M1489" t="s">
        <v>7898</v>
      </c>
      <c r="N1489" t="s">
        <v>7899</v>
      </c>
      <c r="O1489" t="s">
        <v>54</v>
      </c>
      <c r="P1489" t="s">
        <v>30</v>
      </c>
      <c r="Q1489" t="s">
        <v>31</v>
      </c>
      <c r="R1489" s="3">
        <v>3203.8719999999998</v>
      </c>
    </row>
    <row r="1490" spans="1:18" x14ac:dyDescent="0.3">
      <c r="A1490" t="s">
        <v>7900</v>
      </c>
      <c r="B1490" t="str">
        <f>TEXT(Raw_Data[[#This Row],[Order Date]],"mmm")</f>
        <v>Sep</v>
      </c>
      <c r="C1490" t="s">
        <v>4782</v>
      </c>
      <c r="D1490" t="s">
        <v>7901</v>
      </c>
      <c r="E1490" t="s">
        <v>20</v>
      </c>
      <c r="F1490" t="s">
        <v>215</v>
      </c>
      <c r="G1490" t="s">
        <v>216</v>
      </c>
      <c r="H1490" t="s">
        <v>23</v>
      </c>
      <c r="I1490" t="s">
        <v>341</v>
      </c>
      <c r="J1490" t="s">
        <v>50</v>
      </c>
      <c r="K1490" t="s">
        <v>7902</v>
      </c>
      <c r="L1490">
        <v>0</v>
      </c>
      <c r="M1490" t="s">
        <v>7903</v>
      </c>
      <c r="N1490" t="s">
        <v>7904</v>
      </c>
      <c r="O1490" t="s">
        <v>43</v>
      </c>
      <c r="P1490" t="s">
        <v>30</v>
      </c>
      <c r="Q1490" t="s">
        <v>31</v>
      </c>
      <c r="R1490" s="3">
        <v>121635.76</v>
      </c>
    </row>
    <row r="1491" spans="1:18" x14ac:dyDescent="0.3">
      <c r="A1491" t="s">
        <v>7905</v>
      </c>
      <c r="B1491" t="str">
        <f>TEXT(Raw_Data[[#This Row],[Order Date]],"mmm")</f>
        <v>Aug</v>
      </c>
      <c r="C1491" t="s">
        <v>681</v>
      </c>
      <c r="D1491" t="s">
        <v>7906</v>
      </c>
      <c r="E1491" t="s">
        <v>35</v>
      </c>
      <c r="F1491" t="s">
        <v>89</v>
      </c>
      <c r="G1491" t="s">
        <v>90</v>
      </c>
      <c r="H1491" t="s">
        <v>154</v>
      </c>
      <c r="I1491" t="s">
        <v>365</v>
      </c>
      <c r="J1491" t="s">
        <v>25</v>
      </c>
      <c r="K1491" t="s">
        <v>7907</v>
      </c>
      <c r="L1491">
        <v>0.05</v>
      </c>
      <c r="M1491" t="s">
        <v>7908</v>
      </c>
      <c r="N1491" t="s">
        <v>7909</v>
      </c>
      <c r="O1491" t="s">
        <v>54</v>
      </c>
      <c r="P1491" t="s">
        <v>30</v>
      </c>
      <c r="Q1491" t="s">
        <v>44</v>
      </c>
      <c r="R1491" s="3">
        <v>9563.2795000000006</v>
      </c>
    </row>
    <row r="1492" spans="1:18" x14ac:dyDescent="0.3">
      <c r="A1492" t="s">
        <v>7910</v>
      </c>
      <c r="B1492" t="str">
        <f>TEXT(Raw_Data[[#This Row],[Order Date]],"mmm")</f>
        <v>Jun</v>
      </c>
      <c r="C1492" t="s">
        <v>181</v>
      </c>
      <c r="D1492" t="s">
        <v>7911</v>
      </c>
      <c r="E1492" t="s">
        <v>48</v>
      </c>
      <c r="F1492" t="s">
        <v>106</v>
      </c>
      <c r="G1492" t="s">
        <v>163</v>
      </c>
      <c r="H1492" t="s">
        <v>80</v>
      </c>
      <c r="I1492" t="s">
        <v>146</v>
      </c>
      <c r="J1492" t="s">
        <v>25</v>
      </c>
      <c r="K1492" t="s">
        <v>7912</v>
      </c>
      <c r="L1492">
        <v>0.05</v>
      </c>
      <c r="M1492" t="s">
        <v>7913</v>
      </c>
      <c r="N1492" t="s">
        <v>7914</v>
      </c>
      <c r="O1492" t="s">
        <v>29</v>
      </c>
      <c r="P1492" t="s">
        <v>159</v>
      </c>
      <c r="Q1492" t="s">
        <v>65</v>
      </c>
      <c r="R1492" s="3">
        <v>6270.5509999999904</v>
      </c>
    </row>
    <row r="1493" spans="1:18" x14ac:dyDescent="0.3">
      <c r="A1493" t="s">
        <v>7915</v>
      </c>
      <c r="B1493" t="str">
        <f>TEXT(Raw_Data[[#This Row],[Order Date]],"mmm")</f>
        <v>Mar</v>
      </c>
      <c r="C1493" t="s">
        <v>1808</v>
      </c>
      <c r="D1493" t="s">
        <v>7916</v>
      </c>
      <c r="E1493" t="s">
        <v>48</v>
      </c>
      <c r="F1493" t="s">
        <v>58</v>
      </c>
      <c r="G1493" t="s">
        <v>812</v>
      </c>
      <c r="H1493" t="s">
        <v>23</v>
      </c>
      <c r="I1493" t="s">
        <v>24</v>
      </c>
      <c r="J1493" t="s">
        <v>25</v>
      </c>
      <c r="K1493" t="s">
        <v>7917</v>
      </c>
      <c r="L1493">
        <v>0.15</v>
      </c>
      <c r="M1493" t="s">
        <v>7918</v>
      </c>
      <c r="N1493" t="s">
        <v>7919</v>
      </c>
      <c r="O1493" t="s">
        <v>29</v>
      </c>
      <c r="P1493" t="s">
        <v>30</v>
      </c>
      <c r="Q1493" t="s">
        <v>44</v>
      </c>
      <c r="R1493" s="3">
        <v>62527.674500000001</v>
      </c>
    </row>
    <row r="1494" spans="1:18" x14ac:dyDescent="0.3">
      <c r="A1494" t="s">
        <v>7920</v>
      </c>
      <c r="B1494" t="str">
        <f>TEXT(Raw_Data[[#This Row],[Order Date]],"mmm")</f>
        <v>Mar</v>
      </c>
      <c r="C1494" t="s">
        <v>1808</v>
      </c>
      <c r="D1494" t="s">
        <v>7921</v>
      </c>
      <c r="E1494" t="s">
        <v>48</v>
      </c>
      <c r="F1494" t="s">
        <v>78</v>
      </c>
      <c r="G1494" t="s">
        <v>731</v>
      </c>
      <c r="H1494" t="s">
        <v>80</v>
      </c>
      <c r="I1494" t="s">
        <v>81</v>
      </c>
      <c r="J1494" t="s">
        <v>25</v>
      </c>
      <c r="K1494" t="s">
        <v>7922</v>
      </c>
      <c r="L1494">
        <v>0.1</v>
      </c>
      <c r="M1494" t="s">
        <v>7923</v>
      </c>
      <c r="N1494" t="s">
        <v>7924</v>
      </c>
      <c r="O1494" t="s">
        <v>54</v>
      </c>
      <c r="P1494" t="s">
        <v>30</v>
      </c>
      <c r="Q1494" t="s">
        <v>44</v>
      </c>
      <c r="R1494" s="3">
        <v>2510.3879999999999</v>
      </c>
    </row>
    <row r="1495" spans="1:18" x14ac:dyDescent="0.3">
      <c r="A1495" t="s">
        <v>7925</v>
      </c>
      <c r="B1495" t="str">
        <f>TEXT(Raw_Data[[#This Row],[Order Date]],"mmm")</f>
        <v>May</v>
      </c>
      <c r="C1495" t="s">
        <v>5447</v>
      </c>
      <c r="D1495" t="s">
        <v>7926</v>
      </c>
      <c r="E1495" t="s">
        <v>35</v>
      </c>
      <c r="F1495" t="s">
        <v>215</v>
      </c>
      <c r="G1495" t="s">
        <v>216</v>
      </c>
      <c r="H1495" t="s">
        <v>107</v>
      </c>
      <c r="I1495" t="s">
        <v>591</v>
      </c>
      <c r="J1495" t="s">
        <v>50</v>
      </c>
      <c r="K1495" t="s">
        <v>7927</v>
      </c>
      <c r="L1495">
        <v>0.05</v>
      </c>
      <c r="M1495" t="s">
        <v>7928</v>
      </c>
      <c r="N1495" t="s">
        <v>7929</v>
      </c>
      <c r="O1495" t="s">
        <v>64</v>
      </c>
      <c r="P1495" t="s">
        <v>30</v>
      </c>
      <c r="Q1495" t="s">
        <v>44</v>
      </c>
      <c r="R1495" s="3">
        <v>15571.8489999999</v>
      </c>
    </row>
    <row r="1496" spans="1:18" x14ac:dyDescent="0.3">
      <c r="A1496" t="s">
        <v>7930</v>
      </c>
      <c r="B1496" t="str">
        <f>TEXT(Raw_Data[[#This Row],[Order Date]],"mmm")</f>
        <v>Mar</v>
      </c>
      <c r="C1496" t="s">
        <v>492</v>
      </c>
      <c r="D1496" t="s">
        <v>7931</v>
      </c>
      <c r="E1496" t="s">
        <v>48</v>
      </c>
      <c r="F1496" t="s">
        <v>89</v>
      </c>
      <c r="G1496" t="s">
        <v>99</v>
      </c>
      <c r="H1496" t="s">
        <v>23</v>
      </c>
      <c r="I1496" t="s">
        <v>263</v>
      </c>
      <c r="J1496" t="s">
        <v>100</v>
      </c>
      <c r="K1496" t="s">
        <v>7932</v>
      </c>
      <c r="L1496">
        <v>0.05</v>
      </c>
      <c r="M1496" t="s">
        <v>7933</v>
      </c>
      <c r="N1496" t="s">
        <v>7934</v>
      </c>
      <c r="O1496" t="s">
        <v>64</v>
      </c>
      <c r="P1496" t="s">
        <v>159</v>
      </c>
      <c r="Q1496" t="s">
        <v>31</v>
      </c>
      <c r="R1496" s="3">
        <v>138638.73449999999</v>
      </c>
    </row>
    <row r="1497" spans="1:18" x14ac:dyDescent="0.3">
      <c r="A1497" t="s">
        <v>7935</v>
      </c>
      <c r="B1497" t="str">
        <f>TEXT(Raw_Data[[#This Row],[Order Date]],"mmm")</f>
        <v>Jun</v>
      </c>
      <c r="C1497" t="s">
        <v>2068</v>
      </c>
      <c r="D1497" t="s">
        <v>7936</v>
      </c>
      <c r="E1497" t="s">
        <v>48</v>
      </c>
      <c r="F1497" t="s">
        <v>69</v>
      </c>
      <c r="G1497" t="s">
        <v>328</v>
      </c>
      <c r="H1497" t="s">
        <v>107</v>
      </c>
      <c r="I1497" t="s">
        <v>469</v>
      </c>
      <c r="J1497" t="s">
        <v>50</v>
      </c>
      <c r="K1497" t="s">
        <v>7937</v>
      </c>
      <c r="L1497">
        <v>0.05</v>
      </c>
      <c r="M1497" t="s">
        <v>7938</v>
      </c>
      <c r="N1497" t="s">
        <v>7939</v>
      </c>
      <c r="O1497" t="s">
        <v>64</v>
      </c>
      <c r="P1497" t="s">
        <v>30</v>
      </c>
      <c r="Q1497" t="s">
        <v>44</v>
      </c>
      <c r="R1497" s="3">
        <v>33055.497000000003</v>
      </c>
    </row>
    <row r="1498" spans="1:18" x14ac:dyDescent="0.3">
      <c r="A1498" t="s">
        <v>7940</v>
      </c>
      <c r="B1498" t="str">
        <f>TEXT(Raw_Data[[#This Row],[Order Date]],"mmm")</f>
        <v>Apr</v>
      </c>
      <c r="C1498" t="s">
        <v>4059</v>
      </c>
      <c r="D1498" t="s">
        <v>7941</v>
      </c>
      <c r="E1498" t="s">
        <v>48</v>
      </c>
      <c r="F1498" t="s">
        <v>106</v>
      </c>
      <c r="G1498" t="s">
        <v>106</v>
      </c>
      <c r="H1498" t="s">
        <v>154</v>
      </c>
      <c r="I1498" t="s">
        <v>365</v>
      </c>
      <c r="J1498" t="s">
        <v>50</v>
      </c>
      <c r="K1498" t="s">
        <v>7942</v>
      </c>
      <c r="L1498">
        <v>0</v>
      </c>
      <c r="M1498" t="s">
        <v>7943</v>
      </c>
      <c r="N1498" t="s">
        <v>7944</v>
      </c>
      <c r="O1498" t="s">
        <v>54</v>
      </c>
      <c r="P1498" t="s">
        <v>112</v>
      </c>
      <c r="Q1498" t="s">
        <v>31</v>
      </c>
      <c r="R1498" s="3">
        <v>2230.66</v>
      </c>
    </row>
    <row r="1499" spans="1:18" x14ac:dyDescent="0.3">
      <c r="A1499" t="s">
        <v>7945</v>
      </c>
      <c r="B1499" t="str">
        <f>TEXT(Raw_Data[[#This Row],[Order Date]],"mmm")</f>
        <v>Aug</v>
      </c>
      <c r="C1499" t="s">
        <v>3933</v>
      </c>
      <c r="D1499" t="s">
        <v>7946</v>
      </c>
      <c r="E1499" t="s">
        <v>35</v>
      </c>
      <c r="F1499" t="s">
        <v>69</v>
      </c>
      <c r="G1499" t="s">
        <v>70</v>
      </c>
      <c r="H1499" t="s">
        <v>80</v>
      </c>
      <c r="I1499" t="s">
        <v>116</v>
      </c>
      <c r="J1499" t="s">
        <v>25</v>
      </c>
      <c r="K1499" t="s">
        <v>7947</v>
      </c>
      <c r="L1499">
        <v>0.15</v>
      </c>
      <c r="M1499" t="s">
        <v>7948</v>
      </c>
      <c r="N1499" t="s">
        <v>7949</v>
      </c>
      <c r="O1499" t="s">
        <v>43</v>
      </c>
      <c r="P1499" t="s">
        <v>30</v>
      </c>
      <c r="Q1499" t="s">
        <v>65</v>
      </c>
      <c r="R1499" s="3">
        <v>2584.2719999999999</v>
      </c>
    </row>
    <row r="1500" spans="1:18" x14ac:dyDescent="0.3">
      <c r="A1500" t="s">
        <v>7950</v>
      </c>
      <c r="B1500" t="str">
        <f>TEXT(Raw_Data[[#This Row],[Order Date]],"mmm")</f>
        <v>Dec</v>
      </c>
      <c r="C1500" t="s">
        <v>965</v>
      </c>
      <c r="D1500" t="s">
        <v>7951</v>
      </c>
      <c r="E1500" t="s">
        <v>48</v>
      </c>
      <c r="F1500" t="s">
        <v>69</v>
      </c>
      <c r="G1500" t="s">
        <v>328</v>
      </c>
      <c r="H1500" t="s">
        <v>23</v>
      </c>
      <c r="I1500" t="s">
        <v>49</v>
      </c>
      <c r="J1500" t="s">
        <v>25</v>
      </c>
      <c r="K1500" t="s">
        <v>7952</v>
      </c>
      <c r="L1500">
        <v>0.05</v>
      </c>
      <c r="M1500" t="s">
        <v>7953</v>
      </c>
      <c r="N1500" t="s">
        <v>7954</v>
      </c>
      <c r="O1500" t="s">
        <v>29</v>
      </c>
      <c r="P1500" t="s">
        <v>30</v>
      </c>
      <c r="Q1500" t="s">
        <v>31</v>
      </c>
      <c r="R1500" s="3">
        <v>59697.220999999998</v>
      </c>
    </row>
    <row r="1501" spans="1:18" x14ac:dyDescent="0.3">
      <c r="A1501" t="s">
        <v>7955</v>
      </c>
      <c r="B1501" t="str">
        <f>TEXT(Raw_Data[[#This Row],[Order Date]],"mmm")</f>
        <v>Jul</v>
      </c>
      <c r="C1501" t="s">
        <v>792</v>
      </c>
      <c r="D1501" t="s">
        <v>7956</v>
      </c>
      <c r="E1501" t="s">
        <v>20</v>
      </c>
      <c r="F1501" t="s">
        <v>89</v>
      </c>
      <c r="G1501" t="s">
        <v>90</v>
      </c>
      <c r="H1501" t="s">
        <v>80</v>
      </c>
      <c r="I1501" t="s">
        <v>131</v>
      </c>
      <c r="J1501" t="s">
        <v>82</v>
      </c>
      <c r="K1501" t="s">
        <v>7957</v>
      </c>
      <c r="L1501">
        <v>0.05</v>
      </c>
      <c r="M1501" t="s">
        <v>7958</v>
      </c>
      <c r="N1501" t="s">
        <v>7959</v>
      </c>
      <c r="O1501" t="s">
        <v>64</v>
      </c>
      <c r="P1501" t="s">
        <v>159</v>
      </c>
      <c r="Q1501" t="s">
        <v>44</v>
      </c>
      <c r="R1501" s="3">
        <v>16827.957999999999</v>
      </c>
    </row>
    <row r="1502" spans="1:18" x14ac:dyDescent="0.3">
      <c r="A1502" t="s">
        <v>7960</v>
      </c>
      <c r="B1502" t="str">
        <f>TEXT(Raw_Data[[#This Row],[Order Date]],"mmm")</f>
        <v>Mar</v>
      </c>
      <c r="C1502" t="s">
        <v>425</v>
      </c>
      <c r="D1502" t="s">
        <v>7961</v>
      </c>
      <c r="E1502" t="s">
        <v>48</v>
      </c>
      <c r="F1502" t="s">
        <v>89</v>
      </c>
      <c r="G1502" t="s">
        <v>90</v>
      </c>
      <c r="H1502" t="s">
        <v>23</v>
      </c>
      <c r="I1502" t="s">
        <v>183</v>
      </c>
      <c r="J1502" t="s">
        <v>25</v>
      </c>
      <c r="K1502" t="s">
        <v>7962</v>
      </c>
      <c r="L1502">
        <v>0.05</v>
      </c>
      <c r="M1502" t="s">
        <v>7963</v>
      </c>
      <c r="N1502" t="s">
        <v>7964</v>
      </c>
      <c r="O1502" t="s">
        <v>173</v>
      </c>
      <c r="P1502" t="s">
        <v>30</v>
      </c>
      <c r="Q1502" t="s">
        <v>65</v>
      </c>
      <c r="R1502" s="3">
        <v>55972.090499999998</v>
      </c>
    </row>
    <row r="1503" spans="1:18" x14ac:dyDescent="0.3">
      <c r="A1503" t="s">
        <v>7965</v>
      </c>
      <c r="B1503" t="str">
        <f>TEXT(Raw_Data[[#This Row],[Order Date]],"mmm")</f>
        <v>Apr</v>
      </c>
      <c r="C1503" t="s">
        <v>1686</v>
      </c>
      <c r="D1503" t="s">
        <v>7966</v>
      </c>
      <c r="E1503" t="s">
        <v>48</v>
      </c>
      <c r="F1503" t="s">
        <v>78</v>
      </c>
      <c r="G1503" t="s">
        <v>468</v>
      </c>
      <c r="H1503" t="s">
        <v>80</v>
      </c>
      <c r="I1503" t="s">
        <v>146</v>
      </c>
      <c r="J1503" t="s">
        <v>25</v>
      </c>
      <c r="K1503" t="s">
        <v>7967</v>
      </c>
      <c r="L1503">
        <v>0.2</v>
      </c>
      <c r="M1503" t="s">
        <v>7968</v>
      </c>
      <c r="N1503" t="s">
        <v>7969</v>
      </c>
      <c r="O1503" t="s">
        <v>64</v>
      </c>
      <c r="P1503" t="s">
        <v>112</v>
      </c>
      <c r="Q1503" t="s">
        <v>65</v>
      </c>
      <c r="R1503" s="3">
        <v>2445.9119999999998</v>
      </c>
    </row>
    <row r="1504" spans="1:18" x14ac:dyDescent="0.3">
      <c r="A1504" t="s">
        <v>7970</v>
      </c>
      <c r="B1504" t="str">
        <f>TEXT(Raw_Data[[#This Row],[Order Date]],"mmm")</f>
        <v>Feb</v>
      </c>
      <c r="C1504" t="s">
        <v>4284</v>
      </c>
      <c r="D1504" t="s">
        <v>7971</v>
      </c>
      <c r="E1504" t="s">
        <v>20</v>
      </c>
      <c r="F1504" t="s">
        <v>58</v>
      </c>
      <c r="G1504" t="s">
        <v>812</v>
      </c>
      <c r="H1504" t="s">
        <v>80</v>
      </c>
      <c r="I1504" t="s">
        <v>131</v>
      </c>
      <c r="J1504" t="s">
        <v>25</v>
      </c>
      <c r="K1504" t="s">
        <v>7972</v>
      </c>
      <c r="L1504">
        <v>0</v>
      </c>
      <c r="M1504" t="s">
        <v>7973</v>
      </c>
      <c r="N1504" t="s">
        <v>7974</v>
      </c>
      <c r="O1504" t="s">
        <v>29</v>
      </c>
      <c r="P1504" t="s">
        <v>95</v>
      </c>
      <c r="Q1504" t="s">
        <v>44</v>
      </c>
      <c r="R1504" s="3">
        <v>6320.4</v>
      </c>
    </row>
    <row r="1505" spans="1:18" x14ac:dyDescent="0.3">
      <c r="A1505" t="s">
        <v>7975</v>
      </c>
      <c r="B1505" t="str">
        <f>TEXT(Raw_Data[[#This Row],[Order Date]],"mmm")</f>
        <v>Jun</v>
      </c>
      <c r="C1505" t="s">
        <v>1047</v>
      </c>
      <c r="D1505" t="s">
        <v>7976</v>
      </c>
      <c r="E1505" t="s">
        <v>20</v>
      </c>
      <c r="F1505" t="s">
        <v>58</v>
      </c>
      <c r="G1505" t="s">
        <v>812</v>
      </c>
      <c r="H1505" t="s">
        <v>107</v>
      </c>
      <c r="I1505" t="s">
        <v>591</v>
      </c>
      <c r="J1505" t="s">
        <v>50</v>
      </c>
      <c r="K1505" t="s">
        <v>7977</v>
      </c>
      <c r="L1505">
        <v>0</v>
      </c>
      <c r="M1505" t="s">
        <v>7978</v>
      </c>
      <c r="N1505" t="s">
        <v>7979</v>
      </c>
      <c r="O1505" t="s">
        <v>43</v>
      </c>
      <c r="P1505" t="s">
        <v>30</v>
      </c>
      <c r="Q1505" t="s">
        <v>44</v>
      </c>
      <c r="R1505" s="3">
        <v>33412.82</v>
      </c>
    </row>
    <row r="1506" spans="1:18" x14ac:dyDescent="0.3">
      <c r="A1506" t="s">
        <v>7980</v>
      </c>
      <c r="B1506" t="str">
        <f>TEXT(Raw_Data[[#This Row],[Order Date]],"mmm")</f>
        <v>Oct</v>
      </c>
      <c r="C1506" t="s">
        <v>460</v>
      </c>
      <c r="D1506" t="s">
        <v>7981</v>
      </c>
      <c r="E1506" t="s">
        <v>35</v>
      </c>
      <c r="F1506" t="s">
        <v>36</v>
      </c>
      <c r="G1506" t="s">
        <v>153</v>
      </c>
      <c r="H1506" t="s">
        <v>80</v>
      </c>
      <c r="I1506" t="s">
        <v>146</v>
      </c>
      <c r="J1506" t="s">
        <v>25</v>
      </c>
      <c r="K1506" t="s">
        <v>7982</v>
      </c>
      <c r="L1506">
        <v>0.15</v>
      </c>
      <c r="M1506" t="s">
        <v>7983</v>
      </c>
      <c r="N1506" t="s">
        <v>7984</v>
      </c>
      <c r="O1506" t="s">
        <v>29</v>
      </c>
      <c r="P1506" t="s">
        <v>30</v>
      </c>
      <c r="Q1506" t="s">
        <v>65</v>
      </c>
      <c r="R1506" s="3">
        <v>271.779</v>
      </c>
    </row>
    <row r="1507" spans="1:18" x14ac:dyDescent="0.3">
      <c r="A1507" t="s">
        <v>7985</v>
      </c>
      <c r="B1507" t="str">
        <f>TEXT(Raw_Data[[#This Row],[Order Date]],"mmm")</f>
        <v>Oct</v>
      </c>
      <c r="C1507" t="s">
        <v>1846</v>
      </c>
      <c r="D1507" t="s">
        <v>7986</v>
      </c>
      <c r="E1507" t="s">
        <v>48</v>
      </c>
      <c r="F1507" t="s">
        <v>36</v>
      </c>
      <c r="G1507" t="s">
        <v>153</v>
      </c>
      <c r="H1507" t="s">
        <v>23</v>
      </c>
      <c r="I1507" t="s">
        <v>183</v>
      </c>
      <c r="J1507" t="s">
        <v>25</v>
      </c>
      <c r="K1507" t="s">
        <v>7987</v>
      </c>
      <c r="L1507">
        <v>0</v>
      </c>
      <c r="M1507" t="s">
        <v>7988</v>
      </c>
      <c r="N1507" t="s">
        <v>7989</v>
      </c>
      <c r="O1507" t="s">
        <v>43</v>
      </c>
      <c r="P1507" t="s">
        <v>30</v>
      </c>
      <c r="Q1507" t="s">
        <v>31</v>
      </c>
      <c r="R1507" s="3">
        <v>36853.35</v>
      </c>
    </row>
    <row r="1508" spans="1:18" x14ac:dyDescent="0.3">
      <c r="A1508" t="s">
        <v>7990</v>
      </c>
      <c r="B1508" t="str">
        <f>TEXT(Raw_Data[[#This Row],[Order Date]],"mmm")</f>
        <v>Jul</v>
      </c>
      <c r="C1508" t="s">
        <v>128</v>
      </c>
      <c r="D1508" t="s">
        <v>7991</v>
      </c>
      <c r="E1508" t="s">
        <v>48</v>
      </c>
      <c r="F1508" t="s">
        <v>36</v>
      </c>
      <c r="G1508" t="s">
        <v>123</v>
      </c>
      <c r="H1508" t="s">
        <v>154</v>
      </c>
      <c r="I1508" t="s">
        <v>309</v>
      </c>
      <c r="J1508" t="s">
        <v>50</v>
      </c>
      <c r="K1508" t="s">
        <v>7992</v>
      </c>
      <c r="L1508">
        <v>0</v>
      </c>
      <c r="M1508" t="s">
        <v>7993</v>
      </c>
      <c r="N1508" t="s">
        <v>7994</v>
      </c>
      <c r="O1508" t="s">
        <v>64</v>
      </c>
      <c r="P1508" t="s">
        <v>30</v>
      </c>
      <c r="Q1508" t="s">
        <v>65</v>
      </c>
      <c r="R1508" s="3">
        <v>10288.76</v>
      </c>
    </row>
    <row r="1509" spans="1:18" x14ac:dyDescent="0.3">
      <c r="A1509" t="s">
        <v>7995</v>
      </c>
      <c r="B1509" t="str">
        <f>TEXT(Raw_Data[[#This Row],[Order Date]],"mmm")</f>
        <v>Apr</v>
      </c>
      <c r="C1509" t="s">
        <v>137</v>
      </c>
      <c r="D1509" t="s">
        <v>7996</v>
      </c>
      <c r="E1509" t="s">
        <v>48</v>
      </c>
      <c r="F1509" t="s">
        <v>21</v>
      </c>
      <c r="G1509" t="s">
        <v>130</v>
      </c>
      <c r="H1509" t="s">
        <v>80</v>
      </c>
      <c r="I1509" t="s">
        <v>116</v>
      </c>
      <c r="J1509" t="s">
        <v>50</v>
      </c>
      <c r="K1509" t="s">
        <v>7997</v>
      </c>
      <c r="L1509">
        <v>0.1</v>
      </c>
      <c r="M1509" t="s">
        <v>7998</v>
      </c>
      <c r="N1509" t="s">
        <v>7999</v>
      </c>
      <c r="O1509" t="s">
        <v>54</v>
      </c>
      <c r="P1509" t="s">
        <v>30</v>
      </c>
      <c r="Q1509" t="s">
        <v>65</v>
      </c>
      <c r="R1509" s="3">
        <v>11938.374</v>
      </c>
    </row>
    <row r="1510" spans="1:18" x14ac:dyDescent="0.3">
      <c r="A1510" t="s">
        <v>8000</v>
      </c>
      <c r="B1510" t="str">
        <f>TEXT(Raw_Data[[#This Row],[Order Date]],"mmm")</f>
        <v>Apr</v>
      </c>
      <c r="C1510" t="s">
        <v>1904</v>
      </c>
      <c r="D1510" t="s">
        <v>8001</v>
      </c>
      <c r="E1510" t="s">
        <v>48</v>
      </c>
      <c r="F1510" t="s">
        <v>89</v>
      </c>
      <c r="G1510" t="s">
        <v>230</v>
      </c>
      <c r="H1510" t="s">
        <v>154</v>
      </c>
      <c r="I1510" t="s">
        <v>365</v>
      </c>
      <c r="J1510" t="s">
        <v>25</v>
      </c>
      <c r="K1510" t="s">
        <v>8002</v>
      </c>
      <c r="L1510">
        <v>0.1</v>
      </c>
      <c r="M1510" t="s">
        <v>8003</v>
      </c>
      <c r="N1510" t="s">
        <v>8004</v>
      </c>
      <c r="O1510" t="s">
        <v>54</v>
      </c>
      <c r="P1510" t="s">
        <v>30</v>
      </c>
      <c r="Q1510" t="s">
        <v>65</v>
      </c>
      <c r="R1510" s="3">
        <v>2756.538</v>
      </c>
    </row>
    <row r="1511" spans="1:18" x14ac:dyDescent="0.3">
      <c r="A1511" t="s">
        <v>8005</v>
      </c>
      <c r="B1511" t="str">
        <f>TEXT(Raw_Data[[#This Row],[Order Date]],"mmm")</f>
        <v>Nov</v>
      </c>
      <c r="C1511" t="s">
        <v>3096</v>
      </c>
      <c r="D1511" t="s">
        <v>8006</v>
      </c>
      <c r="E1511" t="s">
        <v>35</v>
      </c>
      <c r="F1511" t="s">
        <v>36</v>
      </c>
      <c r="G1511" t="s">
        <v>153</v>
      </c>
      <c r="H1511" t="s">
        <v>80</v>
      </c>
      <c r="I1511" t="s">
        <v>131</v>
      </c>
      <c r="J1511" t="s">
        <v>25</v>
      </c>
      <c r="K1511" t="s">
        <v>8007</v>
      </c>
      <c r="L1511">
        <v>0.1</v>
      </c>
      <c r="M1511" t="s">
        <v>8008</v>
      </c>
      <c r="N1511" t="s">
        <v>8009</v>
      </c>
      <c r="O1511" t="s">
        <v>173</v>
      </c>
      <c r="P1511" t="s">
        <v>30</v>
      </c>
      <c r="Q1511" t="s">
        <v>31</v>
      </c>
      <c r="R1511" s="3">
        <v>1436.5709999999999</v>
      </c>
    </row>
    <row r="1512" spans="1:18" x14ac:dyDescent="0.3">
      <c r="A1512" t="s">
        <v>8010</v>
      </c>
      <c r="B1512" t="str">
        <f>TEXT(Raw_Data[[#This Row],[Order Date]],"mmm")</f>
        <v>Oct</v>
      </c>
      <c r="C1512" t="s">
        <v>2255</v>
      </c>
      <c r="D1512" t="s">
        <v>8011</v>
      </c>
      <c r="E1512" t="s">
        <v>20</v>
      </c>
      <c r="F1512" t="s">
        <v>58</v>
      </c>
      <c r="G1512" t="s">
        <v>59</v>
      </c>
      <c r="H1512" t="s">
        <v>154</v>
      </c>
      <c r="I1512" t="s">
        <v>365</v>
      </c>
      <c r="J1512" t="s">
        <v>25</v>
      </c>
      <c r="K1512" t="s">
        <v>8012</v>
      </c>
      <c r="L1512">
        <v>0.15</v>
      </c>
      <c r="M1512" t="s">
        <v>8013</v>
      </c>
      <c r="N1512" t="s">
        <v>8014</v>
      </c>
      <c r="O1512" t="s">
        <v>173</v>
      </c>
      <c r="P1512" t="s">
        <v>112</v>
      </c>
      <c r="Q1512" t="s">
        <v>31</v>
      </c>
      <c r="R1512" s="3">
        <v>9826.9689999999991</v>
      </c>
    </row>
    <row r="1513" spans="1:18" x14ac:dyDescent="0.3">
      <c r="A1513" t="s">
        <v>8015</v>
      </c>
      <c r="B1513" t="str">
        <f>TEXT(Raw_Data[[#This Row],[Order Date]],"mmm")</f>
        <v>Mar</v>
      </c>
      <c r="C1513" t="s">
        <v>6452</v>
      </c>
      <c r="D1513" t="s">
        <v>8016</v>
      </c>
      <c r="E1513" t="s">
        <v>20</v>
      </c>
      <c r="F1513" t="s">
        <v>69</v>
      </c>
      <c r="G1513" t="s">
        <v>328</v>
      </c>
      <c r="H1513" t="s">
        <v>154</v>
      </c>
      <c r="I1513" t="s">
        <v>309</v>
      </c>
      <c r="J1513" t="s">
        <v>25</v>
      </c>
      <c r="K1513" t="s">
        <v>8017</v>
      </c>
      <c r="L1513">
        <v>0.05</v>
      </c>
      <c r="M1513" t="s">
        <v>8018</v>
      </c>
      <c r="N1513" t="s">
        <v>8019</v>
      </c>
      <c r="O1513" t="s">
        <v>173</v>
      </c>
      <c r="P1513" t="s">
        <v>112</v>
      </c>
      <c r="Q1513" t="s">
        <v>65</v>
      </c>
      <c r="R1513" s="3">
        <v>10374.7789999999</v>
      </c>
    </row>
    <row r="1514" spans="1:18" x14ac:dyDescent="0.3">
      <c r="A1514" t="s">
        <v>8020</v>
      </c>
      <c r="B1514" t="str">
        <f>TEXT(Raw_Data[[#This Row],[Order Date]],"mmm")</f>
        <v>Jun</v>
      </c>
      <c r="C1514" t="s">
        <v>1521</v>
      </c>
      <c r="D1514" t="s">
        <v>8021</v>
      </c>
      <c r="E1514" t="s">
        <v>20</v>
      </c>
      <c r="F1514" t="s">
        <v>106</v>
      </c>
      <c r="G1514" t="s">
        <v>106</v>
      </c>
      <c r="H1514" t="s">
        <v>107</v>
      </c>
      <c r="I1514" t="s">
        <v>469</v>
      </c>
      <c r="J1514" t="s">
        <v>25</v>
      </c>
      <c r="K1514" t="s">
        <v>8022</v>
      </c>
      <c r="L1514">
        <v>0.1</v>
      </c>
      <c r="M1514" t="s">
        <v>8023</v>
      </c>
      <c r="N1514" t="s">
        <v>8024</v>
      </c>
      <c r="O1514" t="s">
        <v>54</v>
      </c>
      <c r="P1514" t="s">
        <v>30</v>
      </c>
      <c r="Q1514" t="s">
        <v>44</v>
      </c>
      <c r="R1514" s="3">
        <v>7735.3829999999998</v>
      </c>
    </row>
    <row r="1515" spans="1:18" x14ac:dyDescent="0.3">
      <c r="A1515" t="s">
        <v>8025</v>
      </c>
      <c r="B1515" t="str">
        <f>TEXT(Raw_Data[[#This Row],[Order Date]],"mmm")</f>
        <v>Oct</v>
      </c>
      <c r="C1515" t="s">
        <v>1076</v>
      </c>
      <c r="D1515" t="s">
        <v>8026</v>
      </c>
      <c r="E1515" t="s">
        <v>48</v>
      </c>
      <c r="F1515" t="s">
        <v>78</v>
      </c>
      <c r="G1515" t="s">
        <v>79</v>
      </c>
      <c r="H1515" t="s">
        <v>80</v>
      </c>
      <c r="I1515" t="s">
        <v>146</v>
      </c>
      <c r="J1515" t="s">
        <v>100</v>
      </c>
      <c r="K1515" t="s">
        <v>8027</v>
      </c>
      <c r="L1515">
        <v>0.1</v>
      </c>
      <c r="M1515" t="s">
        <v>8028</v>
      </c>
      <c r="N1515" t="s">
        <v>8029</v>
      </c>
      <c r="O1515" t="s">
        <v>54</v>
      </c>
      <c r="P1515" t="s">
        <v>30</v>
      </c>
      <c r="Q1515" t="s">
        <v>31</v>
      </c>
      <c r="R1515" s="3">
        <v>2822.2289999999998</v>
      </c>
    </row>
    <row r="1516" spans="1:18" x14ac:dyDescent="0.3">
      <c r="A1516" t="s">
        <v>8030</v>
      </c>
      <c r="B1516" t="str">
        <f>TEXT(Raw_Data[[#This Row],[Order Date]],"mmm")</f>
        <v>Mar</v>
      </c>
      <c r="C1516" t="s">
        <v>504</v>
      </c>
      <c r="D1516" t="s">
        <v>8031</v>
      </c>
      <c r="E1516" t="s">
        <v>35</v>
      </c>
      <c r="F1516" t="s">
        <v>21</v>
      </c>
      <c r="G1516" t="s">
        <v>130</v>
      </c>
      <c r="H1516" t="s">
        <v>38</v>
      </c>
      <c r="I1516" t="s">
        <v>256</v>
      </c>
      <c r="J1516" t="s">
        <v>100</v>
      </c>
      <c r="K1516" t="s">
        <v>8032</v>
      </c>
      <c r="L1516">
        <v>0.05</v>
      </c>
      <c r="M1516" t="s">
        <v>8033</v>
      </c>
      <c r="N1516" t="s">
        <v>8034</v>
      </c>
      <c r="O1516" t="s">
        <v>43</v>
      </c>
      <c r="P1516" t="s">
        <v>30</v>
      </c>
      <c r="Q1516" t="s">
        <v>65</v>
      </c>
      <c r="R1516" s="3">
        <v>1381.7370000000001</v>
      </c>
    </row>
    <row r="1517" spans="1:18" x14ac:dyDescent="0.3">
      <c r="A1517" t="s">
        <v>8035</v>
      </c>
      <c r="B1517" t="str">
        <f>TEXT(Raw_Data[[#This Row],[Order Date]],"mmm")</f>
        <v>Jan</v>
      </c>
      <c r="C1517" t="s">
        <v>4551</v>
      </c>
      <c r="D1517" t="s">
        <v>8036</v>
      </c>
      <c r="E1517" t="s">
        <v>48</v>
      </c>
      <c r="F1517" t="s">
        <v>69</v>
      </c>
      <c r="G1517" t="s">
        <v>139</v>
      </c>
      <c r="H1517" t="s">
        <v>80</v>
      </c>
      <c r="I1517" t="s">
        <v>131</v>
      </c>
      <c r="J1517" t="s">
        <v>25</v>
      </c>
      <c r="K1517" t="s">
        <v>8037</v>
      </c>
      <c r="L1517">
        <v>0.15</v>
      </c>
      <c r="M1517" t="s">
        <v>8038</v>
      </c>
      <c r="N1517" t="s">
        <v>8039</v>
      </c>
      <c r="O1517" t="s">
        <v>64</v>
      </c>
      <c r="P1517" t="s">
        <v>30</v>
      </c>
      <c r="Q1517" t="s">
        <v>44</v>
      </c>
      <c r="R1517" s="3">
        <v>3737.8239999999901</v>
      </c>
    </row>
    <row r="1518" spans="1:18" x14ac:dyDescent="0.3">
      <c r="A1518" t="s">
        <v>8040</v>
      </c>
      <c r="B1518" t="str">
        <f>TEXT(Raw_Data[[#This Row],[Order Date]],"mmm")</f>
        <v>Sep</v>
      </c>
      <c r="C1518" t="s">
        <v>339</v>
      </c>
      <c r="D1518" t="s">
        <v>8041</v>
      </c>
      <c r="E1518" t="s">
        <v>35</v>
      </c>
      <c r="F1518" t="s">
        <v>215</v>
      </c>
      <c r="G1518" t="s">
        <v>276</v>
      </c>
      <c r="H1518" t="s">
        <v>80</v>
      </c>
      <c r="I1518" t="s">
        <v>116</v>
      </c>
      <c r="J1518" t="s">
        <v>50</v>
      </c>
      <c r="K1518" t="s">
        <v>8042</v>
      </c>
      <c r="L1518">
        <v>0.05</v>
      </c>
      <c r="M1518" t="s">
        <v>8043</v>
      </c>
      <c r="N1518" t="s">
        <v>8044</v>
      </c>
      <c r="O1518" t="s">
        <v>29</v>
      </c>
      <c r="P1518" t="s">
        <v>30</v>
      </c>
      <c r="Q1518" t="s">
        <v>31</v>
      </c>
      <c r="R1518" s="3">
        <v>5523.6039999999903</v>
      </c>
    </row>
    <row r="1519" spans="1:18" x14ac:dyDescent="0.3">
      <c r="A1519" t="s">
        <v>8045</v>
      </c>
      <c r="B1519" t="str">
        <f>TEXT(Raw_Data[[#This Row],[Order Date]],"mmm")</f>
        <v>Jul</v>
      </c>
      <c r="C1519" t="s">
        <v>1210</v>
      </c>
      <c r="D1519" t="s">
        <v>8046</v>
      </c>
      <c r="E1519" t="s">
        <v>35</v>
      </c>
      <c r="F1519" t="s">
        <v>21</v>
      </c>
      <c r="G1519" t="s">
        <v>22</v>
      </c>
      <c r="H1519" t="s">
        <v>23</v>
      </c>
      <c r="I1519" t="s">
        <v>24</v>
      </c>
      <c r="J1519" t="s">
        <v>25</v>
      </c>
      <c r="K1519" t="s">
        <v>8047</v>
      </c>
      <c r="L1519">
        <v>0.2</v>
      </c>
      <c r="M1519" t="s">
        <v>8048</v>
      </c>
      <c r="N1519" t="s">
        <v>8049</v>
      </c>
      <c r="O1519" t="s">
        <v>173</v>
      </c>
      <c r="P1519" t="s">
        <v>30</v>
      </c>
      <c r="Q1519" t="s">
        <v>44</v>
      </c>
      <c r="R1519" s="3">
        <v>20775.400000000001</v>
      </c>
    </row>
    <row r="1520" spans="1:18" x14ac:dyDescent="0.3">
      <c r="A1520" t="s">
        <v>8050</v>
      </c>
      <c r="B1520" t="str">
        <f>TEXT(Raw_Data[[#This Row],[Order Date]],"mmm")</f>
        <v>Aug</v>
      </c>
      <c r="C1520" t="s">
        <v>1442</v>
      </c>
      <c r="D1520" t="s">
        <v>8051</v>
      </c>
      <c r="E1520" t="s">
        <v>35</v>
      </c>
      <c r="F1520" t="s">
        <v>215</v>
      </c>
      <c r="G1520" t="s">
        <v>216</v>
      </c>
      <c r="H1520" t="s">
        <v>80</v>
      </c>
      <c r="I1520" t="s">
        <v>146</v>
      </c>
      <c r="J1520" t="s">
        <v>25</v>
      </c>
      <c r="K1520" t="s">
        <v>8052</v>
      </c>
      <c r="L1520">
        <v>0.05</v>
      </c>
      <c r="M1520" t="s">
        <v>8053</v>
      </c>
      <c r="N1520" t="s">
        <v>8054</v>
      </c>
      <c r="O1520" t="s">
        <v>64</v>
      </c>
      <c r="P1520" t="s">
        <v>30</v>
      </c>
      <c r="Q1520" t="s">
        <v>31</v>
      </c>
      <c r="R1520" s="3">
        <v>5497.9539999999997</v>
      </c>
    </row>
    <row r="1521" spans="1:18" x14ac:dyDescent="0.3">
      <c r="A1521" t="s">
        <v>8055</v>
      </c>
      <c r="B1521" t="str">
        <f>TEXT(Raw_Data[[#This Row],[Order Date]],"mmm")</f>
        <v>Nov</v>
      </c>
      <c r="C1521" t="s">
        <v>3305</v>
      </c>
      <c r="D1521" t="s">
        <v>8056</v>
      </c>
      <c r="E1521" t="s">
        <v>48</v>
      </c>
      <c r="F1521" t="s">
        <v>69</v>
      </c>
      <c r="G1521" t="s">
        <v>70</v>
      </c>
      <c r="H1521" t="s">
        <v>107</v>
      </c>
      <c r="I1521" t="s">
        <v>469</v>
      </c>
      <c r="J1521" t="s">
        <v>25</v>
      </c>
      <c r="K1521" t="s">
        <v>8057</v>
      </c>
      <c r="L1521">
        <v>0.2</v>
      </c>
      <c r="M1521" t="s">
        <v>8058</v>
      </c>
      <c r="N1521" t="s">
        <v>8059</v>
      </c>
      <c r="O1521" t="s">
        <v>64</v>
      </c>
      <c r="P1521" t="s">
        <v>159</v>
      </c>
      <c r="Q1521" t="s">
        <v>31</v>
      </c>
      <c r="R1521" s="3">
        <v>8105.4160000000002</v>
      </c>
    </row>
    <row r="1522" spans="1:18" x14ac:dyDescent="0.3">
      <c r="A1522" t="s">
        <v>8060</v>
      </c>
      <c r="B1522" t="str">
        <f>TEXT(Raw_Data[[#This Row],[Order Date]],"mmm")</f>
        <v>Aug</v>
      </c>
      <c r="C1522" t="s">
        <v>1313</v>
      </c>
      <c r="D1522" t="s">
        <v>8061</v>
      </c>
      <c r="E1522" t="s">
        <v>35</v>
      </c>
      <c r="F1522" t="s">
        <v>69</v>
      </c>
      <c r="G1522" t="s">
        <v>328</v>
      </c>
      <c r="H1522" t="s">
        <v>107</v>
      </c>
      <c r="I1522" t="s">
        <v>277</v>
      </c>
      <c r="J1522" t="s">
        <v>25</v>
      </c>
      <c r="K1522" t="s">
        <v>8062</v>
      </c>
      <c r="L1522">
        <v>0.15</v>
      </c>
      <c r="M1522" t="s">
        <v>8063</v>
      </c>
      <c r="N1522" t="s">
        <v>8064</v>
      </c>
      <c r="O1522" t="s">
        <v>64</v>
      </c>
      <c r="P1522" t="s">
        <v>30</v>
      </c>
      <c r="Q1522" t="s">
        <v>31</v>
      </c>
      <c r="R1522" s="3">
        <v>3229.4984999999901</v>
      </c>
    </row>
    <row r="1523" spans="1:18" x14ac:dyDescent="0.3">
      <c r="A1523" t="s">
        <v>8065</v>
      </c>
      <c r="B1523" t="str">
        <f>TEXT(Raw_Data[[#This Row],[Order Date]],"mmm")</f>
        <v>Jun</v>
      </c>
      <c r="C1523" t="s">
        <v>2586</v>
      </c>
      <c r="D1523" t="s">
        <v>8066</v>
      </c>
      <c r="E1523" t="s">
        <v>48</v>
      </c>
      <c r="F1523" t="s">
        <v>215</v>
      </c>
      <c r="G1523" t="s">
        <v>276</v>
      </c>
      <c r="H1523" t="s">
        <v>80</v>
      </c>
      <c r="I1523" t="s">
        <v>91</v>
      </c>
      <c r="J1523" t="s">
        <v>25</v>
      </c>
      <c r="K1523" t="s">
        <v>8067</v>
      </c>
      <c r="L1523">
        <v>0</v>
      </c>
      <c r="M1523" t="s">
        <v>8068</v>
      </c>
      <c r="N1523" t="s">
        <v>8069</v>
      </c>
      <c r="O1523" t="s">
        <v>29</v>
      </c>
      <c r="P1523" t="s">
        <v>30</v>
      </c>
      <c r="Q1523" t="s">
        <v>65</v>
      </c>
      <c r="R1523" s="3">
        <v>3525.49</v>
      </c>
    </row>
    <row r="1524" spans="1:18" x14ac:dyDescent="0.3">
      <c r="A1524" t="s">
        <v>8070</v>
      </c>
      <c r="B1524" t="str">
        <f>TEXT(Raw_Data[[#This Row],[Order Date]],"mmm")</f>
        <v>Dec</v>
      </c>
      <c r="C1524" t="s">
        <v>3003</v>
      </c>
      <c r="D1524" t="s">
        <v>8071</v>
      </c>
      <c r="E1524" t="s">
        <v>20</v>
      </c>
      <c r="F1524" t="s">
        <v>36</v>
      </c>
      <c r="G1524" t="s">
        <v>123</v>
      </c>
      <c r="H1524" t="s">
        <v>154</v>
      </c>
      <c r="I1524" t="s">
        <v>1061</v>
      </c>
      <c r="J1524" t="s">
        <v>25</v>
      </c>
      <c r="K1524" t="s">
        <v>8072</v>
      </c>
      <c r="L1524">
        <v>0.1</v>
      </c>
      <c r="M1524" t="s">
        <v>8073</v>
      </c>
      <c r="N1524" t="s">
        <v>8074</v>
      </c>
      <c r="O1524" t="s">
        <v>173</v>
      </c>
      <c r="P1524" t="s">
        <v>30</v>
      </c>
      <c r="Q1524" t="s">
        <v>31</v>
      </c>
      <c r="R1524" s="3">
        <v>10420.947</v>
      </c>
    </row>
    <row r="1525" spans="1:18" x14ac:dyDescent="0.3">
      <c r="A1525" t="s">
        <v>8075</v>
      </c>
      <c r="B1525" t="str">
        <f>TEXT(Raw_Data[[#This Row],[Order Date]],"mmm")</f>
        <v>Aug</v>
      </c>
      <c r="C1525" t="s">
        <v>1155</v>
      </c>
      <c r="D1525" t="s">
        <v>8076</v>
      </c>
      <c r="E1525" t="s">
        <v>35</v>
      </c>
      <c r="F1525" t="s">
        <v>21</v>
      </c>
      <c r="G1525" t="s">
        <v>130</v>
      </c>
      <c r="H1525" t="s">
        <v>23</v>
      </c>
      <c r="I1525" t="s">
        <v>49</v>
      </c>
      <c r="J1525" t="s">
        <v>25</v>
      </c>
      <c r="K1525" t="s">
        <v>8077</v>
      </c>
      <c r="L1525">
        <v>0.15</v>
      </c>
      <c r="M1525" t="s">
        <v>8078</v>
      </c>
      <c r="N1525" t="s">
        <v>8079</v>
      </c>
      <c r="O1525" t="s">
        <v>29</v>
      </c>
      <c r="P1525" t="s">
        <v>30</v>
      </c>
      <c r="Q1525" t="s">
        <v>31</v>
      </c>
      <c r="R1525" s="3">
        <v>35299.65</v>
      </c>
    </row>
    <row r="1526" spans="1:18" x14ac:dyDescent="0.3">
      <c r="A1526" t="s">
        <v>8080</v>
      </c>
      <c r="B1526" t="str">
        <f>TEXT(Raw_Data[[#This Row],[Order Date]],"mmm")</f>
        <v>Nov</v>
      </c>
      <c r="C1526" t="s">
        <v>2710</v>
      </c>
      <c r="D1526" t="s">
        <v>8081</v>
      </c>
      <c r="E1526" t="s">
        <v>20</v>
      </c>
      <c r="F1526" t="s">
        <v>106</v>
      </c>
      <c r="G1526" t="s">
        <v>163</v>
      </c>
      <c r="H1526" t="s">
        <v>23</v>
      </c>
      <c r="I1526" t="s">
        <v>49</v>
      </c>
      <c r="J1526" t="s">
        <v>25</v>
      </c>
      <c r="K1526" t="s">
        <v>8082</v>
      </c>
      <c r="L1526">
        <v>0.15</v>
      </c>
      <c r="M1526" t="s">
        <v>8083</v>
      </c>
      <c r="N1526" t="s">
        <v>8084</v>
      </c>
      <c r="O1526" t="s">
        <v>54</v>
      </c>
      <c r="P1526" t="s">
        <v>30</v>
      </c>
      <c r="Q1526" t="s">
        <v>44</v>
      </c>
      <c r="R1526" s="3">
        <v>47743.862499999901</v>
      </c>
    </row>
    <row r="1527" spans="1:18" x14ac:dyDescent="0.3">
      <c r="A1527" t="s">
        <v>8085</v>
      </c>
      <c r="B1527" t="str">
        <f>TEXT(Raw_Data[[#This Row],[Order Date]],"mmm")</f>
        <v>Jan</v>
      </c>
      <c r="C1527" t="s">
        <v>274</v>
      </c>
      <c r="D1527" t="s">
        <v>8086</v>
      </c>
      <c r="E1527" t="s">
        <v>20</v>
      </c>
      <c r="F1527" t="s">
        <v>21</v>
      </c>
      <c r="G1527" t="s">
        <v>22</v>
      </c>
      <c r="H1527" t="s">
        <v>80</v>
      </c>
      <c r="I1527" t="s">
        <v>116</v>
      </c>
      <c r="J1527" t="s">
        <v>25</v>
      </c>
      <c r="K1527" t="s">
        <v>8087</v>
      </c>
      <c r="L1527">
        <v>0.05</v>
      </c>
      <c r="M1527" t="s">
        <v>8088</v>
      </c>
      <c r="N1527" t="s">
        <v>8089</v>
      </c>
      <c r="O1527" t="s">
        <v>173</v>
      </c>
      <c r="P1527" t="s">
        <v>30</v>
      </c>
      <c r="Q1527" t="s">
        <v>31</v>
      </c>
      <c r="R1527" s="3">
        <v>4861.0074999999997</v>
      </c>
    </row>
    <row r="1528" spans="1:18" x14ac:dyDescent="0.3">
      <c r="A1528" t="s">
        <v>8090</v>
      </c>
      <c r="B1528" t="str">
        <f>TEXT(Raw_Data[[#This Row],[Order Date]],"mmm")</f>
        <v>Jul</v>
      </c>
      <c r="C1528" t="s">
        <v>3575</v>
      </c>
      <c r="D1528" t="s">
        <v>8091</v>
      </c>
      <c r="E1528" t="s">
        <v>35</v>
      </c>
      <c r="F1528" t="s">
        <v>89</v>
      </c>
      <c r="G1528" t="s">
        <v>99</v>
      </c>
      <c r="H1528" t="s">
        <v>23</v>
      </c>
      <c r="I1528" t="s">
        <v>263</v>
      </c>
      <c r="J1528" t="s">
        <v>25</v>
      </c>
      <c r="K1528" t="s">
        <v>8092</v>
      </c>
      <c r="L1528">
        <v>0.15</v>
      </c>
      <c r="M1528" t="s">
        <v>8093</v>
      </c>
      <c r="N1528" t="s">
        <v>8094</v>
      </c>
      <c r="O1528" t="s">
        <v>43</v>
      </c>
      <c r="P1528" t="s">
        <v>30</v>
      </c>
      <c r="Q1528" t="s">
        <v>44</v>
      </c>
      <c r="R1528" s="3">
        <v>21628.437000000002</v>
      </c>
    </row>
    <row r="1529" spans="1:18" x14ac:dyDescent="0.3">
      <c r="A1529" t="s">
        <v>8095</v>
      </c>
      <c r="B1529" t="str">
        <f>TEXT(Raw_Data[[#This Row],[Order Date]],"mmm")</f>
        <v>Jun</v>
      </c>
      <c r="C1529" t="s">
        <v>8096</v>
      </c>
      <c r="D1529" t="s">
        <v>8097</v>
      </c>
      <c r="E1529" t="s">
        <v>35</v>
      </c>
      <c r="F1529" t="s">
        <v>106</v>
      </c>
      <c r="G1529" t="s">
        <v>106</v>
      </c>
      <c r="H1529" t="s">
        <v>80</v>
      </c>
      <c r="I1529" t="s">
        <v>146</v>
      </c>
      <c r="J1529" t="s">
        <v>50</v>
      </c>
      <c r="K1529" t="s">
        <v>8098</v>
      </c>
      <c r="L1529">
        <v>0.1</v>
      </c>
      <c r="M1529" t="s">
        <v>8099</v>
      </c>
      <c r="N1529" t="s">
        <v>8100</v>
      </c>
      <c r="O1529" t="s">
        <v>173</v>
      </c>
      <c r="P1529" t="s">
        <v>30</v>
      </c>
      <c r="Q1529" t="s">
        <v>44</v>
      </c>
      <c r="R1529" s="3">
        <v>9063.4320000000007</v>
      </c>
    </row>
    <row r="1530" spans="1:18" x14ac:dyDescent="0.3">
      <c r="A1530" t="s">
        <v>8101</v>
      </c>
      <c r="B1530" t="str">
        <f>TEXT(Raw_Data[[#This Row],[Order Date]],"mmm")</f>
        <v>Dec</v>
      </c>
      <c r="C1530" t="s">
        <v>534</v>
      </c>
      <c r="D1530" t="s">
        <v>8102</v>
      </c>
      <c r="E1530" t="s">
        <v>35</v>
      </c>
      <c r="F1530" t="s">
        <v>78</v>
      </c>
      <c r="G1530" t="s">
        <v>79</v>
      </c>
      <c r="H1530" t="s">
        <v>80</v>
      </c>
      <c r="I1530" t="s">
        <v>131</v>
      </c>
      <c r="J1530" t="s">
        <v>50</v>
      </c>
      <c r="K1530" t="s">
        <v>8103</v>
      </c>
      <c r="L1530">
        <v>0.15</v>
      </c>
      <c r="M1530" t="s">
        <v>8104</v>
      </c>
      <c r="N1530" t="s">
        <v>8105</v>
      </c>
      <c r="O1530" t="s">
        <v>29</v>
      </c>
      <c r="P1530" t="s">
        <v>112</v>
      </c>
      <c r="Q1530" t="s">
        <v>65</v>
      </c>
      <c r="R1530" s="3">
        <v>4861.2860000000001</v>
      </c>
    </row>
    <row r="1531" spans="1:18" x14ac:dyDescent="0.3">
      <c r="A1531" t="s">
        <v>8106</v>
      </c>
      <c r="B1531" t="str">
        <f>TEXT(Raw_Data[[#This Row],[Order Date]],"mmm")</f>
        <v>Feb</v>
      </c>
      <c r="C1531" t="s">
        <v>942</v>
      </c>
      <c r="D1531" t="s">
        <v>8107</v>
      </c>
      <c r="E1531" t="s">
        <v>20</v>
      </c>
      <c r="F1531" t="s">
        <v>58</v>
      </c>
      <c r="G1531" t="s">
        <v>812</v>
      </c>
      <c r="H1531" t="s">
        <v>107</v>
      </c>
      <c r="I1531" t="s">
        <v>591</v>
      </c>
      <c r="J1531" t="s">
        <v>25</v>
      </c>
      <c r="K1531" t="s">
        <v>8108</v>
      </c>
      <c r="L1531">
        <v>0.05</v>
      </c>
      <c r="M1531" t="s">
        <v>8109</v>
      </c>
      <c r="N1531" t="s">
        <v>8110</v>
      </c>
      <c r="O1531" t="s">
        <v>54</v>
      </c>
      <c r="P1531" t="s">
        <v>30</v>
      </c>
      <c r="Q1531" t="s">
        <v>65</v>
      </c>
      <c r="R1531" s="3">
        <v>14012.699499999901</v>
      </c>
    </row>
    <row r="1532" spans="1:18" x14ac:dyDescent="0.3">
      <c r="A1532" t="s">
        <v>8111</v>
      </c>
      <c r="B1532" t="str">
        <f>TEXT(Raw_Data[[#This Row],[Order Date]],"mmm")</f>
        <v>May</v>
      </c>
      <c r="C1532" t="s">
        <v>2174</v>
      </c>
      <c r="D1532" t="s">
        <v>8112</v>
      </c>
      <c r="E1532" t="s">
        <v>48</v>
      </c>
      <c r="F1532" t="s">
        <v>36</v>
      </c>
      <c r="G1532" t="s">
        <v>196</v>
      </c>
      <c r="H1532" t="s">
        <v>154</v>
      </c>
      <c r="I1532" t="s">
        <v>365</v>
      </c>
      <c r="J1532" t="s">
        <v>25</v>
      </c>
      <c r="K1532" t="s">
        <v>8113</v>
      </c>
      <c r="L1532">
        <v>0.15</v>
      </c>
      <c r="M1532" t="s">
        <v>8114</v>
      </c>
      <c r="N1532" t="s">
        <v>8115</v>
      </c>
      <c r="O1532" t="s">
        <v>29</v>
      </c>
      <c r="P1532" t="s">
        <v>30</v>
      </c>
      <c r="Q1532" t="s">
        <v>44</v>
      </c>
      <c r="R1532" s="3">
        <v>4886.174</v>
      </c>
    </row>
    <row r="1533" spans="1:18" x14ac:dyDescent="0.3">
      <c r="A1533" t="s">
        <v>8116</v>
      </c>
      <c r="B1533" t="str">
        <f>TEXT(Raw_Data[[#This Row],[Order Date]],"mmm")</f>
        <v>Aug</v>
      </c>
      <c r="C1533" t="s">
        <v>1680</v>
      </c>
      <c r="D1533" t="s">
        <v>8117</v>
      </c>
      <c r="E1533" t="s">
        <v>20</v>
      </c>
      <c r="F1533" t="s">
        <v>58</v>
      </c>
      <c r="G1533" t="s">
        <v>812</v>
      </c>
      <c r="H1533" t="s">
        <v>154</v>
      </c>
      <c r="I1533" t="s">
        <v>309</v>
      </c>
      <c r="J1533" t="s">
        <v>25</v>
      </c>
      <c r="K1533" t="s">
        <v>8118</v>
      </c>
      <c r="L1533">
        <v>0.15</v>
      </c>
      <c r="M1533" t="s">
        <v>8119</v>
      </c>
      <c r="N1533" t="s">
        <v>8120</v>
      </c>
      <c r="O1533" t="s">
        <v>64</v>
      </c>
      <c r="P1533" t="s">
        <v>30</v>
      </c>
      <c r="Q1533" t="s">
        <v>31</v>
      </c>
      <c r="R1533" s="3">
        <v>1271.9485</v>
      </c>
    </row>
    <row r="1534" spans="1:18" x14ac:dyDescent="0.3">
      <c r="A1534" t="s">
        <v>8121</v>
      </c>
      <c r="B1534" t="str">
        <f>TEXT(Raw_Data[[#This Row],[Order Date]],"mmm")</f>
        <v>Jun</v>
      </c>
      <c r="C1534" t="s">
        <v>3514</v>
      </c>
      <c r="D1534" t="s">
        <v>8122</v>
      </c>
      <c r="E1534" t="s">
        <v>20</v>
      </c>
      <c r="F1534" t="s">
        <v>215</v>
      </c>
      <c r="G1534" t="s">
        <v>276</v>
      </c>
      <c r="H1534" t="s">
        <v>23</v>
      </c>
      <c r="I1534" t="s">
        <v>49</v>
      </c>
      <c r="J1534" t="s">
        <v>50</v>
      </c>
      <c r="K1534" t="s">
        <v>8123</v>
      </c>
      <c r="L1534">
        <v>0.05</v>
      </c>
      <c r="M1534" t="s">
        <v>8124</v>
      </c>
      <c r="N1534" t="s">
        <v>8125</v>
      </c>
      <c r="O1534" t="s">
        <v>54</v>
      </c>
      <c r="P1534" t="s">
        <v>30</v>
      </c>
      <c r="Q1534" t="s">
        <v>31</v>
      </c>
      <c r="R1534" s="3">
        <v>88966.341</v>
      </c>
    </row>
    <row r="1535" spans="1:18" x14ac:dyDescent="0.3">
      <c r="A1535" t="s">
        <v>8126</v>
      </c>
      <c r="B1535" t="str">
        <f>TEXT(Raw_Data[[#This Row],[Order Date]],"mmm")</f>
        <v>Oct</v>
      </c>
      <c r="C1535" t="s">
        <v>2316</v>
      </c>
      <c r="D1535" t="s">
        <v>8127</v>
      </c>
      <c r="E1535" t="s">
        <v>48</v>
      </c>
      <c r="F1535" t="s">
        <v>21</v>
      </c>
      <c r="G1535" t="s">
        <v>130</v>
      </c>
      <c r="H1535" t="s">
        <v>80</v>
      </c>
      <c r="I1535" t="s">
        <v>81</v>
      </c>
      <c r="J1535" t="s">
        <v>50</v>
      </c>
      <c r="K1535" t="s">
        <v>8128</v>
      </c>
      <c r="L1535">
        <v>0</v>
      </c>
      <c r="M1535" t="s">
        <v>8129</v>
      </c>
      <c r="N1535" t="s">
        <v>8130</v>
      </c>
      <c r="O1535" t="s">
        <v>173</v>
      </c>
      <c r="P1535" t="s">
        <v>30</v>
      </c>
      <c r="Q1535" t="s">
        <v>31</v>
      </c>
      <c r="R1535" s="3">
        <v>6496.68</v>
      </c>
    </row>
    <row r="1536" spans="1:18" x14ac:dyDescent="0.3">
      <c r="A1536" t="s">
        <v>8131</v>
      </c>
      <c r="B1536" t="str">
        <f>TEXT(Raw_Data[[#This Row],[Order Date]],"mmm")</f>
        <v>Aug</v>
      </c>
      <c r="C1536" t="s">
        <v>4422</v>
      </c>
      <c r="D1536" t="s">
        <v>8132</v>
      </c>
      <c r="E1536" t="s">
        <v>48</v>
      </c>
      <c r="F1536" t="s">
        <v>69</v>
      </c>
      <c r="G1536" t="s">
        <v>139</v>
      </c>
      <c r="H1536" t="s">
        <v>107</v>
      </c>
      <c r="I1536" t="s">
        <v>591</v>
      </c>
      <c r="J1536" t="s">
        <v>50</v>
      </c>
      <c r="K1536" t="s">
        <v>8133</v>
      </c>
      <c r="L1536">
        <v>0.05</v>
      </c>
      <c r="M1536" t="s">
        <v>8134</v>
      </c>
      <c r="N1536" t="s">
        <v>8135</v>
      </c>
      <c r="O1536" t="s">
        <v>54</v>
      </c>
      <c r="P1536" t="s">
        <v>30</v>
      </c>
      <c r="Q1536" t="s">
        <v>44</v>
      </c>
      <c r="R1536" s="3">
        <v>20370.698</v>
      </c>
    </row>
    <row r="1537" spans="1:18" x14ac:dyDescent="0.3">
      <c r="A1537" t="s">
        <v>8136</v>
      </c>
      <c r="B1537" t="str">
        <f>TEXT(Raw_Data[[#This Row],[Order Date]],"mmm")</f>
        <v>May</v>
      </c>
      <c r="C1537" t="s">
        <v>810</v>
      </c>
      <c r="D1537" t="s">
        <v>8137</v>
      </c>
      <c r="E1537" t="s">
        <v>48</v>
      </c>
      <c r="F1537" t="s">
        <v>21</v>
      </c>
      <c r="G1537" t="s">
        <v>22</v>
      </c>
      <c r="H1537" t="s">
        <v>154</v>
      </c>
      <c r="I1537" t="s">
        <v>237</v>
      </c>
      <c r="J1537" t="s">
        <v>25</v>
      </c>
      <c r="K1537" t="s">
        <v>8138</v>
      </c>
      <c r="L1537">
        <v>0</v>
      </c>
      <c r="M1537" t="s">
        <v>8139</v>
      </c>
      <c r="N1537" t="s">
        <v>8140</v>
      </c>
      <c r="O1537" t="s">
        <v>43</v>
      </c>
      <c r="P1537" t="s">
        <v>30</v>
      </c>
      <c r="Q1537" t="s">
        <v>31</v>
      </c>
      <c r="R1537" s="3">
        <v>3076.27</v>
      </c>
    </row>
    <row r="1538" spans="1:18" x14ac:dyDescent="0.3">
      <c r="A1538" t="s">
        <v>8141</v>
      </c>
      <c r="B1538" t="str">
        <f>TEXT(Raw_Data[[#This Row],[Order Date]],"mmm")</f>
        <v>Nov</v>
      </c>
      <c r="C1538" t="s">
        <v>1122</v>
      </c>
      <c r="D1538" t="s">
        <v>8142</v>
      </c>
      <c r="E1538" t="s">
        <v>20</v>
      </c>
      <c r="F1538" t="s">
        <v>36</v>
      </c>
      <c r="G1538" t="s">
        <v>37</v>
      </c>
      <c r="H1538" t="s">
        <v>80</v>
      </c>
      <c r="I1538" t="s">
        <v>91</v>
      </c>
      <c r="J1538" t="s">
        <v>50</v>
      </c>
      <c r="K1538" t="s">
        <v>8143</v>
      </c>
      <c r="L1538">
        <v>0.05</v>
      </c>
      <c r="M1538" t="s">
        <v>8144</v>
      </c>
      <c r="N1538" t="s">
        <v>8145</v>
      </c>
      <c r="O1538" t="s">
        <v>29</v>
      </c>
      <c r="P1538" t="s">
        <v>30</v>
      </c>
      <c r="Q1538" t="s">
        <v>44</v>
      </c>
      <c r="R1538" s="3">
        <v>1805.57</v>
      </c>
    </row>
    <row r="1539" spans="1:18" x14ac:dyDescent="0.3">
      <c r="A1539" t="s">
        <v>8146</v>
      </c>
      <c r="B1539" t="str">
        <f>TEXT(Raw_Data[[#This Row],[Order Date]],"mmm")</f>
        <v>Jul</v>
      </c>
      <c r="C1539" t="s">
        <v>2992</v>
      </c>
      <c r="D1539" t="s">
        <v>8147</v>
      </c>
      <c r="E1539" t="s">
        <v>48</v>
      </c>
      <c r="F1539" t="s">
        <v>36</v>
      </c>
      <c r="G1539" t="s">
        <v>414</v>
      </c>
      <c r="H1539" t="s">
        <v>38</v>
      </c>
      <c r="I1539" t="s">
        <v>71</v>
      </c>
      <c r="J1539" t="s">
        <v>50</v>
      </c>
      <c r="K1539" t="s">
        <v>8148</v>
      </c>
      <c r="L1539">
        <v>0.15</v>
      </c>
      <c r="M1539" t="s">
        <v>8149</v>
      </c>
      <c r="N1539" t="s">
        <v>8150</v>
      </c>
      <c r="O1539" t="s">
        <v>54</v>
      </c>
      <c r="P1539" t="s">
        <v>159</v>
      </c>
      <c r="Q1539" t="s">
        <v>44</v>
      </c>
      <c r="R1539" s="3">
        <v>8695.05799999999</v>
      </c>
    </row>
    <row r="1540" spans="1:18" x14ac:dyDescent="0.3">
      <c r="A1540" t="s">
        <v>8151</v>
      </c>
      <c r="B1540" t="str">
        <f>TEXT(Raw_Data[[#This Row],[Order Date]],"mmm")</f>
        <v>Jun</v>
      </c>
      <c r="C1540" t="s">
        <v>3514</v>
      </c>
      <c r="D1540" t="s">
        <v>8152</v>
      </c>
      <c r="E1540" t="s">
        <v>48</v>
      </c>
      <c r="F1540" t="s">
        <v>215</v>
      </c>
      <c r="G1540" t="s">
        <v>276</v>
      </c>
      <c r="H1540" t="s">
        <v>107</v>
      </c>
      <c r="I1540" t="s">
        <v>277</v>
      </c>
      <c r="J1540" t="s">
        <v>25</v>
      </c>
      <c r="K1540" t="s">
        <v>8153</v>
      </c>
      <c r="L1540">
        <v>0.15</v>
      </c>
      <c r="M1540" t="s">
        <v>8154</v>
      </c>
      <c r="N1540" t="s">
        <v>8155</v>
      </c>
      <c r="O1540" t="s">
        <v>173</v>
      </c>
      <c r="P1540" t="s">
        <v>30</v>
      </c>
      <c r="Q1540" t="s">
        <v>44</v>
      </c>
      <c r="R1540" s="3">
        <v>3411.7894999999999</v>
      </c>
    </row>
    <row r="1541" spans="1:18" x14ac:dyDescent="0.3">
      <c r="A1541" t="s">
        <v>8156</v>
      </c>
      <c r="B1541" t="str">
        <f>TEXT(Raw_Data[[#This Row],[Order Date]],"mmm")</f>
        <v>Jan</v>
      </c>
      <c r="C1541" t="s">
        <v>669</v>
      </c>
      <c r="D1541" t="s">
        <v>8157</v>
      </c>
      <c r="E1541" t="s">
        <v>48</v>
      </c>
      <c r="F1541" t="s">
        <v>21</v>
      </c>
      <c r="G1541" t="s">
        <v>22</v>
      </c>
      <c r="H1541" t="s">
        <v>107</v>
      </c>
      <c r="I1541" t="s">
        <v>469</v>
      </c>
      <c r="J1541" t="s">
        <v>25</v>
      </c>
      <c r="K1541" t="s">
        <v>8158</v>
      </c>
      <c r="L1541">
        <v>0.1</v>
      </c>
      <c r="M1541" t="s">
        <v>8159</v>
      </c>
      <c r="N1541" t="s">
        <v>8160</v>
      </c>
      <c r="O1541" t="s">
        <v>29</v>
      </c>
      <c r="P1541" t="s">
        <v>30</v>
      </c>
      <c r="Q1541" t="s">
        <v>44</v>
      </c>
      <c r="R1541" s="3">
        <v>2888.2799999999902</v>
      </c>
    </row>
    <row r="1542" spans="1:18" x14ac:dyDescent="0.3">
      <c r="A1542" t="s">
        <v>8161</v>
      </c>
      <c r="B1542" t="str">
        <f>TEXT(Raw_Data[[#This Row],[Order Date]],"mmm")</f>
        <v>Mar</v>
      </c>
      <c r="C1542" t="s">
        <v>4670</v>
      </c>
      <c r="D1542" t="s">
        <v>8162</v>
      </c>
      <c r="E1542" t="s">
        <v>48</v>
      </c>
      <c r="F1542" t="s">
        <v>215</v>
      </c>
      <c r="G1542" t="s">
        <v>216</v>
      </c>
      <c r="H1542" t="s">
        <v>107</v>
      </c>
      <c r="I1542" t="s">
        <v>277</v>
      </c>
      <c r="J1542" t="s">
        <v>50</v>
      </c>
      <c r="K1542" t="s">
        <v>8163</v>
      </c>
      <c r="L1542">
        <v>0</v>
      </c>
      <c r="M1542" t="s">
        <v>8164</v>
      </c>
      <c r="N1542" t="s">
        <v>8165</v>
      </c>
      <c r="O1542" t="s">
        <v>43</v>
      </c>
      <c r="P1542" t="s">
        <v>30</v>
      </c>
      <c r="Q1542" t="s">
        <v>44</v>
      </c>
      <c r="R1542" s="3">
        <v>4740.8999999999996</v>
      </c>
    </row>
    <row r="1543" spans="1:18" x14ac:dyDescent="0.3">
      <c r="A1543" t="s">
        <v>8166</v>
      </c>
      <c r="B1543" t="str">
        <f>TEXT(Raw_Data[[#This Row],[Order Date]],"mmm")</f>
        <v>Oct</v>
      </c>
      <c r="C1543" t="s">
        <v>584</v>
      </c>
      <c r="D1543" t="s">
        <v>8167</v>
      </c>
      <c r="E1543" t="s">
        <v>20</v>
      </c>
      <c r="F1543" t="s">
        <v>215</v>
      </c>
      <c r="G1543" t="s">
        <v>216</v>
      </c>
      <c r="H1543" t="s">
        <v>154</v>
      </c>
      <c r="I1543" t="s">
        <v>365</v>
      </c>
      <c r="J1543" t="s">
        <v>25</v>
      </c>
      <c r="K1543" t="s">
        <v>8168</v>
      </c>
      <c r="L1543">
        <v>0.05</v>
      </c>
      <c r="M1543" t="s">
        <v>8169</v>
      </c>
      <c r="N1543" t="s">
        <v>8170</v>
      </c>
      <c r="O1543" t="s">
        <v>43</v>
      </c>
      <c r="P1543" t="s">
        <v>30</v>
      </c>
      <c r="Q1543" t="s">
        <v>44</v>
      </c>
      <c r="R1543" s="3">
        <v>4636.6174999999903</v>
      </c>
    </row>
    <row r="1544" spans="1:18" x14ac:dyDescent="0.3">
      <c r="A1544" t="s">
        <v>8171</v>
      </c>
      <c r="B1544" t="str">
        <f>TEXT(Raw_Data[[#This Row],[Order Date]],"mmm")</f>
        <v>Oct</v>
      </c>
      <c r="C1544" t="s">
        <v>2255</v>
      </c>
      <c r="D1544" t="s">
        <v>8172</v>
      </c>
      <c r="E1544" t="s">
        <v>20</v>
      </c>
      <c r="F1544" t="s">
        <v>106</v>
      </c>
      <c r="G1544" t="s">
        <v>163</v>
      </c>
      <c r="H1544" t="s">
        <v>23</v>
      </c>
      <c r="I1544" t="s">
        <v>183</v>
      </c>
      <c r="J1544" t="s">
        <v>50</v>
      </c>
      <c r="K1544" t="s">
        <v>8173</v>
      </c>
      <c r="L1544">
        <v>0.1</v>
      </c>
      <c r="M1544" t="s">
        <v>8174</v>
      </c>
      <c r="N1544" t="s">
        <v>8175</v>
      </c>
      <c r="O1544" t="s">
        <v>29</v>
      </c>
      <c r="P1544" t="s">
        <v>112</v>
      </c>
      <c r="Q1544" t="s">
        <v>65</v>
      </c>
      <c r="R1544" s="3">
        <v>26896.68</v>
      </c>
    </row>
    <row r="1545" spans="1:18" x14ac:dyDescent="0.3">
      <c r="A1545" t="s">
        <v>8176</v>
      </c>
      <c r="B1545" t="str">
        <f>TEXT(Raw_Data[[#This Row],[Order Date]],"mmm")</f>
        <v>Jul</v>
      </c>
      <c r="C1545" t="s">
        <v>3049</v>
      </c>
      <c r="D1545" t="s">
        <v>8177</v>
      </c>
      <c r="E1545" t="s">
        <v>20</v>
      </c>
      <c r="F1545" t="s">
        <v>36</v>
      </c>
      <c r="G1545" t="s">
        <v>123</v>
      </c>
      <c r="H1545" t="s">
        <v>23</v>
      </c>
      <c r="I1545" t="s">
        <v>24</v>
      </c>
      <c r="J1545" t="s">
        <v>25</v>
      </c>
      <c r="K1545" t="s">
        <v>8178</v>
      </c>
      <c r="L1545">
        <v>0.15</v>
      </c>
      <c r="M1545" t="s">
        <v>8179</v>
      </c>
      <c r="N1545" t="s">
        <v>8180</v>
      </c>
      <c r="O1545" t="s">
        <v>64</v>
      </c>
      <c r="P1545" t="s">
        <v>30</v>
      </c>
      <c r="Q1545" t="s">
        <v>31</v>
      </c>
      <c r="R1545" s="3">
        <v>29502.199499999999</v>
      </c>
    </row>
    <row r="1546" spans="1:18" x14ac:dyDescent="0.3">
      <c r="A1546" t="s">
        <v>8181</v>
      </c>
      <c r="B1546" t="str">
        <f>TEXT(Raw_Data[[#This Row],[Order Date]],"mmm")</f>
        <v>Sep</v>
      </c>
      <c r="C1546" t="s">
        <v>618</v>
      </c>
      <c r="D1546" t="s">
        <v>8182</v>
      </c>
      <c r="E1546" t="s">
        <v>35</v>
      </c>
      <c r="F1546" t="s">
        <v>58</v>
      </c>
      <c r="G1546" t="s">
        <v>812</v>
      </c>
      <c r="H1546" t="s">
        <v>154</v>
      </c>
      <c r="I1546" t="s">
        <v>237</v>
      </c>
      <c r="J1546" t="s">
        <v>25</v>
      </c>
      <c r="K1546" t="s">
        <v>8183</v>
      </c>
      <c r="L1546">
        <v>0.05</v>
      </c>
      <c r="M1546" t="s">
        <v>8184</v>
      </c>
      <c r="N1546" t="s">
        <v>8185</v>
      </c>
      <c r="O1546" t="s">
        <v>173</v>
      </c>
      <c r="P1546" t="s">
        <v>30</v>
      </c>
      <c r="Q1546" t="s">
        <v>65</v>
      </c>
      <c r="R1546" s="3">
        <v>2581.14049999999</v>
      </c>
    </row>
    <row r="1547" spans="1:18" x14ac:dyDescent="0.3">
      <c r="A1547" t="s">
        <v>8186</v>
      </c>
      <c r="B1547" t="str">
        <f>TEXT(Raw_Data[[#This Row],[Order Date]],"mmm")</f>
        <v>Sep</v>
      </c>
      <c r="C1547" t="s">
        <v>1570</v>
      </c>
      <c r="D1547" t="s">
        <v>8187</v>
      </c>
      <c r="E1547" t="s">
        <v>20</v>
      </c>
      <c r="F1547" t="s">
        <v>89</v>
      </c>
      <c r="G1547" t="s">
        <v>90</v>
      </c>
      <c r="H1547" t="s">
        <v>23</v>
      </c>
      <c r="I1547" t="s">
        <v>183</v>
      </c>
      <c r="J1547" t="s">
        <v>25</v>
      </c>
      <c r="K1547" t="s">
        <v>8188</v>
      </c>
      <c r="L1547">
        <v>0</v>
      </c>
      <c r="M1547" t="s">
        <v>8189</v>
      </c>
      <c r="N1547" t="s">
        <v>8190</v>
      </c>
      <c r="O1547" t="s">
        <v>54</v>
      </c>
      <c r="P1547" t="s">
        <v>30</v>
      </c>
      <c r="Q1547" t="s">
        <v>31</v>
      </c>
      <c r="R1547" s="3">
        <v>8152.59</v>
      </c>
    </row>
    <row r="1548" spans="1:18" x14ac:dyDescent="0.3">
      <c r="A1548" t="s">
        <v>8191</v>
      </c>
      <c r="B1548" t="str">
        <f>TEXT(Raw_Data[[#This Row],[Order Date]],"mmm")</f>
        <v>Feb</v>
      </c>
      <c r="C1548" t="s">
        <v>2145</v>
      </c>
      <c r="D1548" t="s">
        <v>8192</v>
      </c>
      <c r="E1548" t="s">
        <v>35</v>
      </c>
      <c r="F1548" t="s">
        <v>215</v>
      </c>
      <c r="G1548" t="s">
        <v>276</v>
      </c>
      <c r="H1548" t="s">
        <v>23</v>
      </c>
      <c r="I1548" t="s">
        <v>183</v>
      </c>
      <c r="J1548" t="s">
        <v>25</v>
      </c>
      <c r="K1548" t="s">
        <v>8193</v>
      </c>
      <c r="L1548">
        <v>0.15</v>
      </c>
      <c r="M1548" t="s">
        <v>8194</v>
      </c>
      <c r="N1548" t="s">
        <v>8195</v>
      </c>
      <c r="O1548" t="s">
        <v>64</v>
      </c>
      <c r="P1548" t="s">
        <v>30</v>
      </c>
      <c r="Q1548" t="s">
        <v>44</v>
      </c>
      <c r="R1548" s="3">
        <v>43121.69</v>
      </c>
    </row>
    <row r="1549" spans="1:18" x14ac:dyDescent="0.3">
      <c r="A1549" t="s">
        <v>8196</v>
      </c>
      <c r="B1549" t="str">
        <f>TEXT(Raw_Data[[#This Row],[Order Date]],"mmm")</f>
        <v>Oct</v>
      </c>
      <c r="C1549" t="s">
        <v>2052</v>
      </c>
      <c r="D1549" t="s">
        <v>8197</v>
      </c>
      <c r="E1549" t="s">
        <v>20</v>
      </c>
      <c r="F1549" t="s">
        <v>215</v>
      </c>
      <c r="G1549" t="s">
        <v>216</v>
      </c>
      <c r="H1549" t="s">
        <v>23</v>
      </c>
      <c r="I1549" t="s">
        <v>49</v>
      </c>
      <c r="J1549" t="s">
        <v>25</v>
      </c>
      <c r="K1549" t="s">
        <v>8198</v>
      </c>
      <c r="L1549">
        <v>0.05</v>
      </c>
      <c r="M1549" t="s">
        <v>8199</v>
      </c>
      <c r="N1549" t="s">
        <v>8200</v>
      </c>
      <c r="O1549" t="s">
        <v>54</v>
      </c>
      <c r="P1549" t="s">
        <v>30</v>
      </c>
      <c r="Q1549" t="s">
        <v>65</v>
      </c>
      <c r="R1549" s="3">
        <v>52674.688000000002</v>
      </c>
    </row>
    <row r="1550" spans="1:18" x14ac:dyDescent="0.3">
      <c r="A1550" t="s">
        <v>8201</v>
      </c>
      <c r="B1550" t="str">
        <f>TEXT(Raw_Data[[#This Row],[Order Date]],"mmm")</f>
        <v>Jan</v>
      </c>
      <c r="C1550" t="s">
        <v>4365</v>
      </c>
      <c r="D1550" t="s">
        <v>8202</v>
      </c>
      <c r="E1550" t="s">
        <v>48</v>
      </c>
      <c r="F1550" t="s">
        <v>215</v>
      </c>
      <c r="G1550" t="s">
        <v>276</v>
      </c>
      <c r="H1550" t="s">
        <v>80</v>
      </c>
      <c r="I1550" t="s">
        <v>116</v>
      </c>
      <c r="J1550" t="s">
        <v>25</v>
      </c>
      <c r="K1550" t="s">
        <v>8203</v>
      </c>
      <c r="L1550">
        <v>0.1</v>
      </c>
      <c r="M1550" t="s">
        <v>8204</v>
      </c>
      <c r="N1550" t="s">
        <v>8205</v>
      </c>
      <c r="O1550" t="s">
        <v>54</v>
      </c>
      <c r="P1550" t="s">
        <v>30</v>
      </c>
      <c r="Q1550" t="s">
        <v>44</v>
      </c>
      <c r="R1550" s="3">
        <v>6082.9560000000001</v>
      </c>
    </row>
    <row r="1551" spans="1:18" x14ac:dyDescent="0.3">
      <c r="A1551" t="s">
        <v>8206</v>
      </c>
      <c r="B1551" t="str">
        <f>TEXT(Raw_Data[[#This Row],[Order Date]],"mmm")</f>
        <v>Dec</v>
      </c>
      <c r="C1551" t="s">
        <v>268</v>
      </c>
      <c r="D1551" t="s">
        <v>8207</v>
      </c>
      <c r="E1551" t="s">
        <v>35</v>
      </c>
      <c r="F1551" t="s">
        <v>215</v>
      </c>
      <c r="G1551" t="s">
        <v>216</v>
      </c>
      <c r="H1551" t="s">
        <v>80</v>
      </c>
      <c r="I1551" t="s">
        <v>81</v>
      </c>
      <c r="J1551" t="s">
        <v>25</v>
      </c>
      <c r="K1551" t="s">
        <v>8208</v>
      </c>
      <c r="L1551">
        <v>0.05</v>
      </c>
      <c r="M1551" t="s">
        <v>8209</v>
      </c>
      <c r="N1551" t="s">
        <v>8210</v>
      </c>
      <c r="O1551" t="s">
        <v>29</v>
      </c>
      <c r="P1551" t="s">
        <v>30</v>
      </c>
      <c r="Q1551" t="s">
        <v>65</v>
      </c>
      <c r="R1551" s="3">
        <v>5284.28</v>
      </c>
    </row>
    <row r="1552" spans="1:18" x14ac:dyDescent="0.3">
      <c r="A1552" t="s">
        <v>8211</v>
      </c>
      <c r="B1552" t="str">
        <f>TEXT(Raw_Data[[#This Row],[Order Date]],"mmm")</f>
        <v>Mar</v>
      </c>
      <c r="C1552" t="s">
        <v>1808</v>
      </c>
      <c r="D1552" t="s">
        <v>8212</v>
      </c>
      <c r="E1552" t="s">
        <v>20</v>
      </c>
      <c r="F1552" t="s">
        <v>69</v>
      </c>
      <c r="G1552" t="s">
        <v>328</v>
      </c>
      <c r="H1552" t="s">
        <v>80</v>
      </c>
      <c r="I1552" t="s">
        <v>131</v>
      </c>
      <c r="J1552" t="s">
        <v>25</v>
      </c>
      <c r="K1552" t="s">
        <v>8213</v>
      </c>
      <c r="L1552">
        <v>0.15</v>
      </c>
      <c r="M1552" t="s">
        <v>8214</v>
      </c>
      <c r="N1552" t="s">
        <v>8215</v>
      </c>
      <c r="O1552" t="s">
        <v>173</v>
      </c>
      <c r="P1552" t="s">
        <v>30</v>
      </c>
      <c r="Q1552" t="s">
        <v>31</v>
      </c>
      <c r="R1552" s="3">
        <v>3934.0210000000002</v>
      </c>
    </row>
    <row r="1553" spans="1:18" x14ac:dyDescent="0.3">
      <c r="A1553" t="s">
        <v>8216</v>
      </c>
      <c r="B1553" t="str">
        <f>TEXT(Raw_Data[[#This Row],[Order Date]],"mmm")</f>
        <v>May</v>
      </c>
      <c r="C1553" t="s">
        <v>817</v>
      </c>
      <c r="D1553" t="s">
        <v>8217</v>
      </c>
      <c r="E1553" t="s">
        <v>35</v>
      </c>
      <c r="F1553" t="s">
        <v>215</v>
      </c>
      <c r="G1553" t="s">
        <v>216</v>
      </c>
      <c r="H1553" t="s">
        <v>80</v>
      </c>
      <c r="I1553" t="s">
        <v>116</v>
      </c>
      <c r="J1553" t="s">
        <v>25</v>
      </c>
      <c r="K1553" t="s">
        <v>8218</v>
      </c>
      <c r="L1553">
        <v>0.1</v>
      </c>
      <c r="M1553" t="s">
        <v>8219</v>
      </c>
      <c r="N1553" t="s">
        <v>8220</v>
      </c>
      <c r="O1553" t="s">
        <v>29</v>
      </c>
      <c r="P1553" t="s">
        <v>112</v>
      </c>
      <c r="Q1553" t="s">
        <v>44</v>
      </c>
      <c r="R1553" s="3">
        <v>3764.2049999999999</v>
      </c>
    </row>
    <row r="1554" spans="1:18" x14ac:dyDescent="0.3">
      <c r="A1554" t="s">
        <v>8221</v>
      </c>
      <c r="B1554" t="str">
        <f>TEXT(Raw_Data[[#This Row],[Order Date]],"mmm")</f>
        <v>Dec</v>
      </c>
      <c r="C1554" t="s">
        <v>1003</v>
      </c>
      <c r="D1554" t="s">
        <v>8222</v>
      </c>
      <c r="E1554" t="s">
        <v>35</v>
      </c>
      <c r="F1554" t="s">
        <v>69</v>
      </c>
      <c r="G1554" t="s">
        <v>139</v>
      </c>
      <c r="H1554" t="s">
        <v>107</v>
      </c>
      <c r="I1554" t="s">
        <v>277</v>
      </c>
      <c r="J1554" t="s">
        <v>82</v>
      </c>
      <c r="K1554" t="s">
        <v>8223</v>
      </c>
      <c r="L1554">
        <v>0.05</v>
      </c>
      <c r="M1554" t="s">
        <v>8224</v>
      </c>
      <c r="N1554" t="s">
        <v>8225</v>
      </c>
      <c r="O1554" t="s">
        <v>64</v>
      </c>
      <c r="P1554" t="s">
        <v>30</v>
      </c>
      <c r="Q1554" t="s">
        <v>44</v>
      </c>
      <c r="R1554" s="3">
        <v>27911.1139999999</v>
      </c>
    </row>
    <row r="1555" spans="1:18" x14ac:dyDescent="0.3">
      <c r="A1555" t="s">
        <v>8226</v>
      </c>
      <c r="B1555" t="str">
        <f>TEXT(Raw_Data[[#This Row],[Order Date]],"mmm")</f>
        <v>Jun</v>
      </c>
      <c r="C1555" t="s">
        <v>3993</v>
      </c>
      <c r="D1555" t="s">
        <v>8227</v>
      </c>
      <c r="E1555" t="s">
        <v>48</v>
      </c>
      <c r="F1555" t="s">
        <v>58</v>
      </c>
      <c r="G1555" t="s">
        <v>290</v>
      </c>
      <c r="H1555" t="s">
        <v>154</v>
      </c>
      <c r="I1555" t="s">
        <v>309</v>
      </c>
      <c r="J1555" t="s">
        <v>25</v>
      </c>
      <c r="K1555" t="s">
        <v>8228</v>
      </c>
      <c r="L1555">
        <v>0.05</v>
      </c>
      <c r="M1555" t="s">
        <v>8229</v>
      </c>
      <c r="N1555" t="s">
        <v>8230</v>
      </c>
      <c r="O1555" t="s">
        <v>173</v>
      </c>
      <c r="P1555" t="s">
        <v>30</v>
      </c>
      <c r="Q1555" t="s">
        <v>44</v>
      </c>
      <c r="R1555" s="3">
        <v>4412.8639999999996</v>
      </c>
    </row>
    <row r="1556" spans="1:18" x14ac:dyDescent="0.3">
      <c r="A1556" t="s">
        <v>8231</v>
      </c>
      <c r="B1556" t="str">
        <f>TEXT(Raw_Data[[#This Row],[Order Date]],"mmm")</f>
        <v>Apr</v>
      </c>
      <c r="C1556" t="s">
        <v>5341</v>
      </c>
      <c r="D1556" t="s">
        <v>8232</v>
      </c>
      <c r="E1556" t="s">
        <v>20</v>
      </c>
      <c r="F1556" t="s">
        <v>78</v>
      </c>
      <c r="G1556" t="s">
        <v>731</v>
      </c>
      <c r="H1556" t="s">
        <v>38</v>
      </c>
      <c r="I1556" t="s">
        <v>60</v>
      </c>
      <c r="J1556" t="s">
        <v>25</v>
      </c>
      <c r="K1556" t="s">
        <v>8233</v>
      </c>
      <c r="L1556">
        <v>0.15</v>
      </c>
      <c r="M1556" t="s">
        <v>8234</v>
      </c>
      <c r="N1556" t="s">
        <v>8235</v>
      </c>
      <c r="O1556" t="s">
        <v>43</v>
      </c>
      <c r="P1556" t="s">
        <v>159</v>
      </c>
      <c r="Q1556" t="s">
        <v>44</v>
      </c>
      <c r="R1556" s="3">
        <v>2334.4144999999999</v>
      </c>
    </row>
    <row r="1557" spans="1:18" x14ac:dyDescent="0.3">
      <c r="A1557" t="s">
        <v>8236</v>
      </c>
      <c r="B1557" t="str">
        <f>TEXT(Raw_Data[[#This Row],[Order Date]],"mmm")</f>
        <v>Jan</v>
      </c>
      <c r="C1557" t="s">
        <v>2752</v>
      </c>
      <c r="D1557" t="s">
        <v>8237</v>
      </c>
      <c r="E1557" t="s">
        <v>20</v>
      </c>
      <c r="F1557" t="s">
        <v>215</v>
      </c>
      <c r="G1557" t="s">
        <v>216</v>
      </c>
      <c r="H1557" t="s">
        <v>38</v>
      </c>
      <c r="I1557" t="s">
        <v>223</v>
      </c>
      <c r="J1557" t="s">
        <v>25</v>
      </c>
      <c r="K1557" t="s">
        <v>8238</v>
      </c>
      <c r="L1557">
        <v>0.05</v>
      </c>
      <c r="M1557" t="s">
        <v>8239</v>
      </c>
      <c r="N1557" t="s">
        <v>8240</v>
      </c>
      <c r="O1557" t="s">
        <v>29</v>
      </c>
      <c r="P1557" t="s">
        <v>30</v>
      </c>
      <c r="Q1557" t="s">
        <v>31</v>
      </c>
      <c r="R1557" s="3">
        <v>1812.6949999999999</v>
      </c>
    </row>
    <row r="1558" spans="1:18" x14ac:dyDescent="0.3">
      <c r="A1558" t="s">
        <v>8241</v>
      </c>
      <c r="B1558" t="str">
        <f>TEXT(Raw_Data[[#This Row],[Order Date]],"mmm")</f>
        <v>Dec</v>
      </c>
      <c r="C1558" t="s">
        <v>2206</v>
      </c>
      <c r="D1558" t="s">
        <v>8242</v>
      </c>
      <c r="E1558" t="s">
        <v>20</v>
      </c>
      <c r="F1558" t="s">
        <v>106</v>
      </c>
      <c r="G1558" t="s">
        <v>106</v>
      </c>
      <c r="H1558" t="s">
        <v>23</v>
      </c>
      <c r="I1558" t="s">
        <v>341</v>
      </c>
      <c r="J1558" t="s">
        <v>50</v>
      </c>
      <c r="K1558" t="s">
        <v>8243</v>
      </c>
      <c r="L1558">
        <v>0.1</v>
      </c>
      <c r="M1558" t="s">
        <v>8244</v>
      </c>
      <c r="N1558" t="s">
        <v>8245</v>
      </c>
      <c r="O1558" t="s">
        <v>173</v>
      </c>
      <c r="P1558" t="s">
        <v>112</v>
      </c>
      <c r="Q1558" t="s">
        <v>44</v>
      </c>
      <c r="R1558" s="3">
        <v>98776.872000000003</v>
      </c>
    </row>
    <row r="1559" spans="1:18" x14ac:dyDescent="0.3">
      <c r="A1559" t="s">
        <v>8246</v>
      </c>
      <c r="B1559" t="str">
        <f>TEXT(Raw_Data[[#This Row],[Order Date]],"mmm")</f>
        <v>Jun</v>
      </c>
      <c r="C1559" t="s">
        <v>2157</v>
      </c>
      <c r="D1559" t="s">
        <v>8247</v>
      </c>
      <c r="E1559" t="s">
        <v>20</v>
      </c>
      <c r="F1559" t="s">
        <v>215</v>
      </c>
      <c r="G1559" t="s">
        <v>216</v>
      </c>
      <c r="H1559" t="s">
        <v>2581</v>
      </c>
      <c r="I1559" t="s">
        <v>469</v>
      </c>
      <c r="J1559" t="s">
        <v>50</v>
      </c>
      <c r="K1559" t="s">
        <v>8248</v>
      </c>
      <c r="L1559">
        <v>0.2</v>
      </c>
      <c r="M1559" t="s">
        <v>8249</v>
      </c>
      <c r="N1559" t="s">
        <v>8250</v>
      </c>
      <c r="O1559" t="s">
        <v>64</v>
      </c>
      <c r="P1559" t="s">
        <v>30</v>
      </c>
      <c r="Q1559" t="s">
        <v>44</v>
      </c>
      <c r="R1559" s="3">
        <v>1821.184</v>
      </c>
    </row>
    <row r="1560" spans="1:18" x14ac:dyDescent="0.3">
      <c r="A1560" t="s">
        <v>8251</v>
      </c>
      <c r="B1560" t="str">
        <f>TEXT(Raw_Data[[#This Row],[Order Date]],"mmm")</f>
        <v>Jan</v>
      </c>
      <c r="C1560" t="s">
        <v>3337</v>
      </c>
      <c r="D1560" t="s">
        <v>8252</v>
      </c>
      <c r="E1560" t="s">
        <v>20</v>
      </c>
      <c r="F1560" t="s">
        <v>58</v>
      </c>
      <c r="G1560" t="s">
        <v>59</v>
      </c>
      <c r="H1560" t="s">
        <v>107</v>
      </c>
      <c r="I1560" t="s">
        <v>378</v>
      </c>
      <c r="J1560" t="s">
        <v>50</v>
      </c>
      <c r="K1560" t="s">
        <v>8253</v>
      </c>
      <c r="L1560">
        <v>0.2</v>
      </c>
      <c r="M1560" t="s">
        <v>8254</v>
      </c>
      <c r="N1560" t="s">
        <v>8255</v>
      </c>
      <c r="O1560" t="s">
        <v>54</v>
      </c>
      <c r="P1560" t="s">
        <v>30</v>
      </c>
      <c r="Q1560" t="s">
        <v>44</v>
      </c>
      <c r="R1560" s="3">
        <v>15764.448</v>
      </c>
    </row>
    <row r="1561" spans="1:18" x14ac:dyDescent="0.3">
      <c r="A1561" t="s">
        <v>8256</v>
      </c>
      <c r="B1561" t="str">
        <f>TEXT(Raw_Data[[#This Row],[Order Date]],"mmm")</f>
        <v>Jul</v>
      </c>
      <c r="C1561" t="s">
        <v>3949</v>
      </c>
      <c r="D1561" t="s">
        <v>8257</v>
      </c>
      <c r="E1561" t="s">
        <v>48</v>
      </c>
      <c r="F1561" t="s">
        <v>215</v>
      </c>
      <c r="G1561" t="s">
        <v>276</v>
      </c>
      <c r="H1561" t="s">
        <v>23</v>
      </c>
      <c r="I1561" t="s">
        <v>49</v>
      </c>
      <c r="J1561" t="s">
        <v>50</v>
      </c>
      <c r="K1561" t="s">
        <v>8258</v>
      </c>
      <c r="L1561">
        <v>0</v>
      </c>
      <c r="M1561" t="s">
        <v>8259</v>
      </c>
      <c r="N1561" t="s">
        <v>8260</v>
      </c>
      <c r="O1561" t="s">
        <v>64</v>
      </c>
      <c r="P1561" t="s">
        <v>30</v>
      </c>
      <c r="Q1561" t="s">
        <v>65</v>
      </c>
      <c r="R1561" s="3">
        <v>18191.080000000002</v>
      </c>
    </row>
    <row r="1562" spans="1:18" x14ac:dyDescent="0.3">
      <c r="A1562" t="s">
        <v>8261</v>
      </c>
      <c r="B1562" t="str">
        <f>TEXT(Raw_Data[[#This Row],[Order Date]],"mmm")</f>
        <v>Sep</v>
      </c>
      <c r="C1562" t="s">
        <v>1539</v>
      </c>
      <c r="D1562" t="s">
        <v>8262</v>
      </c>
      <c r="E1562" t="s">
        <v>48</v>
      </c>
      <c r="F1562" t="s">
        <v>106</v>
      </c>
      <c r="G1562" t="s">
        <v>163</v>
      </c>
      <c r="H1562" t="s">
        <v>154</v>
      </c>
      <c r="I1562" t="s">
        <v>309</v>
      </c>
      <c r="J1562" t="s">
        <v>25</v>
      </c>
      <c r="K1562" t="s">
        <v>8263</v>
      </c>
      <c r="L1562">
        <v>0.15</v>
      </c>
      <c r="M1562" t="s">
        <v>8264</v>
      </c>
      <c r="N1562" t="s">
        <v>8265</v>
      </c>
      <c r="O1562" t="s">
        <v>173</v>
      </c>
      <c r="P1562" t="s">
        <v>30</v>
      </c>
      <c r="Q1562" t="s">
        <v>31</v>
      </c>
      <c r="R1562" s="3">
        <v>7225.26349999999</v>
      </c>
    </row>
    <row r="1563" spans="1:18" x14ac:dyDescent="0.3">
      <c r="A1563" t="s">
        <v>8266</v>
      </c>
      <c r="B1563" t="str">
        <f>TEXT(Raw_Data[[#This Row],[Order Date]],"mmm")</f>
        <v>Feb</v>
      </c>
      <c r="C1563" t="s">
        <v>7114</v>
      </c>
      <c r="D1563" t="s">
        <v>8267</v>
      </c>
      <c r="E1563" t="s">
        <v>20</v>
      </c>
      <c r="F1563" t="s">
        <v>69</v>
      </c>
      <c r="G1563" t="s">
        <v>328</v>
      </c>
      <c r="H1563" t="s">
        <v>80</v>
      </c>
      <c r="I1563" t="s">
        <v>91</v>
      </c>
      <c r="J1563" t="s">
        <v>50</v>
      </c>
      <c r="K1563" t="s">
        <v>8268</v>
      </c>
      <c r="L1563">
        <v>0</v>
      </c>
      <c r="M1563" t="s">
        <v>8269</v>
      </c>
      <c r="N1563" t="s">
        <v>8270</v>
      </c>
      <c r="O1563" t="s">
        <v>173</v>
      </c>
      <c r="P1563" t="s">
        <v>30</v>
      </c>
      <c r="Q1563" t="s">
        <v>44</v>
      </c>
      <c r="R1563" s="3">
        <v>7938.72</v>
      </c>
    </row>
    <row r="1564" spans="1:18" x14ac:dyDescent="0.3">
      <c r="A1564" t="s">
        <v>8271</v>
      </c>
      <c r="B1564" t="str">
        <f>TEXT(Raw_Data[[#This Row],[Order Date]],"mmm")</f>
        <v>Mar</v>
      </c>
      <c r="C1564" t="s">
        <v>492</v>
      </c>
      <c r="D1564" t="s">
        <v>8272</v>
      </c>
      <c r="E1564" t="s">
        <v>35</v>
      </c>
      <c r="F1564" t="s">
        <v>78</v>
      </c>
      <c r="G1564" t="s">
        <v>731</v>
      </c>
      <c r="H1564" t="s">
        <v>154</v>
      </c>
      <c r="I1564" t="s">
        <v>365</v>
      </c>
      <c r="J1564" t="s">
        <v>100</v>
      </c>
      <c r="K1564" t="s">
        <v>8273</v>
      </c>
      <c r="L1564">
        <v>0.2</v>
      </c>
      <c r="M1564" t="s">
        <v>8274</v>
      </c>
      <c r="N1564" t="s">
        <v>8275</v>
      </c>
      <c r="O1564" t="s">
        <v>43</v>
      </c>
      <c r="P1564" t="s">
        <v>30</v>
      </c>
      <c r="Q1564" t="s">
        <v>65</v>
      </c>
      <c r="R1564" s="3">
        <v>4356.3599999999997</v>
      </c>
    </row>
    <row r="1565" spans="1:18" x14ac:dyDescent="0.3">
      <c r="A1565" t="s">
        <v>8276</v>
      </c>
      <c r="B1565" t="str">
        <f>TEXT(Raw_Data[[#This Row],[Order Date]],"mmm")</f>
        <v>Jan</v>
      </c>
      <c r="C1565" t="s">
        <v>780</v>
      </c>
      <c r="D1565" t="s">
        <v>8277</v>
      </c>
      <c r="E1565" t="s">
        <v>48</v>
      </c>
      <c r="F1565" t="s">
        <v>106</v>
      </c>
      <c r="G1565" t="s">
        <v>163</v>
      </c>
      <c r="H1565" t="s">
        <v>38</v>
      </c>
      <c r="I1565" t="s">
        <v>60</v>
      </c>
      <c r="J1565" t="s">
        <v>50</v>
      </c>
      <c r="K1565" t="s">
        <v>8278</v>
      </c>
      <c r="L1565">
        <v>0.15</v>
      </c>
      <c r="M1565" t="s">
        <v>8279</v>
      </c>
      <c r="N1565" t="s">
        <v>8280</v>
      </c>
      <c r="O1565" t="s">
        <v>43</v>
      </c>
      <c r="P1565" t="s">
        <v>30</v>
      </c>
      <c r="Q1565" t="s">
        <v>44</v>
      </c>
      <c r="R1565" s="3">
        <v>8550.0649999999896</v>
      </c>
    </row>
    <row r="1566" spans="1:18" x14ac:dyDescent="0.3">
      <c r="A1566" t="s">
        <v>8281</v>
      </c>
      <c r="B1566" t="str">
        <f>TEXT(Raw_Data[[#This Row],[Order Date]],"mmm")</f>
        <v>Nov</v>
      </c>
      <c r="C1566" t="s">
        <v>1204</v>
      </c>
      <c r="D1566" t="s">
        <v>8282</v>
      </c>
      <c r="E1566" t="s">
        <v>20</v>
      </c>
      <c r="F1566" t="s">
        <v>89</v>
      </c>
      <c r="G1566" t="s">
        <v>90</v>
      </c>
      <c r="H1566" t="s">
        <v>107</v>
      </c>
      <c r="I1566" t="s">
        <v>277</v>
      </c>
      <c r="J1566" t="s">
        <v>50</v>
      </c>
      <c r="K1566" t="s">
        <v>8283</v>
      </c>
      <c r="L1566">
        <v>0.1</v>
      </c>
      <c r="M1566" t="s">
        <v>8284</v>
      </c>
      <c r="N1566" t="s">
        <v>8285</v>
      </c>
      <c r="O1566" t="s">
        <v>43</v>
      </c>
      <c r="P1566" t="s">
        <v>30</v>
      </c>
      <c r="Q1566" t="s">
        <v>44</v>
      </c>
      <c r="R1566" s="3">
        <v>3465.9180000000001</v>
      </c>
    </row>
    <row r="1567" spans="1:18" x14ac:dyDescent="0.3">
      <c r="A1567" t="s">
        <v>8286</v>
      </c>
      <c r="B1567" t="str">
        <f>TEXT(Raw_Data[[#This Row],[Order Date]],"mmm")</f>
        <v>May</v>
      </c>
      <c r="C1567" t="s">
        <v>948</v>
      </c>
      <c r="D1567" t="s">
        <v>8287</v>
      </c>
      <c r="E1567" t="s">
        <v>48</v>
      </c>
      <c r="F1567" t="s">
        <v>58</v>
      </c>
      <c r="G1567" t="s">
        <v>812</v>
      </c>
      <c r="H1567" t="s">
        <v>23</v>
      </c>
      <c r="I1567" t="s">
        <v>341</v>
      </c>
      <c r="J1567" t="s">
        <v>100</v>
      </c>
      <c r="K1567" t="s">
        <v>8288</v>
      </c>
      <c r="L1567">
        <v>0</v>
      </c>
      <c r="M1567" t="s">
        <v>8289</v>
      </c>
      <c r="N1567" t="s">
        <v>8290</v>
      </c>
      <c r="O1567" t="s">
        <v>173</v>
      </c>
      <c r="P1567" t="s">
        <v>30</v>
      </c>
      <c r="Q1567" t="s">
        <v>65</v>
      </c>
      <c r="R1567" s="3">
        <v>161159.84999999899</v>
      </c>
    </row>
    <row r="1568" spans="1:18" x14ac:dyDescent="0.3">
      <c r="A1568" t="s">
        <v>8291</v>
      </c>
      <c r="B1568" t="str">
        <f>TEXT(Raw_Data[[#This Row],[Order Date]],"mmm")</f>
        <v>Jan</v>
      </c>
      <c r="C1568" t="s">
        <v>1015</v>
      </c>
      <c r="D1568" t="s">
        <v>8292</v>
      </c>
      <c r="E1568" t="s">
        <v>20</v>
      </c>
      <c r="F1568" t="s">
        <v>36</v>
      </c>
      <c r="G1568" t="s">
        <v>196</v>
      </c>
      <c r="H1568" t="s">
        <v>80</v>
      </c>
      <c r="I1568" t="s">
        <v>146</v>
      </c>
      <c r="J1568" t="s">
        <v>25</v>
      </c>
      <c r="K1568" t="s">
        <v>8293</v>
      </c>
      <c r="L1568">
        <v>0.15</v>
      </c>
      <c r="M1568" t="s">
        <v>8294</v>
      </c>
      <c r="N1568" t="s">
        <v>8295</v>
      </c>
      <c r="O1568" t="s">
        <v>64</v>
      </c>
      <c r="P1568" t="s">
        <v>30</v>
      </c>
      <c r="Q1568" t="s">
        <v>31</v>
      </c>
      <c r="R1568" s="3">
        <v>2460.8434999999999</v>
      </c>
    </row>
    <row r="1569" spans="1:18" x14ac:dyDescent="0.3">
      <c r="A1569" t="s">
        <v>8296</v>
      </c>
      <c r="B1569" t="str">
        <f>TEXT(Raw_Data[[#This Row],[Order Date]],"mmm")</f>
        <v>Mar</v>
      </c>
      <c r="C1569" t="s">
        <v>395</v>
      </c>
      <c r="D1569" t="s">
        <v>8297</v>
      </c>
      <c r="E1569" t="s">
        <v>35</v>
      </c>
      <c r="F1569" t="s">
        <v>215</v>
      </c>
      <c r="G1569" t="s">
        <v>276</v>
      </c>
      <c r="H1569" t="s">
        <v>107</v>
      </c>
      <c r="I1569" t="s">
        <v>108</v>
      </c>
      <c r="J1569" t="s">
        <v>25</v>
      </c>
      <c r="K1569" t="s">
        <v>8298</v>
      </c>
      <c r="L1569">
        <v>0.05</v>
      </c>
      <c r="M1569" t="s">
        <v>8299</v>
      </c>
      <c r="N1569" t="s">
        <v>8300</v>
      </c>
      <c r="O1569" t="s">
        <v>64</v>
      </c>
      <c r="P1569" t="s">
        <v>30</v>
      </c>
      <c r="Q1569" t="s">
        <v>65</v>
      </c>
      <c r="R1569" s="3">
        <v>16835.377499999999</v>
      </c>
    </row>
    <row r="1570" spans="1:18" x14ac:dyDescent="0.3">
      <c r="A1570" t="s">
        <v>8301</v>
      </c>
      <c r="B1570" t="str">
        <f>TEXT(Raw_Data[[#This Row],[Order Date]],"mmm")</f>
        <v>Oct</v>
      </c>
      <c r="C1570" t="s">
        <v>3186</v>
      </c>
      <c r="D1570" t="s">
        <v>8302</v>
      </c>
      <c r="E1570" t="s">
        <v>35</v>
      </c>
      <c r="F1570" t="s">
        <v>58</v>
      </c>
      <c r="G1570" t="s">
        <v>812</v>
      </c>
      <c r="H1570" t="s">
        <v>107</v>
      </c>
      <c r="I1570" t="s">
        <v>277</v>
      </c>
      <c r="J1570" t="s">
        <v>25</v>
      </c>
      <c r="K1570" t="s">
        <v>8303</v>
      </c>
      <c r="L1570">
        <v>0</v>
      </c>
      <c r="M1570" t="s">
        <v>8304</v>
      </c>
      <c r="N1570" t="s">
        <v>8305</v>
      </c>
      <c r="O1570" t="s">
        <v>29</v>
      </c>
      <c r="P1570" t="s">
        <v>159</v>
      </c>
      <c r="Q1570" t="s">
        <v>65</v>
      </c>
      <c r="R1570" s="3">
        <v>11845.71</v>
      </c>
    </row>
    <row r="1571" spans="1:18" x14ac:dyDescent="0.3">
      <c r="A1571" t="s">
        <v>8306</v>
      </c>
      <c r="B1571" t="str">
        <f>TEXT(Raw_Data[[#This Row],[Order Date]],"mmm")</f>
        <v>Feb</v>
      </c>
      <c r="C1571" t="s">
        <v>862</v>
      </c>
      <c r="D1571" t="s">
        <v>8307</v>
      </c>
      <c r="E1571" t="s">
        <v>20</v>
      </c>
      <c r="F1571" t="s">
        <v>106</v>
      </c>
      <c r="G1571" t="s">
        <v>163</v>
      </c>
      <c r="H1571" t="s">
        <v>23</v>
      </c>
      <c r="I1571" t="s">
        <v>49</v>
      </c>
      <c r="J1571" t="s">
        <v>25</v>
      </c>
      <c r="K1571" t="s">
        <v>8308</v>
      </c>
      <c r="L1571">
        <v>0</v>
      </c>
      <c r="M1571" t="s">
        <v>8309</v>
      </c>
      <c r="N1571" t="s">
        <v>8310</v>
      </c>
      <c r="O1571" t="s">
        <v>29</v>
      </c>
      <c r="P1571" t="s">
        <v>30</v>
      </c>
      <c r="Q1571" t="s">
        <v>44</v>
      </c>
      <c r="R1571" s="3">
        <v>55771.09</v>
      </c>
    </row>
    <row r="1572" spans="1:18" x14ac:dyDescent="0.3">
      <c r="A1572" t="s">
        <v>8311</v>
      </c>
      <c r="B1572" t="str">
        <f>TEXT(Raw_Data[[#This Row],[Order Date]],"mmm")</f>
        <v>Jan</v>
      </c>
      <c r="C1572" t="s">
        <v>18</v>
      </c>
      <c r="D1572" t="s">
        <v>8312</v>
      </c>
      <c r="E1572" t="s">
        <v>20</v>
      </c>
      <c r="F1572" t="s">
        <v>89</v>
      </c>
      <c r="G1572" t="s">
        <v>90</v>
      </c>
      <c r="H1572" t="s">
        <v>23</v>
      </c>
      <c r="I1572" t="s">
        <v>183</v>
      </c>
      <c r="J1572" t="s">
        <v>25</v>
      </c>
      <c r="K1572" t="s">
        <v>8313</v>
      </c>
      <c r="L1572">
        <v>0.1</v>
      </c>
      <c r="M1572" t="s">
        <v>8314</v>
      </c>
      <c r="N1572" t="s">
        <v>8315</v>
      </c>
      <c r="O1572" t="s">
        <v>54</v>
      </c>
      <c r="P1572" t="s">
        <v>30</v>
      </c>
      <c r="Q1572" t="s">
        <v>44</v>
      </c>
      <c r="R1572" s="3">
        <v>43337.915999999997</v>
      </c>
    </row>
    <row r="1573" spans="1:18" x14ac:dyDescent="0.3">
      <c r="A1573" t="s">
        <v>8316</v>
      </c>
      <c r="B1573" t="str">
        <f>TEXT(Raw_Data[[#This Row],[Order Date]],"mmm")</f>
        <v>Sep</v>
      </c>
      <c r="C1573" t="s">
        <v>742</v>
      </c>
      <c r="D1573" t="s">
        <v>8317</v>
      </c>
      <c r="E1573" t="s">
        <v>35</v>
      </c>
      <c r="F1573" t="s">
        <v>106</v>
      </c>
      <c r="G1573" t="s">
        <v>163</v>
      </c>
      <c r="H1573" t="s">
        <v>154</v>
      </c>
      <c r="I1573" t="s">
        <v>155</v>
      </c>
      <c r="J1573" t="s">
        <v>25</v>
      </c>
      <c r="K1573" t="s">
        <v>8318</v>
      </c>
      <c r="L1573">
        <v>0</v>
      </c>
      <c r="M1573" t="s">
        <v>8319</v>
      </c>
      <c r="N1573" t="s">
        <v>8320</v>
      </c>
      <c r="O1573" t="s">
        <v>54</v>
      </c>
      <c r="P1573" t="s">
        <v>30</v>
      </c>
      <c r="Q1573" t="s">
        <v>31</v>
      </c>
      <c r="R1573" s="3">
        <v>2470.46</v>
      </c>
    </row>
    <row r="1574" spans="1:18" x14ac:dyDescent="0.3">
      <c r="A1574" t="s">
        <v>8321</v>
      </c>
      <c r="B1574" t="str">
        <f>TEXT(Raw_Data[[#This Row],[Order Date]],"mmm")</f>
        <v>Nov</v>
      </c>
      <c r="C1574" t="s">
        <v>4386</v>
      </c>
      <c r="D1574" t="s">
        <v>8322</v>
      </c>
      <c r="E1574" t="s">
        <v>20</v>
      </c>
      <c r="F1574" t="s">
        <v>78</v>
      </c>
      <c r="G1574" t="s">
        <v>731</v>
      </c>
      <c r="H1574" t="s">
        <v>107</v>
      </c>
      <c r="I1574" t="s">
        <v>591</v>
      </c>
      <c r="J1574" t="s">
        <v>50</v>
      </c>
      <c r="K1574" t="s">
        <v>8323</v>
      </c>
      <c r="L1574">
        <v>0.15</v>
      </c>
      <c r="M1574" t="s">
        <v>8324</v>
      </c>
      <c r="N1574" t="s">
        <v>8325</v>
      </c>
      <c r="O1574" t="s">
        <v>64</v>
      </c>
      <c r="P1574" t="s">
        <v>30</v>
      </c>
      <c r="Q1574" t="s">
        <v>44</v>
      </c>
      <c r="R1574" s="3">
        <v>30342.262999999999</v>
      </c>
    </row>
    <row r="1575" spans="1:18" x14ac:dyDescent="0.3">
      <c r="A1575" t="s">
        <v>8326</v>
      </c>
      <c r="B1575" t="str">
        <f>TEXT(Raw_Data[[#This Row],[Order Date]],"mmm")</f>
        <v>Mar</v>
      </c>
      <c r="C1575" t="s">
        <v>556</v>
      </c>
      <c r="D1575" t="s">
        <v>8327</v>
      </c>
      <c r="E1575" t="s">
        <v>35</v>
      </c>
      <c r="F1575" t="s">
        <v>58</v>
      </c>
      <c r="G1575" t="s">
        <v>290</v>
      </c>
      <c r="H1575" t="s">
        <v>23</v>
      </c>
      <c r="I1575" t="s">
        <v>183</v>
      </c>
      <c r="J1575" t="s">
        <v>25</v>
      </c>
      <c r="K1575" t="s">
        <v>8328</v>
      </c>
      <c r="L1575">
        <v>0</v>
      </c>
      <c r="M1575" t="s">
        <v>8329</v>
      </c>
      <c r="N1575" t="s">
        <v>8330</v>
      </c>
      <c r="O1575" t="s">
        <v>64</v>
      </c>
      <c r="P1575" t="s">
        <v>30</v>
      </c>
      <c r="Q1575" t="s">
        <v>65</v>
      </c>
      <c r="R1575" s="3">
        <v>55966.9</v>
      </c>
    </row>
    <row r="1576" spans="1:18" x14ac:dyDescent="0.3">
      <c r="A1576" t="s">
        <v>8331</v>
      </c>
      <c r="B1576" t="str">
        <f>TEXT(Raw_Data[[#This Row],[Order Date]],"mmm")</f>
        <v>Aug</v>
      </c>
      <c r="C1576" t="s">
        <v>1104</v>
      </c>
      <c r="D1576" t="s">
        <v>8332</v>
      </c>
      <c r="E1576" t="s">
        <v>48</v>
      </c>
      <c r="F1576" t="s">
        <v>69</v>
      </c>
      <c r="G1576" t="s">
        <v>328</v>
      </c>
      <c r="H1576" t="s">
        <v>23</v>
      </c>
      <c r="I1576" t="s">
        <v>24</v>
      </c>
      <c r="J1576" t="s">
        <v>25</v>
      </c>
      <c r="K1576" t="s">
        <v>8333</v>
      </c>
      <c r="L1576">
        <v>0.1</v>
      </c>
      <c r="M1576" t="s">
        <v>8334</v>
      </c>
      <c r="N1576" t="s">
        <v>8335</v>
      </c>
      <c r="O1576" t="s">
        <v>29</v>
      </c>
      <c r="P1576" t="s">
        <v>95</v>
      </c>
      <c r="Q1576" t="s">
        <v>31</v>
      </c>
      <c r="R1576" s="3">
        <v>63719.37</v>
      </c>
    </row>
    <row r="1577" spans="1:18" x14ac:dyDescent="0.3">
      <c r="A1577" t="s">
        <v>8336</v>
      </c>
      <c r="B1577" t="str">
        <f>TEXT(Raw_Data[[#This Row],[Order Date]],"mmm")</f>
        <v>Apr</v>
      </c>
      <c r="C1577" t="s">
        <v>1448</v>
      </c>
      <c r="D1577" t="s">
        <v>8337</v>
      </c>
      <c r="E1577" t="s">
        <v>35</v>
      </c>
      <c r="F1577" t="s">
        <v>58</v>
      </c>
      <c r="G1577" t="s">
        <v>290</v>
      </c>
      <c r="H1577" t="s">
        <v>80</v>
      </c>
      <c r="I1577" t="s">
        <v>116</v>
      </c>
      <c r="J1577" t="s">
        <v>82</v>
      </c>
      <c r="K1577" t="s">
        <v>8338</v>
      </c>
      <c r="L1577">
        <v>0</v>
      </c>
      <c r="M1577" t="s">
        <v>8339</v>
      </c>
      <c r="N1577" t="s">
        <v>8340</v>
      </c>
      <c r="O1577" t="s">
        <v>29</v>
      </c>
      <c r="P1577" t="s">
        <v>30</v>
      </c>
      <c r="Q1577" t="s">
        <v>44</v>
      </c>
      <c r="R1577" s="3">
        <v>22969.32</v>
      </c>
    </row>
    <row r="1578" spans="1:18" x14ac:dyDescent="0.3">
      <c r="A1578" t="s">
        <v>8341</v>
      </c>
      <c r="B1578" t="str">
        <f>TEXT(Raw_Data[[#This Row],[Order Date]],"mmm")</f>
        <v>Aug</v>
      </c>
      <c r="C1578" t="s">
        <v>4227</v>
      </c>
      <c r="D1578" t="s">
        <v>8342</v>
      </c>
      <c r="E1578" t="s">
        <v>48</v>
      </c>
      <c r="F1578" t="s">
        <v>21</v>
      </c>
      <c r="G1578" t="s">
        <v>22</v>
      </c>
      <c r="H1578" t="s">
        <v>154</v>
      </c>
      <c r="I1578" t="s">
        <v>365</v>
      </c>
      <c r="J1578" t="s">
        <v>25</v>
      </c>
      <c r="K1578" t="s">
        <v>8343</v>
      </c>
      <c r="L1578">
        <v>0.15</v>
      </c>
      <c r="M1578" t="s">
        <v>8344</v>
      </c>
      <c r="N1578" t="s">
        <v>8345</v>
      </c>
      <c r="O1578" t="s">
        <v>64</v>
      </c>
      <c r="P1578" t="s">
        <v>30</v>
      </c>
      <c r="Q1578" t="s">
        <v>44</v>
      </c>
      <c r="R1578" s="3">
        <v>858.36400000000003</v>
      </c>
    </row>
    <row r="1579" spans="1:18" x14ac:dyDescent="0.3">
      <c r="A1579" t="s">
        <v>8346</v>
      </c>
      <c r="B1579" t="str">
        <f>TEXT(Raw_Data[[#This Row],[Order Date]],"mmm")</f>
        <v>Apr</v>
      </c>
      <c r="C1579" t="s">
        <v>352</v>
      </c>
      <c r="D1579" t="s">
        <v>8347</v>
      </c>
      <c r="E1579" t="s">
        <v>48</v>
      </c>
      <c r="F1579" t="s">
        <v>215</v>
      </c>
      <c r="G1579" t="s">
        <v>216</v>
      </c>
      <c r="H1579" t="s">
        <v>23</v>
      </c>
      <c r="I1579" t="s">
        <v>341</v>
      </c>
      <c r="J1579" t="s">
        <v>100</v>
      </c>
      <c r="K1579" t="s">
        <v>8348</v>
      </c>
      <c r="L1579">
        <v>0</v>
      </c>
      <c r="M1579" t="s">
        <v>8349</v>
      </c>
      <c r="N1579" t="s">
        <v>8350</v>
      </c>
      <c r="O1579" t="s">
        <v>43</v>
      </c>
      <c r="P1579" t="s">
        <v>30</v>
      </c>
      <c r="Q1579" t="s">
        <v>65</v>
      </c>
      <c r="R1579" s="3">
        <v>57248.7599999999</v>
      </c>
    </row>
    <row r="1580" spans="1:18" x14ac:dyDescent="0.3">
      <c r="A1580" t="s">
        <v>8351</v>
      </c>
      <c r="B1580" t="str">
        <f>TEXT(Raw_Data[[#This Row],[Order Date]],"mmm")</f>
        <v>Jan</v>
      </c>
      <c r="C1580" t="s">
        <v>320</v>
      </c>
      <c r="D1580" t="s">
        <v>8352</v>
      </c>
      <c r="E1580" t="s">
        <v>35</v>
      </c>
      <c r="F1580" t="s">
        <v>36</v>
      </c>
      <c r="G1580" t="s">
        <v>37</v>
      </c>
      <c r="H1580" t="s">
        <v>80</v>
      </c>
      <c r="I1580" t="s">
        <v>131</v>
      </c>
      <c r="J1580" t="s">
        <v>100</v>
      </c>
      <c r="K1580" t="s">
        <v>8353</v>
      </c>
      <c r="L1580">
        <v>0</v>
      </c>
      <c r="M1580" t="s">
        <v>8354</v>
      </c>
      <c r="N1580" t="s">
        <v>8355</v>
      </c>
      <c r="O1580" t="s">
        <v>54</v>
      </c>
      <c r="P1580" t="s">
        <v>30</v>
      </c>
      <c r="Q1580" t="s">
        <v>31</v>
      </c>
      <c r="R1580" s="3">
        <v>19937.759999999998</v>
      </c>
    </row>
    <row r="1581" spans="1:18" x14ac:dyDescent="0.3">
      <c r="A1581" t="s">
        <v>8356</v>
      </c>
      <c r="B1581" t="str">
        <f>TEXT(Raw_Data[[#This Row],[Order Date]],"mmm")</f>
        <v>Mar</v>
      </c>
      <c r="C1581" t="s">
        <v>2959</v>
      </c>
      <c r="D1581" t="s">
        <v>8357</v>
      </c>
      <c r="E1581" t="s">
        <v>20</v>
      </c>
      <c r="F1581" t="s">
        <v>36</v>
      </c>
      <c r="G1581" t="s">
        <v>414</v>
      </c>
      <c r="H1581" t="s">
        <v>154</v>
      </c>
      <c r="I1581" t="s">
        <v>365</v>
      </c>
      <c r="J1581" t="s">
        <v>82</v>
      </c>
      <c r="K1581" t="s">
        <v>8358</v>
      </c>
      <c r="L1581">
        <v>0.1</v>
      </c>
      <c r="M1581" t="s">
        <v>8359</v>
      </c>
      <c r="N1581" t="s">
        <v>8360</v>
      </c>
      <c r="O1581" t="s">
        <v>29</v>
      </c>
      <c r="P1581" t="s">
        <v>30</v>
      </c>
      <c r="Q1581" t="s">
        <v>44</v>
      </c>
      <c r="R1581" s="3">
        <v>23564.736000000001</v>
      </c>
    </row>
    <row r="1582" spans="1:18" x14ac:dyDescent="0.3">
      <c r="A1582" t="s">
        <v>8361</v>
      </c>
      <c r="B1582" t="str">
        <f>TEXT(Raw_Data[[#This Row],[Order Date]],"mmm")</f>
        <v>Dec</v>
      </c>
      <c r="C1582" t="s">
        <v>1233</v>
      </c>
      <c r="D1582" t="s">
        <v>8362</v>
      </c>
      <c r="E1582" t="s">
        <v>20</v>
      </c>
      <c r="F1582" t="s">
        <v>106</v>
      </c>
      <c r="G1582" t="s">
        <v>163</v>
      </c>
      <c r="H1582" t="s">
        <v>154</v>
      </c>
      <c r="I1582" t="s">
        <v>309</v>
      </c>
      <c r="J1582" t="s">
        <v>25</v>
      </c>
      <c r="K1582" t="s">
        <v>8363</v>
      </c>
      <c r="L1582">
        <v>0.1</v>
      </c>
      <c r="M1582" t="s">
        <v>8364</v>
      </c>
      <c r="N1582" t="s">
        <v>8365</v>
      </c>
      <c r="O1582" t="s">
        <v>29</v>
      </c>
      <c r="P1582" t="s">
        <v>30</v>
      </c>
      <c r="Q1582" t="s">
        <v>44</v>
      </c>
      <c r="R1582" s="3">
        <v>372.68099999999998</v>
      </c>
    </row>
    <row r="1583" spans="1:18" x14ac:dyDescent="0.3">
      <c r="A1583" t="s">
        <v>8366</v>
      </c>
      <c r="B1583" t="str">
        <f>TEXT(Raw_Data[[#This Row],[Order Date]],"mmm")</f>
        <v>Jun</v>
      </c>
      <c r="C1583" t="s">
        <v>2272</v>
      </c>
      <c r="D1583" t="s">
        <v>8367</v>
      </c>
      <c r="E1583" t="s">
        <v>35</v>
      </c>
      <c r="F1583" t="s">
        <v>36</v>
      </c>
      <c r="G1583" t="s">
        <v>414</v>
      </c>
      <c r="H1583" t="s">
        <v>154</v>
      </c>
      <c r="I1583" t="s">
        <v>309</v>
      </c>
      <c r="J1583" t="s">
        <v>100</v>
      </c>
      <c r="K1583" t="s">
        <v>8368</v>
      </c>
      <c r="L1583">
        <v>0.15</v>
      </c>
      <c r="M1583" t="s">
        <v>8369</v>
      </c>
      <c r="N1583" t="s">
        <v>8370</v>
      </c>
      <c r="O1583" t="s">
        <v>43</v>
      </c>
      <c r="P1583" t="s">
        <v>30</v>
      </c>
      <c r="Q1583" t="s">
        <v>31</v>
      </c>
      <c r="R1583" s="3">
        <v>11151.0735</v>
      </c>
    </row>
    <row r="1584" spans="1:18" x14ac:dyDescent="0.3">
      <c r="A1584" t="s">
        <v>8371</v>
      </c>
      <c r="B1584" t="str">
        <f>TEXT(Raw_Data[[#This Row],[Order Date]],"mmm")</f>
        <v>Sep</v>
      </c>
      <c r="C1584" t="s">
        <v>2151</v>
      </c>
      <c r="D1584" t="s">
        <v>8372</v>
      </c>
      <c r="E1584" t="s">
        <v>20</v>
      </c>
      <c r="F1584" t="s">
        <v>89</v>
      </c>
      <c r="G1584" t="s">
        <v>90</v>
      </c>
      <c r="H1584" t="s">
        <v>154</v>
      </c>
      <c r="I1584" t="s">
        <v>1061</v>
      </c>
      <c r="J1584" t="s">
        <v>50</v>
      </c>
      <c r="K1584" t="s">
        <v>8373</v>
      </c>
      <c r="L1584">
        <v>0</v>
      </c>
      <c r="M1584" t="s">
        <v>8374</v>
      </c>
      <c r="N1584" t="s">
        <v>8375</v>
      </c>
      <c r="O1584" t="s">
        <v>29</v>
      </c>
      <c r="P1584" t="s">
        <v>30</v>
      </c>
      <c r="Q1584" t="s">
        <v>44</v>
      </c>
      <c r="R1584" s="3">
        <v>2388.02</v>
      </c>
    </row>
    <row r="1585" spans="1:18" x14ac:dyDescent="0.3">
      <c r="A1585" t="s">
        <v>8376</v>
      </c>
      <c r="B1585" t="str">
        <f>TEXT(Raw_Data[[#This Row],[Order Date]],"mmm")</f>
        <v>Jun</v>
      </c>
      <c r="C1585" t="s">
        <v>2068</v>
      </c>
      <c r="D1585" t="s">
        <v>8377</v>
      </c>
      <c r="E1585" t="s">
        <v>35</v>
      </c>
      <c r="F1585" t="s">
        <v>58</v>
      </c>
      <c r="G1585" t="s">
        <v>812</v>
      </c>
      <c r="H1585" t="s">
        <v>38</v>
      </c>
      <c r="I1585" t="s">
        <v>256</v>
      </c>
      <c r="J1585" t="s">
        <v>25</v>
      </c>
      <c r="K1585" t="s">
        <v>8378</v>
      </c>
      <c r="L1585">
        <v>0.15</v>
      </c>
      <c r="M1585" t="s">
        <v>8379</v>
      </c>
      <c r="N1585" t="s">
        <v>8380</v>
      </c>
      <c r="O1585" t="s">
        <v>43</v>
      </c>
      <c r="P1585" t="s">
        <v>30</v>
      </c>
      <c r="Q1585" t="s">
        <v>44</v>
      </c>
      <c r="R1585" s="3">
        <v>2796.3130000000001</v>
      </c>
    </row>
    <row r="1586" spans="1:18" x14ac:dyDescent="0.3">
      <c r="A1586" t="s">
        <v>8381</v>
      </c>
      <c r="B1586" t="str">
        <f>TEXT(Raw_Data[[#This Row],[Order Date]],"mmm")</f>
        <v>Aug</v>
      </c>
      <c r="C1586" t="s">
        <v>2139</v>
      </c>
      <c r="D1586" t="s">
        <v>8382</v>
      </c>
      <c r="E1586" t="s">
        <v>20</v>
      </c>
      <c r="F1586" t="s">
        <v>89</v>
      </c>
      <c r="G1586" t="s">
        <v>99</v>
      </c>
      <c r="H1586" t="s">
        <v>107</v>
      </c>
      <c r="I1586" t="s">
        <v>108</v>
      </c>
      <c r="J1586" t="s">
        <v>25</v>
      </c>
      <c r="K1586" t="s">
        <v>8383</v>
      </c>
      <c r="L1586">
        <v>0.15</v>
      </c>
      <c r="M1586" t="s">
        <v>8384</v>
      </c>
      <c r="N1586" t="s">
        <v>8385</v>
      </c>
      <c r="O1586" t="s">
        <v>173</v>
      </c>
      <c r="P1586" t="s">
        <v>30</v>
      </c>
      <c r="Q1586" t="s">
        <v>31</v>
      </c>
      <c r="R1586" s="3">
        <v>13670.89</v>
      </c>
    </row>
    <row r="1587" spans="1:18" x14ac:dyDescent="0.3">
      <c r="A1587" t="s">
        <v>8386</v>
      </c>
      <c r="B1587" t="str">
        <f>TEXT(Raw_Data[[#This Row],[Order Date]],"mmm")</f>
        <v>Jan</v>
      </c>
      <c r="C1587" t="s">
        <v>1949</v>
      </c>
      <c r="D1587" t="s">
        <v>8387</v>
      </c>
      <c r="E1587" t="s">
        <v>20</v>
      </c>
      <c r="F1587" t="s">
        <v>58</v>
      </c>
      <c r="G1587" t="s">
        <v>59</v>
      </c>
      <c r="H1587" t="s">
        <v>23</v>
      </c>
      <c r="I1587" t="s">
        <v>183</v>
      </c>
      <c r="J1587" t="s">
        <v>25</v>
      </c>
      <c r="K1587" t="s">
        <v>8388</v>
      </c>
      <c r="L1587">
        <v>0</v>
      </c>
      <c r="M1587" t="s">
        <v>8389</v>
      </c>
      <c r="N1587" t="s">
        <v>8390</v>
      </c>
      <c r="O1587" t="s">
        <v>29</v>
      </c>
      <c r="P1587" t="s">
        <v>95</v>
      </c>
      <c r="Q1587" t="s">
        <v>65</v>
      </c>
      <c r="R1587" s="3">
        <v>59218.43</v>
      </c>
    </row>
    <row r="1588" spans="1:18" x14ac:dyDescent="0.3">
      <c r="A1588" t="s">
        <v>8391</v>
      </c>
      <c r="B1588" t="str">
        <f>TEXT(Raw_Data[[#This Row],[Order Date]],"mmm")</f>
        <v>Mar</v>
      </c>
      <c r="C1588" t="s">
        <v>1460</v>
      </c>
      <c r="D1588" t="s">
        <v>8392</v>
      </c>
      <c r="E1588" t="s">
        <v>48</v>
      </c>
      <c r="F1588" t="s">
        <v>58</v>
      </c>
      <c r="G1588" t="s">
        <v>290</v>
      </c>
      <c r="H1588" t="s">
        <v>80</v>
      </c>
      <c r="I1588" t="s">
        <v>146</v>
      </c>
      <c r="J1588" t="s">
        <v>25</v>
      </c>
      <c r="K1588" t="s">
        <v>8393</v>
      </c>
      <c r="L1588">
        <v>0.05</v>
      </c>
      <c r="M1588" t="s">
        <v>8394</v>
      </c>
      <c r="N1588" t="s">
        <v>8395</v>
      </c>
      <c r="O1588" t="s">
        <v>29</v>
      </c>
      <c r="P1588" t="s">
        <v>159</v>
      </c>
      <c r="Q1588" t="s">
        <v>44</v>
      </c>
      <c r="R1588" s="3">
        <v>5926.4324999999999</v>
      </c>
    </row>
    <row r="1589" spans="1:18" x14ac:dyDescent="0.3">
      <c r="A1589" t="s">
        <v>8396</v>
      </c>
      <c r="B1589" t="str">
        <f>TEXT(Raw_Data[[#This Row],[Order Date]],"mmm")</f>
        <v>Mar</v>
      </c>
      <c r="C1589" t="s">
        <v>713</v>
      </c>
      <c r="D1589" t="s">
        <v>8397</v>
      </c>
      <c r="E1589" t="s">
        <v>35</v>
      </c>
      <c r="F1589" t="s">
        <v>58</v>
      </c>
      <c r="G1589" t="s">
        <v>59</v>
      </c>
      <c r="H1589" t="s">
        <v>23</v>
      </c>
      <c r="I1589" t="s">
        <v>183</v>
      </c>
      <c r="J1589" t="s">
        <v>82</v>
      </c>
      <c r="K1589" t="s">
        <v>8398</v>
      </c>
      <c r="L1589">
        <v>0.2</v>
      </c>
      <c r="M1589" t="s">
        <v>8399</v>
      </c>
      <c r="N1589" t="s">
        <v>8400</v>
      </c>
      <c r="O1589" t="s">
        <v>173</v>
      </c>
      <c r="P1589" t="s">
        <v>30</v>
      </c>
      <c r="Q1589" t="s">
        <v>65</v>
      </c>
      <c r="R1589" s="3">
        <v>58109.023999999998</v>
      </c>
    </row>
    <row r="1590" spans="1:18" x14ac:dyDescent="0.3">
      <c r="A1590" t="s">
        <v>8401</v>
      </c>
      <c r="B1590" t="str">
        <f>TEXT(Raw_Data[[#This Row],[Order Date]],"mmm")</f>
        <v>Aug</v>
      </c>
      <c r="C1590" t="s">
        <v>528</v>
      </c>
      <c r="D1590" t="s">
        <v>8402</v>
      </c>
      <c r="E1590" t="s">
        <v>20</v>
      </c>
      <c r="F1590" t="s">
        <v>21</v>
      </c>
      <c r="G1590" t="s">
        <v>130</v>
      </c>
      <c r="H1590" t="s">
        <v>23</v>
      </c>
      <c r="I1590" t="s">
        <v>263</v>
      </c>
      <c r="J1590" t="s">
        <v>25</v>
      </c>
      <c r="K1590" t="s">
        <v>8403</v>
      </c>
      <c r="L1590">
        <v>0.1</v>
      </c>
      <c r="M1590" t="s">
        <v>8404</v>
      </c>
      <c r="N1590" t="s">
        <v>8405</v>
      </c>
      <c r="O1590" t="s">
        <v>173</v>
      </c>
      <c r="P1590" t="s">
        <v>30</v>
      </c>
      <c r="Q1590" t="s">
        <v>31</v>
      </c>
      <c r="R1590" s="3">
        <v>17225.117999999999</v>
      </c>
    </row>
    <row r="1591" spans="1:18" x14ac:dyDescent="0.3">
      <c r="A1591" t="s">
        <v>8406</v>
      </c>
      <c r="B1591" t="str">
        <f>TEXT(Raw_Data[[#This Row],[Order Date]],"mmm")</f>
        <v>Dec</v>
      </c>
      <c r="C1591" t="s">
        <v>1515</v>
      </c>
      <c r="D1591" t="s">
        <v>8407</v>
      </c>
      <c r="E1591" t="s">
        <v>48</v>
      </c>
      <c r="F1591" t="s">
        <v>36</v>
      </c>
      <c r="G1591" t="s">
        <v>123</v>
      </c>
      <c r="H1591" t="s">
        <v>38</v>
      </c>
      <c r="I1591" t="s">
        <v>71</v>
      </c>
      <c r="J1591" t="s">
        <v>50</v>
      </c>
      <c r="K1591" t="s">
        <v>8408</v>
      </c>
      <c r="L1591">
        <v>0</v>
      </c>
      <c r="M1591" t="s">
        <v>8409</v>
      </c>
      <c r="N1591" t="s">
        <v>8410</v>
      </c>
      <c r="O1591" t="s">
        <v>43</v>
      </c>
      <c r="P1591" t="s">
        <v>30</v>
      </c>
      <c r="Q1591" t="s">
        <v>31</v>
      </c>
      <c r="R1591" s="3">
        <v>9015.6</v>
      </c>
    </row>
    <row r="1592" spans="1:18" x14ac:dyDescent="0.3">
      <c r="A1592" t="s">
        <v>8411</v>
      </c>
      <c r="B1592" t="str">
        <f>TEXT(Raw_Data[[#This Row],[Order Date]],"mmm")</f>
        <v>Jul</v>
      </c>
      <c r="C1592" t="s">
        <v>3575</v>
      </c>
      <c r="D1592" t="s">
        <v>8412</v>
      </c>
      <c r="E1592" t="s">
        <v>20</v>
      </c>
      <c r="F1592" t="s">
        <v>78</v>
      </c>
      <c r="G1592" t="s">
        <v>731</v>
      </c>
      <c r="H1592" t="s">
        <v>80</v>
      </c>
      <c r="I1592" t="s">
        <v>116</v>
      </c>
      <c r="J1592" t="s">
        <v>25</v>
      </c>
      <c r="K1592" t="s">
        <v>8413</v>
      </c>
      <c r="L1592">
        <v>0.1</v>
      </c>
      <c r="M1592" t="s">
        <v>8414</v>
      </c>
      <c r="N1592" t="s">
        <v>8415</v>
      </c>
      <c r="O1592" t="s">
        <v>29</v>
      </c>
      <c r="P1592" t="s">
        <v>30</v>
      </c>
      <c r="Q1592" t="s">
        <v>65</v>
      </c>
      <c r="R1592" s="3">
        <v>5430.5459999999903</v>
      </c>
    </row>
    <row r="1593" spans="1:18" x14ac:dyDescent="0.3">
      <c r="A1593" t="s">
        <v>8416</v>
      </c>
      <c r="B1593" t="str">
        <f>TEXT(Raw_Data[[#This Row],[Order Date]],"mmm")</f>
        <v>Jul</v>
      </c>
      <c r="C1593" t="s">
        <v>2261</v>
      </c>
      <c r="D1593" t="s">
        <v>8417</v>
      </c>
      <c r="E1593" t="s">
        <v>20</v>
      </c>
      <c r="F1593" t="s">
        <v>215</v>
      </c>
      <c r="G1593" t="s">
        <v>216</v>
      </c>
      <c r="H1593" t="s">
        <v>23</v>
      </c>
      <c r="I1593" t="s">
        <v>341</v>
      </c>
      <c r="J1593" t="s">
        <v>25</v>
      </c>
      <c r="K1593" t="s">
        <v>8418</v>
      </c>
      <c r="L1593">
        <v>0.05</v>
      </c>
      <c r="M1593" t="s">
        <v>8419</v>
      </c>
      <c r="N1593" t="s">
        <v>8420</v>
      </c>
      <c r="O1593" t="s">
        <v>43</v>
      </c>
      <c r="P1593" t="s">
        <v>30</v>
      </c>
      <c r="Q1593" t="s">
        <v>31</v>
      </c>
      <c r="R1593" s="3">
        <v>25259.151000000002</v>
      </c>
    </row>
    <row r="1594" spans="1:18" x14ac:dyDescent="0.3">
      <c r="A1594" t="s">
        <v>8421</v>
      </c>
      <c r="B1594" t="str">
        <f>TEXT(Raw_Data[[#This Row],[Order Date]],"mmm")</f>
        <v>Jul</v>
      </c>
      <c r="C1594" t="s">
        <v>2776</v>
      </c>
      <c r="D1594" t="s">
        <v>8422</v>
      </c>
      <c r="E1594" t="s">
        <v>35</v>
      </c>
      <c r="F1594" t="s">
        <v>21</v>
      </c>
      <c r="G1594" t="s">
        <v>130</v>
      </c>
      <c r="H1594" t="s">
        <v>80</v>
      </c>
      <c r="I1594" t="s">
        <v>146</v>
      </c>
      <c r="J1594" t="s">
        <v>25</v>
      </c>
      <c r="K1594" t="s">
        <v>8423</v>
      </c>
      <c r="L1594">
        <v>0</v>
      </c>
      <c r="M1594" t="s">
        <v>8424</v>
      </c>
      <c r="N1594" t="s">
        <v>8425</v>
      </c>
      <c r="O1594" t="s">
        <v>64</v>
      </c>
      <c r="P1594" t="s">
        <v>30</v>
      </c>
      <c r="Q1594" t="s">
        <v>44</v>
      </c>
      <c r="R1594" s="3">
        <v>4341.8</v>
      </c>
    </row>
    <row r="1595" spans="1:18" x14ac:dyDescent="0.3">
      <c r="A1595" t="s">
        <v>8426</v>
      </c>
      <c r="B1595" t="str">
        <f>TEXT(Raw_Data[[#This Row],[Order Date]],"mmm")</f>
        <v>Jul</v>
      </c>
      <c r="C1595" t="s">
        <v>2416</v>
      </c>
      <c r="D1595" t="s">
        <v>8427</v>
      </c>
      <c r="E1595" t="s">
        <v>48</v>
      </c>
      <c r="F1595" t="s">
        <v>89</v>
      </c>
      <c r="G1595" t="s">
        <v>90</v>
      </c>
      <c r="H1595" t="s">
        <v>107</v>
      </c>
      <c r="I1595" t="s">
        <v>378</v>
      </c>
      <c r="J1595" t="s">
        <v>50</v>
      </c>
      <c r="K1595" t="s">
        <v>8428</v>
      </c>
      <c r="L1595">
        <v>0.1</v>
      </c>
      <c r="M1595" t="s">
        <v>8429</v>
      </c>
      <c r="N1595" t="s">
        <v>8430</v>
      </c>
      <c r="O1595" t="s">
        <v>29</v>
      </c>
      <c r="P1595" t="s">
        <v>30</v>
      </c>
      <c r="Q1595" t="s">
        <v>44</v>
      </c>
      <c r="R1595" s="3">
        <v>27159.498</v>
      </c>
    </row>
    <row r="1596" spans="1:18" x14ac:dyDescent="0.3">
      <c r="A1596" t="s">
        <v>8431</v>
      </c>
      <c r="B1596" t="str">
        <f>TEXT(Raw_Data[[#This Row],[Order Date]],"mmm")</f>
        <v>Jul</v>
      </c>
      <c r="C1596" t="s">
        <v>389</v>
      </c>
      <c r="D1596" t="s">
        <v>8432</v>
      </c>
      <c r="E1596" t="s">
        <v>35</v>
      </c>
      <c r="F1596" t="s">
        <v>215</v>
      </c>
      <c r="G1596" t="s">
        <v>276</v>
      </c>
      <c r="H1596" t="s">
        <v>80</v>
      </c>
      <c r="I1596" t="s">
        <v>116</v>
      </c>
      <c r="J1596" t="s">
        <v>50</v>
      </c>
      <c r="K1596" t="s">
        <v>8433</v>
      </c>
      <c r="L1596">
        <v>0.05</v>
      </c>
      <c r="M1596" t="s">
        <v>8434</v>
      </c>
      <c r="N1596" t="s">
        <v>8435</v>
      </c>
      <c r="O1596" t="s">
        <v>64</v>
      </c>
      <c r="P1596" t="s">
        <v>30</v>
      </c>
      <c r="Q1596" t="s">
        <v>44</v>
      </c>
      <c r="R1596" s="3">
        <v>5565.6129999999903</v>
      </c>
    </row>
    <row r="1597" spans="1:18" x14ac:dyDescent="0.3">
      <c r="A1597" t="s">
        <v>8436</v>
      </c>
      <c r="B1597" t="str">
        <f>TEXT(Raw_Data[[#This Row],[Order Date]],"mmm")</f>
        <v>Sep</v>
      </c>
      <c r="C1597" t="s">
        <v>1192</v>
      </c>
      <c r="D1597" t="s">
        <v>8437</v>
      </c>
      <c r="E1597" t="s">
        <v>20</v>
      </c>
      <c r="F1597" t="s">
        <v>21</v>
      </c>
      <c r="G1597" t="s">
        <v>22</v>
      </c>
      <c r="H1597" t="s">
        <v>154</v>
      </c>
      <c r="I1597" t="s">
        <v>309</v>
      </c>
      <c r="J1597" t="s">
        <v>100</v>
      </c>
      <c r="K1597" t="s">
        <v>8438</v>
      </c>
      <c r="L1597">
        <v>0.05</v>
      </c>
      <c r="M1597" t="s">
        <v>8439</v>
      </c>
      <c r="N1597" t="s">
        <v>8440</v>
      </c>
      <c r="O1597" t="s">
        <v>54</v>
      </c>
      <c r="P1597" t="s">
        <v>112</v>
      </c>
      <c r="Q1597" t="s">
        <v>65</v>
      </c>
      <c r="R1597" s="3">
        <v>19187.197499999998</v>
      </c>
    </row>
    <row r="1598" spans="1:18" x14ac:dyDescent="0.3">
      <c r="A1598" t="s">
        <v>8441</v>
      </c>
      <c r="B1598" t="str">
        <f>TEXT(Raw_Data[[#This Row],[Order Date]],"mmm")</f>
        <v>Jan</v>
      </c>
      <c r="C1598" t="s">
        <v>2602</v>
      </c>
      <c r="D1598" t="s">
        <v>8442</v>
      </c>
      <c r="E1598" t="s">
        <v>20</v>
      </c>
      <c r="F1598" t="s">
        <v>58</v>
      </c>
      <c r="G1598" t="s">
        <v>812</v>
      </c>
      <c r="H1598" t="s">
        <v>107</v>
      </c>
      <c r="I1598" t="s">
        <v>591</v>
      </c>
      <c r="J1598" t="s">
        <v>82</v>
      </c>
      <c r="K1598" t="s">
        <v>8443</v>
      </c>
      <c r="L1598">
        <v>0</v>
      </c>
      <c r="M1598" t="s">
        <v>8444</v>
      </c>
      <c r="N1598" t="s">
        <v>8445</v>
      </c>
      <c r="O1598" t="s">
        <v>173</v>
      </c>
      <c r="P1598" t="s">
        <v>112</v>
      </c>
      <c r="Q1598" t="s">
        <v>31</v>
      </c>
      <c r="R1598" s="3">
        <v>33182.559999999998</v>
      </c>
    </row>
    <row r="1599" spans="1:18" x14ac:dyDescent="0.3">
      <c r="A1599" t="s">
        <v>8446</v>
      </c>
      <c r="B1599" t="str">
        <f>TEXT(Raw_Data[[#This Row],[Order Date]],"mmm")</f>
        <v>Oct</v>
      </c>
      <c r="C1599" t="s">
        <v>474</v>
      </c>
      <c r="D1599" t="s">
        <v>8447</v>
      </c>
      <c r="E1599" t="s">
        <v>20</v>
      </c>
      <c r="F1599" t="s">
        <v>58</v>
      </c>
      <c r="G1599" t="s">
        <v>812</v>
      </c>
      <c r="H1599" t="s">
        <v>23</v>
      </c>
      <c r="I1599" t="s">
        <v>24</v>
      </c>
      <c r="J1599" t="s">
        <v>25</v>
      </c>
      <c r="K1599" t="s">
        <v>8448</v>
      </c>
      <c r="L1599">
        <v>0</v>
      </c>
      <c r="M1599" t="s">
        <v>8449</v>
      </c>
      <c r="N1599" t="s">
        <v>8450</v>
      </c>
      <c r="O1599" t="s">
        <v>64</v>
      </c>
      <c r="P1599" t="s">
        <v>159</v>
      </c>
      <c r="Q1599" t="s">
        <v>65</v>
      </c>
      <c r="R1599" s="3">
        <v>62479.12</v>
      </c>
    </row>
    <row r="1600" spans="1:18" x14ac:dyDescent="0.3">
      <c r="A1600" t="s">
        <v>8451</v>
      </c>
      <c r="B1600" t="str">
        <f>TEXT(Raw_Data[[#This Row],[Order Date]],"mmm")</f>
        <v>Jul</v>
      </c>
      <c r="C1600" t="s">
        <v>412</v>
      </c>
      <c r="D1600" t="s">
        <v>8452</v>
      </c>
      <c r="E1600" t="s">
        <v>35</v>
      </c>
      <c r="F1600" t="s">
        <v>106</v>
      </c>
      <c r="G1600" t="s">
        <v>106</v>
      </c>
      <c r="H1600" t="s">
        <v>107</v>
      </c>
      <c r="I1600" t="s">
        <v>469</v>
      </c>
      <c r="J1600" t="s">
        <v>25</v>
      </c>
      <c r="K1600" t="s">
        <v>8453</v>
      </c>
      <c r="L1600">
        <v>0.15</v>
      </c>
      <c r="M1600" t="s">
        <v>8454</v>
      </c>
      <c r="N1600" t="s">
        <v>8455</v>
      </c>
      <c r="O1600" t="s">
        <v>29</v>
      </c>
      <c r="P1600" t="s">
        <v>30</v>
      </c>
      <c r="Q1600" t="s">
        <v>65</v>
      </c>
      <c r="R1600" s="3">
        <v>8068.268</v>
      </c>
    </row>
    <row r="1601" spans="1:18" x14ac:dyDescent="0.3">
      <c r="A1601" t="s">
        <v>8456</v>
      </c>
      <c r="B1601" t="str">
        <f>TEXT(Raw_Data[[#This Row],[Order Date]],"mmm")</f>
        <v>Nov</v>
      </c>
      <c r="C1601" t="s">
        <v>918</v>
      </c>
      <c r="D1601" t="s">
        <v>8457</v>
      </c>
      <c r="E1601" t="s">
        <v>20</v>
      </c>
      <c r="F1601" t="s">
        <v>69</v>
      </c>
      <c r="G1601" t="s">
        <v>70</v>
      </c>
      <c r="H1601" t="s">
        <v>107</v>
      </c>
      <c r="I1601" t="s">
        <v>591</v>
      </c>
      <c r="J1601" t="s">
        <v>50</v>
      </c>
      <c r="K1601" t="s">
        <v>8458</v>
      </c>
      <c r="L1601">
        <v>0.05</v>
      </c>
      <c r="M1601" t="s">
        <v>8459</v>
      </c>
      <c r="N1601" t="s">
        <v>8460</v>
      </c>
      <c r="O1601" t="s">
        <v>2763</v>
      </c>
      <c r="P1601" t="s">
        <v>30</v>
      </c>
      <c r="Q1601" t="s">
        <v>44</v>
      </c>
      <c r="R1601" s="3">
        <v>14643.584999999999</v>
      </c>
    </row>
    <row r="1602" spans="1:18" x14ac:dyDescent="0.3">
      <c r="A1602" t="s">
        <v>8461</v>
      </c>
      <c r="B1602" t="str">
        <f>TEXT(Raw_Data[[#This Row],[Order Date]],"mmm")</f>
        <v>Nov</v>
      </c>
      <c r="C1602" t="s">
        <v>1204</v>
      </c>
      <c r="D1602" t="s">
        <v>8462</v>
      </c>
      <c r="E1602" t="s">
        <v>35</v>
      </c>
      <c r="F1602" t="s">
        <v>106</v>
      </c>
      <c r="G1602" t="s">
        <v>106</v>
      </c>
      <c r="H1602" t="s">
        <v>38</v>
      </c>
      <c r="I1602" t="s">
        <v>39</v>
      </c>
      <c r="J1602" t="s">
        <v>25</v>
      </c>
      <c r="K1602" t="s">
        <v>8463</v>
      </c>
      <c r="L1602">
        <v>0.15</v>
      </c>
      <c r="M1602" t="s">
        <v>8464</v>
      </c>
      <c r="N1602" t="s">
        <v>8465</v>
      </c>
      <c r="O1602" t="s">
        <v>64</v>
      </c>
      <c r="P1602" t="s">
        <v>30</v>
      </c>
      <c r="Q1602" t="s">
        <v>31</v>
      </c>
      <c r="R1602" s="3">
        <v>2062.627</v>
      </c>
    </row>
    <row r="1603" spans="1:18" x14ac:dyDescent="0.3">
      <c r="A1603" t="s">
        <v>8466</v>
      </c>
      <c r="B1603" t="str">
        <f>TEXT(Raw_Data[[#This Row],[Order Date]],"mmm")</f>
        <v>Dec</v>
      </c>
      <c r="C1603" t="s">
        <v>1233</v>
      </c>
      <c r="D1603" t="s">
        <v>8467</v>
      </c>
      <c r="E1603" t="s">
        <v>20</v>
      </c>
      <c r="F1603" t="s">
        <v>58</v>
      </c>
      <c r="G1603" t="s">
        <v>812</v>
      </c>
      <c r="H1603" t="s">
        <v>23</v>
      </c>
      <c r="I1603" t="s">
        <v>341</v>
      </c>
      <c r="J1603" t="s">
        <v>25</v>
      </c>
      <c r="K1603" t="s">
        <v>8468</v>
      </c>
      <c r="L1603">
        <v>0</v>
      </c>
      <c r="M1603" t="s">
        <v>8469</v>
      </c>
      <c r="N1603" t="s">
        <v>8470</v>
      </c>
      <c r="O1603" t="s">
        <v>43</v>
      </c>
      <c r="P1603" t="s">
        <v>30</v>
      </c>
      <c r="Q1603" t="s">
        <v>31</v>
      </c>
      <c r="R1603" s="3">
        <v>54202.89</v>
      </c>
    </row>
    <row r="1604" spans="1:18" x14ac:dyDescent="0.3">
      <c r="A1604" t="s">
        <v>8471</v>
      </c>
      <c r="B1604" t="str">
        <f>TEXT(Raw_Data[[#This Row],[Order Date]],"mmm")</f>
        <v>Oct</v>
      </c>
      <c r="C1604" t="s">
        <v>584</v>
      </c>
      <c r="D1604" t="s">
        <v>8472</v>
      </c>
      <c r="E1604" t="s">
        <v>48</v>
      </c>
      <c r="F1604" t="s">
        <v>78</v>
      </c>
      <c r="G1604" t="s">
        <v>731</v>
      </c>
      <c r="H1604" t="s">
        <v>154</v>
      </c>
      <c r="I1604" t="s">
        <v>1061</v>
      </c>
      <c r="J1604" t="s">
        <v>25</v>
      </c>
      <c r="K1604" t="s">
        <v>8473</v>
      </c>
      <c r="L1604">
        <v>0.15</v>
      </c>
      <c r="M1604" t="s">
        <v>8474</v>
      </c>
      <c r="N1604" t="s">
        <v>8475</v>
      </c>
      <c r="O1604" t="s">
        <v>54</v>
      </c>
      <c r="P1604" t="s">
        <v>30</v>
      </c>
      <c r="Q1604" t="s">
        <v>31</v>
      </c>
      <c r="R1604" s="3">
        <v>6788.3379999999997</v>
      </c>
    </row>
    <row r="1605" spans="1:18" x14ac:dyDescent="0.3">
      <c r="A1605" t="s">
        <v>8476</v>
      </c>
      <c r="B1605" t="str">
        <f>TEXT(Raw_Data[[#This Row],[Order Date]],"mmm")</f>
        <v>Aug</v>
      </c>
      <c r="C1605" t="s">
        <v>930</v>
      </c>
      <c r="D1605" t="s">
        <v>8477</v>
      </c>
      <c r="E1605" t="s">
        <v>48</v>
      </c>
      <c r="F1605" t="s">
        <v>215</v>
      </c>
      <c r="G1605" t="s">
        <v>216</v>
      </c>
      <c r="H1605" t="s">
        <v>38</v>
      </c>
      <c r="I1605" t="s">
        <v>256</v>
      </c>
      <c r="J1605" t="s">
        <v>25</v>
      </c>
      <c r="K1605" t="s">
        <v>8478</v>
      </c>
      <c r="L1605">
        <v>0.15</v>
      </c>
      <c r="M1605" t="s">
        <v>8479</v>
      </c>
      <c r="N1605" t="s">
        <v>8480</v>
      </c>
      <c r="O1605" t="s">
        <v>29</v>
      </c>
      <c r="P1605" t="s">
        <v>30</v>
      </c>
      <c r="Q1605" t="s">
        <v>44</v>
      </c>
      <c r="R1605" s="3">
        <v>3117.0009999999902</v>
      </c>
    </row>
    <row r="1606" spans="1:18" x14ac:dyDescent="0.3">
      <c r="A1606" t="s">
        <v>8481</v>
      </c>
      <c r="B1606" t="str">
        <f>TEXT(Raw_Data[[#This Row],[Order Date]],"mmm")</f>
        <v>May</v>
      </c>
      <c r="C1606" t="s">
        <v>817</v>
      </c>
      <c r="D1606" t="s">
        <v>8482</v>
      </c>
      <c r="E1606" t="s">
        <v>48</v>
      </c>
      <c r="F1606" t="s">
        <v>89</v>
      </c>
      <c r="G1606" t="s">
        <v>230</v>
      </c>
      <c r="H1606" t="s">
        <v>80</v>
      </c>
      <c r="I1606" t="s">
        <v>91</v>
      </c>
      <c r="J1606" t="s">
        <v>25</v>
      </c>
      <c r="K1606" t="s">
        <v>8483</v>
      </c>
      <c r="L1606">
        <v>0.1</v>
      </c>
      <c r="M1606" t="s">
        <v>8484</v>
      </c>
      <c r="N1606" t="s">
        <v>8485</v>
      </c>
      <c r="O1606" t="s">
        <v>29</v>
      </c>
      <c r="P1606" t="s">
        <v>30</v>
      </c>
      <c r="Q1606" t="s">
        <v>31</v>
      </c>
      <c r="R1606" s="3">
        <v>5101.1549999999997</v>
      </c>
    </row>
    <row r="1607" spans="1:18" x14ac:dyDescent="0.3">
      <c r="A1607" t="s">
        <v>8486</v>
      </c>
      <c r="B1607" t="str">
        <f>TEXT(Raw_Data[[#This Row],[Order Date]],"mmm")</f>
        <v>May</v>
      </c>
      <c r="C1607" t="s">
        <v>301</v>
      </c>
      <c r="D1607" t="s">
        <v>8487</v>
      </c>
      <c r="E1607" t="s">
        <v>20</v>
      </c>
      <c r="F1607" t="s">
        <v>89</v>
      </c>
      <c r="G1607" t="s">
        <v>99</v>
      </c>
      <c r="H1607" t="s">
        <v>107</v>
      </c>
      <c r="I1607" t="s">
        <v>108</v>
      </c>
      <c r="J1607" t="s">
        <v>25</v>
      </c>
      <c r="K1607" t="s">
        <v>8488</v>
      </c>
      <c r="L1607">
        <v>0.1</v>
      </c>
      <c r="M1607" t="s">
        <v>8489</v>
      </c>
      <c r="N1607" t="s">
        <v>8490</v>
      </c>
      <c r="O1607" t="s">
        <v>43</v>
      </c>
      <c r="P1607" t="s">
        <v>30</v>
      </c>
      <c r="Q1607" t="s">
        <v>44</v>
      </c>
      <c r="R1607" s="3">
        <v>2757.2939999999999</v>
      </c>
    </row>
    <row r="1608" spans="1:18" x14ac:dyDescent="0.3">
      <c r="A1608" t="s">
        <v>8491</v>
      </c>
      <c r="B1608" t="str">
        <f>TEXT(Raw_Data[[#This Row],[Order Date]],"mmm")</f>
        <v>Oct</v>
      </c>
      <c r="C1608" t="s">
        <v>3910</v>
      </c>
      <c r="D1608" t="s">
        <v>8492</v>
      </c>
      <c r="E1608" t="s">
        <v>20</v>
      </c>
      <c r="F1608" t="s">
        <v>89</v>
      </c>
      <c r="G1608" t="s">
        <v>230</v>
      </c>
      <c r="H1608" t="s">
        <v>80</v>
      </c>
      <c r="I1608" t="s">
        <v>91</v>
      </c>
      <c r="J1608" t="s">
        <v>100</v>
      </c>
      <c r="K1608" t="s">
        <v>8493</v>
      </c>
      <c r="L1608">
        <v>0</v>
      </c>
      <c r="M1608" t="s">
        <v>8494</v>
      </c>
      <c r="N1608" t="s">
        <v>8495</v>
      </c>
      <c r="O1608" t="s">
        <v>54</v>
      </c>
      <c r="P1608" t="s">
        <v>112</v>
      </c>
      <c r="Q1608" t="s">
        <v>44</v>
      </c>
      <c r="R1608" s="3">
        <v>20559.12</v>
      </c>
    </row>
    <row r="1609" spans="1:18" x14ac:dyDescent="0.3">
      <c r="A1609" t="s">
        <v>8496</v>
      </c>
      <c r="B1609" t="str">
        <f>TEXT(Raw_Data[[#This Row],[Order Date]],"mmm")</f>
        <v>Mar</v>
      </c>
      <c r="C1609" t="s">
        <v>1021</v>
      </c>
      <c r="D1609" t="s">
        <v>8497</v>
      </c>
      <c r="E1609" t="s">
        <v>48</v>
      </c>
      <c r="F1609" t="s">
        <v>89</v>
      </c>
      <c r="G1609" t="s">
        <v>230</v>
      </c>
      <c r="H1609" t="s">
        <v>154</v>
      </c>
      <c r="I1609" t="s">
        <v>237</v>
      </c>
      <c r="J1609" t="s">
        <v>25</v>
      </c>
      <c r="K1609" t="s">
        <v>8498</v>
      </c>
      <c r="L1609">
        <v>0.1</v>
      </c>
      <c r="M1609" t="s">
        <v>8499</v>
      </c>
      <c r="N1609" t="s">
        <v>8500</v>
      </c>
      <c r="O1609" t="s">
        <v>54</v>
      </c>
      <c r="P1609" t="s">
        <v>30</v>
      </c>
      <c r="Q1609" t="s">
        <v>44</v>
      </c>
      <c r="R1609" s="3">
        <v>9221.5439999999999</v>
      </c>
    </row>
    <row r="1610" spans="1:18" x14ac:dyDescent="0.3">
      <c r="A1610" t="s">
        <v>8501</v>
      </c>
      <c r="B1610" t="str">
        <f>TEXT(Raw_Data[[#This Row],[Order Date]],"mmm")</f>
        <v>Apr</v>
      </c>
      <c r="C1610" t="s">
        <v>4751</v>
      </c>
      <c r="D1610" t="s">
        <v>8502</v>
      </c>
      <c r="E1610" t="s">
        <v>48</v>
      </c>
      <c r="F1610" t="s">
        <v>69</v>
      </c>
      <c r="G1610" t="s">
        <v>70</v>
      </c>
      <c r="H1610" t="s">
        <v>80</v>
      </c>
      <c r="I1610" t="s">
        <v>91</v>
      </c>
      <c r="J1610" t="s">
        <v>50</v>
      </c>
      <c r="K1610" t="s">
        <v>8503</v>
      </c>
      <c r="L1610">
        <v>0</v>
      </c>
      <c r="M1610" t="s">
        <v>8504</v>
      </c>
      <c r="N1610" t="s">
        <v>8505</v>
      </c>
      <c r="O1610" t="s">
        <v>29</v>
      </c>
      <c r="P1610" t="s">
        <v>159</v>
      </c>
      <c r="Q1610" t="s">
        <v>65</v>
      </c>
      <c r="R1610" s="3">
        <v>10438.66</v>
      </c>
    </row>
    <row r="1611" spans="1:18" x14ac:dyDescent="0.3">
      <c r="A1611" t="s">
        <v>8506</v>
      </c>
      <c r="B1611" t="str">
        <f>TEXT(Raw_Data[[#This Row],[Order Date]],"mmm")</f>
        <v>Jan</v>
      </c>
      <c r="C1611" t="s">
        <v>431</v>
      </c>
      <c r="D1611" t="s">
        <v>8507</v>
      </c>
      <c r="E1611" t="s">
        <v>35</v>
      </c>
      <c r="F1611" t="s">
        <v>78</v>
      </c>
      <c r="G1611" t="s">
        <v>468</v>
      </c>
      <c r="H1611" t="s">
        <v>80</v>
      </c>
      <c r="I1611" t="s">
        <v>131</v>
      </c>
      <c r="J1611" t="s">
        <v>50</v>
      </c>
      <c r="K1611" t="s">
        <v>8508</v>
      </c>
      <c r="L1611">
        <v>0</v>
      </c>
      <c r="M1611" t="s">
        <v>8509</v>
      </c>
      <c r="N1611" t="s">
        <v>8510</v>
      </c>
      <c r="O1611" t="s">
        <v>43</v>
      </c>
      <c r="P1611" t="s">
        <v>30</v>
      </c>
      <c r="Q1611" t="s">
        <v>44</v>
      </c>
      <c r="R1611" s="3">
        <v>12189.58</v>
      </c>
    </row>
    <row r="1612" spans="1:18" x14ac:dyDescent="0.3">
      <c r="A1612" t="s">
        <v>8511</v>
      </c>
      <c r="B1612" t="str">
        <f>TEXT(Raw_Data[[#This Row],[Order Date]],"mmm")</f>
        <v>Dec</v>
      </c>
      <c r="C1612" t="s">
        <v>2332</v>
      </c>
      <c r="D1612" t="s">
        <v>8512</v>
      </c>
      <c r="E1612" t="s">
        <v>20</v>
      </c>
      <c r="F1612" t="s">
        <v>36</v>
      </c>
      <c r="G1612" t="s">
        <v>414</v>
      </c>
      <c r="H1612" t="s">
        <v>107</v>
      </c>
      <c r="I1612" t="s">
        <v>591</v>
      </c>
      <c r="J1612" t="s">
        <v>100</v>
      </c>
      <c r="K1612" t="s">
        <v>8513</v>
      </c>
      <c r="L1612">
        <v>0.05</v>
      </c>
      <c r="M1612" t="s">
        <v>8514</v>
      </c>
      <c r="N1612" t="s">
        <v>8515</v>
      </c>
      <c r="O1612" t="s">
        <v>64</v>
      </c>
      <c r="P1612" t="s">
        <v>30</v>
      </c>
      <c r="Q1612" t="s">
        <v>31</v>
      </c>
      <c r="R1612" s="3">
        <v>50971.2239999999</v>
      </c>
    </row>
    <row r="1613" spans="1:18" x14ac:dyDescent="0.3">
      <c r="A1613" t="s">
        <v>8516</v>
      </c>
      <c r="B1613" t="str">
        <f>TEXT(Raw_Data[[#This Row],[Order Date]],"mmm")</f>
        <v>Mar</v>
      </c>
      <c r="C1613" t="s">
        <v>3284</v>
      </c>
      <c r="D1613" t="s">
        <v>8517</v>
      </c>
      <c r="E1613" t="s">
        <v>20</v>
      </c>
      <c r="F1613" t="s">
        <v>58</v>
      </c>
      <c r="G1613" t="s">
        <v>290</v>
      </c>
      <c r="H1613" t="s">
        <v>107</v>
      </c>
      <c r="I1613" t="s">
        <v>591</v>
      </c>
      <c r="J1613" t="s">
        <v>25</v>
      </c>
      <c r="K1613" t="s">
        <v>8518</v>
      </c>
      <c r="L1613">
        <v>0</v>
      </c>
      <c r="M1613" t="s">
        <v>8519</v>
      </c>
      <c r="N1613" t="s">
        <v>8520</v>
      </c>
      <c r="O1613" t="s">
        <v>29</v>
      </c>
      <c r="P1613" t="s">
        <v>30</v>
      </c>
      <c r="Q1613" t="s">
        <v>31</v>
      </c>
      <c r="R1613" s="3">
        <v>1487.07</v>
      </c>
    </row>
    <row r="1614" spans="1:18" x14ac:dyDescent="0.3">
      <c r="A1614" t="s">
        <v>8521</v>
      </c>
      <c r="B1614" t="str">
        <f>TEXT(Raw_Data[[#This Row],[Order Date]],"mmm")</f>
        <v>May</v>
      </c>
      <c r="C1614" t="s">
        <v>2840</v>
      </c>
      <c r="D1614" t="s">
        <v>8522</v>
      </c>
      <c r="E1614" t="s">
        <v>35</v>
      </c>
      <c r="F1614" t="s">
        <v>36</v>
      </c>
      <c r="G1614" t="s">
        <v>153</v>
      </c>
      <c r="H1614" t="s">
        <v>23</v>
      </c>
      <c r="I1614" t="s">
        <v>49</v>
      </c>
      <c r="J1614" t="s">
        <v>50</v>
      </c>
      <c r="K1614" t="s">
        <v>8523</v>
      </c>
      <c r="L1614">
        <v>0</v>
      </c>
      <c r="M1614" t="s">
        <v>8524</v>
      </c>
      <c r="N1614" t="s">
        <v>8525</v>
      </c>
      <c r="O1614" t="s">
        <v>43</v>
      </c>
      <c r="P1614" t="s">
        <v>95</v>
      </c>
      <c r="Q1614" t="s">
        <v>44</v>
      </c>
      <c r="R1614" s="3">
        <v>53013.08</v>
      </c>
    </row>
    <row r="1615" spans="1:18" x14ac:dyDescent="0.3">
      <c r="A1615" t="s">
        <v>8526</v>
      </c>
      <c r="B1615" t="str">
        <f>TEXT(Raw_Data[[#This Row],[Order Date]],"mmm")</f>
        <v>Oct</v>
      </c>
      <c r="C1615" t="s">
        <v>2052</v>
      </c>
      <c r="D1615" t="s">
        <v>8527</v>
      </c>
      <c r="E1615" t="s">
        <v>48</v>
      </c>
      <c r="F1615" t="s">
        <v>36</v>
      </c>
      <c r="G1615" t="s">
        <v>37</v>
      </c>
      <c r="H1615" t="s">
        <v>80</v>
      </c>
      <c r="I1615" t="s">
        <v>116</v>
      </c>
      <c r="J1615" t="s">
        <v>50</v>
      </c>
      <c r="K1615" t="s">
        <v>8528</v>
      </c>
      <c r="L1615">
        <v>0.05</v>
      </c>
      <c r="M1615" t="s">
        <v>8529</v>
      </c>
      <c r="N1615" t="s">
        <v>8530</v>
      </c>
      <c r="O1615" t="s">
        <v>29</v>
      </c>
      <c r="P1615" t="s">
        <v>112</v>
      </c>
      <c r="Q1615" t="s">
        <v>31</v>
      </c>
      <c r="R1615" s="3">
        <v>5622.3090000000002</v>
      </c>
    </row>
    <row r="1616" spans="1:18" x14ac:dyDescent="0.3">
      <c r="A1616" t="s">
        <v>8531</v>
      </c>
      <c r="B1616" t="str">
        <f>TEXT(Raw_Data[[#This Row],[Order Date]],"mmm")</f>
        <v>Nov</v>
      </c>
      <c r="C1616" t="s">
        <v>443</v>
      </c>
      <c r="D1616" t="s">
        <v>8532</v>
      </c>
      <c r="E1616" t="s">
        <v>35</v>
      </c>
      <c r="F1616" t="s">
        <v>106</v>
      </c>
      <c r="G1616" t="s">
        <v>106</v>
      </c>
      <c r="H1616" t="s">
        <v>23</v>
      </c>
      <c r="I1616" t="s">
        <v>49</v>
      </c>
      <c r="J1616" t="s">
        <v>50</v>
      </c>
      <c r="K1616" t="s">
        <v>8533</v>
      </c>
      <c r="L1616">
        <v>0.2</v>
      </c>
      <c r="M1616" t="s">
        <v>8534</v>
      </c>
      <c r="N1616" t="s">
        <v>8535</v>
      </c>
      <c r="O1616" t="s">
        <v>64</v>
      </c>
      <c r="P1616" t="s">
        <v>159</v>
      </c>
      <c r="Q1616" t="s">
        <v>31</v>
      </c>
      <c r="R1616" s="3">
        <v>3030.5120000000002</v>
      </c>
    </row>
    <row r="1617" spans="1:18" x14ac:dyDescent="0.3">
      <c r="A1617" t="s">
        <v>8536</v>
      </c>
      <c r="B1617" t="str">
        <f>TEXT(Raw_Data[[#This Row],[Order Date]],"mmm")</f>
        <v>Dec</v>
      </c>
      <c r="C1617" t="s">
        <v>868</v>
      </c>
      <c r="D1617" t="s">
        <v>8537</v>
      </c>
      <c r="E1617" t="s">
        <v>20</v>
      </c>
      <c r="F1617" t="s">
        <v>69</v>
      </c>
      <c r="G1617" t="s">
        <v>70</v>
      </c>
      <c r="H1617" t="s">
        <v>107</v>
      </c>
      <c r="I1617" t="s">
        <v>591</v>
      </c>
      <c r="J1617" t="s">
        <v>100</v>
      </c>
      <c r="K1617" t="s">
        <v>8538</v>
      </c>
      <c r="L1617">
        <v>0</v>
      </c>
      <c r="M1617" t="s">
        <v>8539</v>
      </c>
      <c r="N1617" t="s">
        <v>8540</v>
      </c>
      <c r="O1617" t="s">
        <v>64</v>
      </c>
      <c r="P1617" t="s">
        <v>30</v>
      </c>
      <c r="Q1617" t="s">
        <v>44</v>
      </c>
      <c r="R1617" s="3">
        <v>11119.2</v>
      </c>
    </row>
    <row r="1618" spans="1:18" x14ac:dyDescent="0.3">
      <c r="A1618" t="s">
        <v>8541</v>
      </c>
      <c r="B1618" t="str">
        <f>TEXT(Raw_Data[[#This Row],[Order Date]],"mmm")</f>
        <v>Dec</v>
      </c>
      <c r="C1618" t="s">
        <v>1380</v>
      </c>
      <c r="D1618" t="s">
        <v>8542</v>
      </c>
      <c r="E1618" t="s">
        <v>35</v>
      </c>
      <c r="F1618" t="s">
        <v>89</v>
      </c>
      <c r="G1618" t="s">
        <v>90</v>
      </c>
      <c r="H1618" t="s">
        <v>80</v>
      </c>
      <c r="I1618" t="s">
        <v>131</v>
      </c>
      <c r="J1618" t="s">
        <v>25</v>
      </c>
      <c r="K1618" t="s">
        <v>8543</v>
      </c>
      <c r="L1618">
        <v>0.2</v>
      </c>
      <c r="M1618" t="s">
        <v>8544</v>
      </c>
      <c r="N1618" t="s">
        <v>8545</v>
      </c>
      <c r="O1618" t="s">
        <v>29</v>
      </c>
      <c r="P1618" t="s">
        <v>30</v>
      </c>
      <c r="Q1618" t="s">
        <v>65</v>
      </c>
      <c r="R1618" s="3">
        <v>5081.32</v>
      </c>
    </row>
    <row r="1619" spans="1:18" x14ac:dyDescent="0.3">
      <c r="A1619" t="s">
        <v>8546</v>
      </c>
      <c r="B1619" t="str">
        <f>TEXT(Raw_Data[[#This Row],[Order Date]],"mmm")</f>
        <v>Jan</v>
      </c>
      <c r="C1619" t="s">
        <v>3252</v>
      </c>
      <c r="D1619" t="s">
        <v>8547</v>
      </c>
      <c r="E1619" t="s">
        <v>20</v>
      </c>
      <c r="F1619" t="s">
        <v>58</v>
      </c>
      <c r="G1619" t="s">
        <v>290</v>
      </c>
      <c r="H1619" t="s">
        <v>23</v>
      </c>
      <c r="I1619" t="s">
        <v>24</v>
      </c>
      <c r="J1619" t="s">
        <v>25</v>
      </c>
      <c r="K1619" t="s">
        <v>8548</v>
      </c>
      <c r="L1619">
        <v>0</v>
      </c>
      <c r="M1619" t="s">
        <v>8549</v>
      </c>
      <c r="N1619" t="s">
        <v>8550</v>
      </c>
      <c r="O1619" t="s">
        <v>173</v>
      </c>
      <c r="P1619" t="s">
        <v>30</v>
      </c>
      <c r="Q1619" t="s">
        <v>31</v>
      </c>
      <c r="R1619" s="3">
        <v>38323.910000000003</v>
      </c>
    </row>
    <row r="1620" spans="1:18" x14ac:dyDescent="0.3">
      <c r="A1620" t="s">
        <v>8551</v>
      </c>
      <c r="B1620" t="str">
        <f>TEXT(Raw_Data[[#This Row],[Order Date]],"mmm")</f>
        <v>Aug</v>
      </c>
      <c r="C1620" t="s">
        <v>1426</v>
      </c>
      <c r="D1620" t="s">
        <v>8552</v>
      </c>
      <c r="E1620" t="s">
        <v>20</v>
      </c>
      <c r="F1620" t="s">
        <v>21</v>
      </c>
      <c r="G1620" t="s">
        <v>130</v>
      </c>
      <c r="H1620" t="s">
        <v>38</v>
      </c>
      <c r="I1620" t="s">
        <v>223</v>
      </c>
      <c r="J1620" t="s">
        <v>82</v>
      </c>
      <c r="K1620" t="s">
        <v>8553</v>
      </c>
      <c r="L1620">
        <v>0</v>
      </c>
      <c r="M1620" t="s">
        <v>8554</v>
      </c>
      <c r="N1620" t="s">
        <v>8555</v>
      </c>
      <c r="O1620" t="s">
        <v>29</v>
      </c>
      <c r="P1620" t="s">
        <v>112</v>
      </c>
      <c r="Q1620" t="s">
        <v>44</v>
      </c>
      <c r="R1620" s="3">
        <v>20808.96</v>
      </c>
    </row>
    <row r="1621" spans="1:18" x14ac:dyDescent="0.3">
      <c r="A1621" t="s">
        <v>8556</v>
      </c>
      <c r="B1621" t="str">
        <f>TEXT(Raw_Data[[#This Row],[Order Date]],"mmm")</f>
        <v>Apr</v>
      </c>
      <c r="C1621" t="s">
        <v>97</v>
      </c>
      <c r="D1621" t="s">
        <v>8557</v>
      </c>
      <c r="E1621" t="s">
        <v>20</v>
      </c>
      <c r="F1621" t="s">
        <v>215</v>
      </c>
      <c r="G1621" t="s">
        <v>276</v>
      </c>
      <c r="H1621" t="s">
        <v>154</v>
      </c>
      <c r="I1621" t="s">
        <v>365</v>
      </c>
      <c r="J1621" t="s">
        <v>25</v>
      </c>
      <c r="K1621" t="s">
        <v>8558</v>
      </c>
      <c r="L1621">
        <v>0.05</v>
      </c>
      <c r="M1621" t="s">
        <v>8559</v>
      </c>
      <c r="N1621" t="s">
        <v>8560</v>
      </c>
      <c r="O1621" t="s">
        <v>173</v>
      </c>
      <c r="P1621" t="s">
        <v>112</v>
      </c>
      <c r="Q1621" t="s">
        <v>31</v>
      </c>
      <c r="R1621" s="3">
        <v>550.667499999999</v>
      </c>
    </row>
    <row r="1622" spans="1:18" x14ac:dyDescent="0.3">
      <c r="A1622" t="s">
        <v>8561</v>
      </c>
      <c r="B1622" t="str">
        <f>TEXT(Raw_Data[[#This Row],[Order Date]],"mmm")</f>
        <v>Apr</v>
      </c>
      <c r="C1622" t="s">
        <v>352</v>
      </c>
      <c r="D1622" t="s">
        <v>8562</v>
      </c>
      <c r="E1622" t="s">
        <v>35</v>
      </c>
      <c r="F1622" t="s">
        <v>36</v>
      </c>
      <c r="G1622" t="s">
        <v>37</v>
      </c>
      <c r="H1622" t="s">
        <v>38</v>
      </c>
      <c r="I1622" t="s">
        <v>223</v>
      </c>
      <c r="J1622" t="s">
        <v>50</v>
      </c>
      <c r="K1622" t="s">
        <v>8563</v>
      </c>
      <c r="L1622">
        <v>0.05</v>
      </c>
      <c r="M1622" t="s">
        <v>8564</v>
      </c>
      <c r="N1622" t="s">
        <v>8565</v>
      </c>
      <c r="O1622" t="s">
        <v>64</v>
      </c>
      <c r="P1622" t="s">
        <v>95</v>
      </c>
      <c r="Q1622" t="s">
        <v>31</v>
      </c>
      <c r="R1622" s="3">
        <v>4974.06699999999</v>
      </c>
    </row>
    <row r="1623" spans="1:18" x14ac:dyDescent="0.3">
      <c r="A1623" t="s">
        <v>8566</v>
      </c>
      <c r="B1623" t="str">
        <f>TEXT(Raw_Data[[#This Row],[Order Date]],"mmm")</f>
        <v>Nov</v>
      </c>
      <c r="C1623" t="s">
        <v>8567</v>
      </c>
      <c r="D1623" t="s">
        <v>8568</v>
      </c>
      <c r="E1623" t="s">
        <v>20</v>
      </c>
      <c r="F1623" t="s">
        <v>21</v>
      </c>
      <c r="G1623" t="s">
        <v>22</v>
      </c>
      <c r="H1623" t="s">
        <v>80</v>
      </c>
      <c r="I1623" t="s">
        <v>116</v>
      </c>
      <c r="J1623" t="s">
        <v>25</v>
      </c>
      <c r="K1623" t="s">
        <v>8569</v>
      </c>
      <c r="L1623">
        <v>0.05</v>
      </c>
      <c r="M1623" t="s">
        <v>8570</v>
      </c>
      <c r="N1623" t="s">
        <v>8571</v>
      </c>
      <c r="O1623" t="s">
        <v>64</v>
      </c>
      <c r="P1623" t="s">
        <v>30</v>
      </c>
      <c r="Q1623" t="s">
        <v>44</v>
      </c>
      <c r="R1623" s="3">
        <v>3433.6894999999899</v>
      </c>
    </row>
    <row r="1624" spans="1:18" x14ac:dyDescent="0.3">
      <c r="A1624" t="s">
        <v>8572</v>
      </c>
      <c r="B1624" t="str">
        <f>TEXT(Raw_Data[[#This Row],[Order Date]],"mmm")</f>
        <v>Mar</v>
      </c>
      <c r="C1624" t="s">
        <v>2959</v>
      </c>
      <c r="D1624" t="s">
        <v>8573</v>
      </c>
      <c r="E1624" t="s">
        <v>35</v>
      </c>
      <c r="F1624" t="s">
        <v>215</v>
      </c>
      <c r="G1624" t="s">
        <v>276</v>
      </c>
      <c r="H1624" t="s">
        <v>23</v>
      </c>
      <c r="I1624" t="s">
        <v>183</v>
      </c>
      <c r="J1624" t="s">
        <v>50</v>
      </c>
      <c r="K1624" t="s">
        <v>8574</v>
      </c>
      <c r="L1624">
        <v>0.05</v>
      </c>
      <c r="M1624" t="s">
        <v>8575</v>
      </c>
      <c r="N1624" t="s">
        <v>8576</v>
      </c>
      <c r="O1624" t="s">
        <v>29</v>
      </c>
      <c r="P1624" t="s">
        <v>95</v>
      </c>
      <c r="Q1624" t="s">
        <v>31</v>
      </c>
      <c r="R1624" s="3">
        <v>46164.869999999901</v>
      </c>
    </row>
    <row r="1625" spans="1:18" x14ac:dyDescent="0.3">
      <c r="A1625" t="s">
        <v>8577</v>
      </c>
      <c r="B1625" t="str">
        <f>TEXT(Raw_Data[[#This Row],[Order Date]],"mmm")</f>
        <v>May</v>
      </c>
      <c r="C1625" t="s">
        <v>1781</v>
      </c>
      <c r="D1625" t="s">
        <v>8578</v>
      </c>
      <c r="E1625" t="s">
        <v>48</v>
      </c>
      <c r="F1625" t="s">
        <v>106</v>
      </c>
      <c r="G1625" t="s">
        <v>106</v>
      </c>
      <c r="H1625" t="s">
        <v>154</v>
      </c>
      <c r="I1625" t="s">
        <v>237</v>
      </c>
      <c r="J1625" t="s">
        <v>25</v>
      </c>
      <c r="K1625" t="s">
        <v>8579</v>
      </c>
      <c r="L1625">
        <v>0.15</v>
      </c>
      <c r="M1625" t="s">
        <v>8580</v>
      </c>
      <c r="N1625" t="s">
        <v>8581</v>
      </c>
      <c r="O1625" t="s">
        <v>54</v>
      </c>
      <c r="P1625" t="s">
        <v>30</v>
      </c>
      <c r="Q1625" t="s">
        <v>44</v>
      </c>
      <c r="R1625" s="3">
        <v>1951.09</v>
      </c>
    </row>
    <row r="1626" spans="1:18" x14ac:dyDescent="0.3">
      <c r="A1626" t="s">
        <v>8582</v>
      </c>
      <c r="B1626" t="str">
        <f>TEXT(Raw_Data[[#This Row],[Order Date]],"mmm")</f>
        <v>Feb</v>
      </c>
      <c r="C1626" t="s">
        <v>3493</v>
      </c>
      <c r="D1626" t="s">
        <v>8583</v>
      </c>
      <c r="E1626" t="s">
        <v>48</v>
      </c>
      <c r="F1626" t="s">
        <v>89</v>
      </c>
      <c r="G1626" t="s">
        <v>90</v>
      </c>
      <c r="H1626" t="s">
        <v>107</v>
      </c>
      <c r="I1626" t="s">
        <v>277</v>
      </c>
      <c r="J1626" t="s">
        <v>25</v>
      </c>
      <c r="K1626" t="s">
        <v>8584</v>
      </c>
      <c r="L1626">
        <v>0.15</v>
      </c>
      <c r="M1626" t="s">
        <v>8585</v>
      </c>
      <c r="N1626" t="s">
        <v>8586</v>
      </c>
      <c r="O1626" t="s">
        <v>43</v>
      </c>
      <c r="P1626" t="s">
        <v>30</v>
      </c>
      <c r="Q1626" t="s">
        <v>31</v>
      </c>
      <c r="R1626" s="3">
        <v>1086.9969999999901</v>
      </c>
    </row>
    <row r="1627" spans="1:18" x14ac:dyDescent="0.3">
      <c r="A1627" t="s">
        <v>8587</v>
      </c>
      <c r="B1627" t="str">
        <f>TEXT(Raw_Data[[#This Row],[Order Date]],"mmm")</f>
        <v>Dec</v>
      </c>
      <c r="C1627" t="s">
        <v>268</v>
      </c>
      <c r="D1627" t="s">
        <v>8588</v>
      </c>
      <c r="E1627" t="s">
        <v>48</v>
      </c>
      <c r="F1627" t="s">
        <v>69</v>
      </c>
      <c r="G1627" t="s">
        <v>70</v>
      </c>
      <c r="H1627" t="s">
        <v>23</v>
      </c>
      <c r="I1627" t="s">
        <v>341</v>
      </c>
      <c r="J1627" t="s">
        <v>82</v>
      </c>
      <c r="K1627" t="s">
        <v>8589</v>
      </c>
      <c r="L1627">
        <v>0.1</v>
      </c>
      <c r="M1627" t="s">
        <v>8590</v>
      </c>
      <c r="N1627" t="s">
        <v>8591</v>
      </c>
      <c r="O1627" t="s">
        <v>64</v>
      </c>
      <c r="P1627" t="s">
        <v>159</v>
      </c>
      <c r="Q1627" t="s">
        <v>65</v>
      </c>
      <c r="R1627" s="3">
        <v>234395.74799999999</v>
      </c>
    </row>
    <row r="1628" spans="1:18" x14ac:dyDescent="0.3">
      <c r="A1628" t="s">
        <v>8592</v>
      </c>
      <c r="B1628" t="str">
        <f>TEXT(Raw_Data[[#This Row],[Order Date]],"mmm")</f>
        <v>Apr</v>
      </c>
      <c r="C1628" t="s">
        <v>352</v>
      </c>
      <c r="D1628" t="s">
        <v>8593</v>
      </c>
      <c r="E1628" t="s">
        <v>35</v>
      </c>
      <c r="F1628" t="s">
        <v>58</v>
      </c>
      <c r="G1628" t="s">
        <v>290</v>
      </c>
      <c r="H1628" t="s">
        <v>80</v>
      </c>
      <c r="I1628" t="s">
        <v>91</v>
      </c>
      <c r="J1628" t="s">
        <v>25</v>
      </c>
      <c r="K1628" t="s">
        <v>8594</v>
      </c>
      <c r="L1628">
        <v>0.2</v>
      </c>
      <c r="M1628" t="s">
        <v>8595</v>
      </c>
      <c r="N1628" t="s">
        <v>8596</v>
      </c>
      <c r="O1628" t="s">
        <v>29</v>
      </c>
      <c r="P1628" t="s">
        <v>30</v>
      </c>
      <c r="Q1628" t="s">
        <v>44</v>
      </c>
      <c r="R1628" s="3">
        <v>5046.8239999999996</v>
      </c>
    </row>
    <row r="1629" spans="1:18" x14ac:dyDescent="0.3">
      <c r="A1629" t="s">
        <v>8597</v>
      </c>
      <c r="B1629" t="str">
        <f>TEXT(Raw_Data[[#This Row],[Order Date]],"mmm")</f>
        <v>Apr</v>
      </c>
      <c r="C1629" t="s">
        <v>419</v>
      </c>
      <c r="D1629" t="s">
        <v>8598</v>
      </c>
      <c r="E1629" t="s">
        <v>48</v>
      </c>
      <c r="F1629" t="s">
        <v>69</v>
      </c>
      <c r="G1629" t="s">
        <v>139</v>
      </c>
      <c r="H1629" t="s">
        <v>107</v>
      </c>
      <c r="I1629" t="s">
        <v>277</v>
      </c>
      <c r="J1629" t="s">
        <v>25</v>
      </c>
      <c r="K1629" t="s">
        <v>8599</v>
      </c>
      <c r="L1629">
        <v>0.15</v>
      </c>
      <c r="M1629" t="s">
        <v>8600</v>
      </c>
      <c r="N1629" t="s">
        <v>8601</v>
      </c>
      <c r="O1629" t="s">
        <v>29</v>
      </c>
      <c r="P1629" t="s">
        <v>159</v>
      </c>
      <c r="Q1629" t="s">
        <v>31</v>
      </c>
      <c r="R1629" s="3">
        <v>4999.6914999999999</v>
      </c>
    </row>
    <row r="1630" spans="1:18" x14ac:dyDescent="0.3">
      <c r="A1630" t="s">
        <v>8602</v>
      </c>
      <c r="B1630" t="str">
        <f>TEXT(Raw_Data[[#This Row],[Order Date]],"mmm")</f>
        <v>May</v>
      </c>
      <c r="C1630" t="s">
        <v>2693</v>
      </c>
      <c r="D1630" t="s">
        <v>8603</v>
      </c>
      <c r="E1630" t="s">
        <v>35</v>
      </c>
      <c r="F1630" t="s">
        <v>21</v>
      </c>
      <c r="G1630" t="s">
        <v>130</v>
      </c>
      <c r="H1630" t="s">
        <v>80</v>
      </c>
      <c r="I1630" t="s">
        <v>146</v>
      </c>
      <c r="J1630" t="s">
        <v>50</v>
      </c>
      <c r="K1630" t="s">
        <v>8604</v>
      </c>
      <c r="L1630">
        <v>0.1</v>
      </c>
      <c r="M1630" t="s">
        <v>8605</v>
      </c>
      <c r="N1630" t="s">
        <v>8606</v>
      </c>
      <c r="O1630" t="s">
        <v>64</v>
      </c>
      <c r="P1630" t="s">
        <v>30</v>
      </c>
      <c r="Q1630" t="s">
        <v>65</v>
      </c>
      <c r="R1630" s="3">
        <v>607.80600000000004</v>
      </c>
    </row>
    <row r="1631" spans="1:18" x14ac:dyDescent="0.3">
      <c r="A1631" t="s">
        <v>8607</v>
      </c>
      <c r="B1631" t="str">
        <f>TEXT(Raw_Data[[#This Row],[Order Date]],"mmm")</f>
        <v>Jun</v>
      </c>
      <c r="C1631" t="s">
        <v>466</v>
      </c>
      <c r="D1631" t="s">
        <v>8608</v>
      </c>
      <c r="E1631" t="s">
        <v>35</v>
      </c>
      <c r="F1631" t="s">
        <v>78</v>
      </c>
      <c r="G1631" t="s">
        <v>468</v>
      </c>
      <c r="H1631" t="s">
        <v>23</v>
      </c>
      <c r="I1631" t="s">
        <v>263</v>
      </c>
      <c r="J1631" t="s">
        <v>25</v>
      </c>
      <c r="K1631" t="s">
        <v>8609</v>
      </c>
      <c r="L1631">
        <v>0.1</v>
      </c>
      <c r="M1631" t="s">
        <v>8610</v>
      </c>
      <c r="N1631" t="s">
        <v>8611</v>
      </c>
      <c r="O1631" t="s">
        <v>173</v>
      </c>
      <c r="P1631" t="s">
        <v>30</v>
      </c>
      <c r="Q1631" t="s">
        <v>31</v>
      </c>
      <c r="R1631" s="3">
        <v>8449.4159999999993</v>
      </c>
    </row>
    <row r="1632" spans="1:18" x14ac:dyDescent="0.3">
      <c r="A1632" t="s">
        <v>8612</v>
      </c>
      <c r="B1632" t="str">
        <f>TEXT(Raw_Data[[#This Row],[Order Date]],"mmm")</f>
        <v>Nov</v>
      </c>
      <c r="C1632" t="s">
        <v>510</v>
      </c>
      <c r="D1632" t="s">
        <v>8613</v>
      </c>
      <c r="E1632" t="s">
        <v>35</v>
      </c>
      <c r="F1632" t="s">
        <v>36</v>
      </c>
      <c r="G1632" t="s">
        <v>37</v>
      </c>
      <c r="H1632" t="s">
        <v>23</v>
      </c>
      <c r="I1632" t="s">
        <v>341</v>
      </c>
      <c r="J1632" t="s">
        <v>50</v>
      </c>
      <c r="K1632" t="s">
        <v>8614</v>
      </c>
      <c r="L1632">
        <v>0.05</v>
      </c>
      <c r="M1632" t="s">
        <v>8615</v>
      </c>
      <c r="N1632" t="s">
        <v>8616</v>
      </c>
      <c r="O1632" t="s">
        <v>43</v>
      </c>
      <c r="P1632" t="s">
        <v>112</v>
      </c>
      <c r="Q1632" t="s">
        <v>44</v>
      </c>
      <c r="R1632" s="3">
        <v>70682.679000000004</v>
      </c>
    </row>
    <row r="1633" spans="1:18" x14ac:dyDescent="0.3">
      <c r="A1633" t="s">
        <v>8617</v>
      </c>
      <c r="B1633" t="str">
        <f>TEXT(Raw_Data[[#This Row],[Order Date]],"mmm")</f>
        <v>Apr</v>
      </c>
      <c r="C1633" t="s">
        <v>1448</v>
      </c>
      <c r="D1633" t="s">
        <v>8618</v>
      </c>
      <c r="E1633" t="s">
        <v>48</v>
      </c>
      <c r="F1633" t="s">
        <v>106</v>
      </c>
      <c r="G1633" t="s">
        <v>106</v>
      </c>
      <c r="H1633" t="s">
        <v>107</v>
      </c>
      <c r="I1633" t="s">
        <v>277</v>
      </c>
      <c r="J1633" t="s">
        <v>50</v>
      </c>
      <c r="K1633" t="s">
        <v>8619</v>
      </c>
      <c r="L1633">
        <v>0.05</v>
      </c>
      <c r="M1633" t="s">
        <v>8620</v>
      </c>
      <c r="N1633" t="s">
        <v>8621</v>
      </c>
      <c r="O1633" t="s">
        <v>64</v>
      </c>
      <c r="P1633" t="s">
        <v>30</v>
      </c>
      <c r="Q1633" t="s">
        <v>65</v>
      </c>
      <c r="R1633" s="3">
        <v>32382.0799999999</v>
      </c>
    </row>
    <row r="1634" spans="1:18" x14ac:dyDescent="0.3">
      <c r="A1634" t="s">
        <v>8622</v>
      </c>
      <c r="B1634" t="str">
        <f>TEXT(Raw_Data[[#This Row],[Order Date]],"mmm")</f>
        <v>Jul</v>
      </c>
      <c r="C1634" t="s">
        <v>3575</v>
      </c>
      <c r="D1634" t="s">
        <v>8623</v>
      </c>
      <c r="E1634" t="s">
        <v>48</v>
      </c>
      <c r="F1634" t="s">
        <v>215</v>
      </c>
      <c r="G1634" t="s">
        <v>216</v>
      </c>
      <c r="H1634" t="s">
        <v>23</v>
      </c>
      <c r="I1634" t="s">
        <v>49</v>
      </c>
      <c r="J1634" t="s">
        <v>82</v>
      </c>
      <c r="K1634" t="s">
        <v>8624</v>
      </c>
      <c r="L1634">
        <v>0.15</v>
      </c>
      <c r="M1634" t="s">
        <v>8625</v>
      </c>
      <c r="N1634" t="s">
        <v>8626</v>
      </c>
      <c r="O1634" t="s">
        <v>64</v>
      </c>
      <c r="P1634" t="s">
        <v>30</v>
      </c>
      <c r="Q1634" t="s">
        <v>31</v>
      </c>
      <c r="R1634" s="3">
        <v>43403.108</v>
      </c>
    </row>
    <row r="1635" spans="1:18" x14ac:dyDescent="0.3">
      <c r="A1635" t="s">
        <v>8627</v>
      </c>
      <c r="B1635" t="str">
        <f>TEXT(Raw_Data[[#This Row],[Order Date]],"mmm")</f>
        <v>Jun</v>
      </c>
      <c r="C1635" t="s">
        <v>2157</v>
      </c>
      <c r="D1635" t="s">
        <v>8628</v>
      </c>
      <c r="E1635" t="s">
        <v>20</v>
      </c>
      <c r="F1635" t="s">
        <v>58</v>
      </c>
      <c r="G1635" t="s">
        <v>290</v>
      </c>
      <c r="H1635" t="s">
        <v>23</v>
      </c>
      <c r="I1635" t="s">
        <v>24</v>
      </c>
      <c r="J1635" t="s">
        <v>100</v>
      </c>
      <c r="K1635" t="s">
        <v>8629</v>
      </c>
      <c r="L1635">
        <v>0.1</v>
      </c>
      <c r="M1635" t="s">
        <v>8630</v>
      </c>
      <c r="N1635" t="s">
        <v>8631</v>
      </c>
      <c r="O1635" t="s">
        <v>54</v>
      </c>
      <c r="P1635" t="s">
        <v>30</v>
      </c>
      <c r="Q1635" t="s">
        <v>31</v>
      </c>
      <c r="R1635" s="3">
        <v>20112.191999999999</v>
      </c>
    </row>
    <row r="1636" spans="1:18" x14ac:dyDescent="0.3">
      <c r="A1636" t="s">
        <v>8632</v>
      </c>
      <c r="B1636" t="str">
        <f>TEXT(Raw_Data[[#This Row],[Order Date]],"mmm")</f>
        <v>Jan</v>
      </c>
      <c r="C1636" t="s">
        <v>254</v>
      </c>
      <c r="D1636" t="s">
        <v>8633</v>
      </c>
      <c r="E1636" t="s">
        <v>48</v>
      </c>
      <c r="F1636" t="s">
        <v>89</v>
      </c>
      <c r="G1636" t="s">
        <v>230</v>
      </c>
      <c r="H1636" t="s">
        <v>80</v>
      </c>
      <c r="I1636" t="s">
        <v>131</v>
      </c>
      <c r="J1636" t="s">
        <v>50</v>
      </c>
      <c r="K1636" t="s">
        <v>8634</v>
      </c>
      <c r="L1636">
        <v>0</v>
      </c>
      <c r="M1636" t="s">
        <v>8635</v>
      </c>
      <c r="N1636" t="s">
        <v>8636</v>
      </c>
      <c r="O1636" t="s">
        <v>29</v>
      </c>
      <c r="P1636" t="s">
        <v>30</v>
      </c>
      <c r="Q1636" t="s">
        <v>31</v>
      </c>
      <c r="R1636" s="3">
        <v>1040.3</v>
      </c>
    </row>
    <row r="1637" spans="1:18" x14ac:dyDescent="0.3">
      <c r="A1637" t="s">
        <v>8637</v>
      </c>
      <c r="B1637" t="str">
        <f>TEXT(Raw_Data[[#This Row],[Order Date]],"mmm")</f>
        <v>Apr</v>
      </c>
      <c r="C1637" t="s">
        <v>2552</v>
      </c>
      <c r="D1637" t="s">
        <v>8638</v>
      </c>
      <c r="E1637" t="s">
        <v>20</v>
      </c>
      <c r="F1637" t="s">
        <v>58</v>
      </c>
      <c r="G1637" t="s">
        <v>59</v>
      </c>
      <c r="H1637" t="s">
        <v>107</v>
      </c>
      <c r="I1637" t="s">
        <v>469</v>
      </c>
      <c r="J1637" t="s">
        <v>25</v>
      </c>
      <c r="K1637" t="s">
        <v>8639</v>
      </c>
      <c r="L1637">
        <v>0</v>
      </c>
      <c r="M1637" t="s">
        <v>8640</v>
      </c>
      <c r="N1637" t="s">
        <v>8641</v>
      </c>
      <c r="O1637" t="s">
        <v>29</v>
      </c>
      <c r="P1637" t="s">
        <v>30</v>
      </c>
      <c r="Q1637" t="s">
        <v>44</v>
      </c>
      <c r="R1637" s="3">
        <v>14252.85</v>
      </c>
    </row>
    <row r="1638" spans="1:18" x14ac:dyDescent="0.3">
      <c r="A1638" t="s">
        <v>8642</v>
      </c>
      <c r="B1638" t="str">
        <f>TEXT(Raw_Data[[#This Row],[Order Date]],"mmm")</f>
        <v>May</v>
      </c>
      <c r="C1638" t="s">
        <v>1348</v>
      </c>
      <c r="D1638" t="s">
        <v>8643</v>
      </c>
      <c r="E1638" t="s">
        <v>48</v>
      </c>
      <c r="F1638" t="s">
        <v>21</v>
      </c>
      <c r="G1638" t="s">
        <v>22</v>
      </c>
      <c r="H1638" t="s">
        <v>80</v>
      </c>
      <c r="I1638" t="s">
        <v>91</v>
      </c>
      <c r="J1638" t="s">
        <v>50</v>
      </c>
      <c r="K1638" t="s">
        <v>8644</v>
      </c>
      <c r="L1638">
        <v>0.05</v>
      </c>
      <c r="M1638" t="s">
        <v>8645</v>
      </c>
      <c r="N1638" t="s">
        <v>8646</v>
      </c>
      <c r="O1638" t="s">
        <v>29</v>
      </c>
      <c r="P1638" t="s">
        <v>30</v>
      </c>
      <c r="Q1638" t="s">
        <v>65</v>
      </c>
      <c r="R1638" s="3">
        <v>10836.194</v>
      </c>
    </row>
    <row r="1639" spans="1:18" x14ac:dyDescent="0.3">
      <c r="A1639" t="s">
        <v>8647</v>
      </c>
      <c r="B1639" t="str">
        <f>TEXT(Raw_Data[[#This Row],[Order Date]],"mmm")</f>
        <v>May</v>
      </c>
      <c r="C1639" t="s">
        <v>885</v>
      </c>
      <c r="D1639" t="s">
        <v>8648</v>
      </c>
      <c r="E1639" t="s">
        <v>35</v>
      </c>
      <c r="F1639" t="s">
        <v>69</v>
      </c>
      <c r="G1639" t="s">
        <v>139</v>
      </c>
      <c r="H1639" t="s">
        <v>107</v>
      </c>
      <c r="I1639" t="s">
        <v>108</v>
      </c>
      <c r="J1639" t="s">
        <v>100</v>
      </c>
      <c r="K1639" t="s">
        <v>8649</v>
      </c>
      <c r="L1639">
        <v>0.1</v>
      </c>
      <c r="M1639" t="s">
        <v>8650</v>
      </c>
      <c r="N1639" t="s">
        <v>8651</v>
      </c>
      <c r="O1639" t="s">
        <v>43</v>
      </c>
      <c r="P1639" t="s">
        <v>30</v>
      </c>
      <c r="Q1639" t="s">
        <v>31</v>
      </c>
      <c r="R1639" s="3">
        <v>33479.243999999999</v>
      </c>
    </row>
    <row r="1640" spans="1:18" x14ac:dyDescent="0.3">
      <c r="A1640" t="s">
        <v>8652</v>
      </c>
      <c r="B1640" t="str">
        <f>TEXT(Raw_Data[[#This Row],[Order Date]],"mmm")</f>
        <v>Nov</v>
      </c>
      <c r="C1640" t="s">
        <v>1204</v>
      </c>
      <c r="D1640" t="s">
        <v>8653</v>
      </c>
      <c r="E1640" t="s">
        <v>48</v>
      </c>
      <c r="F1640" t="s">
        <v>215</v>
      </c>
      <c r="G1640" t="s">
        <v>216</v>
      </c>
      <c r="H1640" t="s">
        <v>154</v>
      </c>
      <c r="I1640" t="s">
        <v>365</v>
      </c>
      <c r="J1640" t="s">
        <v>25</v>
      </c>
      <c r="K1640" t="s">
        <v>8654</v>
      </c>
      <c r="L1640">
        <v>0.05</v>
      </c>
      <c r="M1640" t="s">
        <v>8655</v>
      </c>
      <c r="N1640" t="s">
        <v>8656</v>
      </c>
      <c r="O1640" t="s">
        <v>43</v>
      </c>
      <c r="P1640" t="s">
        <v>112</v>
      </c>
      <c r="Q1640" t="s">
        <v>44</v>
      </c>
      <c r="R1640" s="3">
        <v>762.19449999999995</v>
      </c>
    </row>
    <row r="1641" spans="1:18" x14ac:dyDescent="0.3">
      <c r="A1641" t="s">
        <v>8657</v>
      </c>
      <c r="B1641" t="str">
        <f>TEXT(Raw_Data[[#This Row],[Order Date]],"mmm")</f>
        <v>Jun</v>
      </c>
      <c r="C1641" t="s">
        <v>8096</v>
      </c>
      <c r="D1641" t="s">
        <v>8658</v>
      </c>
      <c r="E1641" t="s">
        <v>48</v>
      </c>
      <c r="F1641" t="s">
        <v>106</v>
      </c>
      <c r="G1641" t="s">
        <v>106</v>
      </c>
      <c r="H1641" t="s">
        <v>107</v>
      </c>
      <c r="I1641" t="s">
        <v>108</v>
      </c>
      <c r="J1641" t="s">
        <v>100</v>
      </c>
      <c r="K1641" t="s">
        <v>8659</v>
      </c>
      <c r="L1641">
        <v>0.1</v>
      </c>
      <c r="M1641" t="s">
        <v>8660</v>
      </c>
      <c r="N1641" t="s">
        <v>8661</v>
      </c>
      <c r="O1641" t="s">
        <v>3684</v>
      </c>
      <c r="P1641" t="s">
        <v>30</v>
      </c>
      <c r="Q1641" t="s">
        <v>44</v>
      </c>
      <c r="R1641" s="3">
        <v>12441.114</v>
      </c>
    </row>
    <row r="1642" spans="1:18" x14ac:dyDescent="0.3">
      <c r="A1642" t="s">
        <v>8662</v>
      </c>
      <c r="B1642" t="str">
        <f>TEXT(Raw_Data[[#This Row],[Order Date]],"mmm")</f>
        <v>May</v>
      </c>
      <c r="C1642" t="s">
        <v>3899</v>
      </c>
      <c r="D1642" t="s">
        <v>8663</v>
      </c>
      <c r="E1642" t="s">
        <v>35</v>
      </c>
      <c r="F1642" t="s">
        <v>215</v>
      </c>
      <c r="G1642" t="s">
        <v>276</v>
      </c>
      <c r="H1642" t="s">
        <v>154</v>
      </c>
      <c r="I1642" t="s">
        <v>1061</v>
      </c>
      <c r="J1642" t="s">
        <v>25</v>
      </c>
      <c r="K1642" t="s">
        <v>8664</v>
      </c>
      <c r="L1642">
        <v>0</v>
      </c>
      <c r="M1642" t="s">
        <v>8665</v>
      </c>
      <c r="N1642" t="s">
        <v>8666</v>
      </c>
      <c r="O1642" t="s">
        <v>54</v>
      </c>
      <c r="P1642" t="s">
        <v>30</v>
      </c>
      <c r="Q1642" t="s">
        <v>44</v>
      </c>
      <c r="R1642" s="3">
        <v>3160.74</v>
      </c>
    </row>
    <row r="1643" spans="1:18" x14ac:dyDescent="0.3">
      <c r="A1643" t="s">
        <v>8667</v>
      </c>
      <c r="B1643" t="str">
        <f>TEXT(Raw_Data[[#This Row],[Order Date]],"mmm")</f>
        <v>Aug</v>
      </c>
      <c r="C1643" t="s">
        <v>1245</v>
      </c>
      <c r="D1643" t="s">
        <v>8668</v>
      </c>
      <c r="E1643" t="s">
        <v>20</v>
      </c>
      <c r="F1643" t="s">
        <v>21</v>
      </c>
      <c r="G1643" t="s">
        <v>130</v>
      </c>
      <c r="H1643" t="s">
        <v>154</v>
      </c>
      <c r="I1643" t="s">
        <v>237</v>
      </c>
      <c r="J1643" t="s">
        <v>100</v>
      </c>
      <c r="K1643" t="s">
        <v>8669</v>
      </c>
      <c r="L1643">
        <v>0.05</v>
      </c>
      <c r="M1643" t="s">
        <v>8670</v>
      </c>
      <c r="N1643" t="s">
        <v>8671</v>
      </c>
      <c r="O1643" t="s">
        <v>64</v>
      </c>
      <c r="P1643" t="s">
        <v>30</v>
      </c>
      <c r="Q1643" t="s">
        <v>65</v>
      </c>
      <c r="R1643" s="3">
        <v>16297.924499999999</v>
      </c>
    </row>
    <row r="1644" spans="1:18" x14ac:dyDescent="0.3">
      <c r="A1644" t="s">
        <v>8672</v>
      </c>
      <c r="B1644" t="str">
        <f>TEXT(Raw_Data[[#This Row],[Order Date]],"mmm")</f>
        <v>Mar</v>
      </c>
      <c r="C1644" t="s">
        <v>3284</v>
      </c>
      <c r="D1644" t="s">
        <v>8673</v>
      </c>
      <c r="E1644" t="s">
        <v>35</v>
      </c>
      <c r="F1644" t="s">
        <v>89</v>
      </c>
      <c r="G1644" t="s">
        <v>99</v>
      </c>
      <c r="H1644" t="s">
        <v>154</v>
      </c>
      <c r="I1644" t="s">
        <v>365</v>
      </c>
      <c r="J1644" t="s">
        <v>50</v>
      </c>
      <c r="K1644" t="s">
        <v>8674</v>
      </c>
      <c r="L1644">
        <v>0</v>
      </c>
      <c r="M1644" t="s">
        <v>8675</v>
      </c>
      <c r="N1644" t="s">
        <v>8676</v>
      </c>
      <c r="O1644" t="s">
        <v>173</v>
      </c>
      <c r="P1644" t="s">
        <v>112</v>
      </c>
      <c r="Q1644" t="s">
        <v>31</v>
      </c>
      <c r="R1644" s="3">
        <v>9897.1</v>
      </c>
    </row>
    <row r="1645" spans="1:18" x14ac:dyDescent="0.3">
      <c r="A1645" t="s">
        <v>8677</v>
      </c>
      <c r="B1645" t="str">
        <f>TEXT(Raw_Data[[#This Row],[Order Date]],"mmm")</f>
        <v>Mar</v>
      </c>
      <c r="C1645" t="s">
        <v>602</v>
      </c>
      <c r="D1645" t="s">
        <v>8678</v>
      </c>
      <c r="E1645" t="s">
        <v>48</v>
      </c>
      <c r="F1645" t="s">
        <v>21</v>
      </c>
      <c r="G1645" t="s">
        <v>22</v>
      </c>
      <c r="H1645" t="s">
        <v>80</v>
      </c>
      <c r="I1645" t="s">
        <v>116</v>
      </c>
      <c r="J1645" t="s">
        <v>50</v>
      </c>
      <c r="K1645" t="s">
        <v>8679</v>
      </c>
      <c r="L1645">
        <v>0.1</v>
      </c>
      <c r="M1645" t="s">
        <v>8680</v>
      </c>
      <c r="N1645" t="s">
        <v>8681</v>
      </c>
      <c r="O1645" t="s">
        <v>173</v>
      </c>
      <c r="P1645" t="s">
        <v>30</v>
      </c>
      <c r="Q1645" t="s">
        <v>44</v>
      </c>
      <c r="R1645" s="3">
        <v>10273.32</v>
      </c>
    </row>
    <row r="1646" spans="1:18" x14ac:dyDescent="0.3">
      <c r="A1646" t="s">
        <v>8682</v>
      </c>
      <c r="B1646" t="str">
        <f>TEXT(Raw_Data[[#This Row],[Order Date]],"mmm")</f>
        <v>Sep</v>
      </c>
      <c r="C1646" t="s">
        <v>2824</v>
      </c>
      <c r="D1646" t="s">
        <v>8683</v>
      </c>
      <c r="E1646" t="s">
        <v>20</v>
      </c>
      <c r="F1646" t="s">
        <v>78</v>
      </c>
      <c r="G1646" t="s">
        <v>468</v>
      </c>
      <c r="H1646" t="s">
        <v>107</v>
      </c>
      <c r="I1646" t="s">
        <v>108</v>
      </c>
      <c r="J1646" t="s">
        <v>50</v>
      </c>
      <c r="K1646" t="s">
        <v>8684</v>
      </c>
      <c r="L1646">
        <v>0.05</v>
      </c>
      <c r="M1646" t="s">
        <v>8685</v>
      </c>
      <c r="N1646" t="s">
        <v>8686</v>
      </c>
      <c r="O1646" t="s">
        <v>29</v>
      </c>
      <c r="P1646" t="s">
        <v>30</v>
      </c>
      <c r="Q1646" t="s">
        <v>31</v>
      </c>
      <c r="R1646" s="3">
        <v>30026.782999999999</v>
      </c>
    </row>
    <row r="1647" spans="1:18" x14ac:dyDescent="0.3">
      <c r="A1647" t="s">
        <v>8687</v>
      </c>
      <c r="B1647" t="str">
        <f>TEXT(Raw_Data[[#This Row],[Order Date]],"mmm")</f>
        <v>Apr</v>
      </c>
      <c r="C1647" t="s">
        <v>2101</v>
      </c>
      <c r="D1647" t="s">
        <v>8688</v>
      </c>
      <c r="E1647" t="s">
        <v>48</v>
      </c>
      <c r="F1647" t="s">
        <v>69</v>
      </c>
      <c r="G1647" t="s">
        <v>70</v>
      </c>
      <c r="H1647" t="s">
        <v>23</v>
      </c>
      <c r="I1647" t="s">
        <v>263</v>
      </c>
      <c r="J1647" t="s">
        <v>25</v>
      </c>
      <c r="K1647" t="s">
        <v>8689</v>
      </c>
      <c r="L1647">
        <v>0</v>
      </c>
      <c r="M1647" t="s">
        <v>8690</v>
      </c>
      <c r="N1647" t="s">
        <v>8691</v>
      </c>
      <c r="O1647" t="s">
        <v>43</v>
      </c>
      <c r="P1647" t="s">
        <v>30</v>
      </c>
      <c r="Q1647" t="s">
        <v>44</v>
      </c>
      <c r="R1647" s="3">
        <v>36719.15</v>
      </c>
    </row>
    <row r="1648" spans="1:18" x14ac:dyDescent="0.3">
      <c r="A1648" t="s">
        <v>8692</v>
      </c>
      <c r="B1648" t="str">
        <f>TEXT(Raw_Data[[#This Row],[Order Date]],"mmm")</f>
        <v>Aug</v>
      </c>
      <c r="C1648" t="s">
        <v>3133</v>
      </c>
      <c r="D1648" t="s">
        <v>8693</v>
      </c>
      <c r="E1648" t="s">
        <v>48</v>
      </c>
      <c r="F1648" t="s">
        <v>106</v>
      </c>
      <c r="G1648" t="s">
        <v>163</v>
      </c>
      <c r="H1648" t="s">
        <v>23</v>
      </c>
      <c r="I1648" t="s">
        <v>263</v>
      </c>
      <c r="J1648" t="s">
        <v>25</v>
      </c>
      <c r="K1648" t="s">
        <v>8694</v>
      </c>
      <c r="L1648">
        <v>0.15</v>
      </c>
      <c r="M1648" t="s">
        <v>8695</v>
      </c>
      <c r="N1648" t="s">
        <v>8696</v>
      </c>
      <c r="O1648" t="s">
        <v>29</v>
      </c>
      <c r="P1648" t="s">
        <v>112</v>
      </c>
      <c r="Q1648" t="s">
        <v>44</v>
      </c>
      <c r="R1648" s="3">
        <v>15083.828</v>
      </c>
    </row>
    <row r="1649" spans="1:18" x14ac:dyDescent="0.3">
      <c r="A1649" t="s">
        <v>8697</v>
      </c>
      <c r="B1649" t="str">
        <f>TEXT(Raw_Data[[#This Row],[Order Date]],"mmm")</f>
        <v>Dec</v>
      </c>
      <c r="C1649" t="s">
        <v>2332</v>
      </c>
      <c r="D1649" t="s">
        <v>8698</v>
      </c>
      <c r="E1649" t="s">
        <v>35</v>
      </c>
      <c r="F1649" t="s">
        <v>78</v>
      </c>
      <c r="G1649" t="s">
        <v>79</v>
      </c>
      <c r="H1649" t="s">
        <v>107</v>
      </c>
      <c r="I1649" t="s">
        <v>378</v>
      </c>
      <c r="J1649" t="s">
        <v>25</v>
      </c>
      <c r="K1649" t="s">
        <v>8699</v>
      </c>
      <c r="L1649">
        <v>0.05</v>
      </c>
      <c r="M1649" t="s">
        <v>8700</v>
      </c>
      <c r="N1649" t="s">
        <v>8701</v>
      </c>
      <c r="O1649" t="s">
        <v>173</v>
      </c>
      <c r="P1649" t="s">
        <v>30</v>
      </c>
      <c r="Q1649" t="s">
        <v>31</v>
      </c>
      <c r="R1649" s="3">
        <v>7694.3539999999903</v>
      </c>
    </row>
    <row r="1650" spans="1:18" x14ac:dyDescent="0.3">
      <c r="A1650" t="s">
        <v>8702</v>
      </c>
      <c r="B1650" t="str">
        <f>TEXT(Raw_Data[[#This Row],[Order Date]],"mmm")</f>
        <v>Aug</v>
      </c>
      <c r="C1650" t="s">
        <v>1053</v>
      </c>
      <c r="D1650" t="s">
        <v>8703</v>
      </c>
      <c r="E1650" t="s">
        <v>35</v>
      </c>
      <c r="F1650" t="s">
        <v>36</v>
      </c>
      <c r="G1650" t="s">
        <v>123</v>
      </c>
      <c r="H1650" t="s">
        <v>80</v>
      </c>
      <c r="I1650" t="s">
        <v>146</v>
      </c>
      <c r="J1650" t="s">
        <v>25</v>
      </c>
      <c r="K1650" t="s">
        <v>8704</v>
      </c>
      <c r="L1650">
        <v>0.05</v>
      </c>
      <c r="M1650" t="s">
        <v>8705</v>
      </c>
      <c r="N1650" t="s">
        <v>8706</v>
      </c>
      <c r="O1650" t="s">
        <v>135</v>
      </c>
      <c r="P1650" t="s">
        <v>159</v>
      </c>
      <c r="Q1650" t="s">
        <v>31</v>
      </c>
      <c r="R1650" s="3">
        <v>4507.7214999999997</v>
      </c>
    </row>
    <row r="1651" spans="1:18" x14ac:dyDescent="0.3">
      <c r="A1651" t="s">
        <v>8707</v>
      </c>
      <c r="B1651" t="str">
        <f>TEXT(Raw_Data[[#This Row],[Order Date]],"mmm")</f>
        <v>Oct</v>
      </c>
      <c r="C1651" t="s">
        <v>1386</v>
      </c>
      <c r="D1651" t="s">
        <v>8708</v>
      </c>
      <c r="E1651" t="s">
        <v>48</v>
      </c>
      <c r="F1651" t="s">
        <v>21</v>
      </c>
      <c r="G1651" t="s">
        <v>130</v>
      </c>
      <c r="H1651" t="s">
        <v>23</v>
      </c>
      <c r="I1651" t="s">
        <v>183</v>
      </c>
      <c r="J1651" t="s">
        <v>50</v>
      </c>
      <c r="K1651" t="s">
        <v>8709</v>
      </c>
      <c r="L1651">
        <v>0</v>
      </c>
      <c r="M1651" t="s">
        <v>8710</v>
      </c>
      <c r="N1651" t="s">
        <v>8711</v>
      </c>
      <c r="O1651" t="s">
        <v>54</v>
      </c>
      <c r="P1651" t="s">
        <v>30</v>
      </c>
      <c r="Q1651" t="s">
        <v>65</v>
      </c>
      <c r="R1651" s="3">
        <v>92872.72</v>
      </c>
    </row>
    <row r="1652" spans="1:18" x14ac:dyDescent="0.3">
      <c r="A1652" t="s">
        <v>8712</v>
      </c>
      <c r="B1652" t="str">
        <f>TEXT(Raw_Data[[#This Row],[Order Date]],"mmm")</f>
        <v>Apr</v>
      </c>
      <c r="C1652" t="s">
        <v>675</v>
      </c>
      <c r="D1652" t="s">
        <v>8713</v>
      </c>
      <c r="E1652" t="s">
        <v>48</v>
      </c>
      <c r="F1652" t="s">
        <v>106</v>
      </c>
      <c r="G1652" t="s">
        <v>106</v>
      </c>
      <c r="H1652" t="s">
        <v>107</v>
      </c>
      <c r="I1652" t="s">
        <v>469</v>
      </c>
      <c r="J1652" t="s">
        <v>100</v>
      </c>
      <c r="K1652" t="s">
        <v>8714</v>
      </c>
      <c r="L1652">
        <v>0.1</v>
      </c>
      <c r="M1652" t="s">
        <v>8715</v>
      </c>
      <c r="N1652" t="s">
        <v>8716</v>
      </c>
      <c r="O1652" t="s">
        <v>43</v>
      </c>
      <c r="P1652" t="s">
        <v>30</v>
      </c>
      <c r="Q1652" t="s">
        <v>65</v>
      </c>
      <c r="R1652" s="3">
        <v>45918.845999999998</v>
      </c>
    </row>
    <row r="1653" spans="1:18" x14ac:dyDescent="0.3">
      <c r="A1653" t="s">
        <v>8717</v>
      </c>
      <c r="B1653" t="str">
        <f>TEXT(Raw_Data[[#This Row],[Order Date]],"mmm")</f>
        <v>Apr</v>
      </c>
      <c r="C1653" t="s">
        <v>3090</v>
      </c>
      <c r="D1653" t="s">
        <v>8718</v>
      </c>
      <c r="E1653" t="s">
        <v>20</v>
      </c>
      <c r="F1653" t="s">
        <v>89</v>
      </c>
      <c r="G1653" t="s">
        <v>230</v>
      </c>
      <c r="H1653" t="s">
        <v>23</v>
      </c>
      <c r="I1653" t="s">
        <v>263</v>
      </c>
      <c r="J1653" t="s">
        <v>100</v>
      </c>
      <c r="K1653" t="s">
        <v>8719</v>
      </c>
      <c r="L1653">
        <v>0</v>
      </c>
      <c r="M1653" t="s">
        <v>8720</v>
      </c>
      <c r="N1653" t="s">
        <v>8721</v>
      </c>
      <c r="O1653" t="s">
        <v>54</v>
      </c>
      <c r="P1653" t="s">
        <v>30</v>
      </c>
      <c r="Q1653" t="s">
        <v>65</v>
      </c>
      <c r="R1653" s="3">
        <v>223883.22</v>
      </c>
    </row>
    <row r="1654" spans="1:18" x14ac:dyDescent="0.3">
      <c r="A1654" t="s">
        <v>8722</v>
      </c>
      <c r="B1654" t="str">
        <f>TEXT(Raw_Data[[#This Row],[Order Date]],"mmm")</f>
        <v>Dec</v>
      </c>
      <c r="C1654" t="s">
        <v>3180</v>
      </c>
      <c r="D1654" t="s">
        <v>8723</v>
      </c>
      <c r="E1654" t="s">
        <v>48</v>
      </c>
      <c r="F1654" t="s">
        <v>58</v>
      </c>
      <c r="G1654" t="s">
        <v>290</v>
      </c>
      <c r="H1654" t="s">
        <v>80</v>
      </c>
      <c r="I1654" t="s">
        <v>91</v>
      </c>
      <c r="J1654" t="s">
        <v>50</v>
      </c>
      <c r="K1654" t="s">
        <v>8724</v>
      </c>
      <c r="L1654">
        <v>0.2</v>
      </c>
      <c r="M1654" t="s">
        <v>8725</v>
      </c>
      <c r="N1654" t="s">
        <v>8726</v>
      </c>
      <c r="O1654" t="s">
        <v>173</v>
      </c>
      <c r="P1654" t="s">
        <v>30</v>
      </c>
      <c r="Q1654" t="s">
        <v>65</v>
      </c>
      <c r="R1654" s="3">
        <v>6153.8720000000003</v>
      </c>
    </row>
    <row r="1655" spans="1:18" x14ac:dyDescent="0.3">
      <c r="A1655" t="s">
        <v>8727</v>
      </c>
      <c r="B1655" t="str">
        <f>TEXT(Raw_Data[[#This Row],[Order Date]],"mmm")</f>
        <v>Jan</v>
      </c>
      <c r="C1655" t="s">
        <v>1878</v>
      </c>
      <c r="D1655" t="s">
        <v>8728</v>
      </c>
      <c r="E1655" t="s">
        <v>35</v>
      </c>
      <c r="F1655" t="s">
        <v>58</v>
      </c>
      <c r="G1655" t="s">
        <v>59</v>
      </c>
      <c r="H1655" t="s">
        <v>38</v>
      </c>
      <c r="I1655" t="s">
        <v>71</v>
      </c>
      <c r="J1655" t="s">
        <v>50</v>
      </c>
      <c r="K1655" t="s">
        <v>8729</v>
      </c>
      <c r="L1655">
        <v>0.1</v>
      </c>
      <c r="M1655" t="s">
        <v>8730</v>
      </c>
      <c r="N1655" t="s">
        <v>8731</v>
      </c>
      <c r="O1655" t="s">
        <v>173</v>
      </c>
      <c r="P1655" t="s">
        <v>112</v>
      </c>
      <c r="Q1655" t="s">
        <v>44</v>
      </c>
      <c r="R1655" s="3">
        <v>9585.5580000000009</v>
      </c>
    </row>
    <row r="1656" spans="1:18" x14ac:dyDescent="0.3">
      <c r="A1656" t="s">
        <v>8732</v>
      </c>
      <c r="B1656" t="str">
        <f>TEXT(Raw_Data[[#This Row],[Order Date]],"mmm")</f>
        <v>Oct</v>
      </c>
      <c r="C1656" t="s">
        <v>1059</v>
      </c>
      <c r="D1656" t="s">
        <v>8733</v>
      </c>
      <c r="E1656" t="s">
        <v>35</v>
      </c>
      <c r="F1656" t="s">
        <v>21</v>
      </c>
      <c r="G1656" t="s">
        <v>130</v>
      </c>
      <c r="H1656" t="s">
        <v>154</v>
      </c>
      <c r="I1656" t="s">
        <v>1061</v>
      </c>
      <c r="J1656" t="s">
        <v>25</v>
      </c>
      <c r="K1656" t="s">
        <v>8734</v>
      </c>
      <c r="L1656">
        <v>0.1</v>
      </c>
      <c r="M1656" t="s">
        <v>8735</v>
      </c>
      <c r="N1656" t="s">
        <v>8736</v>
      </c>
      <c r="O1656" t="s">
        <v>54</v>
      </c>
      <c r="P1656" t="s">
        <v>30</v>
      </c>
      <c r="Q1656" t="s">
        <v>65</v>
      </c>
      <c r="R1656" s="3">
        <v>3700.125</v>
      </c>
    </row>
    <row r="1657" spans="1:18" x14ac:dyDescent="0.3">
      <c r="A1657" t="s">
        <v>8737</v>
      </c>
      <c r="B1657" t="str">
        <f>TEXT(Raw_Data[[#This Row],[Order Date]],"mmm")</f>
        <v>Feb</v>
      </c>
      <c r="C1657" t="s">
        <v>2399</v>
      </c>
      <c r="D1657" t="s">
        <v>8738</v>
      </c>
      <c r="E1657" t="s">
        <v>20</v>
      </c>
      <c r="F1657" t="s">
        <v>58</v>
      </c>
      <c r="G1657" t="s">
        <v>290</v>
      </c>
      <c r="H1657" t="s">
        <v>107</v>
      </c>
      <c r="I1657" t="s">
        <v>591</v>
      </c>
      <c r="J1657" t="s">
        <v>25</v>
      </c>
      <c r="K1657" t="s">
        <v>8739</v>
      </c>
      <c r="L1657">
        <v>0.15</v>
      </c>
      <c r="M1657" t="s">
        <v>8740</v>
      </c>
      <c r="N1657" t="s">
        <v>8741</v>
      </c>
      <c r="O1657" t="s">
        <v>173</v>
      </c>
      <c r="P1657" t="s">
        <v>30</v>
      </c>
      <c r="Q1657" t="s">
        <v>44</v>
      </c>
      <c r="R1657" s="3">
        <v>9668.9539999999997</v>
      </c>
    </row>
    <row r="1658" spans="1:18" x14ac:dyDescent="0.3">
      <c r="A1658" t="s">
        <v>8742</v>
      </c>
      <c r="B1658" t="str">
        <f>TEXT(Raw_Data[[#This Row],[Order Date]],"mmm")</f>
        <v>Mar</v>
      </c>
      <c r="C1658" t="s">
        <v>194</v>
      </c>
      <c r="D1658" t="s">
        <v>8743</v>
      </c>
      <c r="E1658" t="s">
        <v>48</v>
      </c>
      <c r="F1658" t="s">
        <v>36</v>
      </c>
      <c r="G1658" t="s">
        <v>123</v>
      </c>
      <c r="H1658" t="s">
        <v>80</v>
      </c>
      <c r="I1658" t="s">
        <v>81</v>
      </c>
      <c r="J1658" t="s">
        <v>25</v>
      </c>
      <c r="K1658" t="s">
        <v>8744</v>
      </c>
      <c r="L1658">
        <v>0.1</v>
      </c>
      <c r="M1658" t="s">
        <v>8745</v>
      </c>
      <c r="N1658" t="s">
        <v>8746</v>
      </c>
      <c r="O1658" t="s">
        <v>43</v>
      </c>
      <c r="P1658" t="s">
        <v>30</v>
      </c>
      <c r="Q1658" t="s">
        <v>44</v>
      </c>
      <c r="R1658" s="3">
        <v>5900.04</v>
      </c>
    </row>
    <row r="1659" spans="1:18" x14ac:dyDescent="0.3">
      <c r="A1659" t="s">
        <v>8747</v>
      </c>
      <c r="B1659" t="str">
        <f>TEXT(Raw_Data[[#This Row],[Order Date]],"mmm")</f>
        <v>Jul</v>
      </c>
      <c r="C1659" t="s">
        <v>2992</v>
      </c>
      <c r="D1659" t="s">
        <v>8748</v>
      </c>
      <c r="E1659" t="s">
        <v>20</v>
      </c>
      <c r="F1659" t="s">
        <v>69</v>
      </c>
      <c r="G1659" t="s">
        <v>70</v>
      </c>
      <c r="H1659" t="s">
        <v>80</v>
      </c>
      <c r="I1659" t="s">
        <v>91</v>
      </c>
      <c r="J1659" t="s">
        <v>25</v>
      </c>
      <c r="K1659" t="s">
        <v>8749</v>
      </c>
      <c r="L1659">
        <v>0.1</v>
      </c>
      <c r="M1659" t="s">
        <v>8750</v>
      </c>
      <c r="N1659" t="s">
        <v>8751</v>
      </c>
      <c r="O1659" t="s">
        <v>54</v>
      </c>
      <c r="P1659" t="s">
        <v>30</v>
      </c>
      <c r="Q1659" t="s">
        <v>44</v>
      </c>
      <c r="R1659" s="3">
        <v>5035.2479999999996</v>
      </c>
    </row>
    <row r="1660" spans="1:18" x14ac:dyDescent="0.3">
      <c r="A1660" t="s">
        <v>8752</v>
      </c>
      <c r="B1660" t="str">
        <f>TEXT(Raw_Data[[#This Row],[Order Date]],"mmm")</f>
        <v>May</v>
      </c>
      <c r="C1660" t="s">
        <v>1937</v>
      </c>
      <c r="D1660" t="s">
        <v>8753</v>
      </c>
      <c r="E1660" t="s">
        <v>20</v>
      </c>
      <c r="F1660" t="s">
        <v>89</v>
      </c>
      <c r="G1660" t="s">
        <v>230</v>
      </c>
      <c r="H1660" t="s">
        <v>154</v>
      </c>
      <c r="I1660" t="s">
        <v>237</v>
      </c>
      <c r="J1660" t="s">
        <v>25</v>
      </c>
      <c r="K1660" t="s">
        <v>8754</v>
      </c>
      <c r="L1660">
        <v>0.15</v>
      </c>
      <c r="M1660" t="s">
        <v>8755</v>
      </c>
      <c r="N1660" t="s">
        <v>8756</v>
      </c>
      <c r="O1660" t="s">
        <v>43</v>
      </c>
      <c r="P1660" t="s">
        <v>112</v>
      </c>
      <c r="Q1660" t="s">
        <v>44</v>
      </c>
      <c r="R1660" s="3">
        <v>9596.8909999999996</v>
      </c>
    </row>
    <row r="1661" spans="1:18" x14ac:dyDescent="0.3">
      <c r="A1661" t="s">
        <v>8757</v>
      </c>
      <c r="B1661" t="str">
        <f>TEXT(Raw_Data[[#This Row],[Order Date]],"mmm")</f>
        <v>Nov</v>
      </c>
      <c r="C1661" t="s">
        <v>516</v>
      </c>
      <c r="D1661" t="s">
        <v>8758</v>
      </c>
      <c r="E1661" t="s">
        <v>35</v>
      </c>
      <c r="F1661" t="s">
        <v>69</v>
      </c>
      <c r="G1661" t="s">
        <v>70</v>
      </c>
      <c r="H1661" t="s">
        <v>107</v>
      </c>
      <c r="I1661" t="s">
        <v>378</v>
      </c>
      <c r="J1661" t="s">
        <v>25</v>
      </c>
      <c r="K1661" t="s">
        <v>8759</v>
      </c>
      <c r="L1661">
        <v>0.1</v>
      </c>
      <c r="M1661" t="s">
        <v>8760</v>
      </c>
      <c r="N1661" t="s">
        <v>8761</v>
      </c>
      <c r="O1661" t="s">
        <v>43</v>
      </c>
      <c r="P1661" t="s">
        <v>30</v>
      </c>
      <c r="Q1661" t="s">
        <v>44</v>
      </c>
      <c r="R1661" s="3">
        <v>7117.7039999999997</v>
      </c>
    </row>
    <row r="1662" spans="1:18" x14ac:dyDescent="0.3">
      <c r="A1662" t="s">
        <v>8762</v>
      </c>
      <c r="B1662" t="str">
        <f>TEXT(Raw_Data[[#This Row],[Order Date]],"mmm")</f>
        <v>Mar</v>
      </c>
      <c r="C1662" t="s">
        <v>3718</v>
      </c>
      <c r="D1662" t="s">
        <v>8763</v>
      </c>
      <c r="E1662" t="s">
        <v>48</v>
      </c>
      <c r="F1662" t="s">
        <v>89</v>
      </c>
      <c r="G1662" t="s">
        <v>99</v>
      </c>
      <c r="H1662" t="s">
        <v>154</v>
      </c>
      <c r="I1662" t="s">
        <v>1061</v>
      </c>
      <c r="J1662" t="s">
        <v>100</v>
      </c>
      <c r="K1662" t="s">
        <v>8764</v>
      </c>
      <c r="L1662">
        <v>0</v>
      </c>
      <c r="M1662" t="s">
        <v>8765</v>
      </c>
      <c r="N1662" t="s">
        <v>8766</v>
      </c>
      <c r="O1662" t="s">
        <v>64</v>
      </c>
      <c r="P1662" t="s">
        <v>30</v>
      </c>
      <c r="Q1662" t="s">
        <v>44</v>
      </c>
      <c r="R1662" s="3">
        <v>15016.89</v>
      </c>
    </row>
    <row r="1663" spans="1:18" x14ac:dyDescent="0.3">
      <c r="A1663" t="s">
        <v>8767</v>
      </c>
      <c r="B1663" t="str">
        <f>TEXT(Raw_Data[[#This Row],[Order Date]],"mmm")</f>
        <v>May</v>
      </c>
      <c r="C1663" t="s">
        <v>2693</v>
      </c>
      <c r="D1663" t="s">
        <v>8768</v>
      </c>
      <c r="E1663" t="s">
        <v>35</v>
      </c>
      <c r="F1663" t="s">
        <v>215</v>
      </c>
      <c r="G1663" t="s">
        <v>276</v>
      </c>
      <c r="H1663" t="s">
        <v>107</v>
      </c>
      <c r="I1663" t="s">
        <v>469</v>
      </c>
      <c r="J1663" t="s">
        <v>100</v>
      </c>
      <c r="K1663" t="s">
        <v>8769</v>
      </c>
      <c r="L1663">
        <v>0.1</v>
      </c>
      <c r="M1663" t="s">
        <v>8770</v>
      </c>
      <c r="N1663" t="s">
        <v>8771</v>
      </c>
      <c r="O1663" t="s">
        <v>43</v>
      </c>
      <c r="P1663" t="s">
        <v>95</v>
      </c>
      <c r="Q1663" t="s">
        <v>31</v>
      </c>
      <c r="R1663" s="3">
        <v>10613.241</v>
      </c>
    </row>
    <row r="1664" spans="1:18" x14ac:dyDescent="0.3">
      <c r="A1664" t="s">
        <v>8772</v>
      </c>
      <c r="B1664" t="str">
        <f>TEXT(Raw_Data[[#This Row],[Order Date]],"mmm")</f>
        <v>Mar</v>
      </c>
      <c r="C1664" t="s">
        <v>1021</v>
      </c>
      <c r="D1664" t="s">
        <v>8773</v>
      </c>
      <c r="E1664" t="s">
        <v>35</v>
      </c>
      <c r="F1664" t="s">
        <v>215</v>
      </c>
      <c r="G1664" t="s">
        <v>276</v>
      </c>
      <c r="H1664" t="s">
        <v>154</v>
      </c>
      <c r="I1664" t="s">
        <v>237</v>
      </c>
      <c r="J1664" t="s">
        <v>100</v>
      </c>
      <c r="K1664" t="s">
        <v>8774</v>
      </c>
      <c r="L1664">
        <v>0.05</v>
      </c>
      <c r="M1664" t="s">
        <v>8775</v>
      </c>
      <c r="N1664" t="s">
        <v>8776</v>
      </c>
      <c r="O1664" t="s">
        <v>64</v>
      </c>
      <c r="P1664" t="s">
        <v>159</v>
      </c>
      <c r="Q1664" t="s">
        <v>65</v>
      </c>
      <c r="R1664" s="3">
        <v>24697.701000000001</v>
      </c>
    </row>
    <row r="1665" spans="1:18" x14ac:dyDescent="0.3">
      <c r="A1665" t="s">
        <v>8777</v>
      </c>
      <c r="B1665" t="str">
        <f>TEXT(Raw_Data[[#This Row],[Order Date]],"mmm")</f>
        <v>Dec</v>
      </c>
      <c r="C1665" t="s">
        <v>3862</v>
      </c>
      <c r="D1665" t="s">
        <v>8778</v>
      </c>
      <c r="E1665" t="s">
        <v>20</v>
      </c>
      <c r="F1665" t="s">
        <v>106</v>
      </c>
      <c r="G1665" t="s">
        <v>163</v>
      </c>
      <c r="H1665" t="s">
        <v>154</v>
      </c>
      <c r="I1665" t="s">
        <v>237</v>
      </c>
      <c r="J1665" t="s">
        <v>25</v>
      </c>
      <c r="K1665" t="s">
        <v>8779</v>
      </c>
      <c r="L1665">
        <v>0.05</v>
      </c>
      <c r="M1665" t="s">
        <v>8780</v>
      </c>
      <c r="N1665" t="s">
        <v>8781</v>
      </c>
      <c r="O1665" t="s">
        <v>2763</v>
      </c>
      <c r="P1665" t="s">
        <v>30</v>
      </c>
      <c r="Q1665" t="s">
        <v>44</v>
      </c>
      <c r="R1665" s="3">
        <v>2541.6869999999999</v>
      </c>
    </row>
    <row r="1666" spans="1:18" x14ac:dyDescent="0.3">
      <c r="A1666" t="s">
        <v>8782</v>
      </c>
      <c r="B1666" t="str">
        <f>TEXT(Raw_Data[[#This Row],[Order Date]],"mmm")</f>
        <v>Jul</v>
      </c>
      <c r="C1666" t="s">
        <v>2776</v>
      </c>
      <c r="D1666" t="s">
        <v>8783</v>
      </c>
      <c r="E1666" t="s">
        <v>20</v>
      </c>
      <c r="F1666" t="s">
        <v>21</v>
      </c>
      <c r="G1666" t="s">
        <v>22</v>
      </c>
      <c r="H1666" t="s">
        <v>107</v>
      </c>
      <c r="I1666" t="s">
        <v>108</v>
      </c>
      <c r="J1666" t="s">
        <v>25</v>
      </c>
      <c r="K1666" t="s">
        <v>8784</v>
      </c>
      <c r="L1666">
        <v>0.15</v>
      </c>
      <c r="M1666" t="s">
        <v>8785</v>
      </c>
      <c r="N1666" t="s">
        <v>8786</v>
      </c>
      <c r="O1666" t="s">
        <v>173</v>
      </c>
      <c r="P1666" t="s">
        <v>30</v>
      </c>
      <c r="Q1666" t="s">
        <v>65</v>
      </c>
      <c r="R1666" s="3">
        <v>2789.7085000000002</v>
      </c>
    </row>
    <row r="1667" spans="1:18" x14ac:dyDescent="0.3">
      <c r="A1667" t="s">
        <v>8787</v>
      </c>
      <c r="B1667" t="str">
        <f>TEXT(Raw_Data[[#This Row],[Order Date]],"mmm")</f>
        <v>Jan</v>
      </c>
      <c r="C1667" t="s">
        <v>1878</v>
      </c>
      <c r="D1667" t="s">
        <v>8788</v>
      </c>
      <c r="E1667" t="s">
        <v>20</v>
      </c>
      <c r="F1667" t="s">
        <v>89</v>
      </c>
      <c r="G1667" t="s">
        <v>230</v>
      </c>
      <c r="H1667" t="s">
        <v>80</v>
      </c>
      <c r="I1667" t="s">
        <v>81</v>
      </c>
      <c r="J1667" t="s">
        <v>50</v>
      </c>
      <c r="K1667" t="s">
        <v>8789</v>
      </c>
      <c r="L1667">
        <v>0.05</v>
      </c>
      <c r="M1667" t="s">
        <v>8790</v>
      </c>
      <c r="N1667" t="s">
        <v>8791</v>
      </c>
      <c r="O1667" t="s">
        <v>173</v>
      </c>
      <c r="P1667" t="s">
        <v>30</v>
      </c>
      <c r="Q1667" t="s">
        <v>31</v>
      </c>
      <c r="R1667" s="3">
        <v>6305.3399999999901</v>
      </c>
    </row>
    <row r="1668" spans="1:18" x14ac:dyDescent="0.3">
      <c r="A1668" t="s">
        <v>8792</v>
      </c>
      <c r="B1668" t="str">
        <f>TEXT(Raw_Data[[#This Row],[Order Date]],"mmm")</f>
        <v>Aug</v>
      </c>
      <c r="C1668" t="s">
        <v>4422</v>
      </c>
      <c r="D1668" t="s">
        <v>8793</v>
      </c>
      <c r="E1668" t="s">
        <v>35</v>
      </c>
      <c r="F1668" t="s">
        <v>215</v>
      </c>
      <c r="G1668" t="s">
        <v>216</v>
      </c>
      <c r="H1668" t="s">
        <v>154</v>
      </c>
      <c r="I1668" t="s">
        <v>155</v>
      </c>
      <c r="J1668" t="s">
        <v>25</v>
      </c>
      <c r="K1668" t="s">
        <v>8794</v>
      </c>
      <c r="L1668">
        <v>0.15</v>
      </c>
      <c r="M1668" t="s">
        <v>8795</v>
      </c>
      <c r="N1668" t="s">
        <v>8796</v>
      </c>
      <c r="O1668" t="s">
        <v>54</v>
      </c>
      <c r="P1668" t="s">
        <v>112</v>
      </c>
      <c r="Q1668" t="s">
        <v>31</v>
      </c>
      <c r="R1668" s="3">
        <v>9463.3559999999998</v>
      </c>
    </row>
    <row r="1669" spans="1:18" x14ac:dyDescent="0.3">
      <c r="A1669" t="s">
        <v>8797</v>
      </c>
      <c r="B1669" t="str">
        <f>TEXT(Raw_Data[[#This Row],[Order Date]],"mmm")</f>
        <v>Jun</v>
      </c>
      <c r="C1669" t="s">
        <v>8096</v>
      </c>
      <c r="D1669" t="s">
        <v>8798</v>
      </c>
      <c r="E1669" t="s">
        <v>48</v>
      </c>
      <c r="F1669" t="s">
        <v>215</v>
      </c>
      <c r="G1669" t="s">
        <v>276</v>
      </c>
      <c r="H1669" t="s">
        <v>80</v>
      </c>
      <c r="I1669" t="s">
        <v>116</v>
      </c>
      <c r="J1669" t="s">
        <v>25</v>
      </c>
      <c r="K1669" t="s">
        <v>8799</v>
      </c>
      <c r="L1669">
        <v>0</v>
      </c>
      <c r="M1669" t="s">
        <v>8800</v>
      </c>
      <c r="N1669" t="s">
        <v>8801</v>
      </c>
      <c r="O1669" t="s">
        <v>173</v>
      </c>
      <c r="P1669" t="s">
        <v>30</v>
      </c>
      <c r="Q1669" t="s">
        <v>44</v>
      </c>
      <c r="R1669" s="3">
        <v>2683.89</v>
      </c>
    </row>
    <row r="1670" spans="1:18" x14ac:dyDescent="0.3">
      <c r="A1670" t="s">
        <v>8802</v>
      </c>
      <c r="B1670" t="str">
        <f>TEXT(Raw_Data[[#This Row],[Order Date]],"mmm")</f>
        <v>Oct</v>
      </c>
      <c r="C1670" t="s">
        <v>5733</v>
      </c>
      <c r="D1670" t="s">
        <v>8803</v>
      </c>
      <c r="E1670" t="s">
        <v>48</v>
      </c>
      <c r="F1670" t="s">
        <v>36</v>
      </c>
      <c r="G1670" t="s">
        <v>196</v>
      </c>
      <c r="H1670" t="s">
        <v>107</v>
      </c>
      <c r="I1670" t="s">
        <v>277</v>
      </c>
      <c r="J1670" t="s">
        <v>50</v>
      </c>
      <c r="K1670" t="s">
        <v>8804</v>
      </c>
      <c r="L1670">
        <v>0.1</v>
      </c>
      <c r="M1670" t="s">
        <v>8805</v>
      </c>
      <c r="N1670" t="s">
        <v>8806</v>
      </c>
      <c r="O1670" t="s">
        <v>2763</v>
      </c>
      <c r="P1670" t="s">
        <v>112</v>
      </c>
      <c r="Q1670" t="s">
        <v>65</v>
      </c>
      <c r="R1670" s="3">
        <v>9383.9580000000005</v>
      </c>
    </row>
    <row r="1671" spans="1:18" x14ac:dyDescent="0.3">
      <c r="A1671" t="s">
        <v>8807</v>
      </c>
      <c r="B1671" t="str">
        <f>TEXT(Raw_Data[[#This Row],[Order Date]],"mmm")</f>
        <v>Nov</v>
      </c>
      <c r="C1671" t="s">
        <v>1204</v>
      </c>
      <c r="D1671" t="s">
        <v>8808</v>
      </c>
      <c r="E1671" t="s">
        <v>20</v>
      </c>
      <c r="F1671" t="s">
        <v>36</v>
      </c>
      <c r="G1671" t="s">
        <v>153</v>
      </c>
      <c r="H1671" t="s">
        <v>107</v>
      </c>
      <c r="I1671" t="s">
        <v>469</v>
      </c>
      <c r="J1671" t="s">
        <v>25</v>
      </c>
      <c r="K1671" t="s">
        <v>8809</v>
      </c>
      <c r="L1671">
        <v>0.1</v>
      </c>
      <c r="M1671" t="s">
        <v>8810</v>
      </c>
      <c r="N1671" t="s">
        <v>8811</v>
      </c>
      <c r="O1671" t="s">
        <v>43</v>
      </c>
      <c r="P1671" t="s">
        <v>30</v>
      </c>
      <c r="Q1671" t="s">
        <v>65</v>
      </c>
      <c r="R1671" s="3">
        <v>10180.044</v>
      </c>
    </row>
    <row r="1672" spans="1:18" x14ac:dyDescent="0.3">
      <c r="A1672" t="s">
        <v>8812</v>
      </c>
      <c r="B1672" t="str">
        <f>TEXT(Raw_Data[[#This Row],[Order Date]],"mmm")</f>
        <v>May</v>
      </c>
      <c r="C1672" t="s">
        <v>1781</v>
      </c>
      <c r="D1672" t="s">
        <v>8813</v>
      </c>
      <c r="E1672" t="s">
        <v>20</v>
      </c>
      <c r="F1672" t="s">
        <v>215</v>
      </c>
      <c r="G1672" t="s">
        <v>216</v>
      </c>
      <c r="H1672" t="s">
        <v>23</v>
      </c>
      <c r="I1672" t="s">
        <v>24</v>
      </c>
      <c r="J1672" t="s">
        <v>25</v>
      </c>
      <c r="K1672" t="s">
        <v>8814</v>
      </c>
      <c r="L1672">
        <v>0.1</v>
      </c>
      <c r="M1672" t="s">
        <v>8815</v>
      </c>
      <c r="N1672" t="s">
        <v>8816</v>
      </c>
      <c r="O1672" t="s">
        <v>29</v>
      </c>
      <c r="P1672" t="s">
        <v>30</v>
      </c>
      <c r="Q1672" t="s">
        <v>44</v>
      </c>
      <c r="R1672" s="3">
        <v>53137.35</v>
      </c>
    </row>
    <row r="1673" spans="1:18" x14ac:dyDescent="0.3">
      <c r="A1673" t="s">
        <v>8817</v>
      </c>
      <c r="B1673" t="str">
        <f>TEXT(Raw_Data[[#This Row],[Order Date]],"mmm")</f>
        <v>Oct</v>
      </c>
      <c r="C1673" t="s">
        <v>1076</v>
      </c>
      <c r="D1673" t="s">
        <v>8818</v>
      </c>
      <c r="E1673" t="s">
        <v>35</v>
      </c>
      <c r="F1673" t="s">
        <v>69</v>
      </c>
      <c r="G1673" t="s">
        <v>328</v>
      </c>
      <c r="H1673" t="s">
        <v>23</v>
      </c>
      <c r="I1673" t="s">
        <v>49</v>
      </c>
      <c r="J1673" t="s">
        <v>25</v>
      </c>
      <c r="K1673" t="s">
        <v>8819</v>
      </c>
      <c r="L1673">
        <v>0.1</v>
      </c>
      <c r="M1673" t="s">
        <v>8820</v>
      </c>
      <c r="N1673" t="s">
        <v>8821</v>
      </c>
      <c r="O1673" t="s">
        <v>173</v>
      </c>
      <c r="P1673" t="s">
        <v>112</v>
      </c>
      <c r="Q1673" t="s">
        <v>31</v>
      </c>
      <c r="R1673" s="3">
        <v>10596.591</v>
      </c>
    </row>
    <row r="1674" spans="1:18" x14ac:dyDescent="0.3">
      <c r="A1674" t="s">
        <v>8822</v>
      </c>
      <c r="B1674" t="str">
        <f>TEXT(Raw_Data[[#This Row],[Order Date]],"mmm")</f>
        <v>Feb</v>
      </c>
      <c r="C1674" t="s">
        <v>2892</v>
      </c>
      <c r="D1674" t="s">
        <v>8823</v>
      </c>
      <c r="E1674" t="s">
        <v>20</v>
      </c>
      <c r="F1674" t="s">
        <v>89</v>
      </c>
      <c r="G1674" t="s">
        <v>230</v>
      </c>
      <c r="H1674" t="s">
        <v>80</v>
      </c>
      <c r="I1674" t="s">
        <v>146</v>
      </c>
      <c r="J1674" t="s">
        <v>25</v>
      </c>
      <c r="K1674" t="s">
        <v>8824</v>
      </c>
      <c r="L1674">
        <v>0.05</v>
      </c>
      <c r="M1674" t="s">
        <v>8825</v>
      </c>
      <c r="N1674" t="s">
        <v>8826</v>
      </c>
      <c r="O1674" t="s">
        <v>29</v>
      </c>
      <c r="P1674" t="s">
        <v>95</v>
      </c>
      <c r="Q1674" t="s">
        <v>44</v>
      </c>
      <c r="R1674" s="3">
        <v>2219.0954999999999</v>
      </c>
    </row>
    <row r="1675" spans="1:18" x14ac:dyDescent="0.3">
      <c r="A1675" t="s">
        <v>8827</v>
      </c>
      <c r="B1675" t="str">
        <f>TEXT(Raw_Data[[#This Row],[Order Date]],"mmm")</f>
        <v>Sep</v>
      </c>
      <c r="C1675" t="s">
        <v>2151</v>
      </c>
      <c r="D1675" t="s">
        <v>8828</v>
      </c>
      <c r="E1675" t="s">
        <v>35</v>
      </c>
      <c r="F1675" t="s">
        <v>36</v>
      </c>
      <c r="G1675" t="s">
        <v>414</v>
      </c>
      <c r="H1675" t="s">
        <v>107</v>
      </c>
      <c r="I1675" t="s">
        <v>277</v>
      </c>
      <c r="J1675" t="s">
        <v>50</v>
      </c>
      <c r="K1675" t="s">
        <v>8829</v>
      </c>
      <c r="L1675">
        <v>0</v>
      </c>
      <c r="M1675" t="s">
        <v>8830</v>
      </c>
      <c r="N1675" t="s">
        <v>8831</v>
      </c>
      <c r="O1675" t="s">
        <v>173</v>
      </c>
      <c r="P1675" t="s">
        <v>30</v>
      </c>
      <c r="Q1675" t="s">
        <v>44</v>
      </c>
      <c r="R1675" s="3">
        <v>31083.1</v>
      </c>
    </row>
    <row r="1676" spans="1:18" x14ac:dyDescent="0.3">
      <c r="A1676" t="s">
        <v>8832</v>
      </c>
      <c r="B1676" t="str">
        <f>TEXT(Raw_Data[[#This Row],[Order Date]],"mmm")</f>
        <v>May</v>
      </c>
      <c r="C1676" t="s">
        <v>1348</v>
      </c>
      <c r="D1676" t="s">
        <v>8833</v>
      </c>
      <c r="E1676" t="s">
        <v>48</v>
      </c>
      <c r="F1676" t="s">
        <v>78</v>
      </c>
      <c r="G1676" t="s">
        <v>79</v>
      </c>
      <c r="H1676" t="s">
        <v>38</v>
      </c>
      <c r="I1676" t="s">
        <v>39</v>
      </c>
      <c r="J1676" t="s">
        <v>25</v>
      </c>
      <c r="K1676" t="s">
        <v>8834</v>
      </c>
      <c r="L1676">
        <v>0.1</v>
      </c>
      <c r="M1676" t="s">
        <v>8835</v>
      </c>
      <c r="N1676" t="s">
        <v>8836</v>
      </c>
      <c r="O1676" t="s">
        <v>173</v>
      </c>
      <c r="P1676" t="s">
        <v>30</v>
      </c>
      <c r="Q1676" t="s">
        <v>31</v>
      </c>
      <c r="R1676" s="3">
        <v>4253.9669999999996</v>
      </c>
    </row>
    <row r="1677" spans="1:18" x14ac:dyDescent="0.3">
      <c r="A1677" t="s">
        <v>8837</v>
      </c>
      <c r="B1677" t="str">
        <f>TEXT(Raw_Data[[#This Row],[Order Date]],"mmm")</f>
        <v>Apr</v>
      </c>
      <c r="C1677" t="s">
        <v>1904</v>
      </c>
      <c r="D1677" t="s">
        <v>8838</v>
      </c>
      <c r="E1677" t="s">
        <v>48</v>
      </c>
      <c r="F1677" t="s">
        <v>215</v>
      </c>
      <c r="G1677" t="s">
        <v>216</v>
      </c>
      <c r="H1677" t="s">
        <v>80</v>
      </c>
      <c r="I1677" t="s">
        <v>131</v>
      </c>
      <c r="J1677" t="s">
        <v>25</v>
      </c>
      <c r="K1677" t="s">
        <v>8839</v>
      </c>
      <c r="L1677">
        <v>0.15</v>
      </c>
      <c r="M1677" t="s">
        <v>8840</v>
      </c>
      <c r="N1677" t="s">
        <v>8841</v>
      </c>
      <c r="O1677" t="s">
        <v>54</v>
      </c>
      <c r="P1677" t="s">
        <v>112</v>
      </c>
      <c r="Q1677" t="s">
        <v>31</v>
      </c>
      <c r="R1677" s="3">
        <v>5095.6309999999903</v>
      </c>
    </row>
    <row r="1678" spans="1:18" x14ac:dyDescent="0.3">
      <c r="A1678" t="s">
        <v>8842</v>
      </c>
      <c r="B1678" t="str">
        <f>TEXT(Raw_Data[[#This Row],[Order Date]],"mmm")</f>
        <v>Aug</v>
      </c>
      <c r="C1678" t="s">
        <v>4227</v>
      </c>
      <c r="D1678" t="s">
        <v>8843</v>
      </c>
      <c r="E1678" t="s">
        <v>20</v>
      </c>
      <c r="F1678" t="s">
        <v>58</v>
      </c>
      <c r="G1678" t="s">
        <v>812</v>
      </c>
      <c r="H1678" t="s">
        <v>80</v>
      </c>
      <c r="I1678" t="s">
        <v>81</v>
      </c>
      <c r="J1678" t="s">
        <v>25</v>
      </c>
      <c r="K1678" t="s">
        <v>8844</v>
      </c>
      <c r="L1678">
        <v>0.05</v>
      </c>
      <c r="M1678" t="s">
        <v>8845</v>
      </c>
      <c r="N1678" t="s">
        <v>8846</v>
      </c>
      <c r="O1678" t="s">
        <v>173</v>
      </c>
      <c r="P1678" t="s">
        <v>112</v>
      </c>
      <c r="Q1678" t="s">
        <v>44</v>
      </c>
      <c r="R1678" s="3">
        <v>306.65050000000002</v>
      </c>
    </row>
    <row r="1679" spans="1:18" x14ac:dyDescent="0.3">
      <c r="A1679" t="s">
        <v>8847</v>
      </c>
      <c r="B1679" t="str">
        <f>TEXT(Raw_Data[[#This Row],[Order Date]],"mmm")</f>
        <v>Mar</v>
      </c>
      <c r="C1679" t="s">
        <v>56</v>
      </c>
      <c r="D1679" t="s">
        <v>8848</v>
      </c>
      <c r="E1679" t="s">
        <v>20</v>
      </c>
      <c r="F1679" t="s">
        <v>89</v>
      </c>
      <c r="G1679" t="s">
        <v>230</v>
      </c>
      <c r="H1679" t="s">
        <v>80</v>
      </c>
      <c r="I1679" t="s">
        <v>131</v>
      </c>
      <c r="J1679" t="s">
        <v>25</v>
      </c>
      <c r="K1679" t="s">
        <v>8849</v>
      </c>
      <c r="L1679">
        <v>0.1</v>
      </c>
      <c r="M1679" t="s">
        <v>8850</v>
      </c>
      <c r="N1679" t="s">
        <v>8851</v>
      </c>
      <c r="O1679" t="s">
        <v>29</v>
      </c>
      <c r="P1679" t="s">
        <v>30</v>
      </c>
      <c r="Q1679" t="s">
        <v>31</v>
      </c>
      <c r="R1679" s="3">
        <v>4413.1409999999996</v>
      </c>
    </row>
    <row r="1680" spans="1:18" x14ac:dyDescent="0.3">
      <c r="A1680" t="s">
        <v>8852</v>
      </c>
      <c r="B1680" t="str">
        <f>TEXT(Raw_Data[[#This Row],[Order Date]],"mmm")</f>
        <v>May</v>
      </c>
      <c r="C1680" t="s">
        <v>2693</v>
      </c>
      <c r="D1680" t="s">
        <v>8853</v>
      </c>
      <c r="E1680" t="s">
        <v>35</v>
      </c>
      <c r="F1680" t="s">
        <v>78</v>
      </c>
      <c r="G1680" t="s">
        <v>731</v>
      </c>
      <c r="H1680" t="s">
        <v>154</v>
      </c>
      <c r="I1680" t="s">
        <v>155</v>
      </c>
      <c r="J1680" t="s">
        <v>25</v>
      </c>
      <c r="K1680" t="s">
        <v>8854</v>
      </c>
      <c r="L1680">
        <v>0.05</v>
      </c>
      <c r="M1680" t="s">
        <v>8855</v>
      </c>
      <c r="N1680" t="s">
        <v>8856</v>
      </c>
      <c r="O1680" t="s">
        <v>29</v>
      </c>
      <c r="P1680" t="s">
        <v>30</v>
      </c>
      <c r="Q1680" t="s">
        <v>44</v>
      </c>
      <c r="R1680" s="3">
        <v>770.25999999999897</v>
      </c>
    </row>
    <row r="1681" spans="1:18" x14ac:dyDescent="0.3">
      <c r="A1681" t="s">
        <v>8857</v>
      </c>
      <c r="B1681" t="str">
        <f>TEXT(Raw_Data[[#This Row],[Order Date]],"mmm")</f>
        <v>Sep</v>
      </c>
      <c r="C1681" t="s">
        <v>1570</v>
      </c>
      <c r="D1681" t="s">
        <v>8858</v>
      </c>
      <c r="E1681" t="s">
        <v>48</v>
      </c>
      <c r="F1681" t="s">
        <v>36</v>
      </c>
      <c r="G1681" t="s">
        <v>123</v>
      </c>
      <c r="H1681" t="s">
        <v>38</v>
      </c>
      <c r="I1681" t="s">
        <v>256</v>
      </c>
      <c r="J1681" t="s">
        <v>25</v>
      </c>
      <c r="K1681" t="s">
        <v>8859</v>
      </c>
      <c r="L1681">
        <v>0.1</v>
      </c>
      <c r="M1681" t="s">
        <v>8860</v>
      </c>
      <c r="N1681" t="s">
        <v>8861</v>
      </c>
      <c r="O1681" t="s">
        <v>4079</v>
      </c>
      <c r="P1681" t="s">
        <v>30</v>
      </c>
      <c r="Q1681" t="s">
        <v>31</v>
      </c>
      <c r="R1681" s="3">
        <v>4903.29</v>
      </c>
    </row>
    <row r="1682" spans="1:18" x14ac:dyDescent="0.3">
      <c r="A1682" t="s">
        <v>8862</v>
      </c>
      <c r="B1682" t="str">
        <f>TEXT(Raw_Data[[#This Row],[Order Date]],"mmm")</f>
        <v>Sep</v>
      </c>
      <c r="C1682" t="s">
        <v>1570</v>
      </c>
      <c r="D1682" t="s">
        <v>8863</v>
      </c>
      <c r="E1682" t="s">
        <v>20</v>
      </c>
      <c r="F1682" t="s">
        <v>36</v>
      </c>
      <c r="G1682" t="s">
        <v>196</v>
      </c>
      <c r="H1682" t="s">
        <v>107</v>
      </c>
      <c r="I1682" t="s">
        <v>277</v>
      </c>
      <c r="J1682" t="s">
        <v>25</v>
      </c>
      <c r="K1682" t="s">
        <v>8864</v>
      </c>
      <c r="L1682">
        <v>0.05</v>
      </c>
      <c r="M1682" t="s">
        <v>8865</v>
      </c>
      <c r="N1682" t="s">
        <v>8866</v>
      </c>
      <c r="O1682" t="s">
        <v>43</v>
      </c>
      <c r="P1682" t="s">
        <v>95</v>
      </c>
      <c r="Q1682" t="s">
        <v>44</v>
      </c>
      <c r="R1682" s="3">
        <v>16063.416999999999</v>
      </c>
    </row>
    <row r="1683" spans="1:18" x14ac:dyDescent="0.3">
      <c r="A1683" t="s">
        <v>8867</v>
      </c>
      <c r="B1683" t="str">
        <f>TEXT(Raw_Data[[#This Row],[Order Date]],"mmm")</f>
        <v>Jul</v>
      </c>
      <c r="C1683" t="s">
        <v>2349</v>
      </c>
      <c r="D1683" t="s">
        <v>8868</v>
      </c>
      <c r="E1683" t="s">
        <v>48</v>
      </c>
      <c r="F1683" t="s">
        <v>69</v>
      </c>
      <c r="G1683" t="s">
        <v>70</v>
      </c>
      <c r="H1683" t="s">
        <v>107</v>
      </c>
      <c r="I1683" t="s">
        <v>378</v>
      </c>
      <c r="J1683" t="s">
        <v>25</v>
      </c>
      <c r="K1683" t="s">
        <v>8869</v>
      </c>
      <c r="L1683">
        <v>0.1</v>
      </c>
      <c r="M1683" t="s">
        <v>8870</v>
      </c>
      <c r="N1683" t="s">
        <v>8871</v>
      </c>
      <c r="O1683" t="s">
        <v>54</v>
      </c>
      <c r="P1683" t="s">
        <v>30</v>
      </c>
      <c r="Q1683" t="s">
        <v>44</v>
      </c>
      <c r="R1683" s="3">
        <v>13214.61</v>
      </c>
    </row>
    <row r="1684" spans="1:18" x14ac:dyDescent="0.3">
      <c r="A1684" t="s">
        <v>8872</v>
      </c>
      <c r="B1684" t="str">
        <f>TEXT(Raw_Data[[#This Row],[Order Date]],"mmm")</f>
        <v>Jul</v>
      </c>
      <c r="C1684" t="s">
        <v>2670</v>
      </c>
      <c r="D1684" t="s">
        <v>8873</v>
      </c>
      <c r="E1684" t="s">
        <v>35</v>
      </c>
      <c r="F1684" t="s">
        <v>36</v>
      </c>
      <c r="G1684" t="s">
        <v>153</v>
      </c>
      <c r="H1684" t="s">
        <v>80</v>
      </c>
      <c r="I1684" t="s">
        <v>91</v>
      </c>
      <c r="J1684" t="s">
        <v>25</v>
      </c>
      <c r="K1684" t="s">
        <v>8874</v>
      </c>
      <c r="L1684">
        <v>0.05</v>
      </c>
      <c r="M1684" t="s">
        <v>8875</v>
      </c>
      <c r="N1684" t="s">
        <v>8876</v>
      </c>
      <c r="O1684" t="s">
        <v>173</v>
      </c>
      <c r="P1684" t="s">
        <v>30</v>
      </c>
      <c r="Q1684" t="s">
        <v>44</v>
      </c>
      <c r="R1684" s="3">
        <v>2039.05149999999</v>
      </c>
    </row>
    <row r="1685" spans="1:18" x14ac:dyDescent="0.3">
      <c r="A1685" t="s">
        <v>8877</v>
      </c>
      <c r="B1685" t="str">
        <f>TEXT(Raw_Data[[#This Row],[Order Date]],"mmm")</f>
        <v>Jan</v>
      </c>
      <c r="C1685" t="s">
        <v>2752</v>
      </c>
      <c r="D1685" t="s">
        <v>8878</v>
      </c>
      <c r="E1685" t="s">
        <v>35</v>
      </c>
      <c r="F1685" t="s">
        <v>106</v>
      </c>
      <c r="G1685" t="s">
        <v>106</v>
      </c>
      <c r="H1685" t="s">
        <v>38</v>
      </c>
      <c r="I1685" t="s">
        <v>71</v>
      </c>
      <c r="J1685" t="s">
        <v>25</v>
      </c>
      <c r="K1685" t="s">
        <v>8879</v>
      </c>
      <c r="L1685">
        <v>0.1</v>
      </c>
      <c r="M1685" t="s">
        <v>8880</v>
      </c>
      <c r="N1685" t="s">
        <v>8881</v>
      </c>
      <c r="O1685" t="s">
        <v>54</v>
      </c>
      <c r="P1685" t="s">
        <v>95</v>
      </c>
      <c r="Q1685" t="s">
        <v>44</v>
      </c>
      <c r="R1685" s="3">
        <v>3485.79</v>
      </c>
    </row>
    <row r="1686" spans="1:18" x14ac:dyDescent="0.3">
      <c r="A1686" t="s">
        <v>8882</v>
      </c>
      <c r="B1686" t="str">
        <f>TEXT(Raw_Data[[#This Row],[Order Date]],"mmm")</f>
        <v>Mar</v>
      </c>
      <c r="C1686" t="s">
        <v>504</v>
      </c>
      <c r="D1686" t="s">
        <v>8883</v>
      </c>
      <c r="E1686" t="s">
        <v>20</v>
      </c>
      <c r="F1686" t="s">
        <v>106</v>
      </c>
      <c r="G1686" t="s">
        <v>163</v>
      </c>
      <c r="H1686" t="s">
        <v>154</v>
      </c>
      <c r="I1686" t="s">
        <v>365</v>
      </c>
      <c r="J1686" t="s">
        <v>25</v>
      </c>
      <c r="K1686" t="s">
        <v>8884</v>
      </c>
      <c r="L1686">
        <v>0.15</v>
      </c>
      <c r="M1686" t="s">
        <v>8885</v>
      </c>
      <c r="N1686" t="s">
        <v>8886</v>
      </c>
      <c r="O1686" t="s">
        <v>54</v>
      </c>
      <c r="P1686" t="s">
        <v>30</v>
      </c>
      <c r="Q1686" t="s">
        <v>65</v>
      </c>
      <c r="R1686" s="3">
        <v>3694.1934999999899</v>
      </c>
    </row>
    <row r="1687" spans="1:18" x14ac:dyDescent="0.3">
      <c r="A1687" t="s">
        <v>8887</v>
      </c>
      <c r="B1687" t="str">
        <f>TEXT(Raw_Data[[#This Row],[Order Date]],"mmm")</f>
        <v>Oct</v>
      </c>
      <c r="C1687" t="s">
        <v>474</v>
      </c>
      <c r="D1687" t="s">
        <v>8888</v>
      </c>
      <c r="E1687" t="s">
        <v>48</v>
      </c>
      <c r="F1687" t="s">
        <v>106</v>
      </c>
      <c r="G1687" t="s">
        <v>163</v>
      </c>
      <c r="H1687" t="s">
        <v>107</v>
      </c>
      <c r="I1687" t="s">
        <v>469</v>
      </c>
      <c r="J1687" t="s">
        <v>25</v>
      </c>
      <c r="K1687" t="s">
        <v>8889</v>
      </c>
      <c r="L1687">
        <v>0</v>
      </c>
      <c r="M1687" t="s">
        <v>8890</v>
      </c>
      <c r="N1687" t="s">
        <v>8891</v>
      </c>
      <c r="O1687" t="s">
        <v>64</v>
      </c>
      <c r="P1687" t="s">
        <v>30</v>
      </c>
      <c r="Q1687" t="s">
        <v>65</v>
      </c>
      <c r="R1687" s="3">
        <v>1861.63</v>
      </c>
    </row>
    <row r="1688" spans="1:18" x14ac:dyDescent="0.3">
      <c r="A1688" t="s">
        <v>8892</v>
      </c>
      <c r="B1688" t="str">
        <f>TEXT(Raw_Data[[#This Row],[Order Date]],"mmm")</f>
        <v>Jan</v>
      </c>
      <c r="C1688" t="s">
        <v>4365</v>
      </c>
      <c r="D1688" t="s">
        <v>8893</v>
      </c>
      <c r="E1688" t="s">
        <v>35</v>
      </c>
      <c r="F1688" t="s">
        <v>58</v>
      </c>
      <c r="G1688" t="s">
        <v>812</v>
      </c>
      <c r="H1688" t="s">
        <v>80</v>
      </c>
      <c r="I1688" t="s">
        <v>146</v>
      </c>
      <c r="J1688" t="s">
        <v>25</v>
      </c>
      <c r="K1688" t="s">
        <v>8894</v>
      </c>
      <c r="L1688">
        <v>0.1</v>
      </c>
      <c r="M1688" t="s">
        <v>8895</v>
      </c>
      <c r="N1688" t="s">
        <v>8896</v>
      </c>
      <c r="O1688" t="s">
        <v>173</v>
      </c>
      <c r="P1688" t="s">
        <v>30</v>
      </c>
      <c r="Q1688" t="s">
        <v>31</v>
      </c>
      <c r="R1688" s="3">
        <v>3667.05</v>
      </c>
    </row>
    <row r="1689" spans="1:18" x14ac:dyDescent="0.3">
      <c r="A1689" t="s">
        <v>8897</v>
      </c>
      <c r="B1689" t="str">
        <f>TEXT(Raw_Data[[#This Row],[Order Date]],"mmm")</f>
        <v>May</v>
      </c>
      <c r="C1689" t="s">
        <v>1781</v>
      </c>
      <c r="D1689" t="s">
        <v>8898</v>
      </c>
      <c r="E1689" t="s">
        <v>35</v>
      </c>
      <c r="F1689" t="s">
        <v>36</v>
      </c>
      <c r="G1689" t="s">
        <v>123</v>
      </c>
      <c r="H1689" t="s">
        <v>23</v>
      </c>
      <c r="I1689" t="s">
        <v>341</v>
      </c>
      <c r="J1689" t="s">
        <v>100</v>
      </c>
      <c r="K1689" t="s">
        <v>8899</v>
      </c>
      <c r="L1689">
        <v>0.05</v>
      </c>
      <c r="M1689" t="s">
        <v>8900</v>
      </c>
      <c r="N1689" t="s">
        <v>8901</v>
      </c>
      <c r="O1689" t="s">
        <v>54</v>
      </c>
      <c r="P1689" t="s">
        <v>30</v>
      </c>
      <c r="Q1689" t="s">
        <v>31</v>
      </c>
      <c r="R1689" s="3">
        <v>53211.267</v>
      </c>
    </row>
    <row r="1690" spans="1:18" x14ac:dyDescent="0.3">
      <c r="A1690" t="s">
        <v>8902</v>
      </c>
      <c r="B1690" t="str">
        <f>TEXT(Raw_Data[[#This Row],[Order Date]],"mmm")</f>
        <v>Aug</v>
      </c>
      <c r="C1690" t="s">
        <v>1104</v>
      </c>
      <c r="D1690" t="s">
        <v>8903</v>
      </c>
      <c r="E1690" t="s">
        <v>35</v>
      </c>
      <c r="F1690" t="s">
        <v>21</v>
      </c>
      <c r="G1690" t="s">
        <v>22</v>
      </c>
      <c r="H1690" t="s">
        <v>23</v>
      </c>
      <c r="I1690" t="s">
        <v>183</v>
      </c>
      <c r="J1690" t="s">
        <v>25</v>
      </c>
      <c r="K1690" t="s">
        <v>8904</v>
      </c>
      <c r="L1690">
        <v>0.05</v>
      </c>
      <c r="M1690" t="s">
        <v>8905</v>
      </c>
      <c r="N1690" t="s">
        <v>8906</v>
      </c>
      <c r="O1690" t="s">
        <v>64</v>
      </c>
      <c r="P1690" t="s">
        <v>112</v>
      </c>
      <c r="Q1690" t="s">
        <v>65</v>
      </c>
      <c r="R1690" s="3">
        <v>19918.3649999999</v>
      </c>
    </row>
    <row r="1691" spans="1:18" x14ac:dyDescent="0.3">
      <c r="A1691" t="s">
        <v>8907</v>
      </c>
      <c r="B1691" t="str">
        <f>TEXT(Raw_Data[[#This Row],[Order Date]],"mmm")</f>
        <v>Feb</v>
      </c>
      <c r="C1691" t="s">
        <v>936</v>
      </c>
      <c r="D1691" t="s">
        <v>8908</v>
      </c>
      <c r="E1691" t="s">
        <v>35</v>
      </c>
      <c r="F1691" t="s">
        <v>69</v>
      </c>
      <c r="G1691" t="s">
        <v>70</v>
      </c>
      <c r="H1691" t="s">
        <v>154</v>
      </c>
      <c r="I1691" t="s">
        <v>237</v>
      </c>
      <c r="J1691" t="s">
        <v>25</v>
      </c>
      <c r="K1691" t="s">
        <v>8909</v>
      </c>
      <c r="L1691">
        <v>0.2</v>
      </c>
      <c r="M1691" t="s">
        <v>8910</v>
      </c>
      <c r="N1691" t="s">
        <v>8911</v>
      </c>
      <c r="O1691" t="s">
        <v>54</v>
      </c>
      <c r="P1691" t="s">
        <v>95</v>
      </c>
      <c r="Q1691" t="s">
        <v>65</v>
      </c>
      <c r="R1691" s="3">
        <v>6029.5519999999997</v>
      </c>
    </row>
    <row r="1692" spans="1:18" x14ac:dyDescent="0.3">
      <c r="A1692" t="s">
        <v>8912</v>
      </c>
      <c r="B1692" t="str">
        <f>TEXT(Raw_Data[[#This Row],[Order Date]],"mmm")</f>
        <v>Feb</v>
      </c>
      <c r="C1692" t="s">
        <v>4284</v>
      </c>
      <c r="D1692" t="s">
        <v>8913</v>
      </c>
      <c r="E1692" t="s">
        <v>48</v>
      </c>
      <c r="F1692" t="s">
        <v>215</v>
      </c>
      <c r="G1692" t="s">
        <v>216</v>
      </c>
      <c r="H1692" t="s">
        <v>23</v>
      </c>
      <c r="I1692" t="s">
        <v>183</v>
      </c>
      <c r="J1692" t="s">
        <v>25</v>
      </c>
      <c r="K1692" t="s">
        <v>8914</v>
      </c>
      <c r="L1692">
        <v>0.1</v>
      </c>
      <c r="M1692" t="s">
        <v>8915</v>
      </c>
      <c r="N1692" t="s">
        <v>8916</v>
      </c>
      <c r="O1692" t="s">
        <v>29</v>
      </c>
      <c r="P1692" t="s">
        <v>30</v>
      </c>
      <c r="Q1692" t="s">
        <v>44</v>
      </c>
      <c r="R1692" s="3">
        <v>59415.830999999998</v>
      </c>
    </row>
    <row r="1693" spans="1:18" x14ac:dyDescent="0.3">
      <c r="A1693" t="s">
        <v>8917</v>
      </c>
      <c r="B1693" t="str">
        <f>TEXT(Raw_Data[[#This Row],[Order Date]],"mmm")</f>
        <v>Mar</v>
      </c>
      <c r="C1693" t="s">
        <v>1128</v>
      </c>
      <c r="D1693" t="s">
        <v>8918</v>
      </c>
      <c r="E1693" t="s">
        <v>48</v>
      </c>
      <c r="F1693" t="s">
        <v>78</v>
      </c>
      <c r="G1693" t="s">
        <v>468</v>
      </c>
      <c r="H1693" t="s">
        <v>154</v>
      </c>
      <c r="I1693" t="s">
        <v>309</v>
      </c>
      <c r="J1693" t="s">
        <v>25</v>
      </c>
      <c r="K1693" t="s">
        <v>8919</v>
      </c>
      <c r="L1693">
        <v>0.1</v>
      </c>
      <c r="M1693" t="s">
        <v>8920</v>
      </c>
      <c r="N1693" t="s">
        <v>8921</v>
      </c>
      <c r="O1693" t="s">
        <v>54</v>
      </c>
      <c r="P1693" t="s">
        <v>30</v>
      </c>
      <c r="Q1693" t="s">
        <v>31</v>
      </c>
      <c r="R1693" s="3">
        <v>2460.5729999999999</v>
      </c>
    </row>
    <row r="1694" spans="1:18" x14ac:dyDescent="0.3">
      <c r="A1694" t="s">
        <v>8922</v>
      </c>
      <c r="B1694" t="str">
        <f>TEXT(Raw_Data[[#This Row],[Order Date]],"mmm")</f>
        <v>Sep</v>
      </c>
      <c r="C1694" t="s">
        <v>2569</v>
      </c>
      <c r="D1694" t="s">
        <v>8923</v>
      </c>
      <c r="E1694" t="s">
        <v>48</v>
      </c>
      <c r="F1694" t="s">
        <v>106</v>
      </c>
      <c r="G1694" t="s">
        <v>106</v>
      </c>
      <c r="H1694" t="s">
        <v>23</v>
      </c>
      <c r="I1694" t="s">
        <v>24</v>
      </c>
      <c r="J1694" t="s">
        <v>50</v>
      </c>
      <c r="K1694" t="s">
        <v>8924</v>
      </c>
      <c r="L1694">
        <v>0.05</v>
      </c>
      <c r="M1694" t="s">
        <v>8925</v>
      </c>
      <c r="N1694" t="s">
        <v>8926</v>
      </c>
      <c r="O1694" t="s">
        <v>173</v>
      </c>
      <c r="P1694" t="s">
        <v>112</v>
      </c>
      <c r="Q1694" t="s">
        <v>31</v>
      </c>
      <c r="R1694" s="3">
        <v>133176.60499999899</v>
      </c>
    </row>
    <row r="1695" spans="1:18" x14ac:dyDescent="0.3">
      <c r="A1695" t="s">
        <v>8927</v>
      </c>
      <c r="B1695" t="str">
        <f>TEXT(Raw_Data[[#This Row],[Order Date]],"mmm")</f>
        <v>Dec</v>
      </c>
      <c r="C1695" t="s">
        <v>268</v>
      </c>
      <c r="D1695" t="s">
        <v>8928</v>
      </c>
      <c r="E1695" t="s">
        <v>20</v>
      </c>
      <c r="F1695" t="s">
        <v>78</v>
      </c>
      <c r="G1695" t="s">
        <v>468</v>
      </c>
      <c r="H1695" t="s">
        <v>107</v>
      </c>
      <c r="I1695" t="s">
        <v>277</v>
      </c>
      <c r="J1695" t="s">
        <v>25</v>
      </c>
      <c r="K1695" t="s">
        <v>8929</v>
      </c>
      <c r="L1695">
        <v>0.15</v>
      </c>
      <c r="M1695" t="s">
        <v>8930</v>
      </c>
      <c r="N1695" t="s">
        <v>8931</v>
      </c>
      <c r="O1695" t="s">
        <v>54</v>
      </c>
      <c r="P1695" t="s">
        <v>112</v>
      </c>
      <c r="Q1695" t="s">
        <v>31</v>
      </c>
      <c r="R1695" s="3">
        <v>6500.8509999999997</v>
      </c>
    </row>
    <row r="1696" spans="1:18" x14ac:dyDescent="0.3">
      <c r="A1696" t="s">
        <v>8932</v>
      </c>
      <c r="B1696" t="str">
        <f>TEXT(Raw_Data[[#This Row],[Order Date]],"mmm")</f>
        <v>Mar</v>
      </c>
      <c r="C1696" t="s">
        <v>1128</v>
      </c>
      <c r="D1696" t="s">
        <v>8933</v>
      </c>
      <c r="E1696" t="s">
        <v>35</v>
      </c>
      <c r="F1696" t="s">
        <v>106</v>
      </c>
      <c r="G1696" t="s">
        <v>106</v>
      </c>
      <c r="H1696" t="s">
        <v>107</v>
      </c>
      <c r="I1696" t="s">
        <v>469</v>
      </c>
      <c r="J1696" t="s">
        <v>25</v>
      </c>
      <c r="K1696" t="s">
        <v>8934</v>
      </c>
      <c r="L1696">
        <v>0</v>
      </c>
      <c r="M1696" t="s">
        <v>8935</v>
      </c>
      <c r="N1696" t="s">
        <v>8936</v>
      </c>
      <c r="O1696" t="s">
        <v>29</v>
      </c>
      <c r="P1696" t="s">
        <v>30</v>
      </c>
      <c r="Q1696" t="s">
        <v>31</v>
      </c>
      <c r="R1696" s="3">
        <v>3278.21</v>
      </c>
    </row>
    <row r="1697" spans="1:18" x14ac:dyDescent="0.3">
      <c r="A1697" t="s">
        <v>8937</v>
      </c>
      <c r="B1697" t="str">
        <f>TEXT(Raw_Data[[#This Row],[Order Date]],"mmm")</f>
        <v>Jun</v>
      </c>
      <c r="C1697" t="s">
        <v>3638</v>
      </c>
      <c r="D1697" t="s">
        <v>8938</v>
      </c>
      <c r="E1697" t="s">
        <v>20</v>
      </c>
      <c r="F1697" t="s">
        <v>106</v>
      </c>
      <c r="G1697" t="s">
        <v>163</v>
      </c>
      <c r="H1697" t="s">
        <v>38</v>
      </c>
      <c r="I1697" t="s">
        <v>60</v>
      </c>
      <c r="J1697" t="s">
        <v>25</v>
      </c>
      <c r="K1697" t="s">
        <v>8939</v>
      </c>
      <c r="L1697">
        <v>0.1</v>
      </c>
      <c r="M1697" t="s">
        <v>8940</v>
      </c>
      <c r="N1697" t="s">
        <v>8941</v>
      </c>
      <c r="O1697" t="s">
        <v>64</v>
      </c>
      <c r="P1697" t="s">
        <v>112</v>
      </c>
      <c r="Q1697" t="s">
        <v>44</v>
      </c>
      <c r="R1697" s="3">
        <v>5100.84</v>
      </c>
    </row>
    <row r="1698" spans="1:18" x14ac:dyDescent="0.3">
      <c r="A1698" t="s">
        <v>8942</v>
      </c>
      <c r="B1698" t="str">
        <f>TEXT(Raw_Data[[#This Row],[Order Date]],"mmm")</f>
        <v>Oct</v>
      </c>
      <c r="C1698" t="s">
        <v>1386</v>
      </c>
      <c r="D1698" t="s">
        <v>8943</v>
      </c>
      <c r="E1698" t="s">
        <v>20</v>
      </c>
      <c r="F1698" t="s">
        <v>106</v>
      </c>
      <c r="G1698" t="s">
        <v>163</v>
      </c>
      <c r="H1698" t="s">
        <v>80</v>
      </c>
      <c r="I1698" t="s">
        <v>146</v>
      </c>
      <c r="J1698" t="s">
        <v>25</v>
      </c>
      <c r="K1698" t="s">
        <v>8944</v>
      </c>
      <c r="L1698">
        <v>0.15</v>
      </c>
      <c r="M1698" t="s">
        <v>8945</v>
      </c>
      <c r="N1698" t="s">
        <v>8946</v>
      </c>
      <c r="O1698" t="s">
        <v>54</v>
      </c>
      <c r="P1698" t="s">
        <v>30</v>
      </c>
      <c r="Q1698" t="s">
        <v>31</v>
      </c>
      <c r="R1698" s="3">
        <v>4362.1149999999998</v>
      </c>
    </row>
    <row r="1699" spans="1:18" x14ac:dyDescent="0.3">
      <c r="A1699" t="s">
        <v>8947</v>
      </c>
      <c r="B1699" t="str">
        <f>TEXT(Raw_Data[[#This Row],[Order Date]],"mmm")</f>
        <v>Apr</v>
      </c>
      <c r="C1699" t="s">
        <v>2095</v>
      </c>
      <c r="D1699" t="s">
        <v>8948</v>
      </c>
      <c r="E1699" t="s">
        <v>48</v>
      </c>
      <c r="F1699" t="s">
        <v>215</v>
      </c>
      <c r="G1699" t="s">
        <v>276</v>
      </c>
      <c r="H1699" t="s">
        <v>23</v>
      </c>
      <c r="I1699" t="s">
        <v>49</v>
      </c>
      <c r="J1699" t="s">
        <v>25</v>
      </c>
      <c r="K1699" t="s">
        <v>8949</v>
      </c>
      <c r="L1699">
        <v>0</v>
      </c>
      <c r="M1699" t="s">
        <v>8950</v>
      </c>
      <c r="N1699" t="s">
        <v>8951</v>
      </c>
      <c r="O1699" t="s">
        <v>54</v>
      </c>
      <c r="P1699" t="s">
        <v>30</v>
      </c>
      <c r="Q1699" t="s">
        <v>44</v>
      </c>
      <c r="R1699" s="3">
        <v>10347.39</v>
      </c>
    </row>
    <row r="1700" spans="1:18" x14ac:dyDescent="0.3">
      <c r="A1700" t="s">
        <v>8952</v>
      </c>
      <c r="B1700" t="str">
        <f>TEXT(Raw_Data[[#This Row],[Order Date]],"mmm")</f>
        <v>Jan</v>
      </c>
      <c r="C1700" t="s">
        <v>2464</v>
      </c>
      <c r="D1700" t="s">
        <v>8953</v>
      </c>
      <c r="E1700" t="s">
        <v>35</v>
      </c>
      <c r="F1700" t="s">
        <v>36</v>
      </c>
      <c r="G1700" t="s">
        <v>37</v>
      </c>
      <c r="H1700" t="s">
        <v>107</v>
      </c>
      <c r="I1700" t="s">
        <v>591</v>
      </c>
      <c r="J1700" t="s">
        <v>25</v>
      </c>
      <c r="K1700" t="s">
        <v>8954</v>
      </c>
      <c r="L1700">
        <v>0.1</v>
      </c>
      <c r="M1700" t="s">
        <v>8955</v>
      </c>
      <c r="N1700" t="s">
        <v>8956</v>
      </c>
      <c r="O1700" t="s">
        <v>29</v>
      </c>
      <c r="P1700" t="s">
        <v>30</v>
      </c>
      <c r="Q1700" t="s">
        <v>44</v>
      </c>
      <c r="R1700" s="3">
        <v>14916.483</v>
      </c>
    </row>
    <row r="1701" spans="1:18" x14ac:dyDescent="0.3">
      <c r="A1701" t="s">
        <v>8957</v>
      </c>
      <c r="B1701" t="str">
        <f>TEXT(Raw_Data[[#This Row],[Order Date]],"mmm")</f>
        <v>Sep</v>
      </c>
      <c r="C1701" t="s">
        <v>346</v>
      </c>
      <c r="D1701" t="s">
        <v>8958</v>
      </c>
      <c r="E1701" t="s">
        <v>35</v>
      </c>
      <c r="F1701" t="s">
        <v>21</v>
      </c>
      <c r="G1701" t="s">
        <v>130</v>
      </c>
      <c r="H1701" t="s">
        <v>80</v>
      </c>
      <c r="I1701" t="s">
        <v>131</v>
      </c>
      <c r="J1701" t="s">
        <v>25</v>
      </c>
      <c r="K1701" t="s">
        <v>8959</v>
      </c>
      <c r="L1701">
        <v>0.1</v>
      </c>
      <c r="M1701" t="s">
        <v>8960</v>
      </c>
      <c r="N1701" t="s">
        <v>8961</v>
      </c>
      <c r="O1701" t="s">
        <v>29</v>
      </c>
      <c r="P1701" t="s">
        <v>159</v>
      </c>
      <c r="Q1701" t="s">
        <v>31</v>
      </c>
      <c r="R1701" s="3">
        <v>758.97899999999902</v>
      </c>
    </row>
    <row r="1702" spans="1:18" x14ac:dyDescent="0.3">
      <c r="A1702" t="s">
        <v>8962</v>
      </c>
      <c r="B1702" t="str">
        <f>TEXT(Raw_Data[[#This Row],[Order Date]],"mmm")</f>
        <v>Oct</v>
      </c>
      <c r="C1702" t="s">
        <v>2438</v>
      </c>
      <c r="D1702" t="s">
        <v>8963</v>
      </c>
      <c r="E1702" t="s">
        <v>20</v>
      </c>
      <c r="F1702" t="s">
        <v>58</v>
      </c>
      <c r="G1702" t="s">
        <v>812</v>
      </c>
      <c r="H1702" t="s">
        <v>23</v>
      </c>
      <c r="I1702" t="s">
        <v>183</v>
      </c>
      <c r="J1702" t="s">
        <v>25</v>
      </c>
      <c r="K1702" t="s">
        <v>8964</v>
      </c>
      <c r="L1702">
        <v>0.1</v>
      </c>
      <c r="M1702" t="s">
        <v>8965</v>
      </c>
      <c r="N1702" t="s">
        <v>8966</v>
      </c>
      <c r="O1702" t="s">
        <v>64</v>
      </c>
      <c r="P1702" t="s">
        <v>30</v>
      </c>
      <c r="Q1702" t="s">
        <v>44</v>
      </c>
      <c r="R1702" s="3">
        <v>53496.711000000003</v>
      </c>
    </row>
    <row r="1703" spans="1:18" x14ac:dyDescent="0.3">
      <c r="A1703" t="s">
        <v>8967</v>
      </c>
      <c r="B1703" t="str">
        <f>TEXT(Raw_Data[[#This Row],[Order Date]],"mmm")</f>
        <v>Jan</v>
      </c>
      <c r="C1703" t="s">
        <v>3581</v>
      </c>
      <c r="D1703" t="s">
        <v>8968</v>
      </c>
      <c r="E1703" t="s">
        <v>48</v>
      </c>
      <c r="F1703" t="s">
        <v>106</v>
      </c>
      <c r="G1703" t="s">
        <v>106</v>
      </c>
      <c r="H1703" t="s">
        <v>38</v>
      </c>
      <c r="I1703" t="s">
        <v>223</v>
      </c>
      <c r="J1703" t="s">
        <v>25</v>
      </c>
      <c r="K1703" t="s">
        <v>8969</v>
      </c>
      <c r="L1703">
        <v>0</v>
      </c>
      <c r="M1703" t="s">
        <v>8970</v>
      </c>
      <c r="N1703" t="s">
        <v>8971</v>
      </c>
      <c r="O1703" t="s">
        <v>54</v>
      </c>
      <c r="P1703" t="s">
        <v>30</v>
      </c>
      <c r="Q1703" t="s">
        <v>65</v>
      </c>
      <c r="R1703" s="3">
        <v>4395.57</v>
      </c>
    </row>
    <row r="1704" spans="1:18" x14ac:dyDescent="0.3">
      <c r="A1704" t="s">
        <v>8972</v>
      </c>
      <c r="B1704" t="str">
        <f>TEXT(Raw_Data[[#This Row],[Order Date]],"mmm")</f>
        <v>May</v>
      </c>
      <c r="C1704" t="s">
        <v>1781</v>
      </c>
      <c r="D1704" t="s">
        <v>8973</v>
      </c>
      <c r="E1704" t="s">
        <v>35</v>
      </c>
      <c r="F1704" t="s">
        <v>21</v>
      </c>
      <c r="G1704" t="s">
        <v>130</v>
      </c>
      <c r="H1704" t="s">
        <v>80</v>
      </c>
      <c r="I1704" t="s">
        <v>116</v>
      </c>
      <c r="J1704" t="s">
        <v>25</v>
      </c>
      <c r="K1704" t="s">
        <v>8974</v>
      </c>
      <c r="L1704">
        <v>0.05</v>
      </c>
      <c r="M1704" t="s">
        <v>8975</v>
      </c>
      <c r="N1704" t="s">
        <v>8976</v>
      </c>
      <c r="O1704" t="s">
        <v>173</v>
      </c>
      <c r="P1704" t="s">
        <v>30</v>
      </c>
      <c r="Q1704" t="s">
        <v>31</v>
      </c>
      <c r="R1704" s="3">
        <v>2251.3574999999901</v>
      </c>
    </row>
    <row r="1705" spans="1:18" x14ac:dyDescent="0.3">
      <c r="A1705" t="s">
        <v>8977</v>
      </c>
      <c r="B1705" t="str">
        <f>TEXT(Raw_Data[[#This Row],[Order Date]],"mmm")</f>
        <v>Mar</v>
      </c>
      <c r="C1705" t="s">
        <v>282</v>
      </c>
      <c r="D1705" t="s">
        <v>8978</v>
      </c>
      <c r="E1705" t="s">
        <v>48</v>
      </c>
      <c r="F1705" t="s">
        <v>21</v>
      </c>
      <c r="G1705" t="s">
        <v>130</v>
      </c>
      <c r="H1705" t="s">
        <v>23</v>
      </c>
      <c r="I1705" t="s">
        <v>183</v>
      </c>
      <c r="J1705" t="s">
        <v>25</v>
      </c>
      <c r="K1705" t="s">
        <v>8979</v>
      </c>
      <c r="L1705">
        <v>0.05</v>
      </c>
      <c r="M1705" t="s">
        <v>8980</v>
      </c>
      <c r="N1705" t="s">
        <v>8981</v>
      </c>
      <c r="O1705" t="s">
        <v>43</v>
      </c>
      <c r="P1705" t="s">
        <v>30</v>
      </c>
      <c r="Q1705" t="s">
        <v>44</v>
      </c>
      <c r="R1705" s="3">
        <v>10504.710499999999</v>
      </c>
    </row>
    <row r="1706" spans="1:18" x14ac:dyDescent="0.3">
      <c r="A1706" t="s">
        <v>8982</v>
      </c>
      <c r="B1706" t="str">
        <f>TEXT(Raw_Data[[#This Row],[Order Date]],"mmm")</f>
        <v>Feb</v>
      </c>
      <c r="C1706" t="s">
        <v>1336</v>
      </c>
      <c r="D1706" t="s">
        <v>8983</v>
      </c>
      <c r="E1706" t="s">
        <v>35</v>
      </c>
      <c r="F1706" t="s">
        <v>78</v>
      </c>
      <c r="G1706" t="s">
        <v>731</v>
      </c>
      <c r="H1706" t="s">
        <v>107</v>
      </c>
      <c r="I1706" t="s">
        <v>277</v>
      </c>
      <c r="J1706" t="s">
        <v>50</v>
      </c>
      <c r="K1706" t="s">
        <v>8984</v>
      </c>
      <c r="L1706">
        <v>0</v>
      </c>
      <c r="M1706" t="s">
        <v>8985</v>
      </c>
      <c r="N1706" t="s">
        <v>8986</v>
      </c>
      <c r="O1706" t="s">
        <v>64</v>
      </c>
      <c r="P1706" t="s">
        <v>112</v>
      </c>
      <c r="Q1706" t="s">
        <v>44</v>
      </c>
      <c r="R1706" s="3">
        <v>10604.94</v>
      </c>
    </row>
    <row r="1707" spans="1:18" x14ac:dyDescent="0.3">
      <c r="A1707" t="s">
        <v>8987</v>
      </c>
      <c r="B1707" t="str">
        <f>TEXT(Raw_Data[[#This Row],[Order Date]],"mmm")</f>
        <v>May</v>
      </c>
      <c r="C1707" t="s">
        <v>1420</v>
      </c>
      <c r="D1707" t="s">
        <v>8988</v>
      </c>
      <c r="E1707" t="s">
        <v>35</v>
      </c>
      <c r="F1707" t="s">
        <v>215</v>
      </c>
      <c r="G1707" t="s">
        <v>216</v>
      </c>
      <c r="H1707" t="s">
        <v>23</v>
      </c>
      <c r="I1707" t="s">
        <v>263</v>
      </c>
      <c r="J1707" t="s">
        <v>50</v>
      </c>
      <c r="K1707" t="s">
        <v>8989</v>
      </c>
      <c r="L1707">
        <v>0.15</v>
      </c>
      <c r="M1707" t="s">
        <v>8990</v>
      </c>
      <c r="N1707" t="s">
        <v>8991</v>
      </c>
      <c r="O1707" t="s">
        <v>64</v>
      </c>
      <c r="P1707" t="s">
        <v>30</v>
      </c>
      <c r="Q1707" t="s">
        <v>65</v>
      </c>
      <c r="R1707" s="3">
        <v>39395.2389999999</v>
      </c>
    </row>
    <row r="1708" spans="1:18" x14ac:dyDescent="0.3">
      <c r="A1708" t="s">
        <v>8992</v>
      </c>
      <c r="B1708" t="str">
        <f>TEXT(Raw_Data[[#This Row],[Order Date]],"mmm")</f>
        <v>Jan</v>
      </c>
      <c r="C1708" t="s">
        <v>2970</v>
      </c>
      <c r="D1708" t="s">
        <v>8993</v>
      </c>
      <c r="E1708" t="s">
        <v>35</v>
      </c>
      <c r="F1708" t="s">
        <v>21</v>
      </c>
      <c r="G1708" t="s">
        <v>22</v>
      </c>
      <c r="H1708" t="s">
        <v>23</v>
      </c>
      <c r="I1708" t="s">
        <v>183</v>
      </c>
      <c r="J1708" t="s">
        <v>25</v>
      </c>
      <c r="K1708" t="s">
        <v>8994</v>
      </c>
      <c r="L1708">
        <v>0.05</v>
      </c>
      <c r="M1708" t="s">
        <v>8995</v>
      </c>
      <c r="N1708" t="s">
        <v>8996</v>
      </c>
      <c r="O1708" t="s">
        <v>173</v>
      </c>
      <c r="P1708" t="s">
        <v>30</v>
      </c>
      <c r="Q1708" t="s">
        <v>44</v>
      </c>
      <c r="R1708" s="3">
        <v>11743.843000000001</v>
      </c>
    </row>
    <row r="1709" spans="1:18" x14ac:dyDescent="0.3">
      <c r="A1709" t="s">
        <v>8997</v>
      </c>
      <c r="B1709" t="str">
        <f>TEXT(Raw_Data[[#This Row],[Order Date]],"mmm")</f>
        <v>Dec</v>
      </c>
      <c r="C1709" t="s">
        <v>3862</v>
      </c>
      <c r="D1709" t="s">
        <v>8998</v>
      </c>
      <c r="E1709" t="s">
        <v>35</v>
      </c>
      <c r="F1709" t="s">
        <v>215</v>
      </c>
      <c r="G1709" t="s">
        <v>216</v>
      </c>
      <c r="H1709" t="s">
        <v>107</v>
      </c>
      <c r="I1709" t="s">
        <v>108</v>
      </c>
      <c r="J1709" t="s">
        <v>50</v>
      </c>
      <c r="K1709" t="s">
        <v>8999</v>
      </c>
      <c r="L1709">
        <v>0.2</v>
      </c>
      <c r="M1709" t="s">
        <v>9000</v>
      </c>
      <c r="N1709" t="s">
        <v>9001</v>
      </c>
      <c r="O1709" t="s">
        <v>173</v>
      </c>
      <c r="P1709" t="s">
        <v>30</v>
      </c>
      <c r="Q1709" t="s">
        <v>31</v>
      </c>
      <c r="R1709" s="3">
        <v>16204.495999999999</v>
      </c>
    </row>
    <row r="1710" spans="1:18" x14ac:dyDescent="0.3">
      <c r="A1710" t="s">
        <v>9002</v>
      </c>
      <c r="B1710" t="str">
        <f>TEXT(Raw_Data[[#This Row],[Order Date]],"mmm")</f>
        <v>Apr</v>
      </c>
      <c r="C1710" t="s">
        <v>902</v>
      </c>
      <c r="D1710" t="s">
        <v>9003</v>
      </c>
      <c r="E1710" t="s">
        <v>35</v>
      </c>
      <c r="F1710" t="s">
        <v>36</v>
      </c>
      <c r="G1710" t="s">
        <v>414</v>
      </c>
      <c r="H1710" t="s">
        <v>107</v>
      </c>
      <c r="I1710" t="s">
        <v>378</v>
      </c>
      <c r="J1710" t="s">
        <v>50</v>
      </c>
      <c r="K1710" t="s">
        <v>9004</v>
      </c>
      <c r="L1710">
        <v>0.1</v>
      </c>
      <c r="M1710" t="s">
        <v>9005</v>
      </c>
      <c r="N1710" t="s">
        <v>9006</v>
      </c>
      <c r="O1710" t="s">
        <v>43</v>
      </c>
      <c r="P1710" t="s">
        <v>30</v>
      </c>
      <c r="Q1710" t="s">
        <v>65</v>
      </c>
      <c r="R1710" s="3">
        <v>31123.35</v>
      </c>
    </row>
    <row r="1711" spans="1:18" x14ac:dyDescent="0.3">
      <c r="A1711" t="s">
        <v>9007</v>
      </c>
      <c r="B1711" t="str">
        <f>TEXT(Raw_Data[[#This Row],[Order Date]],"mmm")</f>
        <v>Oct</v>
      </c>
      <c r="C1711" t="s">
        <v>2316</v>
      </c>
      <c r="D1711" t="s">
        <v>9008</v>
      </c>
      <c r="E1711" t="s">
        <v>20</v>
      </c>
      <c r="F1711" t="s">
        <v>106</v>
      </c>
      <c r="G1711" t="s">
        <v>106</v>
      </c>
      <c r="H1711" t="s">
        <v>107</v>
      </c>
      <c r="I1711" t="s">
        <v>378</v>
      </c>
      <c r="J1711" t="s">
        <v>25</v>
      </c>
      <c r="K1711" t="s">
        <v>9009</v>
      </c>
      <c r="L1711">
        <v>0.15</v>
      </c>
      <c r="M1711" t="s">
        <v>9010</v>
      </c>
      <c r="N1711" t="s">
        <v>9011</v>
      </c>
      <c r="O1711" t="s">
        <v>173</v>
      </c>
      <c r="P1711" t="s">
        <v>30</v>
      </c>
      <c r="Q1711" t="s">
        <v>44</v>
      </c>
      <c r="R1711" s="3">
        <v>9957.6394999999993</v>
      </c>
    </row>
    <row r="1712" spans="1:18" x14ac:dyDescent="0.3">
      <c r="A1712" t="s">
        <v>9012</v>
      </c>
      <c r="B1712" t="str">
        <f>TEXT(Raw_Data[[#This Row],[Order Date]],"mmm")</f>
        <v>May</v>
      </c>
      <c r="C1712" t="s">
        <v>2089</v>
      </c>
      <c r="D1712" t="s">
        <v>9013</v>
      </c>
      <c r="E1712" t="s">
        <v>20</v>
      </c>
      <c r="F1712" t="s">
        <v>215</v>
      </c>
      <c r="G1712" t="s">
        <v>276</v>
      </c>
      <c r="H1712" t="s">
        <v>107</v>
      </c>
      <c r="I1712" t="s">
        <v>378</v>
      </c>
      <c r="J1712" t="s">
        <v>25</v>
      </c>
      <c r="K1712" t="s">
        <v>9014</v>
      </c>
      <c r="L1712">
        <v>0.15</v>
      </c>
      <c r="M1712" t="s">
        <v>9015</v>
      </c>
      <c r="N1712" t="s">
        <v>9016</v>
      </c>
      <c r="O1712" t="s">
        <v>29</v>
      </c>
      <c r="P1712" t="s">
        <v>30</v>
      </c>
      <c r="Q1712" t="s">
        <v>65</v>
      </c>
      <c r="R1712" s="3">
        <v>2488.0945000000002</v>
      </c>
    </row>
    <row r="1713" spans="1:18" x14ac:dyDescent="0.3">
      <c r="A1713" t="s">
        <v>9017</v>
      </c>
      <c r="B1713" t="str">
        <f>TEXT(Raw_Data[[#This Row],[Order Date]],"mmm")</f>
        <v>Jul</v>
      </c>
      <c r="C1713" t="s">
        <v>3354</v>
      </c>
      <c r="D1713" t="s">
        <v>9018</v>
      </c>
      <c r="E1713" t="s">
        <v>48</v>
      </c>
      <c r="F1713" t="s">
        <v>58</v>
      </c>
      <c r="G1713" t="s">
        <v>59</v>
      </c>
      <c r="H1713" t="s">
        <v>38</v>
      </c>
      <c r="I1713" t="s">
        <v>39</v>
      </c>
      <c r="J1713" t="s">
        <v>50</v>
      </c>
      <c r="K1713" t="s">
        <v>8519</v>
      </c>
      <c r="L1713">
        <v>0.05</v>
      </c>
      <c r="M1713" t="s">
        <v>9019</v>
      </c>
      <c r="N1713" t="s">
        <v>9020</v>
      </c>
      <c r="O1713" t="s">
        <v>43</v>
      </c>
      <c r="P1713" t="s">
        <v>112</v>
      </c>
      <c r="Q1713" t="s">
        <v>65</v>
      </c>
      <c r="R1713" s="3">
        <v>1687.181</v>
      </c>
    </row>
    <row r="1714" spans="1:18" x14ac:dyDescent="0.3">
      <c r="A1714" t="s">
        <v>9021</v>
      </c>
      <c r="B1714" t="str">
        <f>TEXT(Raw_Data[[#This Row],[Order Date]],"mmm")</f>
        <v>Mar</v>
      </c>
      <c r="C1714" t="s">
        <v>3284</v>
      </c>
      <c r="D1714" t="s">
        <v>9022</v>
      </c>
      <c r="E1714" t="s">
        <v>20</v>
      </c>
      <c r="F1714" t="s">
        <v>106</v>
      </c>
      <c r="G1714" t="s">
        <v>163</v>
      </c>
      <c r="H1714" t="s">
        <v>23</v>
      </c>
      <c r="I1714" t="s">
        <v>24</v>
      </c>
      <c r="J1714" t="s">
        <v>50</v>
      </c>
      <c r="K1714" t="s">
        <v>9023</v>
      </c>
      <c r="L1714">
        <v>0.05</v>
      </c>
      <c r="M1714" t="s">
        <v>9024</v>
      </c>
      <c r="N1714" t="s">
        <v>9025</v>
      </c>
      <c r="O1714" t="s">
        <v>43</v>
      </c>
      <c r="P1714" t="s">
        <v>30</v>
      </c>
      <c r="Q1714" t="s">
        <v>31</v>
      </c>
      <c r="R1714" s="3">
        <v>42220.678999999996</v>
      </c>
    </row>
    <row r="1715" spans="1:18" x14ac:dyDescent="0.3">
      <c r="A1715" t="s">
        <v>9026</v>
      </c>
      <c r="B1715" t="str">
        <f>TEXT(Raw_Data[[#This Row],[Order Date]],"mmm")</f>
        <v>Nov</v>
      </c>
      <c r="C1715" t="s">
        <v>1775</v>
      </c>
      <c r="D1715" t="s">
        <v>9027</v>
      </c>
      <c r="E1715" t="s">
        <v>20</v>
      </c>
      <c r="F1715" t="s">
        <v>106</v>
      </c>
      <c r="G1715" t="s">
        <v>106</v>
      </c>
      <c r="H1715" t="s">
        <v>23</v>
      </c>
      <c r="I1715" t="s">
        <v>49</v>
      </c>
      <c r="J1715" t="s">
        <v>50</v>
      </c>
      <c r="K1715" t="s">
        <v>9028</v>
      </c>
      <c r="L1715">
        <v>0.05</v>
      </c>
      <c r="M1715" t="s">
        <v>9029</v>
      </c>
      <c r="N1715" t="s">
        <v>9030</v>
      </c>
      <c r="O1715" t="s">
        <v>173</v>
      </c>
      <c r="P1715" t="s">
        <v>30</v>
      </c>
      <c r="Q1715" t="s">
        <v>65</v>
      </c>
      <c r="R1715" s="3">
        <v>73369.64</v>
      </c>
    </row>
    <row r="1716" spans="1:18" x14ac:dyDescent="0.3">
      <c r="A1716" t="s">
        <v>9031</v>
      </c>
      <c r="B1716" t="str">
        <f>TEXT(Raw_Data[[#This Row],[Order Date]],"mmm")</f>
        <v>Nov</v>
      </c>
      <c r="C1716" t="s">
        <v>8567</v>
      </c>
      <c r="D1716" t="s">
        <v>9032</v>
      </c>
      <c r="E1716" t="s">
        <v>20</v>
      </c>
      <c r="F1716" t="s">
        <v>58</v>
      </c>
      <c r="G1716" t="s">
        <v>290</v>
      </c>
      <c r="H1716" t="s">
        <v>23</v>
      </c>
      <c r="I1716" t="s">
        <v>263</v>
      </c>
      <c r="J1716" t="s">
        <v>100</v>
      </c>
      <c r="K1716" t="s">
        <v>9033</v>
      </c>
      <c r="L1716">
        <v>0.15</v>
      </c>
      <c r="M1716" t="s">
        <v>9034</v>
      </c>
      <c r="N1716" t="s">
        <v>9035</v>
      </c>
      <c r="O1716" t="s">
        <v>54</v>
      </c>
      <c r="P1716" t="s">
        <v>30</v>
      </c>
      <c r="Q1716" t="s">
        <v>65</v>
      </c>
      <c r="R1716" s="3">
        <v>7800.7049999999899</v>
      </c>
    </row>
    <row r="1717" spans="1:18" x14ac:dyDescent="0.3">
      <c r="A1717" t="s">
        <v>9036</v>
      </c>
      <c r="B1717" t="str">
        <f>TEXT(Raw_Data[[#This Row],[Order Date]],"mmm")</f>
        <v>Aug</v>
      </c>
      <c r="C1717" t="s">
        <v>1649</v>
      </c>
      <c r="D1717" t="s">
        <v>9037</v>
      </c>
      <c r="E1717" t="s">
        <v>48</v>
      </c>
      <c r="F1717" t="s">
        <v>69</v>
      </c>
      <c r="G1717" t="s">
        <v>328</v>
      </c>
      <c r="H1717" t="s">
        <v>107</v>
      </c>
      <c r="I1717" t="s">
        <v>469</v>
      </c>
      <c r="J1717" t="s">
        <v>25</v>
      </c>
      <c r="K1717" t="s">
        <v>9038</v>
      </c>
      <c r="L1717">
        <v>0.1</v>
      </c>
      <c r="M1717" t="s">
        <v>9039</v>
      </c>
      <c r="N1717" t="s">
        <v>9040</v>
      </c>
      <c r="O1717" t="s">
        <v>54</v>
      </c>
      <c r="P1717" t="s">
        <v>30</v>
      </c>
      <c r="Q1717" t="s">
        <v>31</v>
      </c>
      <c r="R1717" s="3">
        <v>6866.6760000000004</v>
      </c>
    </row>
    <row r="1718" spans="1:18" x14ac:dyDescent="0.3">
      <c r="A1718" t="s">
        <v>9041</v>
      </c>
      <c r="B1718" t="str">
        <f>TEXT(Raw_Data[[#This Row],[Order Date]],"mmm")</f>
        <v>Apr</v>
      </c>
      <c r="C1718" t="s">
        <v>2101</v>
      </c>
      <c r="D1718" t="s">
        <v>9042</v>
      </c>
      <c r="E1718" t="s">
        <v>20</v>
      </c>
      <c r="F1718" t="s">
        <v>89</v>
      </c>
      <c r="G1718" t="s">
        <v>99</v>
      </c>
      <c r="H1718" t="s">
        <v>23</v>
      </c>
      <c r="I1718" t="s">
        <v>263</v>
      </c>
      <c r="J1718" t="s">
        <v>100</v>
      </c>
      <c r="K1718" t="s">
        <v>9043</v>
      </c>
      <c r="L1718">
        <v>0</v>
      </c>
      <c r="M1718" t="s">
        <v>9044</v>
      </c>
      <c r="N1718" t="s">
        <v>9045</v>
      </c>
      <c r="O1718" t="s">
        <v>29</v>
      </c>
      <c r="P1718" t="s">
        <v>30</v>
      </c>
      <c r="Q1718" t="s">
        <v>44</v>
      </c>
      <c r="R1718" s="3">
        <v>80248.86</v>
      </c>
    </row>
    <row r="1719" spans="1:18" x14ac:dyDescent="0.3">
      <c r="A1719" t="s">
        <v>9046</v>
      </c>
      <c r="B1719" t="str">
        <f>TEXT(Raw_Data[[#This Row],[Order Date]],"mmm")</f>
        <v>Dec</v>
      </c>
      <c r="C1719" t="s">
        <v>46</v>
      </c>
      <c r="D1719" t="s">
        <v>9047</v>
      </c>
      <c r="E1719" t="s">
        <v>48</v>
      </c>
      <c r="F1719" t="s">
        <v>58</v>
      </c>
      <c r="G1719" t="s">
        <v>290</v>
      </c>
      <c r="H1719" t="s">
        <v>154</v>
      </c>
      <c r="I1719" t="s">
        <v>1061</v>
      </c>
      <c r="J1719" t="s">
        <v>25</v>
      </c>
      <c r="K1719" t="s">
        <v>9048</v>
      </c>
      <c r="L1719">
        <v>0.15</v>
      </c>
      <c r="M1719" t="s">
        <v>9049</v>
      </c>
      <c r="N1719" t="s">
        <v>9050</v>
      </c>
      <c r="O1719" t="s">
        <v>43</v>
      </c>
      <c r="P1719" t="s">
        <v>30</v>
      </c>
      <c r="Q1719" t="s">
        <v>44</v>
      </c>
      <c r="R1719" s="3">
        <v>1481.8474999999901</v>
      </c>
    </row>
    <row r="1720" spans="1:18" x14ac:dyDescent="0.3">
      <c r="A1720" t="s">
        <v>9051</v>
      </c>
      <c r="B1720" t="str">
        <f>TEXT(Raw_Data[[#This Row],[Order Date]],"mmm")</f>
        <v>Feb</v>
      </c>
      <c r="C1720" t="s">
        <v>2361</v>
      </c>
      <c r="D1720" t="s">
        <v>9052</v>
      </c>
      <c r="E1720" t="s">
        <v>35</v>
      </c>
      <c r="F1720" t="s">
        <v>69</v>
      </c>
      <c r="G1720" t="s">
        <v>139</v>
      </c>
      <c r="H1720" t="s">
        <v>107</v>
      </c>
      <c r="I1720" t="s">
        <v>591</v>
      </c>
      <c r="J1720" t="s">
        <v>25</v>
      </c>
      <c r="K1720" t="s">
        <v>9053</v>
      </c>
      <c r="L1720">
        <v>0.05</v>
      </c>
      <c r="M1720" t="s">
        <v>9054</v>
      </c>
      <c r="N1720" t="s">
        <v>9055</v>
      </c>
      <c r="O1720" t="s">
        <v>43</v>
      </c>
      <c r="P1720" t="s">
        <v>30</v>
      </c>
      <c r="Q1720" t="s">
        <v>31</v>
      </c>
      <c r="R1720" s="3">
        <v>2167.71</v>
      </c>
    </row>
    <row r="1721" spans="1:18" x14ac:dyDescent="0.3">
      <c r="A1721" t="s">
        <v>9056</v>
      </c>
      <c r="B1721" t="str">
        <f>TEXT(Raw_Data[[#This Row],[Order Date]],"mmm")</f>
        <v>Dec</v>
      </c>
      <c r="C1721" t="s">
        <v>640</v>
      </c>
      <c r="D1721" t="s">
        <v>9057</v>
      </c>
      <c r="E1721" t="s">
        <v>35</v>
      </c>
      <c r="F1721" t="s">
        <v>106</v>
      </c>
      <c r="G1721" t="s">
        <v>106</v>
      </c>
      <c r="H1721" t="s">
        <v>38</v>
      </c>
      <c r="I1721" t="s">
        <v>39</v>
      </c>
      <c r="J1721" t="s">
        <v>25</v>
      </c>
      <c r="K1721" t="s">
        <v>9058</v>
      </c>
      <c r="L1721">
        <v>0.1</v>
      </c>
      <c r="M1721" t="s">
        <v>9059</v>
      </c>
      <c r="N1721" t="s">
        <v>9060</v>
      </c>
      <c r="O1721" t="s">
        <v>43</v>
      </c>
      <c r="P1721" t="s">
        <v>95</v>
      </c>
      <c r="Q1721" t="s">
        <v>44</v>
      </c>
      <c r="R1721" s="3">
        <v>3690.009</v>
      </c>
    </row>
    <row r="1722" spans="1:18" x14ac:dyDescent="0.3">
      <c r="A1722" t="s">
        <v>9061</v>
      </c>
      <c r="B1722" t="str">
        <f>TEXT(Raw_Data[[#This Row],[Order Date]],"mmm")</f>
        <v>Jun</v>
      </c>
      <c r="C1722" t="s">
        <v>3638</v>
      </c>
      <c r="D1722" t="s">
        <v>9062</v>
      </c>
      <c r="E1722" t="s">
        <v>20</v>
      </c>
      <c r="F1722" t="s">
        <v>106</v>
      </c>
      <c r="G1722" t="s">
        <v>163</v>
      </c>
      <c r="H1722" t="s">
        <v>23</v>
      </c>
      <c r="I1722" t="s">
        <v>24</v>
      </c>
      <c r="J1722" t="s">
        <v>25</v>
      </c>
      <c r="K1722" t="s">
        <v>9063</v>
      </c>
      <c r="L1722">
        <v>0.1</v>
      </c>
      <c r="M1722" t="s">
        <v>9064</v>
      </c>
      <c r="N1722" t="s">
        <v>9065</v>
      </c>
      <c r="O1722" t="s">
        <v>29</v>
      </c>
      <c r="P1722" t="s">
        <v>159</v>
      </c>
      <c r="Q1722" t="s">
        <v>31</v>
      </c>
      <c r="R1722" s="3">
        <v>57562.614000000001</v>
      </c>
    </row>
    <row r="1723" spans="1:18" x14ac:dyDescent="0.3">
      <c r="A1723" t="s">
        <v>9066</v>
      </c>
      <c r="B1723" t="str">
        <f>TEXT(Raw_Data[[#This Row],[Order Date]],"mmm")</f>
        <v>Oct</v>
      </c>
      <c r="C1723" t="s">
        <v>383</v>
      </c>
      <c r="D1723" t="s">
        <v>9067</v>
      </c>
      <c r="E1723" t="s">
        <v>35</v>
      </c>
      <c r="F1723" t="s">
        <v>36</v>
      </c>
      <c r="G1723" t="s">
        <v>414</v>
      </c>
      <c r="H1723" t="s">
        <v>154</v>
      </c>
      <c r="I1723" t="s">
        <v>237</v>
      </c>
      <c r="J1723" t="s">
        <v>100</v>
      </c>
      <c r="K1723" t="s">
        <v>9068</v>
      </c>
      <c r="L1723">
        <v>0.05</v>
      </c>
      <c r="M1723" t="s">
        <v>9069</v>
      </c>
      <c r="N1723" t="s">
        <v>9070</v>
      </c>
      <c r="O1723" t="s">
        <v>43</v>
      </c>
      <c r="P1723" t="s">
        <v>30</v>
      </c>
      <c r="Q1723" t="s">
        <v>65</v>
      </c>
      <c r="R1723" s="3">
        <v>10520.3474999999</v>
      </c>
    </row>
    <row r="1724" spans="1:18" x14ac:dyDescent="0.3">
      <c r="A1724" t="s">
        <v>9071</v>
      </c>
      <c r="B1724" t="str">
        <f>TEXT(Raw_Data[[#This Row],[Order Date]],"mmm")</f>
        <v>May</v>
      </c>
      <c r="C1724" t="s">
        <v>885</v>
      </c>
      <c r="D1724" t="s">
        <v>9072</v>
      </c>
      <c r="E1724" t="s">
        <v>48</v>
      </c>
      <c r="F1724" t="s">
        <v>21</v>
      </c>
      <c r="G1724" t="s">
        <v>22</v>
      </c>
      <c r="H1724" t="s">
        <v>154</v>
      </c>
      <c r="I1724" t="s">
        <v>237</v>
      </c>
      <c r="J1724" t="s">
        <v>50</v>
      </c>
      <c r="K1724" t="s">
        <v>9073</v>
      </c>
      <c r="L1724">
        <v>0.1</v>
      </c>
      <c r="M1724" t="s">
        <v>9074</v>
      </c>
      <c r="N1724" t="s">
        <v>9075</v>
      </c>
      <c r="O1724" t="s">
        <v>173</v>
      </c>
      <c r="P1724" t="s">
        <v>30</v>
      </c>
      <c r="Q1724" t="s">
        <v>65</v>
      </c>
      <c r="R1724" s="3">
        <v>14986.224</v>
      </c>
    </row>
    <row r="1725" spans="1:18" x14ac:dyDescent="0.3">
      <c r="A1725" t="s">
        <v>9076</v>
      </c>
      <c r="B1725" t="str">
        <f>TEXT(Raw_Data[[#This Row],[Order Date]],"mmm")</f>
        <v>May</v>
      </c>
      <c r="C1725" t="s">
        <v>2693</v>
      </c>
      <c r="D1725" t="s">
        <v>9077</v>
      </c>
      <c r="E1725" t="s">
        <v>35</v>
      </c>
      <c r="F1725" t="s">
        <v>58</v>
      </c>
      <c r="G1725" t="s">
        <v>59</v>
      </c>
      <c r="H1725" t="s">
        <v>23</v>
      </c>
      <c r="I1725" t="s">
        <v>341</v>
      </c>
      <c r="J1725" t="s">
        <v>25</v>
      </c>
      <c r="K1725" t="s">
        <v>9078</v>
      </c>
      <c r="L1725">
        <v>0.1</v>
      </c>
      <c r="M1725" t="s">
        <v>9079</v>
      </c>
      <c r="N1725" t="s">
        <v>9080</v>
      </c>
      <c r="O1725" t="s">
        <v>29</v>
      </c>
      <c r="P1725" t="s">
        <v>30</v>
      </c>
      <c r="Q1725" t="s">
        <v>65</v>
      </c>
      <c r="R1725" s="3">
        <v>66442.392000000007</v>
      </c>
    </row>
    <row r="1726" spans="1:18" x14ac:dyDescent="0.3">
      <c r="A1726" t="s">
        <v>9081</v>
      </c>
      <c r="B1726" t="str">
        <f>TEXT(Raw_Data[[#This Row],[Order Date]],"mmm")</f>
        <v>Feb</v>
      </c>
      <c r="C1726" t="s">
        <v>4592</v>
      </c>
      <c r="D1726" t="s">
        <v>9082</v>
      </c>
      <c r="E1726" t="s">
        <v>20</v>
      </c>
      <c r="F1726" t="s">
        <v>89</v>
      </c>
      <c r="G1726" t="s">
        <v>230</v>
      </c>
      <c r="H1726" t="s">
        <v>23</v>
      </c>
      <c r="I1726" t="s">
        <v>49</v>
      </c>
      <c r="J1726" t="s">
        <v>25</v>
      </c>
      <c r="K1726" t="s">
        <v>9083</v>
      </c>
      <c r="L1726">
        <v>0</v>
      </c>
      <c r="M1726" t="s">
        <v>9084</v>
      </c>
      <c r="N1726" t="s">
        <v>9085</v>
      </c>
      <c r="O1726" t="s">
        <v>64</v>
      </c>
      <c r="P1726" t="s">
        <v>112</v>
      </c>
      <c r="Q1726" t="s">
        <v>65</v>
      </c>
      <c r="R1726" s="3">
        <v>3699.38</v>
      </c>
    </row>
    <row r="1727" spans="1:18" x14ac:dyDescent="0.3">
      <c r="A1727" t="s">
        <v>9086</v>
      </c>
      <c r="B1727" t="str">
        <f>TEXT(Raw_Data[[#This Row],[Order Date]],"mmm")</f>
        <v>Sep</v>
      </c>
      <c r="C1727" t="s">
        <v>437</v>
      </c>
      <c r="D1727" t="s">
        <v>9087</v>
      </c>
      <c r="E1727" t="s">
        <v>20</v>
      </c>
      <c r="F1727" t="s">
        <v>36</v>
      </c>
      <c r="G1727" t="s">
        <v>196</v>
      </c>
      <c r="H1727" t="s">
        <v>107</v>
      </c>
      <c r="I1727" t="s">
        <v>277</v>
      </c>
      <c r="J1727" t="s">
        <v>25</v>
      </c>
      <c r="K1727" t="s">
        <v>9088</v>
      </c>
      <c r="L1727">
        <v>0</v>
      </c>
      <c r="M1727" t="s">
        <v>9089</v>
      </c>
      <c r="N1727" t="s">
        <v>9090</v>
      </c>
      <c r="O1727" t="s">
        <v>29</v>
      </c>
      <c r="P1727" t="s">
        <v>30</v>
      </c>
      <c r="Q1727" t="s">
        <v>31</v>
      </c>
      <c r="R1727" s="3">
        <v>8476.5400000000009</v>
      </c>
    </row>
    <row r="1728" spans="1:18" x14ac:dyDescent="0.3">
      <c r="A1728" t="s">
        <v>9091</v>
      </c>
      <c r="B1728" t="str">
        <f>TEXT(Raw_Data[[#This Row],[Order Date]],"mmm")</f>
        <v>Oct</v>
      </c>
      <c r="C1728" t="s">
        <v>3910</v>
      </c>
      <c r="D1728" t="s">
        <v>9092</v>
      </c>
      <c r="E1728" t="s">
        <v>48</v>
      </c>
      <c r="F1728" t="s">
        <v>36</v>
      </c>
      <c r="G1728" t="s">
        <v>414</v>
      </c>
      <c r="H1728" t="s">
        <v>23</v>
      </c>
      <c r="I1728" t="s">
        <v>49</v>
      </c>
      <c r="J1728" t="s">
        <v>25</v>
      </c>
      <c r="K1728" t="s">
        <v>9093</v>
      </c>
      <c r="L1728">
        <v>0.15</v>
      </c>
      <c r="M1728" t="s">
        <v>9094</v>
      </c>
      <c r="N1728" t="s">
        <v>9095</v>
      </c>
      <c r="O1728" t="s">
        <v>54</v>
      </c>
      <c r="P1728" t="s">
        <v>30</v>
      </c>
      <c r="Q1728" t="s">
        <v>44</v>
      </c>
      <c r="R1728" s="3">
        <v>30153.0275</v>
      </c>
    </row>
    <row r="1729" spans="1:18" x14ac:dyDescent="0.3">
      <c r="A1729" t="s">
        <v>9096</v>
      </c>
      <c r="B1729" t="str">
        <f>TEXT(Raw_Data[[#This Row],[Order Date]],"mmm")</f>
        <v>Mar</v>
      </c>
      <c r="C1729" t="s">
        <v>9097</v>
      </c>
      <c r="D1729" t="s">
        <v>9098</v>
      </c>
      <c r="E1729" t="s">
        <v>35</v>
      </c>
      <c r="F1729" t="s">
        <v>106</v>
      </c>
      <c r="G1729" t="s">
        <v>163</v>
      </c>
      <c r="H1729" t="s">
        <v>80</v>
      </c>
      <c r="I1729" t="s">
        <v>146</v>
      </c>
      <c r="J1729" t="s">
        <v>50</v>
      </c>
      <c r="K1729" t="s">
        <v>9099</v>
      </c>
      <c r="L1729">
        <v>0.2</v>
      </c>
      <c r="M1729" t="s">
        <v>9100</v>
      </c>
      <c r="N1729" t="s">
        <v>9101</v>
      </c>
      <c r="O1729" t="s">
        <v>43</v>
      </c>
      <c r="P1729" t="s">
        <v>30</v>
      </c>
      <c r="Q1729" t="s">
        <v>31</v>
      </c>
      <c r="R1729" s="3">
        <v>8343.1039999999994</v>
      </c>
    </row>
    <row r="1730" spans="1:18" x14ac:dyDescent="0.3">
      <c r="A1730" t="s">
        <v>9102</v>
      </c>
      <c r="B1730" t="str">
        <f>TEXT(Raw_Data[[#This Row],[Order Date]],"mmm")</f>
        <v>Feb</v>
      </c>
      <c r="C1730" t="s">
        <v>4284</v>
      </c>
      <c r="D1730" t="s">
        <v>9103</v>
      </c>
      <c r="E1730" t="s">
        <v>48</v>
      </c>
      <c r="F1730" t="s">
        <v>78</v>
      </c>
      <c r="G1730" t="s">
        <v>79</v>
      </c>
      <c r="H1730" t="s">
        <v>154</v>
      </c>
      <c r="I1730" t="s">
        <v>309</v>
      </c>
      <c r="J1730" t="s">
        <v>25</v>
      </c>
      <c r="K1730" t="s">
        <v>9104</v>
      </c>
      <c r="L1730">
        <v>0.05</v>
      </c>
      <c r="M1730" t="s">
        <v>9105</v>
      </c>
      <c r="N1730" t="s">
        <v>9106</v>
      </c>
      <c r="O1730" t="s">
        <v>64</v>
      </c>
      <c r="P1730" t="s">
        <v>30</v>
      </c>
      <c r="Q1730" t="s">
        <v>65</v>
      </c>
      <c r="R1730" s="3">
        <v>3121.9850000000001</v>
      </c>
    </row>
    <row r="1731" spans="1:18" x14ac:dyDescent="0.3">
      <c r="A1731" t="s">
        <v>9107</v>
      </c>
      <c r="B1731" t="str">
        <f>TEXT(Raw_Data[[#This Row],[Order Date]],"mmm")</f>
        <v>Jan</v>
      </c>
      <c r="C1731" t="s">
        <v>431</v>
      </c>
      <c r="D1731" t="s">
        <v>9108</v>
      </c>
      <c r="E1731" t="s">
        <v>20</v>
      </c>
      <c r="F1731" t="s">
        <v>89</v>
      </c>
      <c r="G1731" t="s">
        <v>230</v>
      </c>
      <c r="H1731" t="s">
        <v>80</v>
      </c>
      <c r="I1731" t="s">
        <v>81</v>
      </c>
      <c r="J1731" t="s">
        <v>25</v>
      </c>
      <c r="K1731" t="s">
        <v>9109</v>
      </c>
      <c r="L1731">
        <v>0</v>
      </c>
      <c r="M1731" t="s">
        <v>9110</v>
      </c>
      <c r="N1731" t="s">
        <v>9111</v>
      </c>
      <c r="O1731" t="s">
        <v>173</v>
      </c>
      <c r="P1731" t="s">
        <v>30</v>
      </c>
      <c r="Q1731" t="s">
        <v>31</v>
      </c>
      <c r="R1731" s="3">
        <v>6429.43</v>
      </c>
    </row>
    <row r="1732" spans="1:18" x14ac:dyDescent="0.3">
      <c r="A1732" t="s">
        <v>9112</v>
      </c>
      <c r="B1732" t="str">
        <f>TEXT(Raw_Data[[#This Row],[Order Date]],"mmm")</f>
        <v>Jan</v>
      </c>
      <c r="C1732" t="s">
        <v>1878</v>
      </c>
      <c r="D1732" t="s">
        <v>9113</v>
      </c>
      <c r="E1732" t="s">
        <v>48</v>
      </c>
      <c r="F1732" t="s">
        <v>89</v>
      </c>
      <c r="G1732" t="s">
        <v>99</v>
      </c>
      <c r="H1732" t="s">
        <v>107</v>
      </c>
      <c r="I1732" t="s">
        <v>591</v>
      </c>
      <c r="J1732" t="s">
        <v>25</v>
      </c>
      <c r="K1732" t="s">
        <v>9114</v>
      </c>
      <c r="L1732">
        <v>0.15</v>
      </c>
      <c r="M1732" t="s">
        <v>9115</v>
      </c>
      <c r="N1732" t="s">
        <v>9116</v>
      </c>
      <c r="O1732" t="s">
        <v>29</v>
      </c>
      <c r="P1732" t="s">
        <v>30</v>
      </c>
      <c r="Q1732" t="s">
        <v>65</v>
      </c>
      <c r="R1732" s="3">
        <v>2907.9265</v>
      </c>
    </row>
    <row r="1733" spans="1:18" x14ac:dyDescent="0.3">
      <c r="A1733" t="s">
        <v>9117</v>
      </c>
      <c r="B1733" t="str">
        <f>TEXT(Raw_Data[[#This Row],[Order Date]],"mmm")</f>
        <v>May</v>
      </c>
      <c r="C1733" t="s">
        <v>1937</v>
      </c>
      <c r="D1733" t="s">
        <v>9118</v>
      </c>
      <c r="E1733" t="s">
        <v>48</v>
      </c>
      <c r="F1733" t="s">
        <v>69</v>
      </c>
      <c r="G1733" t="s">
        <v>70</v>
      </c>
      <c r="H1733" t="s">
        <v>154</v>
      </c>
      <c r="I1733" t="s">
        <v>1061</v>
      </c>
      <c r="J1733" t="s">
        <v>25</v>
      </c>
      <c r="K1733" t="s">
        <v>9119</v>
      </c>
      <c r="L1733">
        <v>0.2</v>
      </c>
      <c r="M1733" t="s">
        <v>9120</v>
      </c>
      <c r="N1733" t="s">
        <v>9121</v>
      </c>
      <c r="O1733" t="s">
        <v>64</v>
      </c>
      <c r="P1733" t="s">
        <v>30</v>
      </c>
      <c r="Q1733" t="s">
        <v>44</v>
      </c>
      <c r="R1733" s="3">
        <v>4525.88</v>
      </c>
    </row>
    <row r="1734" spans="1:18" x14ac:dyDescent="0.3">
      <c r="A1734" t="s">
        <v>9122</v>
      </c>
      <c r="B1734" t="str">
        <f>TEXT(Raw_Data[[#This Row],[Order Date]],"mmm")</f>
        <v>May</v>
      </c>
      <c r="C1734" t="s">
        <v>1420</v>
      </c>
      <c r="D1734" t="s">
        <v>9123</v>
      </c>
      <c r="E1734" t="s">
        <v>20</v>
      </c>
      <c r="F1734" t="s">
        <v>106</v>
      </c>
      <c r="G1734" t="s">
        <v>163</v>
      </c>
      <c r="H1734" t="s">
        <v>80</v>
      </c>
      <c r="I1734" t="s">
        <v>116</v>
      </c>
      <c r="J1734" t="s">
        <v>25</v>
      </c>
      <c r="K1734" t="s">
        <v>9124</v>
      </c>
      <c r="L1734">
        <v>0.05</v>
      </c>
      <c r="M1734" t="s">
        <v>9125</v>
      </c>
      <c r="N1734" t="s">
        <v>9126</v>
      </c>
      <c r="O1734" t="s">
        <v>29</v>
      </c>
      <c r="P1734" t="s">
        <v>30</v>
      </c>
      <c r="Q1734" t="s">
        <v>65</v>
      </c>
      <c r="R1734" s="3">
        <v>675.48799999999903</v>
      </c>
    </row>
    <row r="1735" spans="1:18" x14ac:dyDescent="0.3">
      <c r="A1735" t="s">
        <v>9127</v>
      </c>
      <c r="B1735" t="str">
        <f>TEXT(Raw_Data[[#This Row],[Order Date]],"mmm")</f>
        <v>Jun</v>
      </c>
      <c r="C1735" t="s">
        <v>8096</v>
      </c>
      <c r="D1735" t="s">
        <v>9128</v>
      </c>
      <c r="E1735" t="s">
        <v>48</v>
      </c>
      <c r="F1735" t="s">
        <v>21</v>
      </c>
      <c r="G1735" t="s">
        <v>130</v>
      </c>
      <c r="H1735" t="s">
        <v>80</v>
      </c>
      <c r="I1735" t="s">
        <v>91</v>
      </c>
      <c r="J1735" t="s">
        <v>25</v>
      </c>
      <c r="K1735" t="s">
        <v>9129</v>
      </c>
      <c r="L1735">
        <v>0.15</v>
      </c>
      <c r="M1735" t="s">
        <v>9130</v>
      </c>
      <c r="N1735" t="s">
        <v>9131</v>
      </c>
      <c r="O1735" t="s">
        <v>43</v>
      </c>
      <c r="P1735" t="s">
        <v>30</v>
      </c>
      <c r="Q1735" t="s">
        <v>44</v>
      </c>
      <c r="R1735" s="3">
        <v>5496.9669999999996</v>
      </c>
    </row>
    <row r="1736" spans="1:18" x14ac:dyDescent="0.3">
      <c r="A1736" t="s">
        <v>9132</v>
      </c>
      <c r="B1736" t="str">
        <f>TEXT(Raw_Data[[#This Row],[Order Date]],"mmm")</f>
        <v>Dec</v>
      </c>
      <c r="C1736" t="s">
        <v>3159</v>
      </c>
      <c r="D1736" t="s">
        <v>9133</v>
      </c>
      <c r="E1736" t="s">
        <v>48</v>
      </c>
      <c r="F1736" t="s">
        <v>89</v>
      </c>
      <c r="G1736" t="s">
        <v>90</v>
      </c>
      <c r="H1736" t="s">
        <v>23</v>
      </c>
      <c r="I1736" t="s">
        <v>263</v>
      </c>
      <c r="J1736" t="s">
        <v>25</v>
      </c>
      <c r="K1736" t="s">
        <v>9134</v>
      </c>
      <c r="L1736">
        <v>0.05</v>
      </c>
      <c r="M1736" t="s">
        <v>9135</v>
      </c>
      <c r="N1736" t="s">
        <v>9136</v>
      </c>
      <c r="O1736" t="s">
        <v>64</v>
      </c>
      <c r="P1736" t="s">
        <v>30</v>
      </c>
      <c r="Q1736" t="s">
        <v>65</v>
      </c>
      <c r="R1736" s="3">
        <v>32208.923499999899</v>
      </c>
    </row>
    <row r="1737" spans="1:18" x14ac:dyDescent="0.3">
      <c r="A1737" t="s">
        <v>9137</v>
      </c>
      <c r="B1737" t="str">
        <f>TEXT(Raw_Data[[#This Row],[Order Date]],"mmm")</f>
        <v>May</v>
      </c>
      <c r="C1737" t="s">
        <v>2299</v>
      </c>
      <c r="D1737" t="s">
        <v>9138</v>
      </c>
      <c r="E1737" t="s">
        <v>35</v>
      </c>
      <c r="F1737" t="s">
        <v>106</v>
      </c>
      <c r="G1737" t="s">
        <v>163</v>
      </c>
      <c r="H1737" t="s">
        <v>23</v>
      </c>
      <c r="I1737" t="s">
        <v>49</v>
      </c>
      <c r="J1737" t="s">
        <v>25</v>
      </c>
      <c r="K1737" t="s">
        <v>9139</v>
      </c>
      <c r="L1737">
        <v>0.05</v>
      </c>
      <c r="M1737" t="s">
        <v>9140</v>
      </c>
      <c r="N1737" t="s">
        <v>9141</v>
      </c>
      <c r="O1737" t="s">
        <v>43</v>
      </c>
      <c r="P1737" t="s">
        <v>30</v>
      </c>
      <c r="Q1737" t="s">
        <v>65</v>
      </c>
      <c r="R1737" s="3">
        <v>27724.210999999999</v>
      </c>
    </row>
    <row r="1738" spans="1:18" x14ac:dyDescent="0.3">
      <c r="A1738" t="s">
        <v>9142</v>
      </c>
      <c r="B1738" t="str">
        <f>TEXT(Raw_Data[[#This Row],[Order Date]],"mmm")</f>
        <v>Feb</v>
      </c>
      <c r="C1738" t="s">
        <v>4284</v>
      </c>
      <c r="D1738" t="s">
        <v>9143</v>
      </c>
      <c r="E1738" t="s">
        <v>20</v>
      </c>
      <c r="F1738" t="s">
        <v>89</v>
      </c>
      <c r="G1738" t="s">
        <v>230</v>
      </c>
      <c r="H1738" t="s">
        <v>23</v>
      </c>
      <c r="I1738" t="s">
        <v>341</v>
      </c>
      <c r="J1738" t="s">
        <v>50</v>
      </c>
      <c r="K1738" t="s">
        <v>9144</v>
      </c>
      <c r="L1738">
        <v>0.15</v>
      </c>
      <c r="M1738" t="s">
        <v>9145</v>
      </c>
      <c r="N1738" t="s">
        <v>9146</v>
      </c>
      <c r="O1738" t="s">
        <v>2763</v>
      </c>
      <c r="P1738" t="s">
        <v>30</v>
      </c>
      <c r="Q1738" t="s">
        <v>65</v>
      </c>
      <c r="R1738" s="3">
        <v>34890.137000000002</v>
      </c>
    </row>
    <row r="1739" spans="1:18" x14ac:dyDescent="0.3">
      <c r="A1739" t="s">
        <v>9147</v>
      </c>
      <c r="B1739" t="str">
        <f>TEXT(Raw_Data[[#This Row],[Order Date]],"mmm")</f>
        <v>Dec</v>
      </c>
      <c r="C1739" t="s">
        <v>1819</v>
      </c>
      <c r="D1739" t="s">
        <v>9148</v>
      </c>
      <c r="E1739" t="s">
        <v>20</v>
      </c>
      <c r="F1739" t="s">
        <v>69</v>
      </c>
      <c r="G1739" t="s">
        <v>139</v>
      </c>
      <c r="H1739" t="s">
        <v>80</v>
      </c>
      <c r="I1739" t="s">
        <v>146</v>
      </c>
      <c r="J1739" t="s">
        <v>50</v>
      </c>
      <c r="K1739" t="s">
        <v>9149</v>
      </c>
      <c r="L1739">
        <v>0.2</v>
      </c>
      <c r="M1739" t="s">
        <v>9150</v>
      </c>
      <c r="N1739" t="s">
        <v>9151</v>
      </c>
      <c r="O1739" t="s">
        <v>64</v>
      </c>
      <c r="P1739" t="s">
        <v>30</v>
      </c>
      <c r="Q1739" t="s">
        <v>44</v>
      </c>
      <c r="R1739" s="3">
        <v>10887.103999999999</v>
      </c>
    </row>
    <row r="1740" spans="1:18" x14ac:dyDescent="0.3">
      <c r="A1740" t="s">
        <v>9152</v>
      </c>
      <c r="B1740" t="str">
        <f>TEXT(Raw_Data[[#This Row],[Order Date]],"mmm")</f>
        <v>Aug</v>
      </c>
      <c r="C1740" t="s">
        <v>971</v>
      </c>
      <c r="D1740" t="s">
        <v>9153</v>
      </c>
      <c r="E1740" t="s">
        <v>48</v>
      </c>
      <c r="F1740" t="s">
        <v>36</v>
      </c>
      <c r="G1740" t="s">
        <v>196</v>
      </c>
      <c r="H1740" t="s">
        <v>154</v>
      </c>
      <c r="I1740" t="s">
        <v>155</v>
      </c>
      <c r="J1740" t="s">
        <v>100</v>
      </c>
      <c r="K1740" t="s">
        <v>9154</v>
      </c>
      <c r="L1740">
        <v>0.05</v>
      </c>
      <c r="M1740" t="s">
        <v>9155</v>
      </c>
      <c r="N1740" t="s">
        <v>9156</v>
      </c>
      <c r="O1740" t="s">
        <v>29</v>
      </c>
      <c r="P1740" t="s">
        <v>30</v>
      </c>
      <c r="Q1740" t="s">
        <v>31</v>
      </c>
      <c r="R1740" s="3">
        <v>16387.100999999999</v>
      </c>
    </row>
    <row r="1741" spans="1:18" x14ac:dyDescent="0.3">
      <c r="A1741" t="s">
        <v>9157</v>
      </c>
      <c r="B1741" t="str">
        <f>TEXT(Raw_Data[[#This Row],[Order Date]],"mmm")</f>
        <v>Apr</v>
      </c>
      <c r="C1741" t="s">
        <v>2095</v>
      </c>
      <c r="D1741" t="s">
        <v>9158</v>
      </c>
      <c r="E1741" t="s">
        <v>20</v>
      </c>
      <c r="F1741" t="s">
        <v>21</v>
      </c>
      <c r="G1741" t="s">
        <v>22</v>
      </c>
      <c r="H1741" t="s">
        <v>23</v>
      </c>
      <c r="I1741" t="s">
        <v>263</v>
      </c>
      <c r="J1741" t="s">
        <v>25</v>
      </c>
      <c r="K1741" t="s">
        <v>9159</v>
      </c>
      <c r="L1741">
        <v>0.1</v>
      </c>
      <c r="M1741" t="s">
        <v>9160</v>
      </c>
      <c r="N1741" t="s">
        <v>9161</v>
      </c>
      <c r="O1741" t="s">
        <v>29</v>
      </c>
      <c r="P1741" t="s">
        <v>30</v>
      </c>
      <c r="Q1741" t="s">
        <v>65</v>
      </c>
      <c r="R1741" s="3">
        <v>54751.328999999998</v>
      </c>
    </row>
    <row r="1742" spans="1:18" x14ac:dyDescent="0.3">
      <c r="A1742" t="s">
        <v>9162</v>
      </c>
      <c r="B1742" t="str">
        <f>TEXT(Raw_Data[[#This Row],[Order Date]],"mmm")</f>
        <v>Mar</v>
      </c>
      <c r="C1742" t="s">
        <v>425</v>
      </c>
      <c r="D1742" t="s">
        <v>9163</v>
      </c>
      <c r="E1742" t="s">
        <v>35</v>
      </c>
      <c r="F1742" t="s">
        <v>78</v>
      </c>
      <c r="G1742" t="s">
        <v>731</v>
      </c>
      <c r="H1742" t="s">
        <v>23</v>
      </c>
      <c r="I1742" t="s">
        <v>263</v>
      </c>
      <c r="J1742" t="s">
        <v>25</v>
      </c>
      <c r="K1742" t="s">
        <v>9164</v>
      </c>
      <c r="L1742">
        <v>0.15</v>
      </c>
      <c r="M1742" t="s">
        <v>9165</v>
      </c>
      <c r="N1742" t="s">
        <v>9166</v>
      </c>
      <c r="O1742" t="s">
        <v>29</v>
      </c>
      <c r="P1742" t="s">
        <v>30</v>
      </c>
      <c r="Q1742" t="s">
        <v>31</v>
      </c>
      <c r="R1742" s="3">
        <v>26349.557999999899</v>
      </c>
    </row>
    <row r="1743" spans="1:18" x14ac:dyDescent="0.3">
      <c r="A1743" t="s">
        <v>9167</v>
      </c>
      <c r="B1743" t="str">
        <f>TEXT(Raw_Data[[#This Row],[Order Date]],"mmm")</f>
        <v>Feb</v>
      </c>
      <c r="C1743" t="s">
        <v>7114</v>
      </c>
      <c r="D1743" t="s">
        <v>9168</v>
      </c>
      <c r="E1743" t="s">
        <v>20</v>
      </c>
      <c r="F1743" t="s">
        <v>89</v>
      </c>
      <c r="G1743" t="s">
        <v>90</v>
      </c>
      <c r="H1743" t="s">
        <v>80</v>
      </c>
      <c r="I1743" t="s">
        <v>91</v>
      </c>
      <c r="J1743" t="s">
        <v>25</v>
      </c>
      <c r="K1743" t="s">
        <v>9169</v>
      </c>
      <c r="L1743">
        <v>0.05</v>
      </c>
      <c r="M1743" t="s">
        <v>9170</v>
      </c>
      <c r="N1743" t="s">
        <v>9171</v>
      </c>
      <c r="O1743" t="s">
        <v>64</v>
      </c>
      <c r="P1743" t="s">
        <v>159</v>
      </c>
      <c r="Q1743" t="s">
        <v>65</v>
      </c>
      <c r="R1743" s="3">
        <v>4023.8580000000002</v>
      </c>
    </row>
    <row r="1744" spans="1:18" x14ac:dyDescent="0.3">
      <c r="A1744" t="s">
        <v>9172</v>
      </c>
      <c r="B1744" t="str">
        <f>TEXT(Raw_Data[[#This Row],[Order Date]],"mmm")</f>
        <v>Nov</v>
      </c>
      <c r="C1744" t="s">
        <v>4386</v>
      </c>
      <c r="D1744" t="s">
        <v>9173</v>
      </c>
      <c r="E1744" t="s">
        <v>20</v>
      </c>
      <c r="F1744" t="s">
        <v>69</v>
      </c>
      <c r="G1744" t="s">
        <v>328</v>
      </c>
      <c r="H1744" t="s">
        <v>107</v>
      </c>
      <c r="I1744" t="s">
        <v>277</v>
      </c>
      <c r="J1744" t="s">
        <v>50</v>
      </c>
      <c r="K1744" t="s">
        <v>9174</v>
      </c>
      <c r="L1744">
        <v>0.05</v>
      </c>
      <c r="M1744" t="s">
        <v>9175</v>
      </c>
      <c r="N1744" t="s">
        <v>9176</v>
      </c>
      <c r="O1744" t="s">
        <v>54</v>
      </c>
      <c r="P1744" t="s">
        <v>30</v>
      </c>
      <c r="Q1744" t="s">
        <v>31</v>
      </c>
      <c r="R1744" s="3">
        <v>4338.4789999999903</v>
      </c>
    </row>
    <row r="1745" spans="1:18" x14ac:dyDescent="0.3">
      <c r="A1745" t="s">
        <v>9177</v>
      </c>
      <c r="B1745" t="str">
        <f>TEXT(Raw_Data[[#This Row],[Order Date]],"mmm")</f>
        <v>Aug</v>
      </c>
      <c r="C1745" t="s">
        <v>1403</v>
      </c>
      <c r="D1745" t="s">
        <v>9178</v>
      </c>
      <c r="E1745" t="s">
        <v>35</v>
      </c>
      <c r="F1745" t="s">
        <v>58</v>
      </c>
      <c r="G1745" t="s">
        <v>290</v>
      </c>
      <c r="H1745" t="s">
        <v>154</v>
      </c>
      <c r="I1745" t="s">
        <v>309</v>
      </c>
      <c r="J1745" t="s">
        <v>100</v>
      </c>
      <c r="K1745" t="s">
        <v>9179</v>
      </c>
      <c r="L1745">
        <v>0.1</v>
      </c>
      <c r="M1745" t="s">
        <v>9180</v>
      </c>
      <c r="N1745" t="s">
        <v>9181</v>
      </c>
      <c r="O1745" t="s">
        <v>173</v>
      </c>
      <c r="P1745" t="s">
        <v>30</v>
      </c>
      <c r="Q1745" t="s">
        <v>44</v>
      </c>
      <c r="R1745" s="3">
        <v>10079.235000000001</v>
      </c>
    </row>
    <row r="1746" spans="1:18" x14ac:dyDescent="0.3">
      <c r="A1746" t="s">
        <v>9182</v>
      </c>
      <c r="B1746" t="str">
        <f>TEXT(Raw_Data[[#This Row],[Order Date]],"mmm")</f>
        <v>Feb</v>
      </c>
      <c r="C1746" t="s">
        <v>2676</v>
      </c>
      <c r="D1746" t="s">
        <v>9183</v>
      </c>
      <c r="E1746" t="s">
        <v>35</v>
      </c>
      <c r="F1746" t="s">
        <v>58</v>
      </c>
      <c r="G1746" t="s">
        <v>290</v>
      </c>
      <c r="H1746" t="s">
        <v>23</v>
      </c>
      <c r="I1746" t="s">
        <v>183</v>
      </c>
      <c r="J1746" t="s">
        <v>50</v>
      </c>
      <c r="K1746" t="s">
        <v>9184</v>
      </c>
      <c r="L1746">
        <v>0.1</v>
      </c>
      <c r="M1746" t="s">
        <v>9185</v>
      </c>
      <c r="N1746" t="s">
        <v>9186</v>
      </c>
      <c r="O1746" t="s">
        <v>43</v>
      </c>
      <c r="P1746" t="s">
        <v>30</v>
      </c>
      <c r="Q1746" t="s">
        <v>31</v>
      </c>
      <c r="R1746" s="3">
        <v>36831.095999999998</v>
      </c>
    </row>
    <row r="1747" spans="1:18" x14ac:dyDescent="0.3">
      <c r="A1747" t="s">
        <v>9187</v>
      </c>
      <c r="B1747" t="str">
        <f>TEXT(Raw_Data[[#This Row],[Order Date]],"mmm")</f>
        <v>Nov</v>
      </c>
      <c r="C1747" t="s">
        <v>3696</v>
      </c>
      <c r="D1747" t="s">
        <v>9188</v>
      </c>
      <c r="E1747" t="s">
        <v>35</v>
      </c>
      <c r="F1747" t="s">
        <v>36</v>
      </c>
      <c r="G1747" t="s">
        <v>123</v>
      </c>
      <c r="H1747" t="s">
        <v>107</v>
      </c>
      <c r="I1747" t="s">
        <v>108</v>
      </c>
      <c r="J1747" t="s">
        <v>25</v>
      </c>
      <c r="K1747" t="s">
        <v>9189</v>
      </c>
      <c r="L1747">
        <v>0.15</v>
      </c>
      <c r="M1747" t="s">
        <v>9190</v>
      </c>
      <c r="N1747" t="s">
        <v>9191</v>
      </c>
      <c r="O1747" t="s">
        <v>64</v>
      </c>
      <c r="P1747" t="s">
        <v>112</v>
      </c>
      <c r="Q1747" t="s">
        <v>31</v>
      </c>
      <c r="R1747" s="3">
        <v>15032.691999999999</v>
      </c>
    </row>
    <row r="1748" spans="1:18" x14ac:dyDescent="0.3">
      <c r="A1748" t="s">
        <v>9192</v>
      </c>
      <c r="B1748" t="str">
        <f>TEXT(Raw_Data[[#This Row],[Order Date]],"mmm")</f>
        <v>May</v>
      </c>
      <c r="C1748" t="s">
        <v>2355</v>
      </c>
      <c r="D1748" t="s">
        <v>9193</v>
      </c>
      <c r="E1748" t="s">
        <v>20</v>
      </c>
      <c r="F1748" t="s">
        <v>215</v>
      </c>
      <c r="G1748" t="s">
        <v>276</v>
      </c>
      <c r="H1748" t="s">
        <v>23</v>
      </c>
      <c r="I1748" t="s">
        <v>49</v>
      </c>
      <c r="J1748" t="s">
        <v>25</v>
      </c>
      <c r="K1748" t="s">
        <v>9194</v>
      </c>
      <c r="L1748">
        <v>0.15</v>
      </c>
      <c r="M1748" t="s">
        <v>9195</v>
      </c>
      <c r="N1748" t="s">
        <v>9196</v>
      </c>
      <c r="O1748" t="s">
        <v>29</v>
      </c>
      <c r="P1748" t="s">
        <v>30</v>
      </c>
      <c r="Q1748" t="s">
        <v>65</v>
      </c>
      <c r="R1748" s="3">
        <v>35487.780500000001</v>
      </c>
    </row>
    <row r="1749" spans="1:18" x14ac:dyDescent="0.3">
      <c r="A1749" t="s">
        <v>9197</v>
      </c>
      <c r="B1749" t="str">
        <f>TEXT(Raw_Data[[#This Row],[Order Date]],"mmm")</f>
        <v>Dec</v>
      </c>
      <c r="C1749" t="s">
        <v>3159</v>
      </c>
      <c r="D1749" t="s">
        <v>9198</v>
      </c>
      <c r="E1749" t="s">
        <v>20</v>
      </c>
      <c r="F1749" t="s">
        <v>58</v>
      </c>
      <c r="G1749" t="s">
        <v>812</v>
      </c>
      <c r="H1749" t="s">
        <v>23</v>
      </c>
      <c r="I1749" t="s">
        <v>263</v>
      </c>
      <c r="J1749" t="s">
        <v>25</v>
      </c>
      <c r="K1749" t="s">
        <v>9199</v>
      </c>
      <c r="L1749">
        <v>0</v>
      </c>
      <c r="M1749" t="s">
        <v>9200</v>
      </c>
      <c r="N1749" t="s">
        <v>9201</v>
      </c>
      <c r="O1749" t="s">
        <v>43</v>
      </c>
      <c r="P1749" t="s">
        <v>30</v>
      </c>
      <c r="Q1749" t="s">
        <v>65</v>
      </c>
      <c r="R1749" s="3">
        <v>32169.31</v>
      </c>
    </row>
    <row r="1750" spans="1:18" x14ac:dyDescent="0.3">
      <c r="A1750" t="s">
        <v>9202</v>
      </c>
      <c r="B1750" t="str">
        <f>TEXT(Raw_Data[[#This Row],[Order Date]],"mmm")</f>
        <v>Dec</v>
      </c>
      <c r="C1750" t="s">
        <v>9203</v>
      </c>
      <c r="D1750" t="s">
        <v>9204</v>
      </c>
      <c r="E1750" t="s">
        <v>35</v>
      </c>
      <c r="F1750" t="s">
        <v>78</v>
      </c>
      <c r="G1750" t="s">
        <v>731</v>
      </c>
      <c r="H1750" t="s">
        <v>38</v>
      </c>
      <c r="I1750" t="s">
        <v>256</v>
      </c>
      <c r="J1750" t="s">
        <v>100</v>
      </c>
      <c r="K1750" t="s">
        <v>9205</v>
      </c>
      <c r="L1750">
        <v>0.1</v>
      </c>
      <c r="M1750" t="s">
        <v>8255</v>
      </c>
      <c r="N1750" t="s">
        <v>9206</v>
      </c>
      <c r="O1750" t="s">
        <v>43</v>
      </c>
      <c r="P1750" t="s">
        <v>112</v>
      </c>
      <c r="Q1750" t="s">
        <v>44</v>
      </c>
      <c r="R1750" s="3">
        <v>1217.4839999999999</v>
      </c>
    </row>
    <row r="1751" spans="1:18" x14ac:dyDescent="0.3">
      <c r="A1751" t="s">
        <v>9207</v>
      </c>
      <c r="B1751" t="str">
        <f>TEXT(Raw_Data[[#This Row],[Order Date]],"mmm")</f>
        <v>Feb</v>
      </c>
      <c r="C1751" t="s">
        <v>936</v>
      </c>
      <c r="D1751" t="s">
        <v>9208</v>
      </c>
      <c r="E1751" t="s">
        <v>20</v>
      </c>
      <c r="F1751" t="s">
        <v>69</v>
      </c>
      <c r="G1751" t="s">
        <v>70</v>
      </c>
      <c r="H1751" t="s">
        <v>23</v>
      </c>
      <c r="I1751" t="s">
        <v>49</v>
      </c>
      <c r="J1751" t="s">
        <v>50</v>
      </c>
      <c r="K1751" t="s">
        <v>9209</v>
      </c>
      <c r="L1751">
        <v>0.05</v>
      </c>
      <c r="M1751" t="s">
        <v>9210</v>
      </c>
      <c r="N1751" t="s">
        <v>9211</v>
      </c>
      <c r="O1751" t="s">
        <v>54</v>
      </c>
      <c r="P1751" t="s">
        <v>30</v>
      </c>
      <c r="Q1751" t="s">
        <v>65</v>
      </c>
      <c r="R1751" s="3">
        <v>75547.856999999902</v>
      </c>
    </row>
    <row r="1752" spans="1:18" x14ac:dyDescent="0.3">
      <c r="A1752" t="s">
        <v>9212</v>
      </c>
      <c r="B1752" t="str">
        <f>TEXT(Raw_Data[[#This Row],[Order Date]],"mmm")</f>
        <v>Mar</v>
      </c>
      <c r="C1752" t="s">
        <v>395</v>
      </c>
      <c r="D1752" t="s">
        <v>9213</v>
      </c>
      <c r="E1752" t="s">
        <v>20</v>
      </c>
      <c r="F1752" t="s">
        <v>78</v>
      </c>
      <c r="G1752" t="s">
        <v>731</v>
      </c>
      <c r="H1752" t="s">
        <v>80</v>
      </c>
      <c r="I1752" t="s">
        <v>116</v>
      </c>
      <c r="J1752" t="s">
        <v>100</v>
      </c>
      <c r="K1752" t="s">
        <v>9214</v>
      </c>
      <c r="L1752">
        <v>0.05</v>
      </c>
      <c r="M1752" t="s">
        <v>9215</v>
      </c>
      <c r="N1752" t="s">
        <v>9216</v>
      </c>
      <c r="O1752" t="s">
        <v>43</v>
      </c>
      <c r="P1752" t="s">
        <v>30</v>
      </c>
      <c r="Q1752" t="s">
        <v>31</v>
      </c>
      <c r="R1752" s="3">
        <v>14059.2779999999</v>
      </c>
    </row>
    <row r="1753" spans="1:18" x14ac:dyDescent="0.3">
      <c r="A1753" t="s">
        <v>9217</v>
      </c>
      <c r="B1753" t="str">
        <f>TEXT(Raw_Data[[#This Row],[Order Date]],"mmm")</f>
        <v>Oct</v>
      </c>
      <c r="C1753" t="s">
        <v>3186</v>
      </c>
      <c r="D1753" t="s">
        <v>9218</v>
      </c>
      <c r="E1753" t="s">
        <v>35</v>
      </c>
      <c r="F1753" t="s">
        <v>89</v>
      </c>
      <c r="G1753" t="s">
        <v>99</v>
      </c>
      <c r="H1753" t="s">
        <v>23</v>
      </c>
      <c r="I1753" t="s">
        <v>49</v>
      </c>
      <c r="J1753" t="s">
        <v>25</v>
      </c>
      <c r="K1753" t="s">
        <v>9219</v>
      </c>
      <c r="L1753">
        <v>0.1</v>
      </c>
      <c r="M1753" t="s">
        <v>9220</v>
      </c>
      <c r="N1753" t="s">
        <v>9221</v>
      </c>
      <c r="O1753" t="s">
        <v>29</v>
      </c>
      <c r="P1753" t="s">
        <v>30</v>
      </c>
      <c r="Q1753" t="s">
        <v>31</v>
      </c>
      <c r="R1753" s="3">
        <v>60869.231999999902</v>
      </c>
    </row>
    <row r="1754" spans="1:18" x14ac:dyDescent="0.3">
      <c r="A1754" t="s">
        <v>9222</v>
      </c>
      <c r="B1754" t="str">
        <f>TEXT(Raw_Data[[#This Row],[Order Date]],"mmm")</f>
        <v>May</v>
      </c>
      <c r="C1754" t="s">
        <v>3899</v>
      </c>
      <c r="D1754" t="s">
        <v>9223</v>
      </c>
      <c r="E1754" t="s">
        <v>48</v>
      </c>
      <c r="F1754" t="s">
        <v>215</v>
      </c>
      <c r="G1754" t="s">
        <v>276</v>
      </c>
      <c r="H1754" t="s">
        <v>80</v>
      </c>
      <c r="I1754" t="s">
        <v>277</v>
      </c>
      <c r="J1754" t="s">
        <v>50</v>
      </c>
      <c r="K1754" t="s">
        <v>9224</v>
      </c>
      <c r="L1754">
        <v>0.2</v>
      </c>
      <c r="M1754" t="s">
        <v>9225</v>
      </c>
      <c r="N1754" t="s">
        <v>9226</v>
      </c>
      <c r="O1754" t="s">
        <v>43</v>
      </c>
      <c r="P1754" t="s">
        <v>30</v>
      </c>
      <c r="Q1754" t="s">
        <v>31</v>
      </c>
      <c r="R1754" s="3">
        <v>10937.36</v>
      </c>
    </row>
    <row r="1755" spans="1:18" x14ac:dyDescent="0.3">
      <c r="A1755" t="s">
        <v>9227</v>
      </c>
      <c r="B1755" t="str">
        <f>TEXT(Raw_Data[[#This Row],[Order Date]],"mmm")</f>
        <v>Apr</v>
      </c>
      <c r="C1755" t="s">
        <v>67</v>
      </c>
      <c r="D1755" t="s">
        <v>9228</v>
      </c>
      <c r="E1755" t="s">
        <v>35</v>
      </c>
      <c r="F1755" t="s">
        <v>78</v>
      </c>
      <c r="G1755" t="s">
        <v>468</v>
      </c>
      <c r="H1755" t="s">
        <v>107</v>
      </c>
      <c r="I1755" t="s">
        <v>108</v>
      </c>
      <c r="J1755" t="s">
        <v>25</v>
      </c>
      <c r="K1755" t="s">
        <v>9229</v>
      </c>
      <c r="L1755">
        <v>0.15</v>
      </c>
      <c r="M1755" t="s">
        <v>9230</v>
      </c>
      <c r="N1755" t="s">
        <v>9231</v>
      </c>
      <c r="O1755" t="s">
        <v>173</v>
      </c>
      <c r="P1755" t="s">
        <v>30</v>
      </c>
      <c r="Q1755" t="s">
        <v>31</v>
      </c>
      <c r="R1755" s="3">
        <v>10188.261500000001</v>
      </c>
    </row>
    <row r="1756" spans="1:18" x14ac:dyDescent="0.3">
      <c r="A1756" t="s">
        <v>9232</v>
      </c>
      <c r="B1756" t="str">
        <f>TEXT(Raw_Data[[#This Row],[Order Date]],"mmm")</f>
        <v>Apr</v>
      </c>
      <c r="C1756" t="s">
        <v>2338</v>
      </c>
      <c r="D1756" t="s">
        <v>9233</v>
      </c>
      <c r="E1756" t="s">
        <v>35</v>
      </c>
      <c r="F1756" t="s">
        <v>89</v>
      </c>
      <c r="G1756" t="s">
        <v>99</v>
      </c>
      <c r="H1756" t="s">
        <v>23</v>
      </c>
      <c r="I1756" t="s">
        <v>24</v>
      </c>
      <c r="J1756" t="s">
        <v>25</v>
      </c>
      <c r="K1756" t="s">
        <v>9234</v>
      </c>
      <c r="L1756">
        <v>0.1</v>
      </c>
      <c r="M1756" t="s">
        <v>9235</v>
      </c>
      <c r="N1756" t="s">
        <v>9236</v>
      </c>
      <c r="O1756" t="s">
        <v>54</v>
      </c>
      <c r="P1756" t="s">
        <v>112</v>
      </c>
      <c r="Q1756" t="s">
        <v>44</v>
      </c>
      <c r="R1756" s="3">
        <v>17552.402999999998</v>
      </c>
    </row>
    <row r="1757" spans="1:18" x14ac:dyDescent="0.3">
      <c r="A1757" t="s">
        <v>9237</v>
      </c>
      <c r="B1757" t="str">
        <f>TEXT(Raw_Data[[#This Row],[Order Date]],"mmm")</f>
        <v>Feb</v>
      </c>
      <c r="C1757" t="s">
        <v>862</v>
      </c>
      <c r="D1757" t="s">
        <v>9238</v>
      </c>
      <c r="E1757" t="s">
        <v>48</v>
      </c>
      <c r="F1757" t="s">
        <v>215</v>
      </c>
      <c r="G1757" t="s">
        <v>216</v>
      </c>
      <c r="H1757" t="s">
        <v>80</v>
      </c>
      <c r="I1757" t="s">
        <v>91</v>
      </c>
      <c r="J1757" t="s">
        <v>25</v>
      </c>
      <c r="K1757" t="s">
        <v>9239</v>
      </c>
      <c r="L1757">
        <v>0</v>
      </c>
      <c r="M1757" t="s">
        <v>9240</v>
      </c>
      <c r="N1757" t="s">
        <v>9241</v>
      </c>
      <c r="O1757" t="s">
        <v>43</v>
      </c>
      <c r="P1757" t="s">
        <v>30</v>
      </c>
      <c r="Q1757" t="s">
        <v>44</v>
      </c>
      <c r="R1757" s="3">
        <v>531.08000000000004</v>
      </c>
    </row>
    <row r="1758" spans="1:18" x14ac:dyDescent="0.3">
      <c r="A1758" t="s">
        <v>9242</v>
      </c>
      <c r="B1758" t="str">
        <f>TEXT(Raw_Data[[#This Row],[Order Date]],"mmm")</f>
        <v>Oct</v>
      </c>
      <c r="C1758" t="s">
        <v>1802</v>
      </c>
      <c r="D1758" t="s">
        <v>9243</v>
      </c>
      <c r="E1758" t="s">
        <v>35</v>
      </c>
      <c r="F1758" t="s">
        <v>215</v>
      </c>
      <c r="G1758" t="s">
        <v>276</v>
      </c>
      <c r="H1758" t="s">
        <v>107</v>
      </c>
      <c r="I1758" t="s">
        <v>378</v>
      </c>
      <c r="J1758" t="s">
        <v>50</v>
      </c>
      <c r="K1758" t="s">
        <v>9244</v>
      </c>
      <c r="L1758">
        <v>0.1</v>
      </c>
      <c r="M1758" t="s">
        <v>9245</v>
      </c>
      <c r="N1758" t="s">
        <v>9246</v>
      </c>
      <c r="O1758" t="s">
        <v>29</v>
      </c>
      <c r="P1758" t="s">
        <v>30</v>
      </c>
      <c r="Q1758" t="s">
        <v>44</v>
      </c>
      <c r="R1758" s="3">
        <v>12516.552</v>
      </c>
    </row>
    <row r="1759" spans="1:18" x14ac:dyDescent="0.3">
      <c r="A1759" t="s">
        <v>9247</v>
      </c>
      <c r="B1759" t="str">
        <f>TEXT(Raw_Data[[#This Row],[Order Date]],"mmm")</f>
        <v>Jun</v>
      </c>
      <c r="C1759" t="s">
        <v>370</v>
      </c>
      <c r="D1759" t="s">
        <v>9248</v>
      </c>
      <c r="E1759" t="s">
        <v>48</v>
      </c>
      <c r="F1759" t="s">
        <v>78</v>
      </c>
      <c r="G1759" t="s">
        <v>731</v>
      </c>
      <c r="H1759" t="s">
        <v>38</v>
      </c>
      <c r="I1759" t="s">
        <v>60</v>
      </c>
      <c r="J1759" t="s">
        <v>25</v>
      </c>
      <c r="K1759" t="s">
        <v>9249</v>
      </c>
      <c r="L1759">
        <v>0.05</v>
      </c>
      <c r="M1759" t="s">
        <v>9250</v>
      </c>
      <c r="N1759" t="s">
        <v>9251</v>
      </c>
      <c r="O1759" t="s">
        <v>54</v>
      </c>
      <c r="P1759" t="s">
        <v>30</v>
      </c>
      <c r="Q1759" t="s">
        <v>44</v>
      </c>
      <c r="R1759" s="3">
        <v>2068.7199999999998</v>
      </c>
    </row>
    <row r="1760" spans="1:18" x14ac:dyDescent="0.3">
      <c r="A1760" t="s">
        <v>9252</v>
      </c>
      <c r="B1760" t="str">
        <f>TEXT(Raw_Data[[#This Row],[Order Date]],"mmm")</f>
        <v>Nov</v>
      </c>
      <c r="C1760" t="s">
        <v>1009</v>
      </c>
      <c r="D1760" t="s">
        <v>9253</v>
      </c>
      <c r="E1760" t="s">
        <v>48</v>
      </c>
      <c r="F1760" t="s">
        <v>106</v>
      </c>
      <c r="G1760" t="s">
        <v>106</v>
      </c>
      <c r="H1760" t="s">
        <v>80</v>
      </c>
      <c r="I1760" t="s">
        <v>146</v>
      </c>
      <c r="J1760" t="s">
        <v>25</v>
      </c>
      <c r="K1760" t="s">
        <v>9254</v>
      </c>
      <c r="L1760">
        <v>0</v>
      </c>
      <c r="M1760" t="s">
        <v>9255</v>
      </c>
      <c r="N1760" t="s">
        <v>9256</v>
      </c>
      <c r="O1760" t="s">
        <v>64</v>
      </c>
      <c r="P1760" t="s">
        <v>159</v>
      </c>
      <c r="Q1760" t="s">
        <v>65</v>
      </c>
      <c r="R1760" s="3">
        <v>4259.91</v>
      </c>
    </row>
    <row r="1761" spans="1:18" x14ac:dyDescent="0.3">
      <c r="A1761" t="s">
        <v>9257</v>
      </c>
      <c r="B1761" t="str">
        <f>TEXT(Raw_Data[[#This Row],[Order Date]],"mmm")</f>
        <v>Mar</v>
      </c>
      <c r="C1761" t="s">
        <v>395</v>
      </c>
      <c r="D1761" t="s">
        <v>9258</v>
      </c>
      <c r="E1761" t="s">
        <v>35</v>
      </c>
      <c r="F1761" t="s">
        <v>36</v>
      </c>
      <c r="G1761" t="s">
        <v>196</v>
      </c>
      <c r="H1761" t="s">
        <v>80</v>
      </c>
      <c r="I1761" t="s">
        <v>91</v>
      </c>
      <c r="J1761" t="s">
        <v>100</v>
      </c>
      <c r="K1761" t="s">
        <v>9259</v>
      </c>
      <c r="L1761">
        <v>0</v>
      </c>
      <c r="M1761" t="s">
        <v>9260</v>
      </c>
      <c r="N1761" t="s">
        <v>9261</v>
      </c>
      <c r="O1761" t="s">
        <v>54</v>
      </c>
      <c r="P1761" t="s">
        <v>30</v>
      </c>
      <c r="Q1761" t="s">
        <v>65</v>
      </c>
      <c r="R1761" s="3">
        <v>12625.86</v>
      </c>
    </row>
    <row r="1762" spans="1:18" x14ac:dyDescent="0.3">
      <c r="A1762" t="s">
        <v>9262</v>
      </c>
      <c r="B1762" t="str">
        <f>TEXT(Raw_Data[[#This Row],[Order Date]],"mmm")</f>
        <v>Aug</v>
      </c>
      <c r="C1762" t="s">
        <v>1840</v>
      </c>
      <c r="D1762" t="s">
        <v>9263</v>
      </c>
      <c r="E1762" t="s">
        <v>35</v>
      </c>
      <c r="F1762" t="s">
        <v>78</v>
      </c>
      <c r="G1762" t="s">
        <v>731</v>
      </c>
      <c r="H1762" t="s">
        <v>23</v>
      </c>
      <c r="I1762" t="s">
        <v>24</v>
      </c>
      <c r="J1762" t="s">
        <v>25</v>
      </c>
      <c r="K1762" t="s">
        <v>9264</v>
      </c>
      <c r="L1762">
        <v>0.1</v>
      </c>
      <c r="M1762" t="s">
        <v>9265</v>
      </c>
      <c r="N1762" t="s">
        <v>9266</v>
      </c>
      <c r="O1762" t="s">
        <v>64</v>
      </c>
      <c r="P1762" t="s">
        <v>112</v>
      </c>
      <c r="Q1762" t="s">
        <v>65</v>
      </c>
      <c r="R1762" s="3">
        <v>29067.543000000001</v>
      </c>
    </row>
    <row r="1763" spans="1:18" x14ac:dyDescent="0.3">
      <c r="A1763" t="s">
        <v>9267</v>
      </c>
      <c r="B1763" t="str">
        <f>TEXT(Raw_Data[[#This Row],[Order Date]],"mmm")</f>
        <v>Oct</v>
      </c>
      <c r="C1763" t="s">
        <v>1991</v>
      </c>
      <c r="D1763" t="s">
        <v>9268</v>
      </c>
      <c r="E1763" t="s">
        <v>35</v>
      </c>
      <c r="F1763" t="s">
        <v>69</v>
      </c>
      <c r="G1763" t="s">
        <v>139</v>
      </c>
      <c r="H1763" t="s">
        <v>107</v>
      </c>
      <c r="I1763" t="s">
        <v>277</v>
      </c>
      <c r="J1763" t="s">
        <v>100</v>
      </c>
      <c r="K1763" t="s">
        <v>9269</v>
      </c>
      <c r="L1763">
        <v>0</v>
      </c>
      <c r="M1763" t="s">
        <v>9270</v>
      </c>
      <c r="N1763" t="s">
        <v>9271</v>
      </c>
      <c r="O1763" t="s">
        <v>29</v>
      </c>
      <c r="P1763" t="s">
        <v>30</v>
      </c>
      <c r="Q1763" t="s">
        <v>44</v>
      </c>
      <c r="R1763" s="3">
        <v>5585.13</v>
      </c>
    </row>
    <row r="1764" spans="1:18" x14ac:dyDescent="0.3">
      <c r="A1764" t="s">
        <v>9272</v>
      </c>
      <c r="B1764" t="str">
        <f>TEXT(Raw_Data[[#This Row],[Order Date]],"mmm")</f>
        <v>Dec</v>
      </c>
      <c r="C1764" t="s">
        <v>242</v>
      </c>
      <c r="D1764" t="s">
        <v>9273</v>
      </c>
      <c r="E1764" t="s">
        <v>35</v>
      </c>
      <c r="F1764" t="s">
        <v>106</v>
      </c>
      <c r="G1764" t="s">
        <v>106</v>
      </c>
      <c r="H1764" t="s">
        <v>23</v>
      </c>
      <c r="I1764" t="s">
        <v>341</v>
      </c>
      <c r="J1764" t="s">
        <v>25</v>
      </c>
      <c r="K1764" t="s">
        <v>9274</v>
      </c>
      <c r="L1764">
        <v>0.1</v>
      </c>
      <c r="M1764" t="s">
        <v>9275</v>
      </c>
      <c r="N1764" t="s">
        <v>9276</v>
      </c>
      <c r="O1764" t="s">
        <v>29</v>
      </c>
      <c r="P1764" t="s">
        <v>30</v>
      </c>
      <c r="Q1764" t="s">
        <v>31</v>
      </c>
      <c r="R1764" s="3">
        <v>28492.695</v>
      </c>
    </row>
    <row r="1765" spans="1:18" x14ac:dyDescent="0.3">
      <c r="A1765" t="s">
        <v>9277</v>
      </c>
      <c r="B1765" t="str">
        <f>TEXT(Raw_Data[[#This Row],[Order Date]],"mmm")</f>
        <v>May</v>
      </c>
      <c r="C1765" t="s">
        <v>1420</v>
      </c>
      <c r="D1765" t="s">
        <v>9278</v>
      </c>
      <c r="E1765" t="s">
        <v>35</v>
      </c>
      <c r="F1765" t="s">
        <v>21</v>
      </c>
      <c r="G1765" t="s">
        <v>130</v>
      </c>
      <c r="H1765" t="s">
        <v>80</v>
      </c>
      <c r="I1765" t="s">
        <v>116</v>
      </c>
      <c r="J1765" t="s">
        <v>50</v>
      </c>
      <c r="K1765" t="s">
        <v>9279</v>
      </c>
      <c r="L1765">
        <v>0.2</v>
      </c>
      <c r="M1765" t="s">
        <v>9280</v>
      </c>
      <c r="N1765" t="s">
        <v>9281</v>
      </c>
      <c r="O1765" t="s">
        <v>54</v>
      </c>
      <c r="P1765" t="s">
        <v>95</v>
      </c>
      <c r="Q1765" t="s">
        <v>44</v>
      </c>
      <c r="R1765" s="3">
        <v>1076.912</v>
      </c>
    </row>
    <row r="1766" spans="1:18" x14ac:dyDescent="0.3">
      <c r="A1766" t="s">
        <v>9282</v>
      </c>
      <c r="B1766" t="str">
        <f>TEXT(Raw_Data[[#This Row],[Order Date]],"mmm")</f>
        <v>Nov</v>
      </c>
      <c r="C1766" t="s">
        <v>4633</v>
      </c>
      <c r="D1766" t="s">
        <v>9283</v>
      </c>
      <c r="E1766" t="s">
        <v>35</v>
      </c>
      <c r="F1766" t="s">
        <v>69</v>
      </c>
      <c r="G1766" t="s">
        <v>328</v>
      </c>
      <c r="H1766" t="s">
        <v>107</v>
      </c>
      <c r="I1766" t="s">
        <v>277</v>
      </c>
      <c r="J1766" t="s">
        <v>50</v>
      </c>
      <c r="K1766" t="s">
        <v>9284</v>
      </c>
      <c r="L1766">
        <v>0.2</v>
      </c>
      <c r="M1766" t="s">
        <v>9285</v>
      </c>
      <c r="N1766" t="s">
        <v>9286</v>
      </c>
      <c r="O1766" t="s">
        <v>43</v>
      </c>
      <c r="P1766" t="s">
        <v>30</v>
      </c>
      <c r="Q1766" t="s">
        <v>44</v>
      </c>
      <c r="R1766" s="3">
        <v>10980.448</v>
      </c>
    </row>
    <row r="1767" spans="1:18" x14ac:dyDescent="0.3">
      <c r="A1767" t="s">
        <v>9287</v>
      </c>
      <c r="B1767" t="str">
        <f>TEXT(Raw_Data[[#This Row],[Order Date]],"mmm")</f>
        <v>Mar</v>
      </c>
      <c r="C1767" t="s">
        <v>3981</v>
      </c>
      <c r="D1767" t="s">
        <v>9288</v>
      </c>
      <c r="E1767" t="s">
        <v>48</v>
      </c>
      <c r="F1767" t="s">
        <v>36</v>
      </c>
      <c r="G1767" t="s">
        <v>414</v>
      </c>
      <c r="H1767" t="s">
        <v>80</v>
      </c>
      <c r="I1767" t="s">
        <v>146</v>
      </c>
      <c r="J1767" t="s">
        <v>100</v>
      </c>
      <c r="K1767" t="s">
        <v>9289</v>
      </c>
      <c r="L1767">
        <v>0</v>
      </c>
      <c r="M1767" t="s">
        <v>9290</v>
      </c>
      <c r="N1767" t="s">
        <v>9291</v>
      </c>
      <c r="O1767" t="s">
        <v>173</v>
      </c>
      <c r="P1767" t="s">
        <v>30</v>
      </c>
      <c r="Q1767" t="s">
        <v>31</v>
      </c>
      <c r="R1767" s="3">
        <v>14227.92</v>
      </c>
    </row>
    <row r="1768" spans="1:18" x14ac:dyDescent="0.3">
      <c r="A1768" t="s">
        <v>9292</v>
      </c>
      <c r="B1768" t="str">
        <f>TEXT(Raw_Data[[#This Row],[Order Date]],"mmm")</f>
        <v>Oct</v>
      </c>
      <c r="C1768" t="s">
        <v>383</v>
      </c>
      <c r="D1768" t="s">
        <v>9293</v>
      </c>
      <c r="E1768" t="s">
        <v>48</v>
      </c>
      <c r="F1768" t="s">
        <v>215</v>
      </c>
      <c r="G1768" t="s">
        <v>276</v>
      </c>
      <c r="H1768" t="s">
        <v>154</v>
      </c>
      <c r="I1768" t="s">
        <v>309</v>
      </c>
      <c r="J1768" t="s">
        <v>25</v>
      </c>
      <c r="K1768" t="s">
        <v>9294</v>
      </c>
      <c r="L1768">
        <v>0.05</v>
      </c>
      <c r="M1768" t="s">
        <v>9295</v>
      </c>
      <c r="N1768" t="s">
        <v>9296</v>
      </c>
      <c r="O1768" t="s">
        <v>43</v>
      </c>
      <c r="P1768" t="s">
        <v>30</v>
      </c>
      <c r="Q1768" t="s">
        <v>65</v>
      </c>
      <c r="R1768" s="3">
        <v>4237.2375000000002</v>
      </c>
    </row>
    <row r="1769" spans="1:18" x14ac:dyDescent="0.3">
      <c r="A1769" t="s">
        <v>9297</v>
      </c>
      <c r="B1769" t="str">
        <f>TEXT(Raw_Data[[#This Row],[Order Date]],"mmm")</f>
        <v>Aug</v>
      </c>
      <c r="C1769" t="s">
        <v>681</v>
      </c>
      <c r="D1769" t="s">
        <v>9298</v>
      </c>
      <c r="E1769" t="s">
        <v>20</v>
      </c>
      <c r="F1769" t="s">
        <v>78</v>
      </c>
      <c r="G1769" t="s">
        <v>79</v>
      </c>
      <c r="H1769" t="s">
        <v>38</v>
      </c>
      <c r="I1769" t="s">
        <v>256</v>
      </c>
      <c r="J1769" t="s">
        <v>25</v>
      </c>
      <c r="K1769" t="s">
        <v>9299</v>
      </c>
      <c r="L1769">
        <v>0</v>
      </c>
      <c r="M1769" t="s">
        <v>9300</v>
      </c>
      <c r="N1769" t="s">
        <v>9301</v>
      </c>
      <c r="O1769" t="s">
        <v>43</v>
      </c>
      <c r="P1769" t="s">
        <v>30</v>
      </c>
      <c r="Q1769" t="s">
        <v>65</v>
      </c>
      <c r="R1769" s="3">
        <v>2200.77</v>
      </c>
    </row>
    <row r="1770" spans="1:18" x14ac:dyDescent="0.3">
      <c r="A1770" t="s">
        <v>9302</v>
      </c>
      <c r="B1770" t="str">
        <f>TEXT(Raw_Data[[#This Row],[Order Date]],"mmm")</f>
        <v>Dec</v>
      </c>
      <c r="C1770" t="s">
        <v>3003</v>
      </c>
      <c r="D1770" t="s">
        <v>9303</v>
      </c>
      <c r="E1770" t="s">
        <v>35</v>
      </c>
      <c r="F1770" t="s">
        <v>78</v>
      </c>
      <c r="G1770" t="s">
        <v>731</v>
      </c>
      <c r="H1770" t="s">
        <v>80</v>
      </c>
      <c r="I1770" t="s">
        <v>116</v>
      </c>
      <c r="J1770" t="s">
        <v>25</v>
      </c>
      <c r="K1770" t="s">
        <v>9304</v>
      </c>
      <c r="L1770">
        <v>0.1</v>
      </c>
      <c r="M1770" t="s">
        <v>9305</v>
      </c>
      <c r="N1770" t="s">
        <v>9306</v>
      </c>
      <c r="O1770" t="s">
        <v>64</v>
      </c>
      <c r="P1770" t="s">
        <v>30</v>
      </c>
      <c r="Q1770" t="s">
        <v>44</v>
      </c>
      <c r="R1770" s="3">
        <v>4205.0339999999997</v>
      </c>
    </row>
    <row r="1771" spans="1:18" x14ac:dyDescent="0.3">
      <c r="A1771" t="s">
        <v>9307</v>
      </c>
      <c r="B1771" t="str">
        <f>TEXT(Raw_Data[[#This Row],[Order Date]],"mmm")</f>
        <v>Jan</v>
      </c>
      <c r="C1771" t="s">
        <v>261</v>
      </c>
      <c r="D1771" t="s">
        <v>9308</v>
      </c>
      <c r="E1771" t="s">
        <v>35</v>
      </c>
      <c r="F1771" t="s">
        <v>36</v>
      </c>
      <c r="G1771" t="s">
        <v>196</v>
      </c>
      <c r="H1771" t="s">
        <v>23</v>
      </c>
      <c r="I1771" t="s">
        <v>24</v>
      </c>
      <c r="J1771" t="s">
        <v>100</v>
      </c>
      <c r="K1771" t="s">
        <v>9309</v>
      </c>
      <c r="L1771">
        <v>0.1</v>
      </c>
      <c r="M1771" t="s">
        <v>9310</v>
      </c>
      <c r="N1771" t="s">
        <v>9311</v>
      </c>
      <c r="O1771" t="s">
        <v>29</v>
      </c>
      <c r="P1771" t="s">
        <v>30</v>
      </c>
      <c r="Q1771" t="s">
        <v>65</v>
      </c>
      <c r="R1771" s="3">
        <v>58071.815999999999</v>
      </c>
    </row>
    <row r="1772" spans="1:18" x14ac:dyDescent="0.3">
      <c r="A1772" t="s">
        <v>9312</v>
      </c>
      <c r="B1772" t="str">
        <f>TEXT(Raw_Data[[#This Row],[Order Date]],"mmm")</f>
        <v>May</v>
      </c>
      <c r="C1772" t="s">
        <v>1985</v>
      </c>
      <c r="D1772" t="s">
        <v>9313</v>
      </c>
      <c r="E1772" t="s">
        <v>20</v>
      </c>
      <c r="F1772" t="s">
        <v>106</v>
      </c>
      <c r="G1772" t="s">
        <v>106</v>
      </c>
      <c r="H1772" t="s">
        <v>38</v>
      </c>
      <c r="I1772" t="s">
        <v>223</v>
      </c>
      <c r="J1772" t="s">
        <v>100</v>
      </c>
      <c r="K1772" t="s">
        <v>9314</v>
      </c>
      <c r="L1772">
        <v>0</v>
      </c>
      <c r="M1772" t="s">
        <v>9315</v>
      </c>
      <c r="N1772" t="s">
        <v>9316</v>
      </c>
      <c r="O1772" t="s">
        <v>64</v>
      </c>
      <c r="P1772" t="s">
        <v>95</v>
      </c>
      <c r="Q1772" t="s">
        <v>44</v>
      </c>
      <c r="R1772" s="3">
        <v>6332.64</v>
      </c>
    </row>
    <row r="1773" spans="1:18" x14ac:dyDescent="0.3">
      <c r="A1773" t="s">
        <v>9317</v>
      </c>
      <c r="B1773" t="str">
        <f>TEXT(Raw_Data[[#This Row],[Order Date]],"mmm")</f>
        <v>Jun</v>
      </c>
      <c r="C1773" t="s">
        <v>466</v>
      </c>
      <c r="D1773" t="s">
        <v>9318</v>
      </c>
      <c r="E1773" t="s">
        <v>20</v>
      </c>
      <c r="F1773" t="s">
        <v>21</v>
      </c>
      <c r="G1773" t="s">
        <v>22</v>
      </c>
      <c r="H1773" t="s">
        <v>80</v>
      </c>
      <c r="I1773" t="s">
        <v>81</v>
      </c>
      <c r="J1773" t="s">
        <v>25</v>
      </c>
      <c r="K1773" t="s">
        <v>9319</v>
      </c>
      <c r="L1773">
        <v>0.1</v>
      </c>
      <c r="M1773" t="s">
        <v>9320</v>
      </c>
      <c r="N1773" t="s">
        <v>9321</v>
      </c>
      <c r="O1773" t="s">
        <v>54</v>
      </c>
      <c r="P1773" t="s">
        <v>30</v>
      </c>
      <c r="Q1773" t="s">
        <v>31</v>
      </c>
      <c r="R1773" s="3">
        <v>1256.2649999999901</v>
      </c>
    </row>
    <row r="1774" spans="1:18" x14ac:dyDescent="0.3">
      <c r="A1774" t="s">
        <v>9322</v>
      </c>
      <c r="B1774" t="str">
        <f>TEXT(Raw_Data[[#This Row],[Order Date]],"mmm")</f>
        <v>Jan</v>
      </c>
      <c r="C1774" t="s">
        <v>1015</v>
      </c>
      <c r="D1774" t="s">
        <v>9323</v>
      </c>
      <c r="E1774" t="s">
        <v>20</v>
      </c>
      <c r="F1774" t="s">
        <v>58</v>
      </c>
      <c r="G1774" t="s">
        <v>290</v>
      </c>
      <c r="H1774" t="s">
        <v>23</v>
      </c>
      <c r="I1774" t="s">
        <v>263</v>
      </c>
      <c r="J1774" t="s">
        <v>100</v>
      </c>
      <c r="K1774" t="s">
        <v>9324</v>
      </c>
      <c r="L1774">
        <v>0</v>
      </c>
      <c r="M1774" t="s">
        <v>9325</v>
      </c>
      <c r="N1774" t="s">
        <v>9326</v>
      </c>
      <c r="O1774" t="s">
        <v>54</v>
      </c>
      <c r="P1774" t="s">
        <v>30</v>
      </c>
      <c r="Q1774" t="s">
        <v>31</v>
      </c>
      <c r="R1774" s="3">
        <v>131714.60999999999</v>
      </c>
    </row>
    <row r="1775" spans="1:18" x14ac:dyDescent="0.3">
      <c r="A1775" t="s">
        <v>9327</v>
      </c>
      <c r="B1775" t="str">
        <f>TEXT(Raw_Data[[#This Row],[Order Date]],"mmm")</f>
        <v>Oct</v>
      </c>
      <c r="C1775" t="s">
        <v>3910</v>
      </c>
      <c r="D1775" t="s">
        <v>9328</v>
      </c>
      <c r="E1775" t="s">
        <v>48</v>
      </c>
      <c r="F1775" t="s">
        <v>78</v>
      </c>
      <c r="G1775" t="s">
        <v>468</v>
      </c>
      <c r="H1775" t="s">
        <v>154</v>
      </c>
      <c r="I1775" t="s">
        <v>309</v>
      </c>
      <c r="J1775" t="s">
        <v>100</v>
      </c>
      <c r="K1775" t="s">
        <v>9329</v>
      </c>
      <c r="L1775">
        <v>0.05</v>
      </c>
      <c r="M1775" t="s">
        <v>9330</v>
      </c>
      <c r="N1775" t="s">
        <v>9331</v>
      </c>
      <c r="O1775" t="s">
        <v>54</v>
      </c>
      <c r="P1775" t="s">
        <v>30</v>
      </c>
      <c r="Q1775" t="s">
        <v>44</v>
      </c>
      <c r="R1775" s="3">
        <v>24565.717499999901</v>
      </c>
    </row>
    <row r="1776" spans="1:18" x14ac:dyDescent="0.3">
      <c r="A1776" t="s">
        <v>9332</v>
      </c>
      <c r="B1776" t="str">
        <f>TEXT(Raw_Data[[#This Row],[Order Date]],"mmm")</f>
        <v>Jan</v>
      </c>
      <c r="C1776" t="s">
        <v>1414</v>
      </c>
      <c r="D1776" t="s">
        <v>9333</v>
      </c>
      <c r="E1776" t="s">
        <v>20</v>
      </c>
      <c r="F1776" t="s">
        <v>58</v>
      </c>
      <c r="G1776" t="s">
        <v>290</v>
      </c>
      <c r="H1776" t="s">
        <v>23</v>
      </c>
      <c r="I1776" t="s">
        <v>263</v>
      </c>
      <c r="J1776" t="s">
        <v>25</v>
      </c>
      <c r="K1776" t="s">
        <v>9334</v>
      </c>
      <c r="L1776">
        <v>0.05</v>
      </c>
      <c r="M1776" t="s">
        <v>9335</v>
      </c>
      <c r="N1776" t="s">
        <v>9336</v>
      </c>
      <c r="O1776" t="s">
        <v>29</v>
      </c>
      <c r="P1776" t="s">
        <v>30</v>
      </c>
      <c r="Q1776" t="s">
        <v>65</v>
      </c>
      <c r="R1776" s="3">
        <v>65165.9624999999</v>
      </c>
    </row>
    <row r="1777" spans="1:18" x14ac:dyDescent="0.3">
      <c r="A1777" t="s">
        <v>9337</v>
      </c>
      <c r="B1777" t="str">
        <f>TEXT(Raw_Data[[#This Row],[Order Date]],"mmm")</f>
        <v>Apr</v>
      </c>
      <c r="C1777" t="s">
        <v>1307</v>
      </c>
      <c r="D1777" t="s">
        <v>9338</v>
      </c>
      <c r="E1777" t="s">
        <v>20</v>
      </c>
      <c r="F1777" t="s">
        <v>36</v>
      </c>
      <c r="G1777" t="s">
        <v>414</v>
      </c>
      <c r="H1777" t="s">
        <v>107</v>
      </c>
      <c r="I1777" t="s">
        <v>591</v>
      </c>
      <c r="J1777" t="s">
        <v>25</v>
      </c>
      <c r="K1777" t="s">
        <v>9339</v>
      </c>
      <c r="L1777">
        <v>0.05</v>
      </c>
      <c r="M1777" t="s">
        <v>9340</v>
      </c>
      <c r="N1777" t="s">
        <v>9341</v>
      </c>
      <c r="O1777" t="s">
        <v>43</v>
      </c>
      <c r="P1777" t="s">
        <v>30</v>
      </c>
      <c r="Q1777" t="s">
        <v>31</v>
      </c>
      <c r="R1777" s="3">
        <v>12039.141</v>
      </c>
    </row>
    <row r="1778" spans="1:18" x14ac:dyDescent="0.3">
      <c r="A1778" t="s">
        <v>9342</v>
      </c>
      <c r="B1778" t="str">
        <f>TEXT(Raw_Data[[#This Row],[Order Date]],"mmm")</f>
        <v>Jun</v>
      </c>
      <c r="C1778" t="s">
        <v>213</v>
      </c>
      <c r="D1778" t="s">
        <v>9343</v>
      </c>
      <c r="E1778" t="s">
        <v>48</v>
      </c>
      <c r="F1778" t="s">
        <v>215</v>
      </c>
      <c r="G1778" t="s">
        <v>216</v>
      </c>
      <c r="H1778" t="s">
        <v>80</v>
      </c>
      <c r="I1778" t="s">
        <v>81</v>
      </c>
      <c r="J1778" t="s">
        <v>82</v>
      </c>
      <c r="K1778" t="s">
        <v>9344</v>
      </c>
      <c r="L1778">
        <v>0.05</v>
      </c>
      <c r="M1778" t="s">
        <v>9345</v>
      </c>
      <c r="N1778" t="s">
        <v>9346</v>
      </c>
      <c r="O1778" t="s">
        <v>54</v>
      </c>
      <c r="P1778" t="s">
        <v>30</v>
      </c>
      <c r="Q1778" t="s">
        <v>44</v>
      </c>
      <c r="R1778" s="3">
        <v>12100.72</v>
      </c>
    </row>
    <row r="1779" spans="1:18" x14ac:dyDescent="0.3">
      <c r="A1779" t="s">
        <v>9347</v>
      </c>
      <c r="B1779" t="str">
        <f>TEXT(Raw_Data[[#This Row],[Order Date]],"mmm")</f>
        <v>Jul</v>
      </c>
      <c r="C1779" t="s">
        <v>3354</v>
      </c>
      <c r="D1779" t="s">
        <v>9348</v>
      </c>
      <c r="E1779" t="s">
        <v>48</v>
      </c>
      <c r="F1779" t="s">
        <v>215</v>
      </c>
      <c r="G1779" t="s">
        <v>216</v>
      </c>
      <c r="H1779" t="s">
        <v>38</v>
      </c>
      <c r="I1779" t="s">
        <v>39</v>
      </c>
      <c r="J1779" t="s">
        <v>25</v>
      </c>
      <c r="K1779" t="s">
        <v>9349</v>
      </c>
      <c r="L1779">
        <v>0</v>
      </c>
      <c r="M1779" t="s">
        <v>9350</v>
      </c>
      <c r="N1779" t="s">
        <v>9351</v>
      </c>
      <c r="O1779" t="s">
        <v>54</v>
      </c>
      <c r="P1779" t="s">
        <v>30</v>
      </c>
      <c r="Q1779" t="s">
        <v>65</v>
      </c>
      <c r="R1779" s="3">
        <v>4241.25</v>
      </c>
    </row>
    <row r="1780" spans="1:18" x14ac:dyDescent="0.3">
      <c r="A1780" t="s">
        <v>9352</v>
      </c>
      <c r="B1780" t="str">
        <f>TEXT(Raw_Data[[#This Row],[Order Date]],"mmm")</f>
        <v>Apr</v>
      </c>
      <c r="C1780" t="s">
        <v>1686</v>
      </c>
      <c r="D1780" t="s">
        <v>9353</v>
      </c>
      <c r="E1780" t="s">
        <v>20</v>
      </c>
      <c r="F1780" t="s">
        <v>58</v>
      </c>
      <c r="G1780" t="s">
        <v>812</v>
      </c>
      <c r="H1780" t="s">
        <v>154</v>
      </c>
      <c r="I1780" t="s">
        <v>309</v>
      </c>
      <c r="J1780" t="s">
        <v>25</v>
      </c>
      <c r="K1780" t="s">
        <v>9354</v>
      </c>
      <c r="L1780">
        <v>0.15</v>
      </c>
      <c r="M1780" t="s">
        <v>9355</v>
      </c>
      <c r="N1780" t="s">
        <v>9356</v>
      </c>
      <c r="O1780" t="s">
        <v>64</v>
      </c>
      <c r="P1780" t="s">
        <v>30</v>
      </c>
      <c r="Q1780" t="s">
        <v>44</v>
      </c>
      <c r="R1780" s="3">
        <v>8862.3040000000001</v>
      </c>
    </row>
    <row r="1781" spans="1:18" x14ac:dyDescent="0.3">
      <c r="A1781" t="s">
        <v>9357</v>
      </c>
      <c r="B1781" t="str">
        <f>TEXT(Raw_Data[[#This Row],[Order Date]],"mmm")</f>
        <v>Feb</v>
      </c>
      <c r="C1781" t="s">
        <v>1087</v>
      </c>
      <c r="D1781" t="s">
        <v>9358</v>
      </c>
      <c r="E1781" t="s">
        <v>48</v>
      </c>
      <c r="F1781" t="s">
        <v>78</v>
      </c>
      <c r="G1781" t="s">
        <v>79</v>
      </c>
      <c r="H1781" t="s">
        <v>23</v>
      </c>
      <c r="I1781" t="s">
        <v>49</v>
      </c>
      <c r="J1781" t="s">
        <v>50</v>
      </c>
      <c r="K1781" t="s">
        <v>9359</v>
      </c>
      <c r="L1781">
        <v>0.1</v>
      </c>
      <c r="M1781" t="s">
        <v>9360</v>
      </c>
      <c r="N1781" t="s">
        <v>9361</v>
      </c>
      <c r="O1781" t="s">
        <v>64</v>
      </c>
      <c r="P1781" t="s">
        <v>30</v>
      </c>
      <c r="Q1781" t="s">
        <v>44</v>
      </c>
      <c r="R1781" s="3">
        <v>40645.08</v>
      </c>
    </row>
    <row r="1782" spans="1:18" x14ac:dyDescent="0.3">
      <c r="A1782" t="s">
        <v>9362</v>
      </c>
      <c r="B1782" t="str">
        <f>TEXT(Raw_Data[[#This Row],[Order Date]],"mmm")</f>
        <v>Jun</v>
      </c>
      <c r="C1782" t="s">
        <v>1862</v>
      </c>
      <c r="D1782" t="s">
        <v>9363</v>
      </c>
      <c r="E1782" t="s">
        <v>48</v>
      </c>
      <c r="F1782" t="s">
        <v>36</v>
      </c>
      <c r="G1782" t="s">
        <v>153</v>
      </c>
      <c r="H1782" t="s">
        <v>23</v>
      </c>
      <c r="I1782" t="s">
        <v>263</v>
      </c>
      <c r="J1782" t="s">
        <v>82</v>
      </c>
      <c r="K1782" t="s">
        <v>9364</v>
      </c>
      <c r="L1782">
        <v>0</v>
      </c>
      <c r="M1782" t="s">
        <v>9365</v>
      </c>
      <c r="N1782" t="s">
        <v>9366</v>
      </c>
      <c r="O1782" t="s">
        <v>43</v>
      </c>
      <c r="P1782" t="s">
        <v>30</v>
      </c>
      <c r="Q1782" t="s">
        <v>44</v>
      </c>
      <c r="R1782" s="3">
        <v>256487.64</v>
      </c>
    </row>
    <row r="1783" spans="1:18" x14ac:dyDescent="0.3">
      <c r="A1783" t="s">
        <v>9367</v>
      </c>
      <c r="B1783" t="str">
        <f>TEXT(Raw_Data[[#This Row],[Order Date]],"mmm")</f>
        <v>Dec</v>
      </c>
      <c r="C1783" t="s">
        <v>982</v>
      </c>
      <c r="D1783" t="s">
        <v>9368</v>
      </c>
      <c r="E1783" t="s">
        <v>48</v>
      </c>
      <c r="F1783" t="s">
        <v>106</v>
      </c>
      <c r="G1783" t="s">
        <v>106</v>
      </c>
      <c r="H1783" t="s">
        <v>80</v>
      </c>
      <c r="I1783" t="s">
        <v>131</v>
      </c>
      <c r="J1783" t="s">
        <v>25</v>
      </c>
      <c r="K1783" t="s">
        <v>9369</v>
      </c>
      <c r="L1783">
        <v>0.05</v>
      </c>
      <c r="M1783" t="s">
        <v>9370</v>
      </c>
      <c r="N1783" t="s">
        <v>9371</v>
      </c>
      <c r="O1783" t="s">
        <v>29</v>
      </c>
      <c r="P1783" t="s">
        <v>159</v>
      </c>
      <c r="Q1783" t="s">
        <v>65</v>
      </c>
      <c r="R1783" s="3">
        <v>1600.0944999999999</v>
      </c>
    </row>
    <row r="1784" spans="1:18" x14ac:dyDescent="0.3">
      <c r="A1784" t="s">
        <v>9372</v>
      </c>
      <c r="B1784" t="str">
        <f>TEXT(Raw_Data[[#This Row],[Order Date]],"mmm")</f>
        <v>Nov</v>
      </c>
      <c r="C1784" t="s">
        <v>1009</v>
      </c>
      <c r="D1784" t="s">
        <v>9373</v>
      </c>
      <c r="E1784" t="s">
        <v>35</v>
      </c>
      <c r="F1784" t="s">
        <v>69</v>
      </c>
      <c r="G1784" t="s">
        <v>328</v>
      </c>
      <c r="H1784" t="s">
        <v>154</v>
      </c>
      <c r="I1784" t="s">
        <v>309</v>
      </c>
      <c r="J1784" t="s">
        <v>50</v>
      </c>
      <c r="K1784" t="s">
        <v>9374</v>
      </c>
      <c r="L1784">
        <v>0.1</v>
      </c>
      <c r="M1784" t="s">
        <v>9375</v>
      </c>
      <c r="N1784" t="s">
        <v>9376</v>
      </c>
      <c r="O1784" t="s">
        <v>54</v>
      </c>
      <c r="P1784" t="s">
        <v>30</v>
      </c>
      <c r="Q1784" t="s">
        <v>31</v>
      </c>
      <c r="R1784" s="3">
        <v>15591.96</v>
      </c>
    </row>
    <row r="1785" spans="1:18" x14ac:dyDescent="0.3">
      <c r="A1785" t="s">
        <v>9377</v>
      </c>
      <c r="B1785" t="str">
        <f>TEXT(Raw_Data[[#This Row],[Order Date]],"mmm")</f>
        <v>May</v>
      </c>
      <c r="C1785" t="s">
        <v>1937</v>
      </c>
      <c r="D1785" t="s">
        <v>9378</v>
      </c>
      <c r="E1785" t="s">
        <v>20</v>
      </c>
      <c r="F1785" t="s">
        <v>89</v>
      </c>
      <c r="G1785" t="s">
        <v>99</v>
      </c>
      <c r="H1785" t="s">
        <v>154</v>
      </c>
      <c r="I1785" t="s">
        <v>1061</v>
      </c>
      <c r="J1785" t="s">
        <v>100</v>
      </c>
      <c r="K1785" t="s">
        <v>9379</v>
      </c>
      <c r="L1785">
        <v>0</v>
      </c>
      <c r="M1785" t="s">
        <v>9380</v>
      </c>
      <c r="N1785" t="s">
        <v>9381</v>
      </c>
      <c r="O1785" t="s">
        <v>29</v>
      </c>
      <c r="P1785" t="s">
        <v>30</v>
      </c>
      <c r="Q1785" t="s">
        <v>65</v>
      </c>
      <c r="R1785" s="3">
        <v>7618.28999999999</v>
      </c>
    </row>
    <row r="1786" spans="1:18" x14ac:dyDescent="0.3">
      <c r="A1786" t="s">
        <v>9382</v>
      </c>
      <c r="B1786" t="str">
        <f>TEXT(Raw_Data[[#This Row],[Order Date]],"mmm")</f>
        <v>Mar</v>
      </c>
      <c r="C1786" t="s">
        <v>395</v>
      </c>
      <c r="D1786" t="s">
        <v>9383</v>
      </c>
      <c r="E1786" t="s">
        <v>20</v>
      </c>
      <c r="F1786" t="s">
        <v>78</v>
      </c>
      <c r="G1786" t="s">
        <v>731</v>
      </c>
      <c r="H1786" t="s">
        <v>80</v>
      </c>
      <c r="I1786" t="s">
        <v>81</v>
      </c>
      <c r="J1786" t="s">
        <v>25</v>
      </c>
      <c r="K1786" t="s">
        <v>9384</v>
      </c>
      <c r="L1786">
        <v>0.1</v>
      </c>
      <c r="M1786" t="s">
        <v>9385</v>
      </c>
      <c r="N1786" t="s">
        <v>9386</v>
      </c>
      <c r="O1786" t="s">
        <v>173</v>
      </c>
      <c r="P1786" t="s">
        <v>30</v>
      </c>
      <c r="Q1786" t="s">
        <v>65</v>
      </c>
      <c r="R1786" s="3">
        <v>599.89499999999998</v>
      </c>
    </row>
    <row r="1787" spans="1:18" x14ac:dyDescent="0.3">
      <c r="A1787" t="s">
        <v>9387</v>
      </c>
      <c r="B1787" t="str">
        <f>TEXT(Raw_Data[[#This Row],[Order Date]],"mmm")</f>
        <v>Oct</v>
      </c>
      <c r="C1787" t="s">
        <v>828</v>
      </c>
      <c r="D1787" t="s">
        <v>9388</v>
      </c>
      <c r="E1787" t="s">
        <v>48</v>
      </c>
      <c r="F1787" t="s">
        <v>215</v>
      </c>
      <c r="G1787" t="s">
        <v>216</v>
      </c>
      <c r="H1787" t="s">
        <v>23</v>
      </c>
      <c r="I1787" t="s">
        <v>183</v>
      </c>
      <c r="J1787" t="s">
        <v>50</v>
      </c>
      <c r="K1787" t="s">
        <v>9389</v>
      </c>
      <c r="L1787">
        <v>0.05</v>
      </c>
      <c r="M1787" t="s">
        <v>9390</v>
      </c>
      <c r="N1787" t="s">
        <v>9391</v>
      </c>
      <c r="O1787" t="s">
        <v>29</v>
      </c>
      <c r="P1787" t="s">
        <v>112</v>
      </c>
      <c r="Q1787" t="s">
        <v>44</v>
      </c>
      <c r="R1787" s="3">
        <v>28792.5619999999</v>
      </c>
    </row>
    <row r="1788" spans="1:18" x14ac:dyDescent="0.3">
      <c r="A1788" t="s">
        <v>9392</v>
      </c>
      <c r="B1788" t="str">
        <f>TEXT(Raw_Data[[#This Row],[Order Date]],"mmm")</f>
        <v>Jul</v>
      </c>
      <c r="C1788" t="s">
        <v>2305</v>
      </c>
      <c r="D1788" t="s">
        <v>9393</v>
      </c>
      <c r="E1788" t="s">
        <v>48</v>
      </c>
      <c r="F1788" t="s">
        <v>69</v>
      </c>
      <c r="G1788" t="s">
        <v>328</v>
      </c>
      <c r="H1788" t="s">
        <v>23</v>
      </c>
      <c r="I1788" t="s">
        <v>183</v>
      </c>
      <c r="J1788" t="s">
        <v>50</v>
      </c>
      <c r="K1788" t="s">
        <v>9394</v>
      </c>
      <c r="L1788">
        <v>0.1</v>
      </c>
      <c r="M1788" t="s">
        <v>9395</v>
      </c>
      <c r="N1788" t="s">
        <v>9396</v>
      </c>
      <c r="O1788" t="s">
        <v>43</v>
      </c>
      <c r="P1788" t="s">
        <v>1762</v>
      </c>
      <c r="Q1788" t="s">
        <v>44</v>
      </c>
      <c r="R1788" s="3">
        <v>55690.595999999998</v>
      </c>
    </row>
    <row r="1789" spans="1:18" x14ac:dyDescent="0.3">
      <c r="A1789" t="s">
        <v>9397</v>
      </c>
      <c r="B1789" t="str">
        <f>TEXT(Raw_Data[[#This Row],[Order Date]],"mmm")</f>
        <v>Jun</v>
      </c>
      <c r="C1789" t="s">
        <v>2378</v>
      </c>
      <c r="D1789" t="s">
        <v>9398</v>
      </c>
      <c r="E1789" t="s">
        <v>20</v>
      </c>
      <c r="F1789" t="s">
        <v>78</v>
      </c>
      <c r="G1789" t="s">
        <v>468</v>
      </c>
      <c r="H1789" t="s">
        <v>38</v>
      </c>
      <c r="I1789" t="s">
        <v>223</v>
      </c>
      <c r="J1789" t="s">
        <v>25</v>
      </c>
      <c r="K1789" t="s">
        <v>9399</v>
      </c>
      <c r="L1789">
        <v>0</v>
      </c>
      <c r="M1789" t="s">
        <v>9400</v>
      </c>
      <c r="N1789" t="s">
        <v>9401</v>
      </c>
      <c r="O1789" t="s">
        <v>29</v>
      </c>
      <c r="P1789" t="s">
        <v>30</v>
      </c>
      <c r="Q1789" t="s">
        <v>65</v>
      </c>
      <c r="R1789" s="3">
        <v>4600.13</v>
      </c>
    </row>
    <row r="1790" spans="1:18" x14ac:dyDescent="0.3">
      <c r="A1790" t="s">
        <v>9402</v>
      </c>
      <c r="B1790" t="str">
        <f>TEXT(Raw_Data[[#This Row],[Order Date]],"mmm")</f>
        <v>Jul</v>
      </c>
      <c r="C1790" t="s">
        <v>7058</v>
      </c>
      <c r="D1790" t="s">
        <v>9403</v>
      </c>
      <c r="E1790" t="s">
        <v>48</v>
      </c>
      <c r="F1790" t="s">
        <v>89</v>
      </c>
      <c r="G1790" t="s">
        <v>99</v>
      </c>
      <c r="H1790" t="s">
        <v>38</v>
      </c>
      <c r="I1790" t="s">
        <v>71</v>
      </c>
      <c r="J1790" t="s">
        <v>25</v>
      </c>
      <c r="K1790" t="s">
        <v>9404</v>
      </c>
      <c r="L1790">
        <v>0.05</v>
      </c>
      <c r="M1790" t="s">
        <v>9405</v>
      </c>
      <c r="N1790" t="s">
        <v>9406</v>
      </c>
      <c r="O1790" t="s">
        <v>29</v>
      </c>
      <c r="P1790" t="s">
        <v>30</v>
      </c>
      <c r="Q1790" t="s">
        <v>31</v>
      </c>
      <c r="R1790" s="3">
        <v>5102.9724999999999</v>
      </c>
    </row>
    <row r="1791" spans="1:18" x14ac:dyDescent="0.3">
      <c r="A1791" t="s">
        <v>9407</v>
      </c>
      <c r="B1791" t="str">
        <f>TEXT(Raw_Data[[#This Row],[Order Date]],"mmm")</f>
        <v>Jan</v>
      </c>
      <c r="C1791" t="s">
        <v>1414</v>
      </c>
      <c r="D1791" t="s">
        <v>9408</v>
      </c>
      <c r="E1791" t="s">
        <v>20</v>
      </c>
      <c r="F1791" t="s">
        <v>78</v>
      </c>
      <c r="G1791" t="s">
        <v>731</v>
      </c>
      <c r="H1791" t="s">
        <v>80</v>
      </c>
      <c r="I1791" t="s">
        <v>116</v>
      </c>
      <c r="J1791" t="s">
        <v>25</v>
      </c>
      <c r="K1791" t="s">
        <v>9409</v>
      </c>
      <c r="L1791">
        <v>0</v>
      </c>
      <c r="M1791" t="s">
        <v>9410</v>
      </c>
      <c r="N1791" t="s">
        <v>9411</v>
      </c>
      <c r="O1791" t="s">
        <v>54</v>
      </c>
      <c r="P1791" t="s">
        <v>30</v>
      </c>
      <c r="Q1791" t="s">
        <v>31</v>
      </c>
      <c r="R1791" s="3">
        <v>423.17</v>
      </c>
    </row>
    <row r="1792" spans="1:18" x14ac:dyDescent="0.3">
      <c r="A1792" t="s">
        <v>9412</v>
      </c>
      <c r="B1792" t="str">
        <f>TEXT(Raw_Data[[#This Row],[Order Date]],"mmm")</f>
        <v>Oct</v>
      </c>
      <c r="C1792" t="s">
        <v>235</v>
      </c>
      <c r="D1792" t="s">
        <v>9413</v>
      </c>
      <c r="E1792" t="s">
        <v>35</v>
      </c>
      <c r="F1792" t="s">
        <v>106</v>
      </c>
      <c r="G1792" t="s">
        <v>106</v>
      </c>
      <c r="H1792" t="s">
        <v>154</v>
      </c>
      <c r="I1792" t="s">
        <v>1061</v>
      </c>
      <c r="J1792" t="s">
        <v>25</v>
      </c>
      <c r="K1792" t="s">
        <v>9414</v>
      </c>
      <c r="L1792">
        <v>0</v>
      </c>
      <c r="M1792" t="s">
        <v>9415</v>
      </c>
      <c r="N1792" t="s">
        <v>9416</v>
      </c>
      <c r="O1792" t="s">
        <v>64</v>
      </c>
      <c r="P1792" t="s">
        <v>30</v>
      </c>
      <c r="Q1792" t="s">
        <v>65</v>
      </c>
      <c r="R1792" s="3">
        <v>2844.47</v>
      </c>
    </row>
    <row r="1793" spans="1:18" x14ac:dyDescent="0.3">
      <c r="A1793" t="s">
        <v>9417</v>
      </c>
      <c r="B1793" t="str">
        <f>TEXT(Raw_Data[[#This Row],[Order Date]],"mmm")</f>
        <v>Jan</v>
      </c>
      <c r="C1793" t="s">
        <v>780</v>
      </c>
      <c r="D1793" t="s">
        <v>9418</v>
      </c>
      <c r="E1793" t="s">
        <v>48</v>
      </c>
      <c r="F1793" t="s">
        <v>58</v>
      </c>
      <c r="G1793" t="s">
        <v>59</v>
      </c>
      <c r="H1793" t="s">
        <v>80</v>
      </c>
      <c r="I1793" t="s">
        <v>81</v>
      </c>
      <c r="J1793" t="s">
        <v>50</v>
      </c>
      <c r="K1793" t="s">
        <v>9419</v>
      </c>
      <c r="L1793">
        <v>0.1</v>
      </c>
      <c r="M1793" t="s">
        <v>9420</v>
      </c>
      <c r="N1793" t="s">
        <v>9421</v>
      </c>
      <c r="O1793" t="s">
        <v>29</v>
      </c>
      <c r="P1793" t="s">
        <v>30</v>
      </c>
      <c r="Q1793" t="s">
        <v>65</v>
      </c>
      <c r="R1793" s="3">
        <v>5423.4</v>
      </c>
    </row>
    <row r="1794" spans="1:18" x14ac:dyDescent="0.3">
      <c r="A1794" t="s">
        <v>9422</v>
      </c>
      <c r="B1794" t="str">
        <f>TEXT(Raw_Data[[#This Row],[Order Date]],"mmm")</f>
        <v>Dec</v>
      </c>
      <c r="C1794" t="s">
        <v>3159</v>
      </c>
      <c r="D1794" t="s">
        <v>9423</v>
      </c>
      <c r="E1794" t="s">
        <v>48</v>
      </c>
      <c r="F1794" t="s">
        <v>36</v>
      </c>
      <c r="G1794" t="s">
        <v>196</v>
      </c>
      <c r="H1794" t="s">
        <v>23</v>
      </c>
      <c r="I1794" t="s">
        <v>183</v>
      </c>
      <c r="J1794" t="s">
        <v>50</v>
      </c>
      <c r="K1794" t="s">
        <v>9424</v>
      </c>
      <c r="L1794">
        <v>0</v>
      </c>
      <c r="M1794" t="s">
        <v>9425</v>
      </c>
      <c r="N1794" t="s">
        <v>9426</v>
      </c>
      <c r="O1794" t="s">
        <v>54</v>
      </c>
      <c r="P1794" t="s">
        <v>30</v>
      </c>
      <c r="Q1794" t="s">
        <v>44</v>
      </c>
      <c r="R1794" s="3">
        <v>120420.66</v>
      </c>
    </row>
    <row r="1795" spans="1:18" x14ac:dyDescent="0.3">
      <c r="A1795" t="s">
        <v>9427</v>
      </c>
      <c r="B1795" t="str">
        <f>TEXT(Raw_Data[[#This Row],[Order Date]],"mmm")</f>
        <v>Dec</v>
      </c>
      <c r="C1795" t="s">
        <v>1515</v>
      </c>
      <c r="D1795" t="s">
        <v>9428</v>
      </c>
      <c r="E1795" t="s">
        <v>48</v>
      </c>
      <c r="F1795" t="s">
        <v>215</v>
      </c>
      <c r="G1795" t="s">
        <v>216</v>
      </c>
      <c r="H1795" t="s">
        <v>107</v>
      </c>
      <c r="I1795" t="s">
        <v>469</v>
      </c>
      <c r="J1795" t="s">
        <v>25</v>
      </c>
      <c r="K1795" t="s">
        <v>9429</v>
      </c>
      <c r="L1795">
        <v>0.05</v>
      </c>
      <c r="M1795" t="s">
        <v>9430</v>
      </c>
      <c r="N1795" t="s">
        <v>9431</v>
      </c>
      <c r="O1795" t="s">
        <v>54</v>
      </c>
      <c r="P1795" t="s">
        <v>30</v>
      </c>
      <c r="Q1795" t="s">
        <v>65</v>
      </c>
      <c r="R1795" s="3">
        <v>8589.7099999999991</v>
      </c>
    </row>
    <row r="1796" spans="1:18" x14ac:dyDescent="0.3">
      <c r="A1796" t="s">
        <v>9432</v>
      </c>
      <c r="B1796" t="str">
        <f>TEXT(Raw_Data[[#This Row],[Order Date]],"mmm")</f>
        <v>Jun</v>
      </c>
      <c r="C1796" t="s">
        <v>2068</v>
      </c>
      <c r="D1796" t="s">
        <v>9433</v>
      </c>
      <c r="E1796" t="s">
        <v>20</v>
      </c>
      <c r="F1796" t="s">
        <v>36</v>
      </c>
      <c r="G1796" t="s">
        <v>414</v>
      </c>
      <c r="H1796" t="s">
        <v>80</v>
      </c>
      <c r="I1796" t="s">
        <v>116</v>
      </c>
      <c r="J1796" t="s">
        <v>50</v>
      </c>
      <c r="K1796" t="s">
        <v>9434</v>
      </c>
      <c r="L1796">
        <v>0</v>
      </c>
      <c r="M1796" t="s">
        <v>9435</v>
      </c>
      <c r="N1796" t="s">
        <v>9436</v>
      </c>
      <c r="O1796" t="s">
        <v>29</v>
      </c>
      <c r="P1796" t="s">
        <v>30</v>
      </c>
      <c r="Q1796" t="s">
        <v>44</v>
      </c>
      <c r="R1796" s="3">
        <v>3086.04</v>
      </c>
    </row>
    <row r="1797" spans="1:18" x14ac:dyDescent="0.3">
      <c r="A1797" t="s">
        <v>9437</v>
      </c>
      <c r="B1797" t="str">
        <f>TEXT(Raw_Data[[#This Row],[Order Date]],"mmm")</f>
        <v>May</v>
      </c>
      <c r="C1797" t="s">
        <v>1509</v>
      </c>
      <c r="D1797" t="s">
        <v>9438</v>
      </c>
      <c r="E1797" t="s">
        <v>35</v>
      </c>
      <c r="F1797" t="s">
        <v>58</v>
      </c>
      <c r="G1797" t="s">
        <v>290</v>
      </c>
      <c r="H1797" t="s">
        <v>107</v>
      </c>
      <c r="I1797" t="s">
        <v>591</v>
      </c>
      <c r="J1797" t="s">
        <v>50</v>
      </c>
      <c r="K1797" t="s">
        <v>9439</v>
      </c>
      <c r="L1797">
        <v>0.1</v>
      </c>
      <c r="M1797" t="s">
        <v>9440</v>
      </c>
      <c r="N1797" t="s">
        <v>9441</v>
      </c>
      <c r="O1797" t="s">
        <v>64</v>
      </c>
      <c r="P1797" t="s">
        <v>30</v>
      </c>
      <c r="Q1797" t="s">
        <v>44</v>
      </c>
      <c r="R1797" s="3">
        <v>15769.152</v>
      </c>
    </row>
    <row r="1798" spans="1:18" x14ac:dyDescent="0.3">
      <c r="A1798" t="s">
        <v>9442</v>
      </c>
      <c r="B1798" t="str">
        <f>TEXT(Raw_Data[[#This Row],[Order Date]],"mmm")</f>
        <v>Dec</v>
      </c>
      <c r="C1798" t="s">
        <v>3862</v>
      </c>
      <c r="D1798" t="s">
        <v>9443</v>
      </c>
      <c r="E1798" t="s">
        <v>48</v>
      </c>
      <c r="F1798" t="s">
        <v>106</v>
      </c>
      <c r="G1798" t="s">
        <v>106</v>
      </c>
      <c r="H1798" t="s">
        <v>154</v>
      </c>
      <c r="I1798" t="s">
        <v>155</v>
      </c>
      <c r="J1798" t="s">
        <v>100</v>
      </c>
      <c r="K1798" t="s">
        <v>9444</v>
      </c>
      <c r="L1798">
        <v>0.05</v>
      </c>
      <c r="M1798" t="s">
        <v>9445</v>
      </c>
      <c r="N1798" t="s">
        <v>9446</v>
      </c>
      <c r="O1798" t="s">
        <v>173</v>
      </c>
      <c r="P1798" t="s">
        <v>30</v>
      </c>
      <c r="Q1798" t="s">
        <v>31</v>
      </c>
      <c r="R1798" s="3">
        <v>1773.1559999999999</v>
      </c>
    </row>
    <row r="1799" spans="1:18" x14ac:dyDescent="0.3">
      <c r="A1799" t="s">
        <v>9447</v>
      </c>
      <c r="B1799" t="str">
        <f>TEXT(Raw_Data[[#This Row],[Order Date]],"mmm")</f>
        <v>Dec</v>
      </c>
      <c r="C1799" t="s">
        <v>868</v>
      </c>
      <c r="D1799" t="s">
        <v>9448</v>
      </c>
      <c r="E1799" t="s">
        <v>20</v>
      </c>
      <c r="F1799" t="s">
        <v>36</v>
      </c>
      <c r="G1799" t="s">
        <v>414</v>
      </c>
      <c r="H1799" t="s">
        <v>80</v>
      </c>
      <c r="I1799" t="s">
        <v>116</v>
      </c>
      <c r="J1799" t="s">
        <v>25</v>
      </c>
      <c r="K1799" t="s">
        <v>9449</v>
      </c>
      <c r="L1799">
        <v>0.05</v>
      </c>
      <c r="M1799" t="s">
        <v>9450</v>
      </c>
      <c r="N1799" t="s">
        <v>9451</v>
      </c>
      <c r="O1799" t="s">
        <v>64</v>
      </c>
      <c r="P1799" t="s">
        <v>30</v>
      </c>
      <c r="Q1799" t="s">
        <v>65</v>
      </c>
      <c r="R1799" s="3">
        <v>713.08899999999903</v>
      </c>
    </row>
    <row r="1800" spans="1:18" x14ac:dyDescent="0.3">
      <c r="A1800" t="s">
        <v>9452</v>
      </c>
      <c r="B1800" t="str">
        <f>TEXT(Raw_Data[[#This Row],[Order Date]],"mmm")</f>
        <v>Jul</v>
      </c>
      <c r="C1800" t="s">
        <v>128</v>
      </c>
      <c r="D1800" t="s">
        <v>9453</v>
      </c>
      <c r="E1800" t="s">
        <v>20</v>
      </c>
      <c r="F1800" t="s">
        <v>36</v>
      </c>
      <c r="G1800" t="s">
        <v>196</v>
      </c>
      <c r="H1800" t="s">
        <v>107</v>
      </c>
      <c r="I1800" t="s">
        <v>469</v>
      </c>
      <c r="J1800" t="s">
        <v>25</v>
      </c>
      <c r="K1800" t="s">
        <v>9454</v>
      </c>
      <c r="L1800">
        <v>0.1</v>
      </c>
      <c r="M1800" t="s">
        <v>9455</v>
      </c>
      <c r="N1800" t="s">
        <v>9456</v>
      </c>
      <c r="O1800" t="s">
        <v>64</v>
      </c>
      <c r="P1800" t="s">
        <v>30</v>
      </c>
      <c r="Q1800" t="s">
        <v>65</v>
      </c>
      <c r="R1800" s="3">
        <v>12596.093999999999</v>
      </c>
    </row>
    <row r="1801" spans="1:18" x14ac:dyDescent="0.3">
      <c r="A1801" t="s">
        <v>9457</v>
      </c>
      <c r="B1801" t="str">
        <f>TEXT(Raw_Data[[#This Row],[Order Date]],"mmm")</f>
        <v>Apr</v>
      </c>
      <c r="C1801" t="s">
        <v>2903</v>
      </c>
      <c r="D1801" t="s">
        <v>9458</v>
      </c>
      <c r="E1801" t="s">
        <v>48</v>
      </c>
      <c r="F1801" t="s">
        <v>58</v>
      </c>
      <c r="G1801" t="s">
        <v>290</v>
      </c>
      <c r="H1801" t="s">
        <v>23</v>
      </c>
      <c r="I1801" t="s">
        <v>183</v>
      </c>
      <c r="J1801" t="s">
        <v>50</v>
      </c>
      <c r="K1801" t="s">
        <v>9459</v>
      </c>
      <c r="L1801">
        <v>0.1</v>
      </c>
      <c r="M1801" t="s">
        <v>9460</v>
      </c>
      <c r="N1801" t="s">
        <v>9461</v>
      </c>
      <c r="O1801" t="s">
        <v>29</v>
      </c>
      <c r="P1801" t="s">
        <v>30</v>
      </c>
      <c r="Q1801" t="s">
        <v>65</v>
      </c>
      <c r="R1801" s="3">
        <v>10690.002</v>
      </c>
    </row>
    <row r="1802" spans="1:18" x14ac:dyDescent="0.3">
      <c r="A1802" t="s">
        <v>9462</v>
      </c>
      <c r="B1802" t="str">
        <f>TEXT(Raw_Data[[#This Row],[Order Date]],"mmm")</f>
        <v>Jul</v>
      </c>
      <c r="C1802" t="s">
        <v>295</v>
      </c>
      <c r="D1802" t="s">
        <v>9463</v>
      </c>
      <c r="E1802" t="s">
        <v>48</v>
      </c>
      <c r="F1802" t="s">
        <v>78</v>
      </c>
      <c r="G1802" t="s">
        <v>79</v>
      </c>
      <c r="H1802" t="s">
        <v>23</v>
      </c>
      <c r="I1802" t="s">
        <v>183</v>
      </c>
      <c r="J1802" t="s">
        <v>25</v>
      </c>
      <c r="K1802" t="s">
        <v>9464</v>
      </c>
      <c r="L1802">
        <v>0.1</v>
      </c>
      <c r="M1802" t="s">
        <v>9465</v>
      </c>
      <c r="N1802" t="s">
        <v>9466</v>
      </c>
      <c r="O1802" t="s">
        <v>29</v>
      </c>
      <c r="P1802" t="s">
        <v>30</v>
      </c>
      <c r="Q1802" t="s">
        <v>31</v>
      </c>
      <c r="R1802" s="3">
        <v>21461.921999999999</v>
      </c>
    </row>
    <row r="1803" spans="1:18" x14ac:dyDescent="0.3">
      <c r="A1803" t="s">
        <v>9467</v>
      </c>
      <c r="B1803" t="str">
        <f>TEXT(Raw_Data[[#This Row],[Order Date]],"mmm")</f>
        <v>Oct</v>
      </c>
      <c r="C1803" t="s">
        <v>5733</v>
      </c>
      <c r="D1803" t="s">
        <v>9468</v>
      </c>
      <c r="E1803" t="s">
        <v>35</v>
      </c>
      <c r="F1803" t="s">
        <v>58</v>
      </c>
      <c r="G1803" t="s">
        <v>59</v>
      </c>
      <c r="H1803" t="s">
        <v>23</v>
      </c>
      <c r="I1803" t="s">
        <v>49</v>
      </c>
      <c r="J1803" t="s">
        <v>25</v>
      </c>
      <c r="K1803" t="s">
        <v>9469</v>
      </c>
      <c r="L1803">
        <v>0</v>
      </c>
      <c r="M1803" t="s">
        <v>9470</v>
      </c>
      <c r="N1803" t="s">
        <v>9471</v>
      </c>
      <c r="O1803" t="s">
        <v>173</v>
      </c>
      <c r="P1803" t="s">
        <v>30</v>
      </c>
      <c r="Q1803" t="s">
        <v>31</v>
      </c>
      <c r="R1803" s="3">
        <v>71560.19</v>
      </c>
    </row>
    <row r="1804" spans="1:18" x14ac:dyDescent="0.3">
      <c r="A1804" t="s">
        <v>9472</v>
      </c>
      <c r="B1804" t="str">
        <f>TEXT(Raw_Data[[#This Row],[Order Date]],"mmm")</f>
        <v>Jul</v>
      </c>
      <c r="C1804" t="s">
        <v>2372</v>
      </c>
      <c r="D1804" t="s">
        <v>9473</v>
      </c>
      <c r="E1804" t="s">
        <v>35</v>
      </c>
      <c r="F1804" t="s">
        <v>36</v>
      </c>
      <c r="G1804" t="s">
        <v>123</v>
      </c>
      <c r="H1804" t="s">
        <v>23</v>
      </c>
      <c r="I1804" t="s">
        <v>263</v>
      </c>
      <c r="J1804" t="s">
        <v>25</v>
      </c>
      <c r="K1804" t="s">
        <v>9474</v>
      </c>
      <c r="L1804">
        <v>0.1</v>
      </c>
      <c r="M1804" t="s">
        <v>9475</v>
      </c>
      <c r="N1804" t="s">
        <v>9476</v>
      </c>
      <c r="O1804" t="s">
        <v>64</v>
      </c>
      <c r="P1804" t="s">
        <v>30</v>
      </c>
      <c r="Q1804" t="s">
        <v>44</v>
      </c>
      <c r="R1804" s="3">
        <v>57935.447999999997</v>
      </c>
    </row>
    <row r="1805" spans="1:18" x14ac:dyDescent="0.3">
      <c r="A1805" t="s">
        <v>9477</v>
      </c>
      <c r="B1805" t="str">
        <f>TEXT(Raw_Data[[#This Row],[Order Date]],"mmm")</f>
        <v>Aug</v>
      </c>
      <c r="C1805" t="s">
        <v>954</v>
      </c>
      <c r="D1805" t="s">
        <v>9478</v>
      </c>
      <c r="E1805" t="s">
        <v>20</v>
      </c>
      <c r="F1805" t="s">
        <v>89</v>
      </c>
      <c r="G1805" t="s">
        <v>99</v>
      </c>
      <c r="H1805" t="s">
        <v>23</v>
      </c>
      <c r="I1805" t="s">
        <v>183</v>
      </c>
      <c r="J1805" t="s">
        <v>50</v>
      </c>
      <c r="K1805" t="s">
        <v>9479</v>
      </c>
      <c r="L1805">
        <v>0.05</v>
      </c>
      <c r="M1805" t="s">
        <v>9480</v>
      </c>
      <c r="N1805" t="s">
        <v>9481</v>
      </c>
      <c r="O1805" t="s">
        <v>43</v>
      </c>
      <c r="P1805" t="s">
        <v>95</v>
      </c>
      <c r="Q1805" t="s">
        <v>31</v>
      </c>
      <c r="R1805" s="3">
        <v>116221.879</v>
      </c>
    </row>
    <row r="1806" spans="1:18" x14ac:dyDescent="0.3">
      <c r="A1806" t="s">
        <v>9482</v>
      </c>
      <c r="B1806" t="str">
        <f>TEXT(Raw_Data[[#This Row],[Order Date]],"mmm")</f>
        <v>Oct</v>
      </c>
      <c r="C1806" t="s">
        <v>1991</v>
      </c>
      <c r="D1806" t="s">
        <v>9483</v>
      </c>
      <c r="E1806" t="s">
        <v>48</v>
      </c>
      <c r="F1806" t="s">
        <v>215</v>
      </c>
      <c r="G1806" t="s">
        <v>216</v>
      </c>
      <c r="H1806" t="s">
        <v>80</v>
      </c>
      <c r="I1806" t="s">
        <v>91</v>
      </c>
      <c r="J1806" t="s">
        <v>50</v>
      </c>
      <c r="K1806" t="s">
        <v>9484</v>
      </c>
      <c r="L1806">
        <v>0.1</v>
      </c>
      <c r="M1806" t="s">
        <v>9485</v>
      </c>
      <c r="N1806" t="s">
        <v>9486</v>
      </c>
      <c r="O1806" t="s">
        <v>43</v>
      </c>
      <c r="P1806" t="s">
        <v>30</v>
      </c>
      <c r="Q1806" t="s">
        <v>44</v>
      </c>
      <c r="R1806" s="3">
        <v>4502.1239999999998</v>
      </c>
    </row>
    <row r="1807" spans="1:18" x14ac:dyDescent="0.3">
      <c r="A1807" t="s">
        <v>9487</v>
      </c>
      <c r="B1807" t="str">
        <f>TEXT(Raw_Data[[#This Row],[Order Date]],"mmm")</f>
        <v>Jan</v>
      </c>
      <c r="C1807" t="s">
        <v>18</v>
      </c>
      <c r="D1807" t="s">
        <v>9488</v>
      </c>
      <c r="E1807" t="s">
        <v>35</v>
      </c>
      <c r="F1807" t="s">
        <v>78</v>
      </c>
      <c r="G1807" t="s">
        <v>468</v>
      </c>
      <c r="H1807" t="s">
        <v>38</v>
      </c>
      <c r="I1807" t="s">
        <v>223</v>
      </c>
      <c r="J1807" t="s">
        <v>100</v>
      </c>
      <c r="K1807" t="s">
        <v>9489</v>
      </c>
      <c r="L1807">
        <v>0.1</v>
      </c>
      <c r="M1807" t="s">
        <v>9490</v>
      </c>
      <c r="N1807" t="s">
        <v>9491</v>
      </c>
      <c r="O1807" t="s">
        <v>29</v>
      </c>
      <c r="P1807" t="s">
        <v>30</v>
      </c>
      <c r="Q1807" t="s">
        <v>44</v>
      </c>
      <c r="R1807" s="3">
        <v>5722.2449999999999</v>
      </c>
    </row>
    <row r="1808" spans="1:18" x14ac:dyDescent="0.3">
      <c r="A1808" t="s">
        <v>9492</v>
      </c>
      <c r="B1808" t="str">
        <f>TEXT(Raw_Data[[#This Row],[Order Date]],"mmm")</f>
        <v>Aug</v>
      </c>
      <c r="C1808" t="s">
        <v>681</v>
      </c>
      <c r="D1808" t="s">
        <v>9493</v>
      </c>
      <c r="E1808" t="s">
        <v>20</v>
      </c>
      <c r="F1808" t="s">
        <v>21</v>
      </c>
      <c r="G1808" t="s">
        <v>130</v>
      </c>
      <c r="H1808" t="s">
        <v>107</v>
      </c>
      <c r="I1808" t="s">
        <v>591</v>
      </c>
      <c r="J1808" t="s">
        <v>25</v>
      </c>
      <c r="K1808" t="s">
        <v>9494</v>
      </c>
      <c r="L1808">
        <v>0.15</v>
      </c>
      <c r="M1808" t="s">
        <v>9495</v>
      </c>
      <c r="N1808" t="s">
        <v>9496</v>
      </c>
      <c r="O1808" t="s">
        <v>54</v>
      </c>
      <c r="P1808" t="s">
        <v>30</v>
      </c>
      <c r="Q1808" t="s">
        <v>31</v>
      </c>
      <c r="R1808" s="3">
        <v>1942.9214999999999</v>
      </c>
    </row>
    <row r="1809" spans="1:18" x14ac:dyDescent="0.3">
      <c r="A1809" t="s">
        <v>9497</v>
      </c>
      <c r="B1809" t="str">
        <f>TEXT(Raw_Data[[#This Row],[Order Date]],"mmm")</f>
        <v>Jun</v>
      </c>
      <c r="C1809" t="s">
        <v>2163</v>
      </c>
      <c r="D1809" t="s">
        <v>9498</v>
      </c>
      <c r="E1809" t="s">
        <v>20</v>
      </c>
      <c r="F1809" t="s">
        <v>21</v>
      </c>
      <c r="G1809" t="s">
        <v>22</v>
      </c>
      <c r="H1809" t="s">
        <v>38</v>
      </c>
      <c r="I1809" t="s">
        <v>223</v>
      </c>
      <c r="J1809" t="s">
        <v>25</v>
      </c>
      <c r="K1809" t="s">
        <v>9499</v>
      </c>
      <c r="L1809">
        <v>0.05</v>
      </c>
      <c r="M1809" t="s">
        <v>9500</v>
      </c>
      <c r="N1809" t="s">
        <v>9501</v>
      </c>
      <c r="O1809" t="s">
        <v>173</v>
      </c>
      <c r="P1809" t="s">
        <v>30</v>
      </c>
      <c r="Q1809" t="s">
        <v>44</v>
      </c>
      <c r="R1809" s="3">
        <v>4722.3265000000001</v>
      </c>
    </row>
    <row r="1810" spans="1:18" x14ac:dyDescent="0.3">
      <c r="A1810" t="s">
        <v>9502</v>
      </c>
      <c r="B1810" t="str">
        <f>TEXT(Raw_Data[[#This Row],[Order Date]],"mmm")</f>
        <v>Apr</v>
      </c>
      <c r="C1810" t="s">
        <v>2338</v>
      </c>
      <c r="D1810" t="s">
        <v>9503</v>
      </c>
      <c r="E1810" t="s">
        <v>35</v>
      </c>
      <c r="F1810" t="s">
        <v>69</v>
      </c>
      <c r="G1810" t="s">
        <v>139</v>
      </c>
      <c r="H1810" t="s">
        <v>107</v>
      </c>
      <c r="I1810" t="s">
        <v>277</v>
      </c>
      <c r="J1810" t="s">
        <v>25</v>
      </c>
      <c r="K1810" t="s">
        <v>9504</v>
      </c>
      <c r="L1810">
        <v>0.1</v>
      </c>
      <c r="M1810" t="s">
        <v>9505</v>
      </c>
      <c r="N1810" t="s">
        <v>9506</v>
      </c>
      <c r="O1810" t="s">
        <v>173</v>
      </c>
      <c r="P1810" t="s">
        <v>30</v>
      </c>
      <c r="Q1810" t="s">
        <v>65</v>
      </c>
      <c r="R1810" s="3">
        <v>757.45799999999997</v>
      </c>
    </row>
    <row r="1811" spans="1:18" x14ac:dyDescent="0.3">
      <c r="A1811" t="s">
        <v>9507</v>
      </c>
      <c r="B1811" t="str">
        <f>TEXT(Raw_Data[[#This Row],[Order Date]],"mmm")</f>
        <v>Sep</v>
      </c>
      <c r="C1811" t="s">
        <v>5944</v>
      </c>
      <c r="D1811" t="s">
        <v>9508</v>
      </c>
      <c r="E1811" t="s">
        <v>48</v>
      </c>
      <c r="F1811" t="s">
        <v>21</v>
      </c>
      <c r="G1811" t="s">
        <v>130</v>
      </c>
      <c r="H1811" t="s">
        <v>80</v>
      </c>
      <c r="I1811" t="s">
        <v>91</v>
      </c>
      <c r="J1811" t="s">
        <v>25</v>
      </c>
      <c r="K1811" t="s">
        <v>9509</v>
      </c>
      <c r="L1811">
        <v>0.05</v>
      </c>
      <c r="M1811" t="s">
        <v>9510</v>
      </c>
      <c r="N1811" t="s">
        <v>9511</v>
      </c>
      <c r="O1811" t="s">
        <v>173</v>
      </c>
      <c r="P1811" t="s">
        <v>112</v>
      </c>
      <c r="Q1811" t="s">
        <v>44</v>
      </c>
      <c r="R1811" s="3">
        <v>5996.7419999999902</v>
      </c>
    </row>
    <row r="1812" spans="1:18" x14ac:dyDescent="0.3">
      <c r="A1812" t="s">
        <v>9512</v>
      </c>
      <c r="B1812" t="str">
        <f>TEXT(Raw_Data[[#This Row],[Order Date]],"mmm")</f>
        <v>Jul</v>
      </c>
      <c r="C1812" t="s">
        <v>412</v>
      </c>
      <c r="D1812" t="s">
        <v>9513</v>
      </c>
      <c r="E1812" t="s">
        <v>35</v>
      </c>
      <c r="F1812" t="s">
        <v>106</v>
      </c>
      <c r="G1812" t="s">
        <v>163</v>
      </c>
      <c r="H1812" t="s">
        <v>80</v>
      </c>
      <c r="I1812" t="s">
        <v>116</v>
      </c>
      <c r="J1812" t="s">
        <v>25</v>
      </c>
      <c r="K1812" t="s">
        <v>9514</v>
      </c>
      <c r="L1812">
        <v>0</v>
      </c>
      <c r="M1812" t="s">
        <v>9515</v>
      </c>
      <c r="N1812" t="s">
        <v>9516</v>
      </c>
      <c r="O1812" t="s">
        <v>173</v>
      </c>
      <c r="P1812" t="s">
        <v>30</v>
      </c>
      <c r="Q1812" t="s">
        <v>31</v>
      </c>
      <c r="R1812" s="3">
        <v>2485.04</v>
      </c>
    </row>
    <row r="1813" spans="1:18" x14ac:dyDescent="0.3">
      <c r="A1813" t="s">
        <v>9517</v>
      </c>
      <c r="B1813" t="str">
        <f>TEXT(Raw_Data[[#This Row],[Order Date]],"mmm")</f>
        <v>Jan</v>
      </c>
      <c r="C1813" t="s">
        <v>431</v>
      </c>
      <c r="D1813" t="s">
        <v>9518</v>
      </c>
      <c r="E1813" t="s">
        <v>35</v>
      </c>
      <c r="F1813" t="s">
        <v>58</v>
      </c>
      <c r="G1813" t="s">
        <v>59</v>
      </c>
      <c r="H1813" t="s">
        <v>23</v>
      </c>
      <c r="I1813" t="s">
        <v>183</v>
      </c>
      <c r="J1813" t="s">
        <v>25</v>
      </c>
      <c r="K1813" t="s">
        <v>9519</v>
      </c>
      <c r="L1813">
        <v>0.15</v>
      </c>
      <c r="M1813" t="s">
        <v>9520</v>
      </c>
      <c r="N1813" t="s">
        <v>9521</v>
      </c>
      <c r="O1813" t="s">
        <v>173</v>
      </c>
      <c r="P1813" t="s">
        <v>30</v>
      </c>
      <c r="Q1813" t="s">
        <v>44</v>
      </c>
      <c r="R1813" s="3">
        <v>32956.9735</v>
      </c>
    </row>
    <row r="1814" spans="1:18" x14ac:dyDescent="0.3">
      <c r="A1814" t="s">
        <v>9522</v>
      </c>
      <c r="B1814" t="str">
        <f>TEXT(Raw_Data[[#This Row],[Order Date]],"mmm")</f>
        <v>Aug</v>
      </c>
      <c r="C1814" t="s">
        <v>4422</v>
      </c>
      <c r="D1814" t="s">
        <v>9523</v>
      </c>
      <c r="E1814" t="s">
        <v>48</v>
      </c>
      <c r="F1814" t="s">
        <v>69</v>
      </c>
      <c r="G1814" t="s">
        <v>328</v>
      </c>
      <c r="H1814" t="s">
        <v>154</v>
      </c>
      <c r="I1814" t="s">
        <v>1061</v>
      </c>
      <c r="J1814" t="s">
        <v>82</v>
      </c>
      <c r="K1814" t="s">
        <v>9524</v>
      </c>
      <c r="L1814">
        <v>0</v>
      </c>
      <c r="M1814" t="s">
        <v>9525</v>
      </c>
      <c r="N1814" t="s">
        <v>9526</v>
      </c>
      <c r="O1814" t="s">
        <v>64</v>
      </c>
      <c r="P1814" t="s">
        <v>95</v>
      </c>
      <c r="Q1814" t="s">
        <v>31</v>
      </c>
      <c r="R1814" s="3">
        <v>20934.04</v>
      </c>
    </row>
    <row r="1815" spans="1:18" x14ac:dyDescent="0.3">
      <c r="A1815" t="s">
        <v>9527</v>
      </c>
      <c r="B1815" t="str">
        <f>TEXT(Raw_Data[[#This Row],[Order Date]],"mmm")</f>
        <v>Jul</v>
      </c>
      <c r="C1815" t="s">
        <v>1921</v>
      </c>
      <c r="D1815" t="s">
        <v>9528</v>
      </c>
      <c r="E1815" t="s">
        <v>20</v>
      </c>
      <c r="F1815" t="s">
        <v>106</v>
      </c>
      <c r="G1815" t="s">
        <v>163</v>
      </c>
      <c r="H1815" t="s">
        <v>23</v>
      </c>
      <c r="I1815" t="s">
        <v>183</v>
      </c>
      <c r="J1815" t="s">
        <v>50</v>
      </c>
      <c r="K1815" t="s">
        <v>9529</v>
      </c>
      <c r="L1815">
        <v>0</v>
      </c>
      <c r="M1815" t="s">
        <v>9530</v>
      </c>
      <c r="N1815" t="s">
        <v>9531</v>
      </c>
      <c r="O1815" t="s">
        <v>43</v>
      </c>
      <c r="P1815" t="s">
        <v>30</v>
      </c>
      <c r="Q1815" t="s">
        <v>44</v>
      </c>
      <c r="R1815" s="3">
        <v>36989.42</v>
      </c>
    </row>
    <row r="1816" spans="1:18" x14ac:dyDescent="0.3">
      <c r="A1816" t="s">
        <v>9532</v>
      </c>
      <c r="B1816" t="str">
        <f>TEXT(Raw_Data[[#This Row],[Order Date]],"mmm")</f>
        <v>Dec</v>
      </c>
      <c r="C1816" t="s">
        <v>1093</v>
      </c>
      <c r="D1816" t="s">
        <v>9533</v>
      </c>
      <c r="E1816" t="s">
        <v>48</v>
      </c>
      <c r="F1816" t="s">
        <v>89</v>
      </c>
      <c r="G1816" t="s">
        <v>99</v>
      </c>
      <c r="H1816" t="s">
        <v>80</v>
      </c>
      <c r="I1816" t="s">
        <v>146</v>
      </c>
      <c r="J1816" t="s">
        <v>25</v>
      </c>
      <c r="K1816" t="s">
        <v>9534</v>
      </c>
      <c r="L1816">
        <v>0.15</v>
      </c>
      <c r="M1816" t="s">
        <v>9535</v>
      </c>
      <c r="N1816" t="s">
        <v>9536</v>
      </c>
      <c r="O1816" t="s">
        <v>43</v>
      </c>
      <c r="P1816" t="s">
        <v>30</v>
      </c>
      <c r="Q1816" t="s">
        <v>31</v>
      </c>
      <c r="R1816" s="3">
        <v>5149.4105</v>
      </c>
    </row>
    <row r="1817" spans="1:18" x14ac:dyDescent="0.3">
      <c r="A1817" t="s">
        <v>9537</v>
      </c>
      <c r="B1817" t="str">
        <f>TEXT(Raw_Data[[#This Row],[Order Date]],"mmm")</f>
        <v>Feb</v>
      </c>
      <c r="C1817" t="s">
        <v>228</v>
      </c>
      <c r="D1817" t="s">
        <v>9538</v>
      </c>
      <c r="E1817" t="s">
        <v>48</v>
      </c>
      <c r="F1817" t="s">
        <v>89</v>
      </c>
      <c r="G1817" t="s">
        <v>99</v>
      </c>
      <c r="H1817" t="s">
        <v>38</v>
      </c>
      <c r="I1817" t="s">
        <v>39</v>
      </c>
      <c r="J1817" t="s">
        <v>25</v>
      </c>
      <c r="K1817" t="s">
        <v>9539</v>
      </c>
      <c r="L1817">
        <v>0.05</v>
      </c>
      <c r="M1817" t="s">
        <v>9540</v>
      </c>
      <c r="N1817" t="s">
        <v>9541</v>
      </c>
      <c r="O1817" t="s">
        <v>3684</v>
      </c>
      <c r="P1817" t="s">
        <v>30</v>
      </c>
      <c r="Q1817" t="s">
        <v>31</v>
      </c>
      <c r="R1817" s="3">
        <v>2235.9009999999998</v>
      </c>
    </row>
    <row r="1818" spans="1:18" x14ac:dyDescent="0.3">
      <c r="A1818" t="s">
        <v>9542</v>
      </c>
      <c r="B1818" t="str">
        <f>TEXT(Raw_Data[[#This Row],[Order Date]],"mmm")</f>
        <v>Jun</v>
      </c>
      <c r="C1818" t="s">
        <v>181</v>
      </c>
      <c r="D1818" t="s">
        <v>9543</v>
      </c>
      <c r="E1818" t="s">
        <v>20</v>
      </c>
      <c r="F1818" t="s">
        <v>69</v>
      </c>
      <c r="G1818" t="s">
        <v>70</v>
      </c>
      <c r="H1818" t="s">
        <v>23</v>
      </c>
      <c r="I1818" t="s">
        <v>263</v>
      </c>
      <c r="J1818" t="s">
        <v>50</v>
      </c>
      <c r="K1818" t="s">
        <v>9544</v>
      </c>
      <c r="L1818">
        <v>0.2</v>
      </c>
      <c r="M1818" t="s">
        <v>9545</v>
      </c>
      <c r="N1818" t="s">
        <v>9546</v>
      </c>
      <c r="O1818" t="s">
        <v>54</v>
      </c>
      <c r="P1818" t="s">
        <v>30</v>
      </c>
      <c r="Q1818" t="s">
        <v>65</v>
      </c>
      <c r="R1818" s="3">
        <v>69844.800000000003</v>
      </c>
    </row>
    <row r="1819" spans="1:18" x14ac:dyDescent="0.3">
      <c r="A1819" t="s">
        <v>9547</v>
      </c>
      <c r="B1819" t="str">
        <f>TEXT(Raw_Data[[#This Row],[Order Date]],"mmm")</f>
        <v>Dec</v>
      </c>
      <c r="C1819" t="s">
        <v>2332</v>
      </c>
      <c r="D1819" t="s">
        <v>9548</v>
      </c>
      <c r="E1819" t="s">
        <v>35</v>
      </c>
      <c r="F1819" t="s">
        <v>58</v>
      </c>
      <c r="G1819" t="s">
        <v>290</v>
      </c>
      <c r="H1819" t="s">
        <v>107</v>
      </c>
      <c r="I1819" t="s">
        <v>591</v>
      </c>
      <c r="J1819" t="s">
        <v>50</v>
      </c>
      <c r="K1819" t="s">
        <v>9549</v>
      </c>
      <c r="L1819">
        <v>0.05</v>
      </c>
      <c r="M1819" t="s">
        <v>9550</v>
      </c>
      <c r="N1819" t="s">
        <v>9551</v>
      </c>
      <c r="O1819" t="s">
        <v>173</v>
      </c>
      <c r="P1819" t="s">
        <v>30</v>
      </c>
      <c r="Q1819" t="s">
        <v>44</v>
      </c>
      <c r="R1819" s="3">
        <v>18266.048999999999</v>
      </c>
    </row>
    <row r="1820" spans="1:18" x14ac:dyDescent="0.3">
      <c r="A1820" t="s">
        <v>9552</v>
      </c>
      <c r="B1820" t="str">
        <f>TEXT(Raw_Data[[#This Row],[Order Date]],"mmm")</f>
        <v>Jan</v>
      </c>
      <c r="C1820" t="s">
        <v>3252</v>
      </c>
      <c r="D1820" t="s">
        <v>9553</v>
      </c>
      <c r="E1820" t="s">
        <v>20</v>
      </c>
      <c r="F1820" t="s">
        <v>36</v>
      </c>
      <c r="G1820" t="s">
        <v>414</v>
      </c>
      <c r="H1820" t="s">
        <v>154</v>
      </c>
      <c r="I1820" t="s">
        <v>365</v>
      </c>
      <c r="J1820" t="s">
        <v>25</v>
      </c>
      <c r="K1820" t="s">
        <v>9554</v>
      </c>
      <c r="L1820">
        <v>0.15</v>
      </c>
      <c r="M1820" t="s">
        <v>9555</v>
      </c>
      <c r="N1820" t="s">
        <v>9556</v>
      </c>
      <c r="O1820" t="s">
        <v>64</v>
      </c>
      <c r="P1820" t="s">
        <v>159</v>
      </c>
      <c r="Q1820" t="s">
        <v>31</v>
      </c>
      <c r="R1820" s="3">
        <v>1549.1420000000001</v>
      </c>
    </row>
    <row r="1821" spans="1:18" x14ac:dyDescent="0.3">
      <c r="A1821" t="s">
        <v>9557</v>
      </c>
      <c r="B1821" t="str">
        <f>TEXT(Raw_Data[[#This Row],[Order Date]],"mmm")</f>
        <v>Jun</v>
      </c>
      <c r="C1821" t="s">
        <v>2378</v>
      </c>
      <c r="D1821" t="s">
        <v>9558</v>
      </c>
      <c r="E1821" t="s">
        <v>20</v>
      </c>
      <c r="F1821" t="s">
        <v>89</v>
      </c>
      <c r="G1821" t="s">
        <v>99</v>
      </c>
      <c r="H1821" t="s">
        <v>107</v>
      </c>
      <c r="I1821" t="s">
        <v>591</v>
      </c>
      <c r="J1821" t="s">
        <v>25</v>
      </c>
      <c r="K1821" t="s">
        <v>9559</v>
      </c>
      <c r="L1821">
        <v>0</v>
      </c>
      <c r="M1821" t="s">
        <v>9560</v>
      </c>
      <c r="N1821" t="s">
        <v>9561</v>
      </c>
      <c r="O1821" t="s">
        <v>173</v>
      </c>
      <c r="P1821" t="s">
        <v>30</v>
      </c>
      <c r="Q1821" t="s">
        <v>31</v>
      </c>
      <c r="R1821" s="3">
        <v>17148.66</v>
      </c>
    </row>
    <row r="1822" spans="1:18" x14ac:dyDescent="0.3">
      <c r="A1822" t="s">
        <v>9562</v>
      </c>
      <c r="B1822" t="str">
        <f>TEXT(Raw_Data[[#This Row],[Order Date]],"mmm")</f>
        <v>Dec</v>
      </c>
      <c r="C1822" t="s">
        <v>573</v>
      </c>
      <c r="D1822" t="s">
        <v>9563</v>
      </c>
      <c r="E1822" t="s">
        <v>20</v>
      </c>
      <c r="F1822" t="s">
        <v>78</v>
      </c>
      <c r="G1822" t="s">
        <v>731</v>
      </c>
      <c r="H1822" t="s">
        <v>23</v>
      </c>
      <c r="I1822" t="s">
        <v>49</v>
      </c>
      <c r="J1822" t="s">
        <v>25</v>
      </c>
      <c r="K1822" t="s">
        <v>9564</v>
      </c>
      <c r="L1822">
        <v>0.15</v>
      </c>
      <c r="M1822" t="s">
        <v>9565</v>
      </c>
      <c r="N1822" t="s">
        <v>9566</v>
      </c>
      <c r="O1822" t="s">
        <v>29</v>
      </c>
      <c r="P1822" t="s">
        <v>112</v>
      </c>
      <c r="Q1822" t="s">
        <v>44</v>
      </c>
      <c r="R1822" s="3">
        <v>8933.8909999999996</v>
      </c>
    </row>
    <row r="1823" spans="1:18" x14ac:dyDescent="0.3">
      <c r="A1823" t="s">
        <v>9567</v>
      </c>
      <c r="B1823" t="str">
        <f>TEXT(Raw_Data[[#This Row],[Order Date]],"mmm")</f>
        <v>Jan</v>
      </c>
      <c r="C1823" t="s">
        <v>1878</v>
      </c>
      <c r="D1823" t="s">
        <v>9568</v>
      </c>
      <c r="E1823" t="s">
        <v>20</v>
      </c>
      <c r="F1823" t="s">
        <v>89</v>
      </c>
      <c r="G1823" t="s">
        <v>99</v>
      </c>
      <c r="H1823" t="s">
        <v>107</v>
      </c>
      <c r="I1823" t="s">
        <v>469</v>
      </c>
      <c r="J1823" t="s">
        <v>25</v>
      </c>
      <c r="K1823" t="s">
        <v>9569</v>
      </c>
      <c r="L1823">
        <v>0.1</v>
      </c>
      <c r="M1823" t="s">
        <v>9570</v>
      </c>
      <c r="N1823" t="s">
        <v>9571</v>
      </c>
      <c r="O1823" t="s">
        <v>29</v>
      </c>
      <c r="P1823" t="s">
        <v>30</v>
      </c>
      <c r="Q1823" t="s">
        <v>31</v>
      </c>
      <c r="R1823" s="3">
        <v>1610.4870000000001</v>
      </c>
    </row>
    <row r="1824" spans="1:18" x14ac:dyDescent="0.3">
      <c r="A1824" t="s">
        <v>9572</v>
      </c>
      <c r="B1824" t="str">
        <f>TEXT(Raw_Data[[#This Row],[Order Date]],"mmm")</f>
        <v>Mar</v>
      </c>
      <c r="C1824" t="s">
        <v>3981</v>
      </c>
      <c r="D1824" t="s">
        <v>9573</v>
      </c>
      <c r="E1824" t="s">
        <v>20</v>
      </c>
      <c r="F1824" t="s">
        <v>21</v>
      </c>
      <c r="G1824" t="s">
        <v>130</v>
      </c>
      <c r="H1824" t="s">
        <v>107</v>
      </c>
      <c r="I1824" t="s">
        <v>108</v>
      </c>
      <c r="J1824" t="s">
        <v>50</v>
      </c>
      <c r="K1824" t="s">
        <v>9574</v>
      </c>
      <c r="L1824">
        <v>0.1</v>
      </c>
      <c r="M1824" t="s">
        <v>9575</v>
      </c>
      <c r="N1824" t="s">
        <v>9576</v>
      </c>
      <c r="O1824" t="s">
        <v>173</v>
      </c>
      <c r="P1824" t="s">
        <v>30</v>
      </c>
      <c r="Q1824" t="s">
        <v>31</v>
      </c>
      <c r="R1824" s="3">
        <v>21892.734</v>
      </c>
    </row>
    <row r="1825" spans="1:18" x14ac:dyDescent="0.3">
      <c r="A1825" t="s">
        <v>9577</v>
      </c>
      <c r="B1825" t="str">
        <f>TEXT(Raw_Data[[#This Row],[Order Date]],"mmm")</f>
        <v>Nov</v>
      </c>
      <c r="C1825" t="s">
        <v>2710</v>
      </c>
      <c r="D1825" t="s">
        <v>9578</v>
      </c>
      <c r="E1825" t="s">
        <v>35</v>
      </c>
      <c r="F1825" t="s">
        <v>78</v>
      </c>
      <c r="G1825" t="s">
        <v>731</v>
      </c>
      <c r="H1825" t="s">
        <v>38</v>
      </c>
      <c r="I1825" t="s">
        <v>256</v>
      </c>
      <c r="J1825" t="s">
        <v>25</v>
      </c>
      <c r="K1825" t="s">
        <v>9579</v>
      </c>
      <c r="L1825">
        <v>0.1</v>
      </c>
      <c r="M1825" t="s">
        <v>9580</v>
      </c>
      <c r="N1825" t="s">
        <v>9581</v>
      </c>
      <c r="O1825" t="s">
        <v>64</v>
      </c>
      <c r="P1825" t="s">
        <v>30</v>
      </c>
      <c r="Q1825" t="s">
        <v>44</v>
      </c>
      <c r="R1825" s="3">
        <v>1898.3520000000001</v>
      </c>
    </row>
    <row r="1826" spans="1:18" x14ac:dyDescent="0.3">
      <c r="A1826" t="s">
        <v>9582</v>
      </c>
      <c r="B1826" t="str">
        <f>TEXT(Raw_Data[[#This Row],[Order Date]],"mmm")</f>
        <v>Oct</v>
      </c>
      <c r="C1826" t="s">
        <v>584</v>
      </c>
      <c r="D1826" t="s">
        <v>9583</v>
      </c>
      <c r="E1826" t="s">
        <v>35</v>
      </c>
      <c r="F1826" t="s">
        <v>69</v>
      </c>
      <c r="G1826" t="s">
        <v>70</v>
      </c>
      <c r="H1826" t="s">
        <v>107</v>
      </c>
      <c r="I1826" t="s">
        <v>469</v>
      </c>
      <c r="J1826" t="s">
        <v>25</v>
      </c>
      <c r="K1826" t="s">
        <v>9584</v>
      </c>
      <c r="L1826">
        <v>0.15</v>
      </c>
      <c r="M1826" t="s">
        <v>9585</v>
      </c>
      <c r="N1826" t="s">
        <v>9586</v>
      </c>
      <c r="O1826" t="s">
        <v>64</v>
      </c>
      <c r="P1826" t="s">
        <v>30</v>
      </c>
      <c r="Q1826" t="s">
        <v>31</v>
      </c>
      <c r="R1826" s="3">
        <v>6883.2574999999997</v>
      </c>
    </row>
    <row r="1827" spans="1:18" x14ac:dyDescent="0.3">
      <c r="A1827" t="s">
        <v>9587</v>
      </c>
      <c r="B1827" t="str">
        <f>TEXT(Raw_Data[[#This Row],[Order Date]],"mmm")</f>
        <v>Apr</v>
      </c>
      <c r="C1827" t="s">
        <v>2552</v>
      </c>
      <c r="D1827" t="s">
        <v>9588</v>
      </c>
      <c r="E1827" t="s">
        <v>48</v>
      </c>
      <c r="F1827" t="s">
        <v>36</v>
      </c>
      <c r="G1827" t="s">
        <v>123</v>
      </c>
      <c r="H1827" t="s">
        <v>80</v>
      </c>
      <c r="I1827" t="s">
        <v>91</v>
      </c>
      <c r="J1827" t="s">
        <v>25</v>
      </c>
      <c r="K1827" t="s">
        <v>9589</v>
      </c>
      <c r="L1827">
        <v>0.05</v>
      </c>
      <c r="M1827" t="s">
        <v>9590</v>
      </c>
      <c r="N1827" t="s">
        <v>9591</v>
      </c>
      <c r="O1827" t="s">
        <v>64</v>
      </c>
      <c r="P1827" t="s">
        <v>30</v>
      </c>
      <c r="Q1827" t="s">
        <v>31</v>
      </c>
      <c r="R1827" s="3">
        <v>455.08800000000002</v>
      </c>
    </row>
    <row r="1828" spans="1:18" x14ac:dyDescent="0.3">
      <c r="A1828" t="s">
        <v>9592</v>
      </c>
      <c r="B1828" t="str">
        <f>TEXT(Raw_Data[[#This Row],[Order Date]],"mmm")</f>
        <v>Jan</v>
      </c>
      <c r="C1828" t="s">
        <v>1949</v>
      </c>
      <c r="D1828" t="s">
        <v>9593</v>
      </c>
      <c r="E1828" t="s">
        <v>20</v>
      </c>
      <c r="F1828" t="s">
        <v>78</v>
      </c>
      <c r="G1828" t="s">
        <v>731</v>
      </c>
      <c r="H1828" t="s">
        <v>107</v>
      </c>
      <c r="I1828" t="s">
        <v>378</v>
      </c>
      <c r="J1828" t="s">
        <v>25</v>
      </c>
      <c r="K1828" t="s">
        <v>9594</v>
      </c>
      <c r="L1828">
        <v>0.05</v>
      </c>
      <c r="M1828" t="s">
        <v>9595</v>
      </c>
      <c r="N1828" t="s">
        <v>9596</v>
      </c>
      <c r="O1828" t="s">
        <v>43</v>
      </c>
      <c r="P1828" t="s">
        <v>95</v>
      </c>
      <c r="Q1828" t="s">
        <v>65</v>
      </c>
      <c r="R1828" s="3">
        <v>12503.938</v>
      </c>
    </row>
    <row r="1829" spans="1:18" x14ac:dyDescent="0.3">
      <c r="A1829" t="s">
        <v>9597</v>
      </c>
      <c r="B1829" t="str">
        <f>TEXT(Raw_Data[[#This Row],[Order Date]],"mmm")</f>
        <v>Jul</v>
      </c>
      <c r="C1829" t="s">
        <v>389</v>
      </c>
      <c r="D1829" t="s">
        <v>9598</v>
      </c>
      <c r="E1829" t="s">
        <v>35</v>
      </c>
      <c r="F1829" t="s">
        <v>215</v>
      </c>
      <c r="G1829" t="s">
        <v>216</v>
      </c>
      <c r="H1829" t="s">
        <v>23</v>
      </c>
      <c r="I1829" t="s">
        <v>183</v>
      </c>
      <c r="J1829" t="s">
        <v>50</v>
      </c>
      <c r="K1829" t="s">
        <v>9599</v>
      </c>
      <c r="L1829">
        <v>0.1</v>
      </c>
      <c r="M1829" t="s">
        <v>9600</v>
      </c>
      <c r="N1829" t="s">
        <v>9601</v>
      </c>
      <c r="O1829" t="s">
        <v>64</v>
      </c>
      <c r="P1829" t="s">
        <v>159</v>
      </c>
      <c r="Q1829" t="s">
        <v>44</v>
      </c>
      <c r="R1829" s="3">
        <v>93208.104000000007</v>
      </c>
    </row>
    <row r="1830" spans="1:18" x14ac:dyDescent="0.3">
      <c r="A1830" t="s">
        <v>9602</v>
      </c>
      <c r="B1830" t="str">
        <f>TEXT(Raw_Data[[#This Row],[Order Date]],"mmm")</f>
        <v>Nov</v>
      </c>
      <c r="C1830" t="s">
        <v>1009</v>
      </c>
      <c r="D1830" t="s">
        <v>9603</v>
      </c>
      <c r="E1830" t="s">
        <v>20</v>
      </c>
      <c r="F1830" t="s">
        <v>58</v>
      </c>
      <c r="G1830" t="s">
        <v>59</v>
      </c>
      <c r="H1830" t="s">
        <v>154</v>
      </c>
      <c r="I1830" t="s">
        <v>365</v>
      </c>
      <c r="J1830" t="s">
        <v>25</v>
      </c>
      <c r="K1830" t="s">
        <v>9604</v>
      </c>
      <c r="L1830">
        <v>0.05</v>
      </c>
      <c r="M1830" t="s">
        <v>9605</v>
      </c>
      <c r="N1830" t="s">
        <v>9606</v>
      </c>
      <c r="O1830" t="s">
        <v>43</v>
      </c>
      <c r="P1830" t="s">
        <v>159</v>
      </c>
      <c r="Q1830" t="s">
        <v>31</v>
      </c>
      <c r="R1830" s="3">
        <v>9866.1774999999998</v>
      </c>
    </row>
    <row r="1831" spans="1:18" x14ac:dyDescent="0.3">
      <c r="A1831" t="s">
        <v>9607</v>
      </c>
      <c r="B1831" t="str">
        <f>TEXT(Raw_Data[[#This Row],[Order Date]],"mmm")</f>
        <v>Nov</v>
      </c>
      <c r="C1831" t="s">
        <v>221</v>
      </c>
      <c r="D1831" t="s">
        <v>9608</v>
      </c>
      <c r="E1831" t="s">
        <v>20</v>
      </c>
      <c r="F1831" t="s">
        <v>36</v>
      </c>
      <c r="G1831" t="s">
        <v>123</v>
      </c>
      <c r="H1831" t="s">
        <v>38</v>
      </c>
      <c r="I1831" t="s">
        <v>60</v>
      </c>
      <c r="J1831" t="s">
        <v>82</v>
      </c>
      <c r="K1831" t="s">
        <v>9609</v>
      </c>
      <c r="L1831">
        <v>0.05</v>
      </c>
      <c r="M1831" t="s">
        <v>9610</v>
      </c>
      <c r="N1831" t="s">
        <v>9611</v>
      </c>
      <c r="O1831" t="s">
        <v>29</v>
      </c>
      <c r="P1831" t="s">
        <v>95</v>
      </c>
      <c r="Q1831" t="s">
        <v>65</v>
      </c>
      <c r="R1831" s="3">
        <v>7111.8139999999903</v>
      </c>
    </row>
    <row r="1832" spans="1:18" x14ac:dyDescent="0.3">
      <c r="A1832" t="s">
        <v>9612</v>
      </c>
      <c r="B1832" t="str">
        <f>TEXT(Raw_Data[[#This Row],[Order Date]],"mmm")</f>
        <v>Jan</v>
      </c>
      <c r="C1832" t="s">
        <v>320</v>
      </c>
      <c r="D1832" t="s">
        <v>9613</v>
      </c>
      <c r="E1832" t="s">
        <v>48</v>
      </c>
      <c r="F1832" t="s">
        <v>89</v>
      </c>
      <c r="G1832" t="s">
        <v>90</v>
      </c>
      <c r="H1832" t="s">
        <v>107</v>
      </c>
      <c r="I1832" t="s">
        <v>591</v>
      </c>
      <c r="J1832" t="s">
        <v>50</v>
      </c>
      <c r="K1832" t="s">
        <v>9614</v>
      </c>
      <c r="L1832">
        <v>0.15</v>
      </c>
      <c r="M1832" t="s">
        <v>9615</v>
      </c>
      <c r="N1832" t="s">
        <v>9616</v>
      </c>
      <c r="O1832" t="s">
        <v>173</v>
      </c>
      <c r="P1832" t="s">
        <v>30</v>
      </c>
      <c r="Q1832" t="s">
        <v>65</v>
      </c>
      <c r="R1832" s="3">
        <v>21158.234</v>
      </c>
    </row>
    <row r="1833" spans="1:18" x14ac:dyDescent="0.3">
      <c r="A1833" t="s">
        <v>9617</v>
      </c>
      <c r="B1833" t="str">
        <f>TEXT(Raw_Data[[#This Row],[Order Date]],"mmm")</f>
        <v>Nov</v>
      </c>
      <c r="C1833" t="s">
        <v>4633</v>
      </c>
      <c r="D1833" t="s">
        <v>9618</v>
      </c>
      <c r="E1833" t="s">
        <v>35</v>
      </c>
      <c r="F1833" t="s">
        <v>89</v>
      </c>
      <c r="G1833" t="s">
        <v>230</v>
      </c>
      <c r="H1833" t="s">
        <v>80</v>
      </c>
      <c r="I1833" t="s">
        <v>91</v>
      </c>
      <c r="J1833" t="s">
        <v>25</v>
      </c>
      <c r="K1833" t="s">
        <v>9619</v>
      </c>
      <c r="L1833">
        <v>0.15</v>
      </c>
      <c r="M1833" t="s">
        <v>9620</v>
      </c>
      <c r="N1833" t="s">
        <v>9621</v>
      </c>
      <c r="O1833" t="s">
        <v>43</v>
      </c>
      <c r="P1833" t="s">
        <v>30</v>
      </c>
      <c r="Q1833" t="s">
        <v>65</v>
      </c>
      <c r="R1833" s="3">
        <v>3592.83949999999</v>
      </c>
    </row>
    <row r="1834" spans="1:18" x14ac:dyDescent="0.3">
      <c r="A1834" t="s">
        <v>9622</v>
      </c>
      <c r="B1834" t="str">
        <f>TEXT(Raw_Data[[#This Row],[Order Date]],"mmm")</f>
        <v>Nov</v>
      </c>
      <c r="C1834" t="s">
        <v>2976</v>
      </c>
      <c r="D1834" t="s">
        <v>9623</v>
      </c>
      <c r="E1834" t="s">
        <v>20</v>
      </c>
      <c r="F1834" t="s">
        <v>58</v>
      </c>
      <c r="G1834" t="s">
        <v>290</v>
      </c>
      <c r="H1834" t="s">
        <v>23</v>
      </c>
      <c r="I1834" t="s">
        <v>341</v>
      </c>
      <c r="J1834" t="s">
        <v>25</v>
      </c>
      <c r="K1834" t="s">
        <v>9624</v>
      </c>
      <c r="L1834">
        <v>0.1</v>
      </c>
      <c r="M1834" t="s">
        <v>9625</v>
      </c>
      <c r="N1834" t="s">
        <v>9626</v>
      </c>
      <c r="O1834" t="s">
        <v>54</v>
      </c>
      <c r="P1834" t="s">
        <v>30</v>
      </c>
      <c r="Q1834" t="s">
        <v>31</v>
      </c>
      <c r="R1834" s="3">
        <v>3542.652</v>
      </c>
    </row>
    <row r="1835" spans="1:18" x14ac:dyDescent="0.3">
      <c r="A1835" t="s">
        <v>9627</v>
      </c>
      <c r="B1835" t="str">
        <f>TEXT(Raw_Data[[#This Row],[Order Date]],"mmm")</f>
        <v>Apr</v>
      </c>
      <c r="C1835" t="s">
        <v>2095</v>
      </c>
      <c r="D1835" t="s">
        <v>9628</v>
      </c>
      <c r="E1835" t="s">
        <v>35</v>
      </c>
      <c r="F1835" t="s">
        <v>21</v>
      </c>
      <c r="G1835" t="s">
        <v>130</v>
      </c>
      <c r="H1835" t="s">
        <v>107</v>
      </c>
      <c r="I1835" t="s">
        <v>108</v>
      </c>
      <c r="J1835" t="s">
        <v>25</v>
      </c>
      <c r="K1835" t="s">
        <v>9629</v>
      </c>
      <c r="L1835">
        <v>0.1</v>
      </c>
      <c r="M1835" t="s">
        <v>9630</v>
      </c>
      <c r="N1835" t="s">
        <v>9631</v>
      </c>
      <c r="O1835" t="s">
        <v>173</v>
      </c>
      <c r="P1835" t="s">
        <v>95</v>
      </c>
      <c r="Q1835" t="s">
        <v>31</v>
      </c>
      <c r="R1835" s="3">
        <v>9309.4110000000001</v>
      </c>
    </row>
    <row r="1836" spans="1:18" x14ac:dyDescent="0.3">
      <c r="A1836" t="s">
        <v>9632</v>
      </c>
      <c r="B1836" t="str">
        <f>TEXT(Raw_Data[[#This Row],[Order Date]],"mmm")</f>
        <v>Mar</v>
      </c>
      <c r="C1836" t="s">
        <v>3718</v>
      </c>
      <c r="D1836" t="s">
        <v>9633</v>
      </c>
      <c r="E1836" t="s">
        <v>48</v>
      </c>
      <c r="F1836" t="s">
        <v>78</v>
      </c>
      <c r="G1836" t="s">
        <v>468</v>
      </c>
      <c r="H1836" t="s">
        <v>154</v>
      </c>
      <c r="I1836" t="s">
        <v>309</v>
      </c>
      <c r="J1836" t="s">
        <v>50</v>
      </c>
      <c r="K1836" t="s">
        <v>9634</v>
      </c>
      <c r="L1836">
        <v>0.1</v>
      </c>
      <c r="M1836" t="s">
        <v>9635</v>
      </c>
      <c r="N1836" t="s">
        <v>9636</v>
      </c>
      <c r="O1836" t="s">
        <v>29</v>
      </c>
      <c r="P1836" t="s">
        <v>30</v>
      </c>
      <c r="Q1836" t="s">
        <v>44</v>
      </c>
      <c r="R1836" s="3">
        <v>6346.6019999999999</v>
      </c>
    </row>
    <row r="1837" spans="1:18" x14ac:dyDescent="0.3">
      <c r="A1837" t="s">
        <v>9637</v>
      </c>
      <c r="B1837" t="str">
        <f>TEXT(Raw_Data[[#This Row],[Order Date]],"mmm")</f>
        <v>Jun</v>
      </c>
      <c r="C1837" t="s">
        <v>8096</v>
      </c>
      <c r="D1837" t="s">
        <v>9638</v>
      </c>
      <c r="E1837" t="s">
        <v>20</v>
      </c>
      <c r="F1837" t="s">
        <v>36</v>
      </c>
      <c r="G1837" t="s">
        <v>414</v>
      </c>
      <c r="H1837" t="s">
        <v>38</v>
      </c>
      <c r="I1837" t="s">
        <v>256</v>
      </c>
      <c r="J1837" t="s">
        <v>82</v>
      </c>
      <c r="K1837" t="s">
        <v>9639</v>
      </c>
      <c r="L1837">
        <v>0</v>
      </c>
      <c r="M1837" t="s">
        <v>9640</v>
      </c>
      <c r="N1837" t="s">
        <v>9641</v>
      </c>
      <c r="O1837" t="s">
        <v>173</v>
      </c>
      <c r="P1837" t="s">
        <v>30</v>
      </c>
      <c r="Q1837" t="s">
        <v>65</v>
      </c>
      <c r="R1837" s="3">
        <v>15725.4</v>
      </c>
    </row>
    <row r="1838" spans="1:18" x14ac:dyDescent="0.3">
      <c r="A1838" t="s">
        <v>9642</v>
      </c>
      <c r="B1838" t="str">
        <f>TEXT(Raw_Data[[#This Row],[Order Date]],"mmm")</f>
        <v>May</v>
      </c>
      <c r="C1838" t="s">
        <v>1498</v>
      </c>
      <c r="D1838" t="s">
        <v>9643</v>
      </c>
      <c r="E1838" t="s">
        <v>48</v>
      </c>
      <c r="F1838" t="s">
        <v>69</v>
      </c>
      <c r="G1838" t="s">
        <v>139</v>
      </c>
      <c r="H1838" t="s">
        <v>23</v>
      </c>
      <c r="I1838" t="s">
        <v>49</v>
      </c>
      <c r="J1838" t="s">
        <v>100</v>
      </c>
      <c r="K1838" t="s">
        <v>9644</v>
      </c>
      <c r="L1838">
        <v>0.1</v>
      </c>
      <c r="M1838" t="s">
        <v>9645</v>
      </c>
      <c r="N1838" t="s">
        <v>9646</v>
      </c>
      <c r="O1838" t="s">
        <v>173</v>
      </c>
      <c r="P1838" t="s">
        <v>30</v>
      </c>
      <c r="Q1838" t="s">
        <v>65</v>
      </c>
      <c r="R1838" s="3">
        <v>179660.484</v>
      </c>
    </row>
    <row r="1839" spans="1:18" x14ac:dyDescent="0.3">
      <c r="A1839" t="s">
        <v>9647</v>
      </c>
      <c r="B1839" t="str">
        <f>TEXT(Raw_Data[[#This Row],[Order Date]],"mmm")</f>
        <v>Aug</v>
      </c>
      <c r="C1839" t="s">
        <v>2112</v>
      </c>
      <c r="D1839" t="s">
        <v>9648</v>
      </c>
      <c r="E1839" t="s">
        <v>48</v>
      </c>
      <c r="F1839" t="s">
        <v>36</v>
      </c>
      <c r="G1839" t="s">
        <v>196</v>
      </c>
      <c r="H1839" t="s">
        <v>80</v>
      </c>
      <c r="I1839" t="s">
        <v>116</v>
      </c>
      <c r="J1839" t="s">
        <v>82</v>
      </c>
      <c r="K1839" t="s">
        <v>6889</v>
      </c>
      <c r="L1839">
        <v>0.05</v>
      </c>
      <c r="M1839" t="s">
        <v>9649</v>
      </c>
      <c r="N1839" t="s">
        <v>9650</v>
      </c>
      <c r="O1839" t="s">
        <v>64</v>
      </c>
      <c r="P1839" t="s">
        <v>30</v>
      </c>
      <c r="Q1839" t="s">
        <v>31</v>
      </c>
      <c r="R1839" s="3">
        <v>12235.544</v>
      </c>
    </row>
    <row r="1840" spans="1:18" x14ac:dyDescent="0.3">
      <c r="A1840" t="s">
        <v>9651</v>
      </c>
      <c r="B1840" t="str">
        <f>TEXT(Raw_Data[[#This Row],[Order Date]],"mmm")</f>
        <v>May</v>
      </c>
      <c r="C1840" t="s">
        <v>2299</v>
      </c>
      <c r="D1840" t="s">
        <v>9652</v>
      </c>
      <c r="E1840" t="s">
        <v>48</v>
      </c>
      <c r="F1840" t="s">
        <v>89</v>
      </c>
      <c r="G1840" t="s">
        <v>99</v>
      </c>
      <c r="H1840" t="s">
        <v>107</v>
      </c>
      <c r="I1840" t="s">
        <v>378</v>
      </c>
      <c r="J1840" t="s">
        <v>25</v>
      </c>
      <c r="K1840" t="s">
        <v>9653</v>
      </c>
      <c r="L1840">
        <v>0.2</v>
      </c>
      <c r="M1840" t="s">
        <v>9654</v>
      </c>
      <c r="N1840" t="s">
        <v>9655</v>
      </c>
      <c r="O1840" t="s">
        <v>173</v>
      </c>
      <c r="P1840" t="s">
        <v>95</v>
      </c>
      <c r="Q1840" t="s">
        <v>31</v>
      </c>
      <c r="R1840" s="3">
        <v>8406.03999999999</v>
      </c>
    </row>
    <row r="1841" spans="1:18" x14ac:dyDescent="0.3">
      <c r="A1841" t="s">
        <v>9656</v>
      </c>
      <c r="B1841" t="str">
        <f>TEXT(Raw_Data[[#This Row],[Order Date]],"mmm")</f>
        <v>Jun</v>
      </c>
      <c r="C1841" t="s">
        <v>2798</v>
      </c>
      <c r="D1841" t="s">
        <v>9657</v>
      </c>
      <c r="E1841" t="s">
        <v>35</v>
      </c>
      <c r="F1841" t="s">
        <v>21</v>
      </c>
      <c r="G1841" t="s">
        <v>130</v>
      </c>
      <c r="H1841" t="s">
        <v>23</v>
      </c>
      <c r="I1841" t="s">
        <v>49</v>
      </c>
      <c r="J1841" t="s">
        <v>25</v>
      </c>
      <c r="K1841" t="s">
        <v>9658</v>
      </c>
      <c r="L1841">
        <v>0.2</v>
      </c>
      <c r="M1841" t="s">
        <v>9659</v>
      </c>
      <c r="N1841" t="s">
        <v>9660</v>
      </c>
      <c r="O1841" t="s">
        <v>64</v>
      </c>
      <c r="P1841" t="s">
        <v>30</v>
      </c>
      <c r="Q1841" t="s">
        <v>65</v>
      </c>
      <c r="R1841" s="3">
        <v>39487.928</v>
      </c>
    </row>
    <row r="1842" spans="1:18" x14ac:dyDescent="0.3">
      <c r="A1842" t="s">
        <v>9661</v>
      </c>
      <c r="B1842" t="str">
        <f>TEXT(Raw_Data[[#This Row],[Order Date]],"mmm")</f>
        <v>Nov</v>
      </c>
      <c r="C1842" t="s">
        <v>3096</v>
      </c>
      <c r="D1842" t="s">
        <v>9662</v>
      </c>
      <c r="E1842" t="s">
        <v>35</v>
      </c>
      <c r="F1842" t="s">
        <v>78</v>
      </c>
      <c r="G1842" t="s">
        <v>468</v>
      </c>
      <c r="H1842" t="s">
        <v>38</v>
      </c>
      <c r="I1842" t="s">
        <v>223</v>
      </c>
      <c r="J1842" t="s">
        <v>25</v>
      </c>
      <c r="K1842" t="s">
        <v>9663</v>
      </c>
      <c r="L1842">
        <v>0.05</v>
      </c>
      <c r="M1842" t="s">
        <v>9664</v>
      </c>
      <c r="N1842" t="s">
        <v>9665</v>
      </c>
      <c r="O1842" t="s">
        <v>64</v>
      </c>
      <c r="P1842" t="s">
        <v>30</v>
      </c>
      <c r="Q1842" t="s">
        <v>31</v>
      </c>
      <c r="R1842" s="3">
        <v>4284.1485000000002</v>
      </c>
    </row>
    <row r="1843" spans="1:18" x14ac:dyDescent="0.3">
      <c r="A1843" t="s">
        <v>9666</v>
      </c>
      <c r="B1843" t="str">
        <f>TEXT(Raw_Data[[#This Row],[Order Date]],"mmm")</f>
        <v>Aug</v>
      </c>
      <c r="C1843" t="s">
        <v>954</v>
      </c>
      <c r="D1843" t="s">
        <v>9667</v>
      </c>
      <c r="E1843" t="s">
        <v>20</v>
      </c>
      <c r="F1843" t="s">
        <v>106</v>
      </c>
      <c r="G1843" t="s">
        <v>106</v>
      </c>
      <c r="H1843" t="s">
        <v>23</v>
      </c>
      <c r="I1843" t="s">
        <v>24</v>
      </c>
      <c r="J1843" t="s">
        <v>25</v>
      </c>
      <c r="K1843" t="s">
        <v>9668</v>
      </c>
      <c r="L1843">
        <v>0.1</v>
      </c>
      <c r="M1843" t="s">
        <v>9669</v>
      </c>
      <c r="N1843" t="s">
        <v>9670</v>
      </c>
      <c r="O1843" t="s">
        <v>54</v>
      </c>
      <c r="P1843" t="s">
        <v>30</v>
      </c>
      <c r="Q1843" t="s">
        <v>44</v>
      </c>
      <c r="R1843" s="3">
        <v>57049.857000000004</v>
      </c>
    </row>
    <row r="1844" spans="1:18" x14ac:dyDescent="0.3">
      <c r="A1844" t="s">
        <v>9671</v>
      </c>
      <c r="B1844" t="str">
        <f>TEXT(Raw_Data[[#This Row],[Order Date]],"mmm")</f>
        <v>Feb</v>
      </c>
      <c r="C1844" t="s">
        <v>1087</v>
      </c>
      <c r="D1844" t="s">
        <v>9672</v>
      </c>
      <c r="E1844" t="s">
        <v>48</v>
      </c>
      <c r="F1844" t="s">
        <v>69</v>
      </c>
      <c r="G1844" t="s">
        <v>70</v>
      </c>
      <c r="H1844" t="s">
        <v>23</v>
      </c>
      <c r="I1844" t="s">
        <v>341</v>
      </c>
      <c r="J1844" t="s">
        <v>50</v>
      </c>
      <c r="K1844" t="s">
        <v>9673</v>
      </c>
      <c r="L1844">
        <v>0.05</v>
      </c>
      <c r="M1844" t="s">
        <v>9674</v>
      </c>
      <c r="N1844" t="s">
        <v>9675</v>
      </c>
      <c r="O1844" t="s">
        <v>54</v>
      </c>
      <c r="P1844" t="s">
        <v>159</v>
      </c>
      <c r="Q1844" t="s">
        <v>31</v>
      </c>
      <c r="R1844" s="3">
        <v>60041.120999999999</v>
      </c>
    </row>
    <row r="1845" spans="1:18" x14ac:dyDescent="0.3">
      <c r="A1845" t="s">
        <v>9676</v>
      </c>
      <c r="B1845" t="str">
        <f>TEXT(Raw_Data[[#This Row],[Order Date]],"mmm")</f>
        <v>Aug</v>
      </c>
      <c r="C1845" t="s">
        <v>1426</v>
      </c>
      <c r="D1845" t="s">
        <v>9677</v>
      </c>
      <c r="E1845" t="s">
        <v>35</v>
      </c>
      <c r="F1845" t="s">
        <v>58</v>
      </c>
      <c r="G1845" t="s">
        <v>290</v>
      </c>
      <c r="H1845" t="s">
        <v>154</v>
      </c>
      <c r="I1845" t="s">
        <v>155</v>
      </c>
      <c r="J1845" t="s">
        <v>25</v>
      </c>
      <c r="K1845" t="s">
        <v>9678</v>
      </c>
      <c r="L1845">
        <v>0.1</v>
      </c>
      <c r="M1845" t="s">
        <v>9679</v>
      </c>
      <c r="N1845" t="s">
        <v>9680</v>
      </c>
      <c r="O1845" t="s">
        <v>173</v>
      </c>
      <c r="P1845" t="s">
        <v>30</v>
      </c>
      <c r="Q1845" t="s">
        <v>31</v>
      </c>
      <c r="R1845" s="3">
        <v>4917.51</v>
      </c>
    </row>
    <row r="1846" spans="1:18" x14ac:dyDescent="0.3">
      <c r="A1846" t="s">
        <v>9681</v>
      </c>
      <c r="B1846" t="str">
        <f>TEXT(Raw_Data[[#This Row],[Order Date]],"mmm")</f>
        <v>Sep</v>
      </c>
      <c r="C1846" t="s">
        <v>1714</v>
      </c>
      <c r="D1846" t="s">
        <v>9682</v>
      </c>
      <c r="E1846" t="s">
        <v>48</v>
      </c>
      <c r="F1846" t="s">
        <v>215</v>
      </c>
      <c r="G1846" t="s">
        <v>216</v>
      </c>
      <c r="H1846" t="s">
        <v>154</v>
      </c>
      <c r="I1846" t="s">
        <v>1061</v>
      </c>
      <c r="J1846" t="s">
        <v>50</v>
      </c>
      <c r="K1846" t="s">
        <v>9683</v>
      </c>
      <c r="L1846">
        <v>0.15</v>
      </c>
      <c r="M1846" t="s">
        <v>9684</v>
      </c>
      <c r="N1846" t="s">
        <v>9685</v>
      </c>
      <c r="O1846" t="s">
        <v>64</v>
      </c>
      <c r="P1846" t="s">
        <v>30</v>
      </c>
      <c r="Q1846" t="s">
        <v>44</v>
      </c>
      <c r="R1846" s="3">
        <v>6857.29</v>
      </c>
    </row>
    <row r="1847" spans="1:18" x14ac:dyDescent="0.3">
      <c r="A1847" t="s">
        <v>9686</v>
      </c>
      <c r="B1847" t="str">
        <f>TEXT(Raw_Data[[#This Row],[Order Date]],"mmm")</f>
        <v>Apr</v>
      </c>
      <c r="C1847" t="s">
        <v>67</v>
      </c>
      <c r="D1847" t="s">
        <v>9687</v>
      </c>
      <c r="E1847" t="s">
        <v>48</v>
      </c>
      <c r="F1847" t="s">
        <v>89</v>
      </c>
      <c r="G1847" t="s">
        <v>230</v>
      </c>
      <c r="H1847" t="s">
        <v>80</v>
      </c>
      <c r="I1847" t="s">
        <v>81</v>
      </c>
      <c r="J1847" t="s">
        <v>50</v>
      </c>
      <c r="K1847" t="s">
        <v>9688</v>
      </c>
      <c r="L1847">
        <v>0.1</v>
      </c>
      <c r="M1847" t="s">
        <v>9689</v>
      </c>
      <c r="N1847" t="s">
        <v>9690</v>
      </c>
      <c r="O1847" t="s">
        <v>29</v>
      </c>
      <c r="P1847" t="s">
        <v>30</v>
      </c>
      <c r="Q1847" t="s">
        <v>65</v>
      </c>
      <c r="R1847" s="3">
        <v>1087.9379999999901</v>
      </c>
    </row>
    <row r="1848" spans="1:18" x14ac:dyDescent="0.3">
      <c r="A1848" t="s">
        <v>9691</v>
      </c>
      <c r="B1848" t="str">
        <f>TEXT(Raw_Data[[#This Row],[Order Date]],"mmm")</f>
        <v>Dec</v>
      </c>
      <c r="C1848" t="s">
        <v>2206</v>
      </c>
      <c r="D1848" t="s">
        <v>9692</v>
      </c>
      <c r="E1848" t="s">
        <v>48</v>
      </c>
      <c r="F1848" t="s">
        <v>106</v>
      </c>
      <c r="G1848" t="s">
        <v>163</v>
      </c>
      <c r="H1848" t="s">
        <v>23</v>
      </c>
      <c r="I1848" t="s">
        <v>49</v>
      </c>
      <c r="J1848" t="s">
        <v>25</v>
      </c>
      <c r="K1848" t="s">
        <v>9693</v>
      </c>
      <c r="L1848">
        <v>0.1</v>
      </c>
      <c r="M1848" t="s">
        <v>9694</v>
      </c>
      <c r="N1848" t="s">
        <v>9695</v>
      </c>
      <c r="O1848" t="s">
        <v>43</v>
      </c>
      <c r="P1848" t="s">
        <v>159</v>
      </c>
      <c r="Q1848" t="s">
        <v>44</v>
      </c>
      <c r="R1848" s="3">
        <v>13539.933000000001</v>
      </c>
    </row>
    <row r="1849" spans="1:18" x14ac:dyDescent="0.3">
      <c r="A1849" t="s">
        <v>9696</v>
      </c>
      <c r="B1849" t="str">
        <f>TEXT(Raw_Data[[#This Row],[Order Date]],"mmm")</f>
        <v>Mar</v>
      </c>
      <c r="C1849" t="s">
        <v>4670</v>
      </c>
      <c r="D1849" t="s">
        <v>9697</v>
      </c>
      <c r="E1849" t="s">
        <v>35</v>
      </c>
      <c r="F1849" t="s">
        <v>21</v>
      </c>
      <c r="G1849" t="s">
        <v>22</v>
      </c>
      <c r="H1849" t="s">
        <v>107</v>
      </c>
      <c r="I1849" t="s">
        <v>378</v>
      </c>
      <c r="J1849" t="s">
        <v>25</v>
      </c>
      <c r="K1849" t="s">
        <v>9698</v>
      </c>
      <c r="L1849">
        <v>0.15</v>
      </c>
      <c r="M1849" t="s">
        <v>9699</v>
      </c>
      <c r="N1849" t="s">
        <v>9700</v>
      </c>
      <c r="O1849" t="s">
        <v>54</v>
      </c>
      <c r="P1849" t="s">
        <v>30</v>
      </c>
      <c r="Q1849" t="s">
        <v>65</v>
      </c>
      <c r="R1849" s="3">
        <v>8211.3485000000001</v>
      </c>
    </row>
    <row r="1850" spans="1:18" x14ac:dyDescent="0.3">
      <c r="A1850" t="s">
        <v>9701</v>
      </c>
      <c r="B1850" t="str">
        <f>TEXT(Raw_Data[[#This Row],[Order Date]],"mmm")</f>
        <v>Nov</v>
      </c>
      <c r="C1850" t="s">
        <v>1009</v>
      </c>
      <c r="D1850" t="s">
        <v>9702</v>
      </c>
      <c r="E1850" t="s">
        <v>48</v>
      </c>
      <c r="F1850" t="s">
        <v>78</v>
      </c>
      <c r="G1850" t="s">
        <v>468</v>
      </c>
      <c r="H1850" t="s">
        <v>107</v>
      </c>
      <c r="I1850" t="s">
        <v>277</v>
      </c>
      <c r="J1850" t="s">
        <v>25</v>
      </c>
      <c r="K1850" t="s">
        <v>9703</v>
      </c>
      <c r="L1850">
        <v>0</v>
      </c>
      <c r="M1850" t="s">
        <v>9704</v>
      </c>
      <c r="N1850" t="s">
        <v>9705</v>
      </c>
      <c r="O1850" t="s">
        <v>54</v>
      </c>
      <c r="P1850" t="s">
        <v>30</v>
      </c>
      <c r="Q1850" t="s">
        <v>31</v>
      </c>
      <c r="R1850" s="3">
        <v>17382.830000000002</v>
      </c>
    </row>
    <row r="1851" spans="1:18" x14ac:dyDescent="0.3">
      <c r="A1851" t="s">
        <v>9706</v>
      </c>
      <c r="B1851" t="str">
        <f>TEXT(Raw_Data[[#This Row],[Order Date]],"mmm")</f>
        <v>Feb</v>
      </c>
      <c r="C1851" t="s">
        <v>845</v>
      </c>
      <c r="D1851" t="s">
        <v>9707</v>
      </c>
      <c r="E1851" t="s">
        <v>48</v>
      </c>
      <c r="F1851" t="s">
        <v>69</v>
      </c>
      <c r="G1851" t="s">
        <v>328</v>
      </c>
      <c r="H1851" t="s">
        <v>23</v>
      </c>
      <c r="I1851" t="s">
        <v>24</v>
      </c>
      <c r="J1851" t="s">
        <v>82</v>
      </c>
      <c r="K1851" t="s">
        <v>9708</v>
      </c>
      <c r="L1851">
        <v>0.05</v>
      </c>
      <c r="M1851" t="s">
        <v>9709</v>
      </c>
      <c r="N1851" t="s">
        <v>9710</v>
      </c>
      <c r="O1851" t="s">
        <v>43</v>
      </c>
      <c r="P1851" t="s">
        <v>30</v>
      </c>
      <c r="Q1851" t="s">
        <v>31</v>
      </c>
      <c r="R1851" s="3">
        <v>143674.65599999999</v>
      </c>
    </row>
    <row r="1852" spans="1:18" x14ac:dyDescent="0.3">
      <c r="A1852" t="s">
        <v>9711</v>
      </c>
      <c r="B1852" t="str">
        <f>TEXT(Raw_Data[[#This Row],[Order Date]],"mmm")</f>
        <v>Jul</v>
      </c>
      <c r="C1852" t="s">
        <v>562</v>
      </c>
      <c r="D1852" t="s">
        <v>9712</v>
      </c>
      <c r="E1852" t="s">
        <v>35</v>
      </c>
      <c r="F1852" t="s">
        <v>78</v>
      </c>
      <c r="G1852" t="s">
        <v>79</v>
      </c>
      <c r="H1852" t="s">
        <v>80</v>
      </c>
      <c r="I1852" t="s">
        <v>91</v>
      </c>
      <c r="J1852" t="s">
        <v>82</v>
      </c>
      <c r="K1852" t="s">
        <v>9713</v>
      </c>
      <c r="L1852">
        <v>0.1</v>
      </c>
      <c r="M1852" t="s">
        <v>9714</v>
      </c>
      <c r="N1852" t="s">
        <v>9715</v>
      </c>
      <c r="O1852" t="s">
        <v>173</v>
      </c>
      <c r="P1852" t="s">
        <v>112</v>
      </c>
      <c r="Q1852" t="s">
        <v>65</v>
      </c>
      <c r="R1852" s="3">
        <v>22083.768</v>
      </c>
    </row>
    <row r="1853" spans="1:18" x14ac:dyDescent="0.3">
      <c r="A1853" t="s">
        <v>9716</v>
      </c>
      <c r="B1853" t="str">
        <f>TEXT(Raw_Data[[#This Row],[Order Date]],"mmm")</f>
        <v>Jul</v>
      </c>
      <c r="C1853" t="s">
        <v>9717</v>
      </c>
      <c r="D1853" t="s">
        <v>9718</v>
      </c>
      <c r="E1853" t="s">
        <v>35</v>
      </c>
      <c r="F1853" t="s">
        <v>69</v>
      </c>
      <c r="G1853" t="s">
        <v>70</v>
      </c>
      <c r="H1853" t="s">
        <v>154</v>
      </c>
      <c r="I1853" t="s">
        <v>1061</v>
      </c>
      <c r="J1853" t="s">
        <v>50</v>
      </c>
      <c r="K1853" t="s">
        <v>9719</v>
      </c>
      <c r="L1853">
        <v>0.05</v>
      </c>
      <c r="M1853" t="s">
        <v>9720</v>
      </c>
      <c r="N1853" t="s">
        <v>9721</v>
      </c>
      <c r="O1853" t="s">
        <v>43</v>
      </c>
      <c r="P1853" t="s">
        <v>112</v>
      </c>
      <c r="Q1853" t="s">
        <v>31</v>
      </c>
      <c r="R1853" s="3">
        <v>9307.1119999999992</v>
      </c>
    </row>
    <row r="1854" spans="1:18" x14ac:dyDescent="0.3">
      <c r="A1854" t="s">
        <v>9722</v>
      </c>
      <c r="B1854" t="str">
        <f>TEXT(Raw_Data[[#This Row],[Order Date]],"mmm")</f>
        <v>Aug</v>
      </c>
      <c r="C1854" t="s">
        <v>1703</v>
      </c>
      <c r="D1854" t="s">
        <v>9723</v>
      </c>
      <c r="E1854" t="s">
        <v>20</v>
      </c>
      <c r="F1854" t="s">
        <v>215</v>
      </c>
      <c r="G1854" t="s">
        <v>216</v>
      </c>
      <c r="H1854" t="s">
        <v>23</v>
      </c>
      <c r="I1854" t="s">
        <v>49</v>
      </c>
      <c r="J1854" t="s">
        <v>50</v>
      </c>
      <c r="K1854" t="s">
        <v>9724</v>
      </c>
      <c r="L1854">
        <v>0.05</v>
      </c>
      <c r="M1854" t="s">
        <v>9725</v>
      </c>
      <c r="N1854" t="s">
        <v>9726</v>
      </c>
      <c r="O1854" t="s">
        <v>29</v>
      </c>
      <c r="P1854" t="s">
        <v>30</v>
      </c>
      <c r="Q1854" t="s">
        <v>65</v>
      </c>
      <c r="R1854" s="3">
        <v>89683.743000000002</v>
      </c>
    </row>
    <row r="1855" spans="1:18" x14ac:dyDescent="0.3">
      <c r="A1855" t="s">
        <v>9727</v>
      </c>
      <c r="B1855" t="str">
        <f>TEXT(Raw_Data[[#This Row],[Order Date]],"mmm")</f>
        <v>Jan</v>
      </c>
      <c r="C1855" t="s">
        <v>7494</v>
      </c>
      <c r="D1855" t="s">
        <v>9728</v>
      </c>
      <c r="E1855" t="s">
        <v>35</v>
      </c>
      <c r="F1855" t="s">
        <v>106</v>
      </c>
      <c r="G1855" t="s">
        <v>163</v>
      </c>
      <c r="H1855" t="s">
        <v>154</v>
      </c>
      <c r="I1855" t="s">
        <v>365</v>
      </c>
      <c r="J1855" t="s">
        <v>25</v>
      </c>
      <c r="K1855" t="s">
        <v>9729</v>
      </c>
      <c r="L1855">
        <v>0.15</v>
      </c>
      <c r="M1855" t="s">
        <v>9730</v>
      </c>
      <c r="N1855" t="s">
        <v>9731</v>
      </c>
      <c r="O1855" t="s">
        <v>173</v>
      </c>
      <c r="P1855" t="s">
        <v>30</v>
      </c>
      <c r="Q1855" t="s">
        <v>65</v>
      </c>
      <c r="R1855" s="3">
        <v>4864.4480000000003</v>
      </c>
    </row>
    <row r="1856" spans="1:18" x14ac:dyDescent="0.3">
      <c r="A1856" t="s">
        <v>9732</v>
      </c>
      <c r="B1856" t="str">
        <f>TEXT(Raw_Data[[#This Row],[Order Date]],"mmm")</f>
        <v>Jul</v>
      </c>
      <c r="C1856" t="s">
        <v>2992</v>
      </c>
      <c r="D1856" t="s">
        <v>9733</v>
      </c>
      <c r="E1856" t="s">
        <v>48</v>
      </c>
      <c r="F1856" t="s">
        <v>69</v>
      </c>
      <c r="G1856" t="s">
        <v>70</v>
      </c>
      <c r="H1856" t="s">
        <v>23</v>
      </c>
      <c r="I1856" t="s">
        <v>183</v>
      </c>
      <c r="J1856" t="s">
        <v>50</v>
      </c>
      <c r="K1856" t="s">
        <v>9734</v>
      </c>
      <c r="L1856">
        <v>0.15</v>
      </c>
      <c r="M1856" t="s">
        <v>9735</v>
      </c>
      <c r="N1856" t="s">
        <v>9736</v>
      </c>
      <c r="O1856" t="s">
        <v>43</v>
      </c>
      <c r="P1856" t="s">
        <v>30</v>
      </c>
      <c r="Q1856" t="s">
        <v>65</v>
      </c>
      <c r="R1856" s="3">
        <v>46812.219999999899</v>
      </c>
    </row>
    <row r="1857" spans="1:18" x14ac:dyDescent="0.3">
      <c r="A1857" t="s">
        <v>9737</v>
      </c>
      <c r="B1857" t="str">
        <f>TEXT(Raw_Data[[#This Row],[Order Date]],"mmm")</f>
        <v>Apr</v>
      </c>
      <c r="C1857" t="s">
        <v>2338</v>
      </c>
      <c r="D1857" t="s">
        <v>9738</v>
      </c>
      <c r="E1857" t="s">
        <v>35</v>
      </c>
      <c r="F1857" t="s">
        <v>69</v>
      </c>
      <c r="G1857" t="s">
        <v>139</v>
      </c>
      <c r="H1857" t="s">
        <v>154</v>
      </c>
      <c r="I1857" t="s">
        <v>1061</v>
      </c>
      <c r="J1857" t="s">
        <v>25</v>
      </c>
      <c r="K1857" t="s">
        <v>9739</v>
      </c>
      <c r="L1857">
        <v>0.05</v>
      </c>
      <c r="M1857" t="s">
        <v>9740</v>
      </c>
      <c r="N1857" t="s">
        <v>9741</v>
      </c>
      <c r="O1857" t="s">
        <v>64</v>
      </c>
      <c r="P1857" t="s">
        <v>112</v>
      </c>
      <c r="Q1857" t="s">
        <v>65</v>
      </c>
      <c r="R1857" s="3">
        <v>2042.31</v>
      </c>
    </row>
    <row r="1858" spans="1:18" x14ac:dyDescent="0.3">
      <c r="A1858" t="s">
        <v>9742</v>
      </c>
      <c r="B1858" t="str">
        <f>TEXT(Raw_Data[[#This Row],[Order Date]],"mmm")</f>
        <v>Nov</v>
      </c>
      <c r="C1858" t="s">
        <v>221</v>
      </c>
      <c r="D1858" t="s">
        <v>9743</v>
      </c>
      <c r="E1858" t="s">
        <v>35</v>
      </c>
      <c r="F1858" t="s">
        <v>69</v>
      </c>
      <c r="G1858" t="s">
        <v>70</v>
      </c>
      <c r="H1858" t="s">
        <v>80</v>
      </c>
      <c r="I1858" t="s">
        <v>81</v>
      </c>
      <c r="J1858" t="s">
        <v>100</v>
      </c>
      <c r="K1858" t="s">
        <v>9744</v>
      </c>
      <c r="L1858">
        <v>0.1</v>
      </c>
      <c r="M1858" t="s">
        <v>9745</v>
      </c>
      <c r="N1858" t="s">
        <v>9746</v>
      </c>
      <c r="O1858" t="s">
        <v>54</v>
      </c>
      <c r="P1858" t="s">
        <v>112</v>
      </c>
      <c r="Q1858" t="s">
        <v>44</v>
      </c>
      <c r="R1858" s="3">
        <v>15047.424000000001</v>
      </c>
    </row>
    <row r="1859" spans="1:18" x14ac:dyDescent="0.3">
      <c r="A1859" t="s">
        <v>9747</v>
      </c>
      <c r="B1859" t="str">
        <f>TEXT(Raw_Data[[#This Row],[Order Date]],"mmm")</f>
        <v>Nov</v>
      </c>
      <c r="C1859" t="s">
        <v>4633</v>
      </c>
      <c r="D1859" t="s">
        <v>9748</v>
      </c>
      <c r="E1859" t="s">
        <v>35</v>
      </c>
      <c r="F1859" t="s">
        <v>21</v>
      </c>
      <c r="G1859" t="s">
        <v>22</v>
      </c>
      <c r="H1859" t="s">
        <v>80</v>
      </c>
      <c r="I1859" t="s">
        <v>131</v>
      </c>
      <c r="J1859" t="s">
        <v>25</v>
      </c>
      <c r="K1859" t="s">
        <v>9749</v>
      </c>
      <c r="L1859">
        <v>0.2</v>
      </c>
      <c r="M1859" t="s">
        <v>9750</v>
      </c>
      <c r="N1859" t="s">
        <v>9751</v>
      </c>
      <c r="O1859" t="s">
        <v>173</v>
      </c>
      <c r="P1859" t="s">
        <v>159</v>
      </c>
      <c r="Q1859" t="s">
        <v>44</v>
      </c>
      <c r="R1859" s="3">
        <v>1683.8240000000001</v>
      </c>
    </row>
    <row r="1860" spans="1:18" x14ac:dyDescent="0.3">
      <c r="A1860" t="s">
        <v>9752</v>
      </c>
      <c r="B1860" t="str">
        <f>TEXT(Raw_Data[[#This Row],[Order Date]],"mmm")</f>
        <v>Oct</v>
      </c>
      <c r="C1860" t="s">
        <v>1386</v>
      </c>
      <c r="D1860" t="s">
        <v>9753</v>
      </c>
      <c r="E1860" t="s">
        <v>35</v>
      </c>
      <c r="F1860" t="s">
        <v>106</v>
      </c>
      <c r="G1860" t="s">
        <v>163</v>
      </c>
      <c r="H1860" t="s">
        <v>23</v>
      </c>
      <c r="I1860" t="s">
        <v>341</v>
      </c>
      <c r="J1860" t="s">
        <v>82</v>
      </c>
      <c r="K1860" t="s">
        <v>9754</v>
      </c>
      <c r="L1860">
        <v>0.1</v>
      </c>
      <c r="M1860" t="s">
        <v>9755</v>
      </c>
      <c r="N1860" t="s">
        <v>9756</v>
      </c>
      <c r="O1860" t="s">
        <v>54</v>
      </c>
      <c r="P1860" t="s">
        <v>30</v>
      </c>
      <c r="Q1860" t="s">
        <v>65</v>
      </c>
      <c r="R1860" s="3">
        <v>41457.671999999999</v>
      </c>
    </row>
    <row r="1861" spans="1:18" x14ac:dyDescent="0.3">
      <c r="A1861" t="s">
        <v>9757</v>
      </c>
      <c r="B1861" t="str">
        <f>TEXT(Raw_Data[[#This Row],[Order Date]],"mmm")</f>
        <v>Jun</v>
      </c>
      <c r="C1861" t="s">
        <v>2223</v>
      </c>
      <c r="D1861" t="s">
        <v>9758</v>
      </c>
      <c r="E1861" t="s">
        <v>48</v>
      </c>
      <c r="F1861" t="s">
        <v>89</v>
      </c>
      <c r="G1861" t="s">
        <v>90</v>
      </c>
      <c r="H1861" t="s">
        <v>154</v>
      </c>
      <c r="I1861" t="s">
        <v>365</v>
      </c>
      <c r="J1861" t="s">
        <v>100</v>
      </c>
      <c r="K1861" t="s">
        <v>9759</v>
      </c>
      <c r="L1861">
        <v>0.05</v>
      </c>
      <c r="M1861" t="s">
        <v>9760</v>
      </c>
      <c r="N1861" t="s">
        <v>9761</v>
      </c>
      <c r="O1861" t="s">
        <v>173</v>
      </c>
      <c r="P1861" t="s">
        <v>30</v>
      </c>
      <c r="Q1861" t="s">
        <v>65</v>
      </c>
      <c r="R1861" s="3">
        <v>15870.9375</v>
      </c>
    </row>
    <row r="1862" spans="1:18" x14ac:dyDescent="0.3">
      <c r="A1862" t="s">
        <v>9762</v>
      </c>
      <c r="B1862" t="str">
        <f>TEXT(Raw_Data[[#This Row],[Order Date]],"mmm")</f>
        <v>Jul</v>
      </c>
      <c r="C1862" t="s">
        <v>3916</v>
      </c>
      <c r="D1862" t="s">
        <v>9763</v>
      </c>
      <c r="E1862" t="s">
        <v>48</v>
      </c>
      <c r="F1862" t="s">
        <v>89</v>
      </c>
      <c r="G1862" t="s">
        <v>230</v>
      </c>
      <c r="H1862" t="s">
        <v>80</v>
      </c>
      <c r="I1862" t="s">
        <v>131</v>
      </c>
      <c r="J1862" t="s">
        <v>25</v>
      </c>
      <c r="K1862" t="s">
        <v>9764</v>
      </c>
      <c r="L1862">
        <v>0.05</v>
      </c>
      <c r="M1862" t="s">
        <v>9765</v>
      </c>
      <c r="N1862" t="s">
        <v>9766</v>
      </c>
      <c r="O1862" t="s">
        <v>54</v>
      </c>
      <c r="P1862" t="s">
        <v>112</v>
      </c>
      <c r="Q1862" t="s">
        <v>31</v>
      </c>
      <c r="R1862" s="3">
        <v>355.736999999999</v>
      </c>
    </row>
    <row r="1863" spans="1:18" x14ac:dyDescent="0.3">
      <c r="A1863" t="s">
        <v>9767</v>
      </c>
      <c r="B1863" t="str">
        <f>TEXT(Raw_Data[[#This Row],[Order Date]],"mmm")</f>
        <v>Feb</v>
      </c>
      <c r="C1863" t="s">
        <v>7114</v>
      </c>
      <c r="D1863" t="s">
        <v>9768</v>
      </c>
      <c r="E1863" t="s">
        <v>20</v>
      </c>
      <c r="F1863" t="s">
        <v>36</v>
      </c>
      <c r="G1863" t="s">
        <v>123</v>
      </c>
      <c r="H1863" t="s">
        <v>38</v>
      </c>
      <c r="I1863" t="s">
        <v>223</v>
      </c>
      <c r="J1863" t="s">
        <v>25</v>
      </c>
      <c r="K1863" t="s">
        <v>9769</v>
      </c>
      <c r="L1863">
        <v>0.05</v>
      </c>
      <c r="M1863" t="s">
        <v>9770</v>
      </c>
      <c r="N1863" t="s">
        <v>9771</v>
      </c>
      <c r="O1863" t="s">
        <v>43</v>
      </c>
      <c r="P1863" t="s">
        <v>30</v>
      </c>
      <c r="Q1863" t="s">
        <v>31</v>
      </c>
      <c r="R1863" s="3">
        <v>1411.52899999999</v>
      </c>
    </row>
    <row r="1864" spans="1:18" x14ac:dyDescent="0.3">
      <c r="A1864" t="s">
        <v>9772</v>
      </c>
      <c r="B1864" t="str">
        <f>TEXT(Raw_Data[[#This Row],[Order Date]],"mmm")</f>
        <v>Aug</v>
      </c>
      <c r="C1864" t="s">
        <v>1757</v>
      </c>
      <c r="D1864" t="s">
        <v>9773</v>
      </c>
      <c r="E1864" t="s">
        <v>48</v>
      </c>
      <c r="F1864" t="s">
        <v>78</v>
      </c>
      <c r="G1864" t="s">
        <v>468</v>
      </c>
      <c r="H1864" t="s">
        <v>23</v>
      </c>
      <c r="I1864" t="s">
        <v>49</v>
      </c>
      <c r="J1864" t="s">
        <v>25</v>
      </c>
      <c r="K1864" t="s">
        <v>9774</v>
      </c>
      <c r="L1864">
        <v>0.05</v>
      </c>
      <c r="M1864" t="s">
        <v>9775</v>
      </c>
      <c r="N1864" t="s">
        <v>9776</v>
      </c>
      <c r="O1864" t="s">
        <v>43</v>
      </c>
      <c r="P1864" t="s">
        <v>30</v>
      </c>
      <c r="Q1864" t="s">
        <v>65</v>
      </c>
      <c r="R1864" s="3">
        <v>20721.637500000001</v>
      </c>
    </row>
    <row r="1865" spans="1:18" x14ac:dyDescent="0.3">
      <c r="A1865" t="s">
        <v>9777</v>
      </c>
      <c r="B1865" t="str">
        <f>TEXT(Raw_Data[[#This Row],[Order Date]],"mmm")</f>
        <v>Nov</v>
      </c>
      <c r="C1865" t="s">
        <v>1359</v>
      </c>
      <c r="D1865" t="s">
        <v>9778</v>
      </c>
      <c r="E1865" t="s">
        <v>48</v>
      </c>
      <c r="F1865" t="s">
        <v>89</v>
      </c>
      <c r="G1865" t="s">
        <v>230</v>
      </c>
      <c r="H1865" t="s">
        <v>23</v>
      </c>
      <c r="I1865" t="s">
        <v>341</v>
      </c>
      <c r="J1865" t="s">
        <v>25</v>
      </c>
      <c r="K1865" t="s">
        <v>9779</v>
      </c>
      <c r="L1865">
        <v>0.15</v>
      </c>
      <c r="M1865" t="s">
        <v>9780</v>
      </c>
      <c r="N1865" t="s">
        <v>9781</v>
      </c>
      <c r="O1865" t="s">
        <v>29</v>
      </c>
      <c r="P1865" t="s">
        <v>30</v>
      </c>
      <c r="Q1865" t="s">
        <v>65</v>
      </c>
      <c r="R1865" s="3">
        <v>18173.433499999999</v>
      </c>
    </row>
    <row r="1866" spans="1:18" x14ac:dyDescent="0.3">
      <c r="A1866" t="s">
        <v>9782</v>
      </c>
      <c r="B1866" t="str">
        <f>TEXT(Raw_Data[[#This Row],[Order Date]],"mmm")</f>
        <v>May</v>
      </c>
      <c r="C1866" t="s">
        <v>2355</v>
      </c>
      <c r="D1866" t="s">
        <v>9783</v>
      </c>
      <c r="E1866" t="s">
        <v>20</v>
      </c>
      <c r="F1866" t="s">
        <v>78</v>
      </c>
      <c r="G1866" t="s">
        <v>79</v>
      </c>
      <c r="H1866" t="s">
        <v>23</v>
      </c>
      <c r="I1866" t="s">
        <v>263</v>
      </c>
      <c r="J1866" t="s">
        <v>50</v>
      </c>
      <c r="K1866" t="s">
        <v>9784</v>
      </c>
      <c r="L1866">
        <v>0</v>
      </c>
      <c r="M1866" t="s">
        <v>9785</v>
      </c>
      <c r="N1866" t="s">
        <v>9786</v>
      </c>
      <c r="O1866" t="s">
        <v>173</v>
      </c>
      <c r="P1866" t="s">
        <v>112</v>
      </c>
      <c r="Q1866" t="s">
        <v>31</v>
      </c>
      <c r="R1866" s="3">
        <v>48990.28</v>
      </c>
    </row>
    <row r="1867" spans="1:18" x14ac:dyDescent="0.3">
      <c r="A1867" t="s">
        <v>9787</v>
      </c>
      <c r="B1867" t="str">
        <f>TEXT(Raw_Data[[#This Row],[Order Date]],"mmm")</f>
        <v>Feb</v>
      </c>
      <c r="C1867" t="s">
        <v>2410</v>
      </c>
      <c r="D1867" t="s">
        <v>9788</v>
      </c>
      <c r="E1867" t="s">
        <v>20</v>
      </c>
      <c r="F1867" t="s">
        <v>106</v>
      </c>
      <c r="G1867" t="s">
        <v>106</v>
      </c>
      <c r="H1867" t="s">
        <v>23</v>
      </c>
      <c r="I1867" t="s">
        <v>49</v>
      </c>
      <c r="J1867" t="s">
        <v>25</v>
      </c>
      <c r="K1867" t="s">
        <v>9789</v>
      </c>
      <c r="L1867">
        <v>0.2</v>
      </c>
      <c r="M1867" t="s">
        <v>9790</v>
      </c>
      <c r="N1867" t="s">
        <v>9791</v>
      </c>
      <c r="O1867" t="s">
        <v>29</v>
      </c>
      <c r="P1867" t="s">
        <v>112</v>
      </c>
      <c r="Q1867" t="s">
        <v>65</v>
      </c>
      <c r="R1867" s="3">
        <v>18705.824000000001</v>
      </c>
    </row>
    <row r="1868" spans="1:18" x14ac:dyDescent="0.3">
      <c r="A1868" t="s">
        <v>9792</v>
      </c>
      <c r="B1868" t="str">
        <f>TEXT(Raw_Data[[#This Row],[Order Date]],"mmm")</f>
        <v>Jul</v>
      </c>
      <c r="C1868" t="s">
        <v>295</v>
      </c>
      <c r="D1868" t="s">
        <v>9793</v>
      </c>
      <c r="E1868" t="s">
        <v>48</v>
      </c>
      <c r="F1868" t="s">
        <v>78</v>
      </c>
      <c r="G1868" t="s">
        <v>468</v>
      </c>
      <c r="H1868" t="s">
        <v>107</v>
      </c>
      <c r="I1868" t="s">
        <v>277</v>
      </c>
      <c r="J1868" t="s">
        <v>50</v>
      </c>
      <c r="K1868" t="s">
        <v>9794</v>
      </c>
      <c r="L1868">
        <v>0</v>
      </c>
      <c r="M1868" t="s">
        <v>9795</v>
      </c>
      <c r="N1868" t="s">
        <v>9796</v>
      </c>
      <c r="O1868" t="s">
        <v>29</v>
      </c>
      <c r="P1868" t="s">
        <v>30</v>
      </c>
      <c r="Q1868" t="s">
        <v>65</v>
      </c>
      <c r="R1868" s="3">
        <v>29679.88</v>
      </c>
    </row>
    <row r="1869" spans="1:18" x14ac:dyDescent="0.3">
      <c r="A1869" t="s">
        <v>9797</v>
      </c>
      <c r="B1869" t="str">
        <f>TEXT(Raw_Data[[#This Row],[Order Date]],"mmm")</f>
        <v>Aug</v>
      </c>
      <c r="C1869" t="s">
        <v>1245</v>
      </c>
      <c r="D1869" t="s">
        <v>9798</v>
      </c>
      <c r="E1869" t="s">
        <v>35</v>
      </c>
      <c r="F1869" t="s">
        <v>58</v>
      </c>
      <c r="G1869" t="s">
        <v>290</v>
      </c>
      <c r="H1869" t="s">
        <v>38</v>
      </c>
      <c r="I1869" t="s">
        <v>60</v>
      </c>
      <c r="J1869" t="s">
        <v>25</v>
      </c>
      <c r="K1869" t="s">
        <v>9799</v>
      </c>
      <c r="L1869">
        <v>0.1</v>
      </c>
      <c r="M1869" t="s">
        <v>9800</v>
      </c>
      <c r="N1869" t="s">
        <v>9801</v>
      </c>
      <c r="O1869" t="s">
        <v>54</v>
      </c>
      <c r="P1869" t="s">
        <v>30</v>
      </c>
      <c r="Q1869" t="s">
        <v>31</v>
      </c>
      <c r="R1869" s="3">
        <v>2380.6439999999998</v>
      </c>
    </row>
    <row r="1870" spans="1:18" x14ac:dyDescent="0.3">
      <c r="A1870" t="s">
        <v>9802</v>
      </c>
      <c r="B1870" t="str">
        <f>TEXT(Raw_Data[[#This Row],[Order Date]],"mmm")</f>
        <v>May</v>
      </c>
      <c r="C1870" t="s">
        <v>1533</v>
      </c>
      <c r="D1870" t="s">
        <v>9803</v>
      </c>
      <c r="E1870" t="s">
        <v>35</v>
      </c>
      <c r="F1870" t="s">
        <v>89</v>
      </c>
      <c r="G1870" t="s">
        <v>90</v>
      </c>
      <c r="H1870" t="s">
        <v>154</v>
      </c>
      <c r="I1870" t="s">
        <v>1061</v>
      </c>
      <c r="J1870" t="s">
        <v>25</v>
      </c>
      <c r="K1870" t="s">
        <v>9804</v>
      </c>
      <c r="L1870">
        <v>0</v>
      </c>
      <c r="M1870" t="s">
        <v>9805</v>
      </c>
      <c r="N1870" t="s">
        <v>9806</v>
      </c>
      <c r="O1870" t="s">
        <v>64</v>
      </c>
      <c r="P1870" t="s">
        <v>30</v>
      </c>
      <c r="Q1870" t="s">
        <v>31</v>
      </c>
      <c r="R1870" s="3">
        <v>7621.36</v>
      </c>
    </row>
    <row r="1871" spans="1:18" x14ac:dyDescent="0.3">
      <c r="A1871" t="s">
        <v>9807</v>
      </c>
      <c r="B1871" t="str">
        <f>TEXT(Raw_Data[[#This Row],[Order Date]],"mmm")</f>
        <v>Jul</v>
      </c>
      <c r="C1871" t="s">
        <v>2349</v>
      </c>
      <c r="D1871" t="s">
        <v>9808</v>
      </c>
      <c r="E1871" t="s">
        <v>35</v>
      </c>
      <c r="F1871" t="s">
        <v>78</v>
      </c>
      <c r="G1871" t="s">
        <v>468</v>
      </c>
      <c r="H1871" t="s">
        <v>107</v>
      </c>
      <c r="I1871" t="s">
        <v>469</v>
      </c>
      <c r="J1871" t="s">
        <v>50</v>
      </c>
      <c r="K1871" t="s">
        <v>9809</v>
      </c>
      <c r="L1871">
        <v>0.15</v>
      </c>
      <c r="M1871" t="s">
        <v>9810</v>
      </c>
      <c r="N1871" t="s">
        <v>9811</v>
      </c>
      <c r="O1871" t="s">
        <v>54</v>
      </c>
      <c r="P1871" t="s">
        <v>30</v>
      </c>
      <c r="Q1871" t="s">
        <v>31</v>
      </c>
      <c r="R1871" s="3">
        <v>8887.4130000000005</v>
      </c>
    </row>
    <row r="1872" spans="1:18" x14ac:dyDescent="0.3">
      <c r="A1872" t="s">
        <v>9812</v>
      </c>
      <c r="B1872" t="str">
        <f>TEXT(Raw_Data[[#This Row],[Order Date]],"mmm")</f>
        <v>Sep</v>
      </c>
      <c r="C1872" t="s">
        <v>663</v>
      </c>
      <c r="D1872" t="s">
        <v>9813</v>
      </c>
      <c r="E1872" t="s">
        <v>48</v>
      </c>
      <c r="F1872" t="s">
        <v>106</v>
      </c>
      <c r="G1872" t="s">
        <v>163</v>
      </c>
      <c r="H1872" t="s">
        <v>23</v>
      </c>
      <c r="I1872" t="s">
        <v>341</v>
      </c>
      <c r="J1872" t="s">
        <v>25</v>
      </c>
      <c r="K1872" t="s">
        <v>9814</v>
      </c>
      <c r="L1872">
        <v>0.1</v>
      </c>
      <c r="M1872" t="s">
        <v>9815</v>
      </c>
      <c r="N1872" t="s">
        <v>9816</v>
      </c>
      <c r="O1872" t="s">
        <v>64</v>
      </c>
      <c r="P1872" t="s">
        <v>30</v>
      </c>
      <c r="Q1872" t="s">
        <v>65</v>
      </c>
      <c r="R1872" s="3">
        <v>14802.263999999999</v>
      </c>
    </row>
    <row r="1873" spans="1:18" x14ac:dyDescent="0.3">
      <c r="A1873" t="s">
        <v>9817</v>
      </c>
      <c r="B1873" t="str">
        <f>TEXT(Raw_Data[[#This Row],[Order Date]],"mmm")</f>
        <v>Dec</v>
      </c>
      <c r="C1873" t="s">
        <v>965</v>
      </c>
      <c r="D1873" t="s">
        <v>9818</v>
      </c>
      <c r="E1873" t="s">
        <v>48</v>
      </c>
      <c r="F1873" t="s">
        <v>69</v>
      </c>
      <c r="G1873" t="s">
        <v>328</v>
      </c>
      <c r="H1873" t="s">
        <v>154</v>
      </c>
      <c r="I1873" t="s">
        <v>155</v>
      </c>
      <c r="J1873" t="s">
        <v>25</v>
      </c>
      <c r="K1873" t="s">
        <v>9819</v>
      </c>
      <c r="L1873">
        <v>0.05</v>
      </c>
      <c r="M1873" t="s">
        <v>9820</v>
      </c>
      <c r="N1873" t="s">
        <v>9821</v>
      </c>
      <c r="O1873" t="s">
        <v>64</v>
      </c>
      <c r="P1873" t="s">
        <v>30</v>
      </c>
      <c r="Q1873" t="s">
        <v>65</v>
      </c>
      <c r="R1873" s="3">
        <v>3909.9054999999898</v>
      </c>
    </row>
    <row r="1874" spans="1:18" x14ac:dyDescent="0.3">
      <c r="A1874" t="s">
        <v>9822</v>
      </c>
      <c r="B1874" t="str">
        <f>TEXT(Raw_Data[[#This Row],[Order Date]],"mmm")</f>
        <v>Feb</v>
      </c>
      <c r="C1874" t="s">
        <v>7114</v>
      </c>
      <c r="D1874" t="s">
        <v>9823</v>
      </c>
      <c r="E1874" t="s">
        <v>35</v>
      </c>
      <c r="F1874" t="s">
        <v>78</v>
      </c>
      <c r="G1874" t="s">
        <v>731</v>
      </c>
      <c r="H1874" t="s">
        <v>23</v>
      </c>
      <c r="I1874" t="s">
        <v>341</v>
      </c>
      <c r="J1874" t="s">
        <v>82</v>
      </c>
      <c r="K1874" t="s">
        <v>9824</v>
      </c>
      <c r="L1874">
        <v>0.15</v>
      </c>
      <c r="M1874" t="s">
        <v>9825</v>
      </c>
      <c r="N1874" t="s">
        <v>9826</v>
      </c>
      <c r="O1874" t="s">
        <v>29</v>
      </c>
      <c r="P1874" t="s">
        <v>30</v>
      </c>
      <c r="Q1874" t="s">
        <v>65</v>
      </c>
      <c r="R1874" s="3">
        <v>187889.40599999999</v>
      </c>
    </row>
    <row r="1875" spans="1:18" x14ac:dyDescent="0.3">
      <c r="A1875" t="s">
        <v>9827</v>
      </c>
      <c r="B1875" t="str">
        <f>TEXT(Raw_Data[[#This Row],[Order Date]],"mmm")</f>
        <v>Sep</v>
      </c>
      <c r="C1875" t="s">
        <v>618</v>
      </c>
      <c r="D1875" t="s">
        <v>9828</v>
      </c>
      <c r="E1875" t="s">
        <v>48</v>
      </c>
      <c r="F1875" t="s">
        <v>58</v>
      </c>
      <c r="G1875" t="s">
        <v>59</v>
      </c>
      <c r="H1875" t="s">
        <v>23</v>
      </c>
      <c r="I1875" t="s">
        <v>341</v>
      </c>
      <c r="J1875" t="s">
        <v>50</v>
      </c>
      <c r="K1875" t="s">
        <v>9829</v>
      </c>
      <c r="L1875">
        <v>0.15</v>
      </c>
      <c r="M1875" t="s">
        <v>9830</v>
      </c>
      <c r="N1875" t="s">
        <v>9831</v>
      </c>
      <c r="O1875" t="s">
        <v>54</v>
      </c>
      <c r="P1875" t="s">
        <v>30</v>
      </c>
      <c r="Q1875" t="s">
        <v>31</v>
      </c>
      <c r="R1875" s="3">
        <v>63413.025999999998</v>
      </c>
    </row>
    <row r="1876" spans="1:18" x14ac:dyDescent="0.3">
      <c r="A1876" t="s">
        <v>9832</v>
      </c>
      <c r="B1876" t="str">
        <f>TEXT(Raw_Data[[#This Row],[Order Date]],"mmm")</f>
        <v>Feb</v>
      </c>
      <c r="C1876" t="s">
        <v>4284</v>
      </c>
      <c r="D1876" t="s">
        <v>9833</v>
      </c>
      <c r="E1876" t="s">
        <v>48</v>
      </c>
      <c r="F1876" t="s">
        <v>58</v>
      </c>
      <c r="G1876" t="s">
        <v>812</v>
      </c>
      <c r="H1876" t="s">
        <v>38</v>
      </c>
      <c r="I1876" t="s">
        <v>223</v>
      </c>
      <c r="J1876" t="s">
        <v>25</v>
      </c>
      <c r="K1876" t="s">
        <v>9834</v>
      </c>
      <c r="L1876">
        <v>0.05</v>
      </c>
      <c r="M1876" t="s">
        <v>9835</v>
      </c>
      <c r="N1876" t="s">
        <v>9836</v>
      </c>
      <c r="O1876" t="s">
        <v>173</v>
      </c>
      <c r="P1876" t="s">
        <v>95</v>
      </c>
      <c r="Q1876" t="s">
        <v>65</v>
      </c>
      <c r="R1876" s="3">
        <v>4360.1009999999997</v>
      </c>
    </row>
    <row r="1877" spans="1:18" x14ac:dyDescent="0.3">
      <c r="A1877" t="s">
        <v>9837</v>
      </c>
      <c r="B1877" t="str">
        <f>TEXT(Raw_Data[[#This Row],[Order Date]],"mmm")</f>
        <v>Mar</v>
      </c>
      <c r="C1877" t="s">
        <v>3284</v>
      </c>
      <c r="D1877" t="s">
        <v>9838</v>
      </c>
      <c r="E1877" t="s">
        <v>35</v>
      </c>
      <c r="F1877" t="s">
        <v>106</v>
      </c>
      <c r="G1877" t="s">
        <v>163</v>
      </c>
      <c r="H1877" t="s">
        <v>23</v>
      </c>
      <c r="I1877" t="s">
        <v>24</v>
      </c>
      <c r="J1877" t="s">
        <v>50</v>
      </c>
      <c r="K1877" t="s">
        <v>9839</v>
      </c>
      <c r="L1877">
        <v>0.1</v>
      </c>
      <c r="M1877" t="s">
        <v>9840</v>
      </c>
      <c r="N1877" t="s">
        <v>9841</v>
      </c>
      <c r="O1877" t="s">
        <v>64</v>
      </c>
      <c r="P1877" t="s">
        <v>30</v>
      </c>
      <c r="Q1877" t="s">
        <v>31</v>
      </c>
      <c r="R1877" s="3">
        <v>3184.308</v>
      </c>
    </row>
    <row r="1878" spans="1:18" x14ac:dyDescent="0.3">
      <c r="A1878" t="s">
        <v>9842</v>
      </c>
      <c r="B1878" t="str">
        <f>TEXT(Raw_Data[[#This Row],[Order Date]],"mmm")</f>
        <v>Mar</v>
      </c>
      <c r="C1878" t="s">
        <v>6452</v>
      </c>
      <c r="D1878" t="s">
        <v>9843</v>
      </c>
      <c r="E1878" t="s">
        <v>48</v>
      </c>
      <c r="F1878" t="s">
        <v>78</v>
      </c>
      <c r="G1878" t="s">
        <v>731</v>
      </c>
      <c r="H1878" t="s">
        <v>80</v>
      </c>
      <c r="I1878" t="s">
        <v>81</v>
      </c>
      <c r="J1878" t="s">
        <v>25</v>
      </c>
      <c r="K1878" t="s">
        <v>9844</v>
      </c>
      <c r="L1878">
        <v>0.1</v>
      </c>
      <c r="M1878" t="s">
        <v>9845</v>
      </c>
      <c r="N1878" t="s">
        <v>9846</v>
      </c>
      <c r="O1878" t="s">
        <v>29</v>
      </c>
      <c r="P1878" t="s">
        <v>30</v>
      </c>
      <c r="Q1878" t="s">
        <v>65</v>
      </c>
      <c r="R1878" s="3">
        <v>5211.54</v>
      </c>
    </row>
    <row r="1879" spans="1:18" x14ac:dyDescent="0.3">
      <c r="A1879" t="s">
        <v>9847</v>
      </c>
      <c r="B1879" t="str">
        <f>TEXT(Raw_Data[[#This Row],[Order Date]],"mmm")</f>
        <v>Jan</v>
      </c>
      <c r="C1879" t="s">
        <v>6081</v>
      </c>
      <c r="D1879" t="s">
        <v>9848</v>
      </c>
      <c r="E1879" t="s">
        <v>48</v>
      </c>
      <c r="F1879" t="s">
        <v>215</v>
      </c>
      <c r="G1879" t="s">
        <v>216</v>
      </c>
      <c r="H1879" t="s">
        <v>2581</v>
      </c>
      <c r="I1879" t="s">
        <v>365</v>
      </c>
      <c r="J1879" t="s">
        <v>25</v>
      </c>
      <c r="K1879" t="s">
        <v>9849</v>
      </c>
      <c r="L1879">
        <v>0.15</v>
      </c>
      <c r="M1879" t="s">
        <v>9850</v>
      </c>
      <c r="N1879" t="s">
        <v>9851</v>
      </c>
      <c r="O1879" t="s">
        <v>43</v>
      </c>
      <c r="P1879" t="s">
        <v>30</v>
      </c>
      <c r="Q1879" t="s">
        <v>31</v>
      </c>
      <c r="R1879" s="3">
        <v>3275.3220000000001</v>
      </c>
    </row>
    <row r="1880" spans="1:18" x14ac:dyDescent="0.3">
      <c r="A1880" t="s">
        <v>9852</v>
      </c>
      <c r="B1880" t="str">
        <f>TEXT(Raw_Data[[#This Row],[Order Date]],"mmm")</f>
        <v>May</v>
      </c>
      <c r="C1880" t="s">
        <v>1498</v>
      </c>
      <c r="D1880" t="s">
        <v>9853</v>
      </c>
      <c r="E1880" t="s">
        <v>48</v>
      </c>
      <c r="F1880" t="s">
        <v>69</v>
      </c>
      <c r="G1880" t="s">
        <v>70</v>
      </c>
      <c r="H1880" t="s">
        <v>23</v>
      </c>
      <c r="I1880" t="s">
        <v>49</v>
      </c>
      <c r="J1880" t="s">
        <v>82</v>
      </c>
      <c r="K1880" t="s">
        <v>9854</v>
      </c>
      <c r="L1880">
        <v>0.1</v>
      </c>
      <c r="M1880" t="s">
        <v>9855</v>
      </c>
      <c r="N1880" t="s">
        <v>9856</v>
      </c>
      <c r="O1880" t="s">
        <v>54</v>
      </c>
      <c r="P1880" t="s">
        <v>30</v>
      </c>
      <c r="Q1880" t="s">
        <v>65</v>
      </c>
      <c r="R1880" s="3">
        <v>50146.343999999997</v>
      </c>
    </row>
    <row r="1881" spans="1:18" x14ac:dyDescent="0.3">
      <c r="A1881" t="s">
        <v>9857</v>
      </c>
      <c r="B1881" t="str">
        <f>TEXT(Raw_Data[[#This Row],[Order Date]],"mmm")</f>
        <v>Mar</v>
      </c>
      <c r="C1881" t="s">
        <v>1808</v>
      </c>
      <c r="D1881" t="s">
        <v>9858</v>
      </c>
      <c r="E1881" t="s">
        <v>20</v>
      </c>
      <c r="F1881" t="s">
        <v>58</v>
      </c>
      <c r="G1881" t="s">
        <v>59</v>
      </c>
      <c r="H1881" t="s">
        <v>107</v>
      </c>
      <c r="I1881" t="s">
        <v>108</v>
      </c>
      <c r="J1881" t="s">
        <v>100</v>
      </c>
      <c r="K1881" t="s">
        <v>9859</v>
      </c>
      <c r="L1881">
        <v>0</v>
      </c>
      <c r="M1881" t="s">
        <v>9860</v>
      </c>
      <c r="N1881" t="s">
        <v>9861</v>
      </c>
      <c r="O1881" t="s">
        <v>43</v>
      </c>
      <c r="P1881" t="s">
        <v>112</v>
      </c>
      <c r="Q1881" t="s">
        <v>31</v>
      </c>
      <c r="R1881" s="3">
        <v>11571</v>
      </c>
    </row>
    <row r="1882" spans="1:18" x14ac:dyDescent="0.3">
      <c r="A1882" t="s">
        <v>9862</v>
      </c>
      <c r="B1882" t="str">
        <f>TEXT(Raw_Data[[#This Row],[Order Date]],"mmm")</f>
        <v>Jun</v>
      </c>
      <c r="C1882" t="s">
        <v>3514</v>
      </c>
      <c r="D1882" t="s">
        <v>9863</v>
      </c>
      <c r="E1882" t="s">
        <v>48</v>
      </c>
      <c r="F1882" t="s">
        <v>215</v>
      </c>
      <c r="G1882" t="s">
        <v>276</v>
      </c>
      <c r="H1882" t="s">
        <v>38</v>
      </c>
      <c r="I1882" t="s">
        <v>256</v>
      </c>
      <c r="J1882" t="s">
        <v>50</v>
      </c>
      <c r="K1882" t="s">
        <v>9864</v>
      </c>
      <c r="L1882">
        <v>0.1</v>
      </c>
      <c r="M1882" t="s">
        <v>9865</v>
      </c>
      <c r="N1882" t="s">
        <v>9866</v>
      </c>
      <c r="O1882" t="s">
        <v>64</v>
      </c>
      <c r="P1882" t="s">
        <v>159</v>
      </c>
      <c r="Q1882" t="s">
        <v>65</v>
      </c>
      <c r="R1882" s="3">
        <v>5268.2759999999998</v>
      </c>
    </row>
    <row r="1883" spans="1:18" x14ac:dyDescent="0.3">
      <c r="A1883" t="s">
        <v>9867</v>
      </c>
      <c r="B1883" t="str">
        <f>TEXT(Raw_Data[[#This Row],[Order Date]],"mmm")</f>
        <v>May</v>
      </c>
      <c r="C1883" t="s">
        <v>810</v>
      </c>
      <c r="D1883" t="s">
        <v>9868</v>
      </c>
      <c r="E1883" t="s">
        <v>35</v>
      </c>
      <c r="F1883" t="s">
        <v>58</v>
      </c>
      <c r="G1883" t="s">
        <v>59</v>
      </c>
      <c r="H1883" t="s">
        <v>80</v>
      </c>
      <c r="I1883" t="s">
        <v>131</v>
      </c>
      <c r="J1883" t="s">
        <v>25</v>
      </c>
      <c r="K1883" t="s">
        <v>9869</v>
      </c>
      <c r="L1883">
        <v>0.1</v>
      </c>
      <c r="M1883" t="s">
        <v>9870</v>
      </c>
      <c r="N1883" t="s">
        <v>9871</v>
      </c>
      <c r="O1883" t="s">
        <v>29</v>
      </c>
      <c r="P1883" t="s">
        <v>112</v>
      </c>
      <c r="Q1883" t="s">
        <v>44</v>
      </c>
      <c r="R1883" s="3">
        <v>4896.2969999999996</v>
      </c>
    </row>
    <row r="1884" spans="1:18" x14ac:dyDescent="0.3">
      <c r="A1884" t="s">
        <v>9872</v>
      </c>
      <c r="B1884" t="str">
        <f>TEXT(Raw_Data[[#This Row],[Order Date]],"mmm")</f>
        <v>May</v>
      </c>
      <c r="C1884" t="s">
        <v>5513</v>
      </c>
      <c r="D1884" t="s">
        <v>9873</v>
      </c>
      <c r="E1884" t="s">
        <v>48</v>
      </c>
      <c r="F1884" t="s">
        <v>36</v>
      </c>
      <c r="G1884" t="s">
        <v>414</v>
      </c>
      <c r="H1884" t="s">
        <v>107</v>
      </c>
      <c r="I1884" t="s">
        <v>378</v>
      </c>
      <c r="J1884" t="s">
        <v>25</v>
      </c>
      <c r="K1884" t="s">
        <v>9874</v>
      </c>
      <c r="L1884">
        <v>0.15</v>
      </c>
      <c r="M1884" t="s">
        <v>9875</v>
      </c>
      <c r="N1884" t="s">
        <v>9876</v>
      </c>
      <c r="O1884" t="s">
        <v>64</v>
      </c>
      <c r="P1884" t="s">
        <v>159</v>
      </c>
      <c r="Q1884" t="s">
        <v>65</v>
      </c>
      <c r="R1884" s="3">
        <v>9706.2265000000007</v>
      </c>
    </row>
    <row r="1885" spans="1:18" x14ac:dyDescent="0.3">
      <c r="A1885" t="s">
        <v>9877</v>
      </c>
      <c r="B1885" t="str">
        <f>TEXT(Raw_Data[[#This Row],[Order Date]],"mmm")</f>
        <v>Sep</v>
      </c>
      <c r="C1885" t="s">
        <v>188</v>
      </c>
      <c r="D1885" t="s">
        <v>9878</v>
      </c>
      <c r="E1885" t="s">
        <v>20</v>
      </c>
      <c r="F1885" t="s">
        <v>36</v>
      </c>
      <c r="G1885" t="s">
        <v>153</v>
      </c>
      <c r="H1885" t="s">
        <v>154</v>
      </c>
      <c r="I1885" t="s">
        <v>365</v>
      </c>
      <c r="J1885" t="s">
        <v>25</v>
      </c>
      <c r="K1885" t="s">
        <v>9879</v>
      </c>
      <c r="L1885">
        <v>0</v>
      </c>
      <c r="M1885" t="s">
        <v>9880</v>
      </c>
      <c r="N1885" t="s">
        <v>9881</v>
      </c>
      <c r="O1885" t="s">
        <v>64</v>
      </c>
      <c r="P1885" t="s">
        <v>30</v>
      </c>
      <c r="Q1885" t="s">
        <v>31</v>
      </c>
      <c r="R1885" s="3">
        <v>2506.92</v>
      </c>
    </row>
    <row r="1886" spans="1:18" x14ac:dyDescent="0.3">
      <c r="A1886" t="s">
        <v>9882</v>
      </c>
      <c r="B1886" t="str">
        <f>TEXT(Raw_Data[[#This Row],[Order Date]],"mmm")</f>
        <v>Jan</v>
      </c>
      <c r="C1886" t="s">
        <v>2752</v>
      </c>
      <c r="D1886" t="s">
        <v>9883</v>
      </c>
      <c r="E1886" t="s">
        <v>35</v>
      </c>
      <c r="F1886" t="s">
        <v>21</v>
      </c>
      <c r="G1886" t="s">
        <v>130</v>
      </c>
      <c r="H1886" t="s">
        <v>23</v>
      </c>
      <c r="I1886" t="s">
        <v>183</v>
      </c>
      <c r="J1886" t="s">
        <v>50</v>
      </c>
      <c r="K1886" t="s">
        <v>9884</v>
      </c>
      <c r="L1886">
        <v>0.2</v>
      </c>
      <c r="M1886" t="s">
        <v>9885</v>
      </c>
      <c r="N1886" t="s">
        <v>9886</v>
      </c>
      <c r="O1886" t="s">
        <v>43</v>
      </c>
      <c r="P1886" t="s">
        <v>30</v>
      </c>
      <c r="Q1886" t="s">
        <v>44</v>
      </c>
      <c r="R1886" s="3">
        <v>19696.592000000001</v>
      </c>
    </row>
    <row r="1887" spans="1:18" x14ac:dyDescent="0.3">
      <c r="A1887" t="s">
        <v>9887</v>
      </c>
      <c r="B1887" t="str">
        <f>TEXT(Raw_Data[[#This Row],[Order Date]],"mmm")</f>
        <v>May</v>
      </c>
      <c r="C1887" t="s">
        <v>1781</v>
      </c>
      <c r="D1887" t="s">
        <v>9888</v>
      </c>
      <c r="E1887" t="s">
        <v>35</v>
      </c>
      <c r="F1887" t="s">
        <v>78</v>
      </c>
      <c r="G1887" t="s">
        <v>79</v>
      </c>
      <c r="H1887" t="s">
        <v>107</v>
      </c>
      <c r="I1887" t="s">
        <v>108</v>
      </c>
      <c r="J1887" t="s">
        <v>25</v>
      </c>
      <c r="K1887" t="s">
        <v>9889</v>
      </c>
      <c r="L1887">
        <v>0</v>
      </c>
      <c r="M1887" t="s">
        <v>9890</v>
      </c>
      <c r="N1887" t="s">
        <v>9891</v>
      </c>
      <c r="O1887" t="s">
        <v>29</v>
      </c>
      <c r="P1887" t="s">
        <v>30</v>
      </c>
      <c r="Q1887" t="s">
        <v>44</v>
      </c>
      <c r="R1887" s="3">
        <v>10706.14</v>
      </c>
    </row>
    <row r="1888" spans="1:18" x14ac:dyDescent="0.3">
      <c r="A1888" t="s">
        <v>9892</v>
      </c>
      <c r="B1888" t="str">
        <f>TEXT(Raw_Data[[#This Row],[Order Date]],"mmm")</f>
        <v>Aug</v>
      </c>
      <c r="C1888" t="s">
        <v>4422</v>
      </c>
      <c r="D1888" t="s">
        <v>9893</v>
      </c>
      <c r="E1888" t="s">
        <v>35</v>
      </c>
      <c r="F1888" t="s">
        <v>215</v>
      </c>
      <c r="G1888" t="s">
        <v>216</v>
      </c>
      <c r="H1888" t="s">
        <v>38</v>
      </c>
      <c r="I1888" t="s">
        <v>60</v>
      </c>
      <c r="J1888" t="s">
        <v>50</v>
      </c>
      <c r="K1888" t="s">
        <v>9894</v>
      </c>
      <c r="L1888">
        <v>0.15</v>
      </c>
      <c r="M1888" t="s">
        <v>9895</v>
      </c>
      <c r="N1888" t="s">
        <v>9896</v>
      </c>
      <c r="O1888" t="s">
        <v>29</v>
      </c>
      <c r="P1888" t="s">
        <v>30</v>
      </c>
      <c r="Q1888" t="s">
        <v>31</v>
      </c>
      <c r="R1888" s="3">
        <v>4318.2719999999999</v>
      </c>
    </row>
    <row r="1889" spans="1:18" x14ac:dyDescent="0.3">
      <c r="A1889" t="s">
        <v>9897</v>
      </c>
      <c r="B1889" t="str">
        <f>TEXT(Raw_Data[[#This Row],[Order Date]],"mmm")</f>
        <v>Oct</v>
      </c>
      <c r="C1889" t="s">
        <v>248</v>
      </c>
      <c r="D1889" t="s">
        <v>9898</v>
      </c>
      <c r="E1889" t="s">
        <v>35</v>
      </c>
      <c r="F1889" t="s">
        <v>89</v>
      </c>
      <c r="G1889" t="s">
        <v>230</v>
      </c>
      <c r="H1889" t="s">
        <v>23</v>
      </c>
      <c r="I1889" t="s">
        <v>183</v>
      </c>
      <c r="J1889" t="s">
        <v>25</v>
      </c>
      <c r="K1889" t="s">
        <v>9899</v>
      </c>
      <c r="L1889">
        <v>0.1</v>
      </c>
      <c r="M1889" t="s">
        <v>9900</v>
      </c>
      <c r="N1889" t="s">
        <v>9901</v>
      </c>
      <c r="O1889" t="s">
        <v>54</v>
      </c>
      <c r="P1889" t="s">
        <v>30</v>
      </c>
      <c r="Q1889" t="s">
        <v>31</v>
      </c>
      <c r="R1889" s="3">
        <v>14580.207</v>
      </c>
    </row>
    <row r="1890" spans="1:18" x14ac:dyDescent="0.3">
      <c r="A1890" t="s">
        <v>9902</v>
      </c>
      <c r="B1890" t="str">
        <f>TEXT(Raw_Data[[#This Row],[Order Date]],"mmm")</f>
        <v>Jan</v>
      </c>
      <c r="C1890" t="s">
        <v>18</v>
      </c>
      <c r="D1890" t="s">
        <v>9903</v>
      </c>
      <c r="E1890" t="s">
        <v>20</v>
      </c>
      <c r="F1890" t="s">
        <v>215</v>
      </c>
      <c r="G1890" t="s">
        <v>276</v>
      </c>
      <c r="H1890" t="s">
        <v>107</v>
      </c>
      <c r="I1890" t="s">
        <v>277</v>
      </c>
      <c r="J1890" t="s">
        <v>25</v>
      </c>
      <c r="K1890" t="s">
        <v>9904</v>
      </c>
      <c r="L1890">
        <v>0.05</v>
      </c>
      <c r="M1890" t="s">
        <v>9905</v>
      </c>
      <c r="N1890" t="s">
        <v>9906</v>
      </c>
      <c r="O1890" t="s">
        <v>43</v>
      </c>
      <c r="P1890" t="s">
        <v>159</v>
      </c>
      <c r="Q1890" t="s">
        <v>65</v>
      </c>
      <c r="R1890" s="3">
        <v>2909.8975</v>
      </c>
    </row>
    <row r="1891" spans="1:18" x14ac:dyDescent="0.3">
      <c r="A1891" t="s">
        <v>9907</v>
      </c>
      <c r="B1891" t="str">
        <f>TEXT(Raw_Data[[#This Row],[Order Date]],"mmm")</f>
        <v>Jul</v>
      </c>
      <c r="C1891" t="s">
        <v>522</v>
      </c>
      <c r="D1891" t="s">
        <v>9908</v>
      </c>
      <c r="E1891" t="s">
        <v>48</v>
      </c>
      <c r="F1891" t="s">
        <v>106</v>
      </c>
      <c r="G1891" t="s">
        <v>163</v>
      </c>
      <c r="H1891" t="s">
        <v>80</v>
      </c>
      <c r="I1891" t="s">
        <v>91</v>
      </c>
      <c r="J1891" t="s">
        <v>50</v>
      </c>
      <c r="K1891" t="s">
        <v>9909</v>
      </c>
      <c r="L1891">
        <v>0.1</v>
      </c>
      <c r="M1891" t="s">
        <v>9910</v>
      </c>
      <c r="N1891" t="s">
        <v>9911</v>
      </c>
      <c r="O1891" t="s">
        <v>43</v>
      </c>
      <c r="P1891" t="s">
        <v>30</v>
      </c>
      <c r="Q1891" t="s">
        <v>44</v>
      </c>
      <c r="R1891" s="3">
        <v>10428.335999999999</v>
      </c>
    </row>
    <row r="1892" spans="1:18" x14ac:dyDescent="0.3">
      <c r="A1892" t="s">
        <v>9912</v>
      </c>
      <c r="B1892" t="str">
        <f>TEXT(Raw_Data[[#This Row],[Order Date]],"mmm")</f>
        <v>Feb</v>
      </c>
      <c r="C1892" t="s">
        <v>2145</v>
      </c>
      <c r="D1892" t="s">
        <v>9913</v>
      </c>
      <c r="E1892" t="s">
        <v>48</v>
      </c>
      <c r="F1892" t="s">
        <v>215</v>
      </c>
      <c r="G1892" t="s">
        <v>216</v>
      </c>
      <c r="H1892" t="s">
        <v>23</v>
      </c>
      <c r="I1892" t="s">
        <v>263</v>
      </c>
      <c r="J1892" t="s">
        <v>25</v>
      </c>
      <c r="K1892" t="s">
        <v>9914</v>
      </c>
      <c r="L1892">
        <v>0.05</v>
      </c>
      <c r="M1892" t="s">
        <v>9915</v>
      </c>
      <c r="N1892" t="s">
        <v>9916</v>
      </c>
      <c r="O1892" t="s">
        <v>54</v>
      </c>
      <c r="P1892" t="s">
        <v>30</v>
      </c>
      <c r="Q1892" t="s">
        <v>31</v>
      </c>
      <c r="R1892" s="3">
        <v>40377.859499999999</v>
      </c>
    </row>
    <row r="1893" spans="1:18" x14ac:dyDescent="0.3">
      <c r="A1893" t="s">
        <v>9917</v>
      </c>
      <c r="B1893" t="str">
        <f>TEXT(Raw_Data[[#This Row],[Order Date]],"mmm")</f>
        <v>Jan</v>
      </c>
      <c r="C1893" t="s">
        <v>2752</v>
      </c>
      <c r="D1893" t="s">
        <v>9918</v>
      </c>
      <c r="E1893" t="s">
        <v>35</v>
      </c>
      <c r="F1893" t="s">
        <v>58</v>
      </c>
      <c r="G1893" t="s">
        <v>59</v>
      </c>
      <c r="H1893" t="s">
        <v>23</v>
      </c>
      <c r="I1893" t="s">
        <v>24</v>
      </c>
      <c r="J1893" t="s">
        <v>25</v>
      </c>
      <c r="K1893" t="s">
        <v>9919</v>
      </c>
      <c r="L1893">
        <v>0</v>
      </c>
      <c r="M1893" t="s">
        <v>9920</v>
      </c>
      <c r="N1893" t="s">
        <v>9921</v>
      </c>
      <c r="O1893" t="s">
        <v>43</v>
      </c>
      <c r="P1893" t="s">
        <v>112</v>
      </c>
      <c r="Q1893" t="s">
        <v>65</v>
      </c>
      <c r="R1893" s="3">
        <v>10095.51</v>
      </c>
    </row>
    <row r="1894" spans="1:18" x14ac:dyDescent="0.3">
      <c r="A1894" t="s">
        <v>9922</v>
      </c>
      <c r="B1894" t="str">
        <f>TEXT(Raw_Data[[#This Row],[Order Date]],"mmm")</f>
        <v>Apr</v>
      </c>
      <c r="C1894" t="s">
        <v>2338</v>
      </c>
      <c r="D1894" t="s">
        <v>9923</v>
      </c>
      <c r="E1894" t="s">
        <v>20</v>
      </c>
      <c r="F1894" t="s">
        <v>89</v>
      </c>
      <c r="G1894" t="s">
        <v>90</v>
      </c>
      <c r="H1894" t="s">
        <v>23</v>
      </c>
      <c r="I1894" t="s">
        <v>263</v>
      </c>
      <c r="J1894" t="s">
        <v>100</v>
      </c>
      <c r="K1894" t="s">
        <v>9924</v>
      </c>
      <c r="L1894">
        <v>0.05</v>
      </c>
      <c r="M1894" t="s">
        <v>9925</v>
      </c>
      <c r="N1894" t="s">
        <v>9926</v>
      </c>
      <c r="O1894" t="s">
        <v>43</v>
      </c>
      <c r="P1894" t="s">
        <v>159</v>
      </c>
      <c r="Q1894" t="s">
        <v>31</v>
      </c>
      <c r="R1894" s="3">
        <v>63218.7</v>
      </c>
    </row>
    <row r="1895" spans="1:18" x14ac:dyDescent="0.3">
      <c r="A1895" t="s">
        <v>9927</v>
      </c>
      <c r="B1895" t="str">
        <f>TEXT(Raw_Data[[#This Row],[Order Date]],"mmm")</f>
        <v>Jul</v>
      </c>
      <c r="C1895" t="s">
        <v>792</v>
      </c>
      <c r="D1895" t="s">
        <v>9928</v>
      </c>
      <c r="E1895" t="s">
        <v>48</v>
      </c>
      <c r="F1895" t="s">
        <v>215</v>
      </c>
      <c r="G1895" t="s">
        <v>276</v>
      </c>
      <c r="H1895" t="s">
        <v>80</v>
      </c>
      <c r="I1895" t="s">
        <v>91</v>
      </c>
      <c r="J1895" t="s">
        <v>100</v>
      </c>
      <c r="K1895" t="s">
        <v>9929</v>
      </c>
      <c r="L1895">
        <v>0.2</v>
      </c>
      <c r="M1895" t="s">
        <v>9930</v>
      </c>
      <c r="N1895" t="s">
        <v>9931</v>
      </c>
      <c r="O1895" t="s">
        <v>43</v>
      </c>
      <c r="P1895" t="s">
        <v>30</v>
      </c>
      <c r="Q1895" t="s">
        <v>65</v>
      </c>
      <c r="R1895" s="3">
        <v>14106.24</v>
      </c>
    </row>
    <row r="1896" spans="1:18" x14ac:dyDescent="0.3">
      <c r="A1896" t="s">
        <v>9932</v>
      </c>
      <c r="B1896" t="str">
        <f>TEXT(Raw_Data[[#This Row],[Order Date]],"mmm")</f>
        <v>Nov</v>
      </c>
      <c r="C1896" t="s">
        <v>1330</v>
      </c>
      <c r="D1896" t="s">
        <v>9933</v>
      </c>
      <c r="E1896" t="s">
        <v>20</v>
      </c>
      <c r="F1896" t="s">
        <v>58</v>
      </c>
      <c r="G1896" t="s">
        <v>59</v>
      </c>
      <c r="H1896" t="s">
        <v>80</v>
      </c>
      <c r="I1896" t="s">
        <v>116</v>
      </c>
      <c r="J1896" t="s">
        <v>25</v>
      </c>
      <c r="K1896" t="s">
        <v>9934</v>
      </c>
      <c r="L1896">
        <v>0.2</v>
      </c>
      <c r="M1896" t="s">
        <v>9935</v>
      </c>
      <c r="N1896" t="s">
        <v>9936</v>
      </c>
      <c r="O1896" t="s">
        <v>173</v>
      </c>
      <c r="P1896" t="s">
        <v>30</v>
      </c>
      <c r="Q1896" t="s">
        <v>44</v>
      </c>
      <c r="R1896" s="3">
        <v>4042.7839999999901</v>
      </c>
    </row>
    <row r="1897" spans="1:18" x14ac:dyDescent="0.3">
      <c r="A1897" t="s">
        <v>9937</v>
      </c>
      <c r="B1897" t="str">
        <f>TEXT(Raw_Data[[#This Row],[Order Date]],"mmm")</f>
        <v>Mar</v>
      </c>
      <c r="C1897" t="s">
        <v>1216</v>
      </c>
      <c r="D1897" t="s">
        <v>9938</v>
      </c>
      <c r="E1897" t="s">
        <v>20</v>
      </c>
      <c r="F1897" t="s">
        <v>69</v>
      </c>
      <c r="G1897" t="s">
        <v>328</v>
      </c>
      <c r="H1897" t="s">
        <v>23</v>
      </c>
      <c r="I1897" t="s">
        <v>24</v>
      </c>
      <c r="J1897" t="s">
        <v>50</v>
      </c>
      <c r="K1897" t="s">
        <v>9939</v>
      </c>
      <c r="L1897">
        <v>0.15</v>
      </c>
      <c r="M1897" t="s">
        <v>9940</v>
      </c>
      <c r="N1897" t="s">
        <v>9941</v>
      </c>
      <c r="O1897" t="s">
        <v>173</v>
      </c>
      <c r="P1897" t="s">
        <v>159</v>
      </c>
      <c r="Q1897" t="s">
        <v>44</v>
      </c>
      <c r="R1897" s="3">
        <v>35158.142</v>
      </c>
    </row>
    <row r="1898" spans="1:18" x14ac:dyDescent="0.3">
      <c r="A1898" t="s">
        <v>9942</v>
      </c>
      <c r="B1898" t="str">
        <f>TEXT(Raw_Data[[#This Row],[Order Date]],"mmm")</f>
        <v>Nov</v>
      </c>
      <c r="C1898" t="s">
        <v>1775</v>
      </c>
      <c r="D1898" t="s">
        <v>9943</v>
      </c>
      <c r="E1898" t="s">
        <v>20</v>
      </c>
      <c r="F1898" t="s">
        <v>69</v>
      </c>
      <c r="G1898" t="s">
        <v>70</v>
      </c>
      <c r="H1898" t="s">
        <v>23</v>
      </c>
      <c r="I1898" t="s">
        <v>49</v>
      </c>
      <c r="J1898" t="s">
        <v>25</v>
      </c>
      <c r="K1898" t="s">
        <v>9944</v>
      </c>
      <c r="L1898">
        <v>0.2</v>
      </c>
      <c r="M1898" t="s">
        <v>9945</v>
      </c>
      <c r="N1898" t="s">
        <v>9946</v>
      </c>
      <c r="O1898" t="s">
        <v>54</v>
      </c>
      <c r="P1898" t="s">
        <v>30</v>
      </c>
      <c r="Q1898" t="s">
        <v>44</v>
      </c>
      <c r="R1898" s="3">
        <v>36872.072</v>
      </c>
    </row>
    <row r="1899" spans="1:18" x14ac:dyDescent="0.3">
      <c r="A1899" t="s">
        <v>9947</v>
      </c>
      <c r="B1899" t="str">
        <f>TEXT(Raw_Data[[#This Row],[Order Date]],"mmm")</f>
        <v>Jan</v>
      </c>
      <c r="C1899" t="s">
        <v>2752</v>
      </c>
      <c r="D1899" t="s">
        <v>9948</v>
      </c>
      <c r="E1899" t="s">
        <v>20</v>
      </c>
      <c r="F1899" t="s">
        <v>69</v>
      </c>
      <c r="G1899" t="s">
        <v>70</v>
      </c>
      <c r="H1899" t="s">
        <v>80</v>
      </c>
      <c r="I1899" t="s">
        <v>91</v>
      </c>
      <c r="J1899" t="s">
        <v>25</v>
      </c>
      <c r="K1899" t="s">
        <v>9949</v>
      </c>
      <c r="L1899">
        <v>0</v>
      </c>
      <c r="M1899" t="s">
        <v>9950</v>
      </c>
      <c r="N1899" t="s">
        <v>9951</v>
      </c>
      <c r="O1899" t="s">
        <v>64</v>
      </c>
      <c r="P1899" t="s">
        <v>30</v>
      </c>
      <c r="Q1899" t="s">
        <v>31</v>
      </c>
      <c r="R1899" s="3">
        <v>3547.9</v>
      </c>
    </row>
    <row r="1900" spans="1:18" x14ac:dyDescent="0.3">
      <c r="A1900" t="s">
        <v>9952</v>
      </c>
      <c r="B1900" t="str">
        <f>TEXT(Raw_Data[[#This Row],[Order Date]],"mmm")</f>
        <v>Oct</v>
      </c>
      <c r="C1900" t="s">
        <v>1076</v>
      </c>
      <c r="D1900" t="s">
        <v>9953</v>
      </c>
      <c r="E1900" t="s">
        <v>20</v>
      </c>
      <c r="F1900" t="s">
        <v>215</v>
      </c>
      <c r="G1900" t="s">
        <v>216</v>
      </c>
      <c r="H1900" t="s">
        <v>107</v>
      </c>
      <c r="I1900" t="s">
        <v>378</v>
      </c>
      <c r="J1900" t="s">
        <v>50</v>
      </c>
      <c r="K1900" t="s">
        <v>9954</v>
      </c>
      <c r="L1900">
        <v>0.1</v>
      </c>
      <c r="M1900" t="s">
        <v>9955</v>
      </c>
      <c r="N1900" t="s">
        <v>9956</v>
      </c>
      <c r="O1900" t="s">
        <v>54</v>
      </c>
      <c r="P1900" t="s">
        <v>30</v>
      </c>
      <c r="Q1900" t="s">
        <v>44</v>
      </c>
      <c r="R1900" s="3">
        <v>26703.9899999999</v>
      </c>
    </row>
    <row r="1901" spans="1:18" x14ac:dyDescent="0.3">
      <c r="A1901" t="s">
        <v>9957</v>
      </c>
      <c r="B1901" t="str">
        <f>TEXT(Raw_Data[[#This Row],[Order Date]],"mmm")</f>
        <v>Mar</v>
      </c>
      <c r="C1901" t="s">
        <v>2293</v>
      </c>
      <c r="D1901" t="s">
        <v>9958</v>
      </c>
      <c r="E1901" t="s">
        <v>48</v>
      </c>
      <c r="F1901" t="s">
        <v>69</v>
      </c>
      <c r="G1901" t="s">
        <v>328</v>
      </c>
      <c r="H1901" t="s">
        <v>80</v>
      </c>
      <c r="I1901" t="s">
        <v>131</v>
      </c>
      <c r="J1901" t="s">
        <v>25</v>
      </c>
      <c r="K1901" t="s">
        <v>9959</v>
      </c>
      <c r="L1901">
        <v>0.1</v>
      </c>
      <c r="M1901" t="s">
        <v>9960</v>
      </c>
      <c r="N1901" t="s">
        <v>9961</v>
      </c>
      <c r="O1901" t="s">
        <v>64</v>
      </c>
      <c r="P1901" t="s">
        <v>159</v>
      </c>
      <c r="Q1901" t="s">
        <v>44</v>
      </c>
      <c r="R1901" s="3">
        <v>2626.9650000000001</v>
      </c>
    </row>
    <row r="1902" spans="1:18" x14ac:dyDescent="0.3">
      <c r="A1902" t="s">
        <v>9962</v>
      </c>
      <c r="B1902" t="str">
        <f>TEXT(Raw_Data[[#This Row],[Order Date]],"mmm")</f>
        <v>Aug</v>
      </c>
      <c r="C1902" t="s">
        <v>1245</v>
      </c>
      <c r="D1902" t="s">
        <v>9963</v>
      </c>
      <c r="E1902" t="s">
        <v>35</v>
      </c>
      <c r="F1902" t="s">
        <v>58</v>
      </c>
      <c r="G1902" t="s">
        <v>812</v>
      </c>
      <c r="H1902" t="s">
        <v>23</v>
      </c>
      <c r="I1902" t="s">
        <v>183</v>
      </c>
      <c r="J1902" t="s">
        <v>25</v>
      </c>
      <c r="K1902" t="s">
        <v>9964</v>
      </c>
      <c r="L1902">
        <v>0.15</v>
      </c>
      <c r="M1902" t="s">
        <v>9965</v>
      </c>
      <c r="N1902" t="s">
        <v>9966</v>
      </c>
      <c r="O1902" t="s">
        <v>54</v>
      </c>
      <c r="P1902" t="s">
        <v>30</v>
      </c>
      <c r="Q1902" t="s">
        <v>65</v>
      </c>
      <c r="R1902" s="3">
        <v>1951.50649999999</v>
      </c>
    </row>
    <row r="1903" spans="1:18" x14ac:dyDescent="0.3">
      <c r="A1903" t="s">
        <v>9967</v>
      </c>
      <c r="B1903" t="str">
        <f>TEXT(Raw_Data[[#This Row],[Order Date]],"mmm")</f>
        <v>Sep</v>
      </c>
      <c r="C1903" t="s">
        <v>2569</v>
      </c>
      <c r="D1903" t="s">
        <v>9968</v>
      </c>
      <c r="E1903" t="s">
        <v>20</v>
      </c>
      <c r="F1903" t="s">
        <v>36</v>
      </c>
      <c r="G1903" t="s">
        <v>196</v>
      </c>
      <c r="H1903" t="s">
        <v>38</v>
      </c>
      <c r="I1903" t="s">
        <v>256</v>
      </c>
      <c r="J1903" t="s">
        <v>100</v>
      </c>
      <c r="K1903" t="s">
        <v>9969</v>
      </c>
      <c r="L1903">
        <v>0.05</v>
      </c>
      <c r="M1903" t="s">
        <v>9970</v>
      </c>
      <c r="N1903" t="s">
        <v>9971</v>
      </c>
      <c r="O1903" t="s">
        <v>43</v>
      </c>
      <c r="P1903" t="s">
        <v>1762</v>
      </c>
      <c r="Q1903" t="s">
        <v>65</v>
      </c>
      <c r="R1903" s="3">
        <v>14739.487499999999</v>
      </c>
    </row>
    <row r="1904" spans="1:18" x14ac:dyDescent="0.3">
      <c r="A1904" t="s">
        <v>9972</v>
      </c>
      <c r="B1904" t="str">
        <f>TEXT(Raw_Data[[#This Row],[Order Date]],"mmm")</f>
        <v>Oct</v>
      </c>
      <c r="C1904" t="s">
        <v>736</v>
      </c>
      <c r="D1904" t="s">
        <v>9973</v>
      </c>
      <c r="E1904" t="s">
        <v>48</v>
      </c>
      <c r="F1904" t="s">
        <v>36</v>
      </c>
      <c r="G1904" t="s">
        <v>153</v>
      </c>
      <c r="H1904" t="s">
        <v>80</v>
      </c>
      <c r="I1904" t="s">
        <v>81</v>
      </c>
      <c r="J1904" t="s">
        <v>50</v>
      </c>
      <c r="K1904" t="s">
        <v>9974</v>
      </c>
      <c r="L1904">
        <v>0</v>
      </c>
      <c r="M1904" t="s">
        <v>9975</v>
      </c>
      <c r="N1904" t="s">
        <v>9976</v>
      </c>
      <c r="O1904" t="s">
        <v>173</v>
      </c>
      <c r="P1904" t="s">
        <v>30</v>
      </c>
      <c r="Q1904" t="s">
        <v>65</v>
      </c>
      <c r="R1904" s="3">
        <v>12457</v>
      </c>
    </row>
    <row r="1905" spans="1:18" x14ac:dyDescent="0.3">
      <c r="A1905" t="s">
        <v>9977</v>
      </c>
      <c r="B1905" t="str">
        <f>TEXT(Raw_Data[[#This Row],[Order Date]],"mmm")</f>
        <v>May</v>
      </c>
      <c r="C1905" t="s">
        <v>2840</v>
      </c>
      <c r="D1905" t="s">
        <v>9978</v>
      </c>
      <c r="E1905" t="s">
        <v>48</v>
      </c>
      <c r="F1905" t="s">
        <v>58</v>
      </c>
      <c r="G1905" t="s">
        <v>290</v>
      </c>
      <c r="H1905" t="s">
        <v>80</v>
      </c>
      <c r="I1905" t="s">
        <v>116</v>
      </c>
      <c r="J1905" t="s">
        <v>25</v>
      </c>
      <c r="K1905" t="s">
        <v>9979</v>
      </c>
      <c r="L1905">
        <v>0.15</v>
      </c>
      <c r="M1905" t="s">
        <v>9980</v>
      </c>
      <c r="N1905" t="s">
        <v>9981</v>
      </c>
      <c r="O1905" t="s">
        <v>54</v>
      </c>
      <c r="P1905" t="s">
        <v>30</v>
      </c>
      <c r="Q1905" t="s">
        <v>44</v>
      </c>
      <c r="R1905" s="3">
        <v>5424.4024999999901</v>
      </c>
    </row>
    <row r="1906" spans="1:18" x14ac:dyDescent="0.3">
      <c r="A1906" t="s">
        <v>9982</v>
      </c>
      <c r="B1906" t="str">
        <f>TEXT(Raw_Data[[#This Row],[Order Date]],"mmm")</f>
        <v>Mar</v>
      </c>
      <c r="C1906" t="s">
        <v>1128</v>
      </c>
      <c r="D1906" t="s">
        <v>9983</v>
      </c>
      <c r="E1906" t="s">
        <v>48</v>
      </c>
      <c r="F1906" t="s">
        <v>215</v>
      </c>
      <c r="G1906" t="s">
        <v>276</v>
      </c>
      <c r="H1906" t="s">
        <v>154</v>
      </c>
      <c r="I1906" t="s">
        <v>309</v>
      </c>
      <c r="J1906" t="s">
        <v>50</v>
      </c>
      <c r="K1906" t="s">
        <v>9984</v>
      </c>
      <c r="L1906">
        <v>0.15</v>
      </c>
      <c r="M1906" t="s">
        <v>9985</v>
      </c>
      <c r="N1906" t="s">
        <v>9986</v>
      </c>
      <c r="O1906" t="s">
        <v>29</v>
      </c>
      <c r="P1906" t="s">
        <v>159</v>
      </c>
      <c r="Q1906" t="s">
        <v>65</v>
      </c>
      <c r="R1906" s="3">
        <v>2438.5309999999999</v>
      </c>
    </row>
    <row r="1907" spans="1:18" x14ac:dyDescent="0.3">
      <c r="A1907" t="s">
        <v>9987</v>
      </c>
      <c r="B1907" t="str">
        <f>TEXT(Raw_Data[[#This Row],[Order Date]],"mmm")</f>
        <v>Nov</v>
      </c>
      <c r="C1907" t="s">
        <v>2710</v>
      </c>
      <c r="D1907" t="s">
        <v>9988</v>
      </c>
      <c r="E1907" t="s">
        <v>35</v>
      </c>
      <c r="F1907" t="s">
        <v>89</v>
      </c>
      <c r="G1907" t="s">
        <v>90</v>
      </c>
      <c r="H1907" t="s">
        <v>23</v>
      </c>
      <c r="I1907" t="s">
        <v>24</v>
      </c>
      <c r="J1907" t="s">
        <v>25</v>
      </c>
      <c r="K1907" t="s">
        <v>9989</v>
      </c>
      <c r="L1907">
        <v>0.15</v>
      </c>
      <c r="M1907" t="s">
        <v>9990</v>
      </c>
      <c r="N1907" t="s">
        <v>9991</v>
      </c>
      <c r="O1907" t="s">
        <v>29</v>
      </c>
      <c r="P1907" t="s">
        <v>30</v>
      </c>
      <c r="Q1907" t="s">
        <v>65</v>
      </c>
      <c r="R1907" s="3">
        <v>38957.216999999997</v>
      </c>
    </row>
    <row r="1908" spans="1:18" x14ac:dyDescent="0.3">
      <c r="A1908" t="s">
        <v>9992</v>
      </c>
      <c r="B1908" t="str">
        <f>TEXT(Raw_Data[[#This Row],[Order Date]],"mmm")</f>
        <v>Oct</v>
      </c>
      <c r="C1908" t="s">
        <v>235</v>
      </c>
      <c r="D1908" t="s">
        <v>9993</v>
      </c>
      <c r="E1908" t="s">
        <v>35</v>
      </c>
      <c r="F1908" t="s">
        <v>58</v>
      </c>
      <c r="G1908" t="s">
        <v>290</v>
      </c>
      <c r="H1908" t="s">
        <v>80</v>
      </c>
      <c r="I1908" t="s">
        <v>81</v>
      </c>
      <c r="J1908" t="s">
        <v>25</v>
      </c>
      <c r="K1908" t="s">
        <v>9994</v>
      </c>
      <c r="L1908">
        <v>0.05</v>
      </c>
      <c r="M1908" t="s">
        <v>9995</v>
      </c>
      <c r="N1908" t="s">
        <v>9996</v>
      </c>
      <c r="O1908" t="s">
        <v>173</v>
      </c>
      <c r="P1908" t="s">
        <v>30</v>
      </c>
      <c r="Q1908" t="s">
        <v>65</v>
      </c>
      <c r="R1908" s="3">
        <v>3993.5529999999899</v>
      </c>
    </row>
    <row r="1909" spans="1:18" x14ac:dyDescent="0.3">
      <c r="A1909" t="s">
        <v>9997</v>
      </c>
      <c r="B1909" t="str">
        <f>TEXT(Raw_Data[[#This Row],[Order Date]],"mmm")</f>
        <v>Jul</v>
      </c>
      <c r="C1909" t="s">
        <v>3575</v>
      </c>
      <c r="D1909" t="s">
        <v>9998</v>
      </c>
      <c r="E1909" t="s">
        <v>20</v>
      </c>
      <c r="F1909" t="s">
        <v>215</v>
      </c>
      <c r="G1909" t="s">
        <v>276</v>
      </c>
      <c r="H1909" t="s">
        <v>80</v>
      </c>
      <c r="I1909" t="s">
        <v>146</v>
      </c>
      <c r="J1909" t="s">
        <v>25</v>
      </c>
      <c r="K1909" t="s">
        <v>9999</v>
      </c>
      <c r="L1909">
        <v>0.15</v>
      </c>
      <c r="M1909" t="s">
        <v>10000</v>
      </c>
      <c r="N1909" t="s">
        <v>10001</v>
      </c>
      <c r="O1909" t="s">
        <v>64</v>
      </c>
      <c r="P1909" t="s">
        <v>30</v>
      </c>
      <c r="Q1909" t="s">
        <v>44</v>
      </c>
      <c r="R1909" s="3">
        <v>4867.3209999999999</v>
      </c>
    </row>
    <row r="1910" spans="1:18" x14ac:dyDescent="0.3">
      <c r="A1910" t="s">
        <v>10002</v>
      </c>
      <c r="B1910" t="str">
        <f>TEXT(Raw_Data[[#This Row],[Order Date]],"mmm")</f>
        <v>Sep</v>
      </c>
      <c r="C1910" t="s">
        <v>742</v>
      </c>
      <c r="D1910" t="s">
        <v>10003</v>
      </c>
      <c r="E1910" t="s">
        <v>48</v>
      </c>
      <c r="F1910" t="s">
        <v>215</v>
      </c>
      <c r="G1910" t="s">
        <v>276</v>
      </c>
      <c r="H1910" t="s">
        <v>38</v>
      </c>
      <c r="I1910" t="s">
        <v>39</v>
      </c>
      <c r="J1910" t="s">
        <v>25</v>
      </c>
      <c r="K1910" t="s">
        <v>10004</v>
      </c>
      <c r="L1910">
        <v>0.1</v>
      </c>
      <c r="M1910" t="s">
        <v>10005</v>
      </c>
      <c r="N1910" t="s">
        <v>10006</v>
      </c>
      <c r="O1910" t="s">
        <v>173</v>
      </c>
      <c r="P1910" t="s">
        <v>30</v>
      </c>
      <c r="Q1910" t="s">
        <v>65</v>
      </c>
      <c r="R1910" s="3">
        <v>2333.6999999999998</v>
      </c>
    </row>
    <row r="1911" spans="1:18" x14ac:dyDescent="0.3">
      <c r="A1911" t="s">
        <v>10007</v>
      </c>
      <c r="B1911" t="str">
        <f>TEXT(Raw_Data[[#This Row],[Order Date]],"mmm")</f>
        <v>May</v>
      </c>
      <c r="C1911" t="s">
        <v>1937</v>
      </c>
      <c r="D1911" t="s">
        <v>10008</v>
      </c>
      <c r="E1911" t="s">
        <v>48</v>
      </c>
      <c r="F1911" t="s">
        <v>69</v>
      </c>
      <c r="G1911" t="s">
        <v>70</v>
      </c>
      <c r="H1911" t="s">
        <v>38</v>
      </c>
      <c r="I1911" t="s">
        <v>223</v>
      </c>
      <c r="J1911" t="s">
        <v>25</v>
      </c>
      <c r="K1911" t="s">
        <v>10009</v>
      </c>
      <c r="L1911">
        <v>0.15</v>
      </c>
      <c r="M1911" t="s">
        <v>10010</v>
      </c>
      <c r="N1911" t="s">
        <v>10011</v>
      </c>
      <c r="O1911" t="s">
        <v>54</v>
      </c>
      <c r="P1911" t="s">
        <v>30</v>
      </c>
      <c r="Q1911" t="s">
        <v>65</v>
      </c>
      <c r="R1911" s="3">
        <v>2259.81</v>
      </c>
    </row>
    <row r="1912" spans="1:18" x14ac:dyDescent="0.3">
      <c r="A1912" t="s">
        <v>10012</v>
      </c>
      <c r="B1912" t="str">
        <f>TEXT(Raw_Data[[#This Row],[Order Date]],"mmm")</f>
        <v>Oct</v>
      </c>
      <c r="C1912" t="s">
        <v>2255</v>
      </c>
      <c r="D1912" t="s">
        <v>10013</v>
      </c>
      <c r="E1912" t="s">
        <v>48</v>
      </c>
      <c r="F1912" t="s">
        <v>215</v>
      </c>
      <c r="G1912" t="s">
        <v>216</v>
      </c>
      <c r="H1912" t="s">
        <v>107</v>
      </c>
      <c r="I1912" t="s">
        <v>591</v>
      </c>
      <c r="J1912" t="s">
        <v>25</v>
      </c>
      <c r="K1912" t="s">
        <v>10014</v>
      </c>
      <c r="L1912">
        <v>0.1</v>
      </c>
      <c r="M1912" t="s">
        <v>10015</v>
      </c>
      <c r="N1912" t="s">
        <v>10016</v>
      </c>
      <c r="O1912" t="s">
        <v>29</v>
      </c>
      <c r="P1912" t="s">
        <v>30</v>
      </c>
      <c r="Q1912" t="s">
        <v>44</v>
      </c>
      <c r="R1912" s="3">
        <v>12337.983</v>
      </c>
    </row>
    <row r="1913" spans="1:18" x14ac:dyDescent="0.3">
      <c r="A1913" t="s">
        <v>10017</v>
      </c>
      <c r="B1913" t="str">
        <f>TEXT(Raw_Data[[#This Row],[Order Date]],"mmm")</f>
        <v>Nov</v>
      </c>
      <c r="C1913" t="s">
        <v>1198</v>
      </c>
      <c r="D1913" t="s">
        <v>10018</v>
      </c>
      <c r="E1913" t="s">
        <v>20</v>
      </c>
      <c r="F1913" t="s">
        <v>78</v>
      </c>
      <c r="G1913" t="s">
        <v>731</v>
      </c>
      <c r="H1913" t="s">
        <v>80</v>
      </c>
      <c r="I1913" t="s">
        <v>131</v>
      </c>
      <c r="J1913" t="s">
        <v>50</v>
      </c>
      <c r="K1913" t="s">
        <v>10019</v>
      </c>
      <c r="L1913">
        <v>0.1</v>
      </c>
      <c r="M1913" t="s">
        <v>10020</v>
      </c>
      <c r="N1913" t="s">
        <v>10021</v>
      </c>
      <c r="O1913" t="s">
        <v>64</v>
      </c>
      <c r="P1913" t="s">
        <v>30</v>
      </c>
      <c r="Q1913" t="s">
        <v>65</v>
      </c>
      <c r="R1913" s="3">
        <v>8221.0499999999993</v>
      </c>
    </row>
    <row r="1914" spans="1:18" x14ac:dyDescent="0.3">
      <c r="A1914" t="s">
        <v>10022</v>
      </c>
      <c r="B1914" t="str">
        <f>TEXT(Raw_Data[[#This Row],[Order Date]],"mmm")</f>
        <v>Apr</v>
      </c>
      <c r="C1914" t="s">
        <v>4059</v>
      </c>
      <c r="D1914" t="s">
        <v>10023</v>
      </c>
      <c r="E1914" t="s">
        <v>20</v>
      </c>
      <c r="F1914" t="s">
        <v>36</v>
      </c>
      <c r="G1914" t="s">
        <v>37</v>
      </c>
      <c r="H1914" t="s">
        <v>107</v>
      </c>
      <c r="I1914" t="s">
        <v>469</v>
      </c>
      <c r="J1914" t="s">
        <v>50</v>
      </c>
      <c r="K1914" t="s">
        <v>10024</v>
      </c>
      <c r="L1914">
        <v>0.15</v>
      </c>
      <c r="M1914" t="s">
        <v>10025</v>
      </c>
      <c r="N1914" t="s">
        <v>10026</v>
      </c>
      <c r="O1914" t="s">
        <v>4079</v>
      </c>
      <c r="P1914" t="s">
        <v>159</v>
      </c>
      <c r="Q1914" t="s">
        <v>44</v>
      </c>
      <c r="R1914" s="3">
        <v>18608.608</v>
      </c>
    </row>
    <row r="1915" spans="1:18" x14ac:dyDescent="0.3">
      <c r="A1915" t="s">
        <v>10027</v>
      </c>
      <c r="B1915" t="str">
        <f>TEXT(Raw_Data[[#This Row],[Order Date]],"mmm")</f>
        <v>Feb</v>
      </c>
      <c r="C1915" t="s">
        <v>307</v>
      </c>
      <c r="D1915" t="s">
        <v>10028</v>
      </c>
      <c r="E1915" t="s">
        <v>48</v>
      </c>
      <c r="F1915" t="s">
        <v>89</v>
      </c>
      <c r="G1915" t="s">
        <v>99</v>
      </c>
      <c r="H1915" t="s">
        <v>107</v>
      </c>
      <c r="I1915" t="s">
        <v>469</v>
      </c>
      <c r="J1915" t="s">
        <v>25</v>
      </c>
      <c r="K1915" t="s">
        <v>10029</v>
      </c>
      <c r="L1915">
        <v>0.1</v>
      </c>
      <c r="M1915" t="s">
        <v>10030</v>
      </c>
      <c r="N1915" t="s">
        <v>10031</v>
      </c>
      <c r="O1915" t="s">
        <v>173</v>
      </c>
      <c r="P1915" t="s">
        <v>30</v>
      </c>
      <c r="Q1915" t="s">
        <v>31</v>
      </c>
      <c r="R1915" s="3">
        <v>12579.552</v>
      </c>
    </row>
    <row r="1916" spans="1:18" x14ac:dyDescent="0.3">
      <c r="A1916" t="s">
        <v>10032</v>
      </c>
      <c r="B1916" t="str">
        <f>TEXT(Raw_Data[[#This Row],[Order Date]],"mmm")</f>
        <v>Jan</v>
      </c>
      <c r="C1916" t="s">
        <v>7494</v>
      </c>
      <c r="D1916" t="s">
        <v>10033</v>
      </c>
      <c r="E1916" t="s">
        <v>48</v>
      </c>
      <c r="F1916" t="s">
        <v>78</v>
      </c>
      <c r="G1916" t="s">
        <v>468</v>
      </c>
      <c r="H1916" t="s">
        <v>107</v>
      </c>
      <c r="I1916" t="s">
        <v>469</v>
      </c>
      <c r="J1916" t="s">
        <v>25</v>
      </c>
      <c r="K1916" t="s">
        <v>10034</v>
      </c>
      <c r="L1916">
        <v>0</v>
      </c>
      <c r="M1916" t="s">
        <v>10035</v>
      </c>
      <c r="N1916" t="s">
        <v>10036</v>
      </c>
      <c r="O1916" t="s">
        <v>64</v>
      </c>
      <c r="P1916" t="s">
        <v>30</v>
      </c>
      <c r="Q1916" t="s">
        <v>31</v>
      </c>
      <c r="R1916" s="3">
        <v>17396.400000000001</v>
      </c>
    </row>
    <row r="1917" spans="1:18" x14ac:dyDescent="0.3">
      <c r="A1917" t="s">
        <v>10037</v>
      </c>
      <c r="B1917" t="str">
        <f>TEXT(Raw_Data[[#This Row],[Order Date]],"mmm")</f>
        <v>Apr</v>
      </c>
      <c r="C1917" t="s">
        <v>97</v>
      </c>
      <c r="D1917" t="s">
        <v>10038</v>
      </c>
      <c r="E1917" t="s">
        <v>20</v>
      </c>
      <c r="F1917" t="s">
        <v>215</v>
      </c>
      <c r="G1917" t="s">
        <v>276</v>
      </c>
      <c r="H1917" t="s">
        <v>80</v>
      </c>
      <c r="I1917" t="s">
        <v>131</v>
      </c>
      <c r="J1917" t="s">
        <v>100</v>
      </c>
      <c r="K1917" t="s">
        <v>10039</v>
      </c>
      <c r="L1917">
        <v>0.15</v>
      </c>
      <c r="M1917" t="s">
        <v>10040</v>
      </c>
      <c r="N1917" t="s">
        <v>10041</v>
      </c>
      <c r="O1917" t="s">
        <v>54</v>
      </c>
      <c r="P1917" t="s">
        <v>30</v>
      </c>
      <c r="Q1917" t="s">
        <v>44</v>
      </c>
      <c r="R1917" s="3">
        <v>14062.994999999901</v>
      </c>
    </row>
    <row r="1918" spans="1:18" x14ac:dyDescent="0.3">
      <c r="A1918" t="s">
        <v>10042</v>
      </c>
      <c r="B1918" t="str">
        <f>TEXT(Raw_Data[[#This Row],[Order Date]],"mmm")</f>
        <v>Jan</v>
      </c>
      <c r="C1918" t="s">
        <v>261</v>
      </c>
      <c r="D1918" t="s">
        <v>10043</v>
      </c>
      <c r="E1918" t="s">
        <v>48</v>
      </c>
      <c r="F1918" t="s">
        <v>21</v>
      </c>
      <c r="G1918" t="s">
        <v>130</v>
      </c>
      <c r="H1918" t="s">
        <v>107</v>
      </c>
      <c r="I1918" t="s">
        <v>591</v>
      </c>
      <c r="J1918" t="s">
        <v>50</v>
      </c>
      <c r="K1918" t="s">
        <v>10044</v>
      </c>
      <c r="L1918">
        <v>0.2</v>
      </c>
      <c r="M1918" t="s">
        <v>10045</v>
      </c>
      <c r="N1918" t="s">
        <v>10046</v>
      </c>
      <c r="O1918" t="s">
        <v>29</v>
      </c>
      <c r="P1918" t="s">
        <v>159</v>
      </c>
      <c r="Q1918" t="s">
        <v>31</v>
      </c>
      <c r="R1918" s="3">
        <v>22132.175999999999</v>
      </c>
    </row>
    <row r="1919" spans="1:18" x14ac:dyDescent="0.3">
      <c r="A1919" t="s">
        <v>10047</v>
      </c>
      <c r="B1919" t="str">
        <f>TEXT(Raw_Data[[#This Row],[Order Date]],"mmm")</f>
        <v>Apr</v>
      </c>
      <c r="C1919" t="s">
        <v>454</v>
      </c>
      <c r="D1919" t="s">
        <v>10048</v>
      </c>
      <c r="E1919" t="s">
        <v>20</v>
      </c>
      <c r="F1919" t="s">
        <v>78</v>
      </c>
      <c r="G1919" t="s">
        <v>79</v>
      </c>
      <c r="H1919" t="s">
        <v>23</v>
      </c>
      <c r="I1919" t="s">
        <v>263</v>
      </c>
      <c r="J1919" t="s">
        <v>100</v>
      </c>
      <c r="K1919" t="s">
        <v>10049</v>
      </c>
      <c r="L1919">
        <v>0.1</v>
      </c>
      <c r="M1919" t="s">
        <v>10050</v>
      </c>
      <c r="N1919" t="s">
        <v>10051</v>
      </c>
      <c r="O1919" t="s">
        <v>64</v>
      </c>
      <c r="P1919" t="s">
        <v>30</v>
      </c>
      <c r="Q1919" t="s">
        <v>65</v>
      </c>
      <c r="R1919" s="3">
        <v>84266.811000000002</v>
      </c>
    </row>
    <row r="1920" spans="1:18" x14ac:dyDescent="0.3">
      <c r="A1920" t="s">
        <v>10052</v>
      </c>
      <c r="B1920" t="str">
        <f>TEXT(Raw_Data[[#This Row],[Order Date]],"mmm")</f>
        <v>Feb</v>
      </c>
      <c r="C1920" t="s">
        <v>161</v>
      </c>
      <c r="D1920" t="s">
        <v>10053</v>
      </c>
      <c r="E1920" t="s">
        <v>20</v>
      </c>
      <c r="F1920" t="s">
        <v>78</v>
      </c>
      <c r="G1920" t="s">
        <v>79</v>
      </c>
      <c r="H1920" t="s">
        <v>107</v>
      </c>
      <c r="I1920" t="s">
        <v>108</v>
      </c>
      <c r="J1920" t="s">
        <v>25</v>
      </c>
      <c r="K1920" t="s">
        <v>10054</v>
      </c>
      <c r="L1920">
        <v>0.1</v>
      </c>
      <c r="M1920" t="s">
        <v>10055</v>
      </c>
      <c r="N1920" t="s">
        <v>10056</v>
      </c>
      <c r="O1920" t="s">
        <v>43</v>
      </c>
      <c r="P1920" t="s">
        <v>30</v>
      </c>
      <c r="Q1920" t="s">
        <v>44</v>
      </c>
      <c r="R1920" s="3">
        <v>10141.505999999999</v>
      </c>
    </row>
    <row r="1921" spans="1:18" x14ac:dyDescent="0.3">
      <c r="A1921" t="s">
        <v>10057</v>
      </c>
      <c r="B1921" t="str">
        <f>TEXT(Raw_Data[[#This Row],[Order Date]],"mmm")</f>
        <v>Apr</v>
      </c>
      <c r="C1921" t="s">
        <v>4059</v>
      </c>
      <c r="D1921" t="s">
        <v>10058</v>
      </c>
      <c r="E1921" t="s">
        <v>35</v>
      </c>
      <c r="F1921" t="s">
        <v>215</v>
      </c>
      <c r="G1921" t="s">
        <v>276</v>
      </c>
      <c r="H1921" t="s">
        <v>154</v>
      </c>
      <c r="I1921" t="s">
        <v>1061</v>
      </c>
      <c r="J1921" t="s">
        <v>25</v>
      </c>
      <c r="K1921" t="s">
        <v>10059</v>
      </c>
      <c r="L1921">
        <v>0</v>
      </c>
      <c r="M1921" t="s">
        <v>10060</v>
      </c>
      <c r="N1921" t="s">
        <v>10061</v>
      </c>
      <c r="O1921" t="s">
        <v>173</v>
      </c>
      <c r="P1921" t="s">
        <v>30</v>
      </c>
      <c r="Q1921" t="s">
        <v>65</v>
      </c>
      <c r="R1921" s="3">
        <v>7497.42</v>
      </c>
    </row>
    <row r="1922" spans="1:18" x14ac:dyDescent="0.3">
      <c r="A1922" t="s">
        <v>10062</v>
      </c>
      <c r="B1922" t="str">
        <f>TEXT(Raw_Data[[#This Row],[Order Date]],"mmm")</f>
        <v>Sep</v>
      </c>
      <c r="C1922" t="s">
        <v>2569</v>
      </c>
      <c r="D1922" t="s">
        <v>10063</v>
      </c>
      <c r="E1922" t="s">
        <v>35</v>
      </c>
      <c r="F1922" t="s">
        <v>78</v>
      </c>
      <c r="G1922" t="s">
        <v>731</v>
      </c>
      <c r="H1922" t="s">
        <v>80</v>
      </c>
      <c r="I1922" t="s">
        <v>116</v>
      </c>
      <c r="J1922" t="s">
        <v>25</v>
      </c>
      <c r="K1922" t="s">
        <v>10064</v>
      </c>
      <c r="L1922">
        <v>0.1</v>
      </c>
      <c r="M1922" t="s">
        <v>10065</v>
      </c>
      <c r="N1922" t="s">
        <v>10066</v>
      </c>
      <c r="O1922" t="s">
        <v>173</v>
      </c>
      <c r="P1922" t="s">
        <v>30</v>
      </c>
      <c r="Q1922" t="s">
        <v>65</v>
      </c>
      <c r="R1922" s="3">
        <v>4947.9480000000003</v>
      </c>
    </row>
    <row r="1923" spans="1:18" x14ac:dyDescent="0.3">
      <c r="A1923" t="s">
        <v>10067</v>
      </c>
      <c r="B1923" t="str">
        <f>TEXT(Raw_Data[[#This Row],[Order Date]],"mmm")</f>
        <v>May</v>
      </c>
      <c r="C1923" t="s">
        <v>3348</v>
      </c>
      <c r="D1923" t="s">
        <v>10068</v>
      </c>
      <c r="E1923" t="s">
        <v>35</v>
      </c>
      <c r="F1923" t="s">
        <v>89</v>
      </c>
      <c r="G1923" t="s">
        <v>230</v>
      </c>
      <c r="H1923" t="s">
        <v>80</v>
      </c>
      <c r="I1923" t="s">
        <v>116</v>
      </c>
      <c r="J1923" t="s">
        <v>50</v>
      </c>
      <c r="K1923" t="s">
        <v>10069</v>
      </c>
      <c r="L1923">
        <v>0.15</v>
      </c>
      <c r="M1923" t="s">
        <v>10070</v>
      </c>
      <c r="N1923" t="s">
        <v>3908</v>
      </c>
      <c r="O1923" t="s">
        <v>173</v>
      </c>
      <c r="P1923" t="s">
        <v>30</v>
      </c>
      <c r="Q1923" t="s">
        <v>44</v>
      </c>
      <c r="R1923" s="3">
        <v>11034.615</v>
      </c>
    </row>
    <row r="1924" spans="1:18" x14ac:dyDescent="0.3">
      <c r="A1924" t="s">
        <v>10071</v>
      </c>
      <c r="B1924" t="str">
        <f>TEXT(Raw_Data[[#This Row],[Order Date]],"mmm")</f>
        <v>Mar</v>
      </c>
      <c r="C1924" t="s">
        <v>504</v>
      </c>
      <c r="D1924" t="s">
        <v>10072</v>
      </c>
      <c r="E1924" t="s">
        <v>35</v>
      </c>
      <c r="F1924" t="s">
        <v>36</v>
      </c>
      <c r="G1924" t="s">
        <v>414</v>
      </c>
      <c r="H1924" t="s">
        <v>38</v>
      </c>
      <c r="I1924" t="s">
        <v>256</v>
      </c>
      <c r="J1924" t="s">
        <v>25</v>
      </c>
      <c r="K1924" t="s">
        <v>10073</v>
      </c>
      <c r="L1924">
        <v>0.1</v>
      </c>
      <c r="M1924" t="s">
        <v>10074</v>
      </c>
      <c r="N1924" t="s">
        <v>10075</v>
      </c>
      <c r="O1924" t="s">
        <v>29</v>
      </c>
      <c r="P1924" t="s">
        <v>1762</v>
      </c>
      <c r="Q1924" t="s">
        <v>31</v>
      </c>
      <c r="R1924" s="3">
        <v>2466.4949999999999</v>
      </c>
    </row>
    <row r="1925" spans="1:18" x14ac:dyDescent="0.3">
      <c r="A1925" t="s">
        <v>10076</v>
      </c>
      <c r="B1925" t="str">
        <f>TEXT(Raw_Data[[#This Row],[Order Date]],"mmm")</f>
        <v>Jun</v>
      </c>
      <c r="C1925" t="s">
        <v>3514</v>
      </c>
      <c r="D1925" t="s">
        <v>10077</v>
      </c>
      <c r="E1925" t="s">
        <v>48</v>
      </c>
      <c r="F1925" t="s">
        <v>89</v>
      </c>
      <c r="G1925" t="s">
        <v>90</v>
      </c>
      <c r="H1925" t="s">
        <v>154</v>
      </c>
      <c r="I1925" t="s">
        <v>309</v>
      </c>
      <c r="J1925" t="s">
        <v>25</v>
      </c>
      <c r="K1925" t="s">
        <v>10078</v>
      </c>
      <c r="L1925">
        <v>0.2</v>
      </c>
      <c r="M1925" t="s">
        <v>10079</v>
      </c>
      <c r="N1925" t="s">
        <v>10080</v>
      </c>
      <c r="O1925" t="s">
        <v>54</v>
      </c>
      <c r="P1925" t="s">
        <v>30</v>
      </c>
      <c r="Q1925" t="s">
        <v>65</v>
      </c>
      <c r="R1925" s="3">
        <v>8301.24</v>
      </c>
    </row>
    <row r="1926" spans="1:18" x14ac:dyDescent="0.3">
      <c r="A1926" t="s">
        <v>10081</v>
      </c>
      <c r="B1926" t="str">
        <f>TEXT(Raw_Data[[#This Row],[Order Date]],"mmm")</f>
        <v>Sep</v>
      </c>
      <c r="C1926" t="s">
        <v>1397</v>
      </c>
      <c r="D1926" t="s">
        <v>10082</v>
      </c>
      <c r="E1926" t="s">
        <v>20</v>
      </c>
      <c r="F1926" t="s">
        <v>69</v>
      </c>
      <c r="G1926" t="s">
        <v>328</v>
      </c>
      <c r="H1926" t="s">
        <v>38</v>
      </c>
      <c r="I1926" t="s">
        <v>256</v>
      </c>
      <c r="J1926" t="s">
        <v>25</v>
      </c>
      <c r="K1926" t="s">
        <v>10083</v>
      </c>
      <c r="L1926">
        <v>0.05</v>
      </c>
      <c r="M1926" t="s">
        <v>10084</v>
      </c>
      <c r="N1926" t="s">
        <v>10085</v>
      </c>
      <c r="O1926" t="s">
        <v>54</v>
      </c>
      <c r="P1926" t="s">
        <v>30</v>
      </c>
      <c r="Q1926" t="s">
        <v>44</v>
      </c>
      <c r="R1926" s="3">
        <v>453.16899999999998</v>
      </c>
    </row>
    <row r="1927" spans="1:18" x14ac:dyDescent="0.3">
      <c r="A1927" t="s">
        <v>10086</v>
      </c>
      <c r="B1927" t="str">
        <f>TEXT(Raw_Data[[#This Row],[Order Date]],"mmm")</f>
        <v>Jul</v>
      </c>
      <c r="C1927" t="s">
        <v>522</v>
      </c>
      <c r="D1927" t="s">
        <v>10087</v>
      </c>
      <c r="E1927" t="s">
        <v>20</v>
      </c>
      <c r="F1927" t="s">
        <v>106</v>
      </c>
      <c r="G1927" t="s">
        <v>163</v>
      </c>
      <c r="H1927" t="s">
        <v>23</v>
      </c>
      <c r="I1927" t="s">
        <v>183</v>
      </c>
      <c r="J1927" t="s">
        <v>25</v>
      </c>
      <c r="K1927" t="s">
        <v>10088</v>
      </c>
      <c r="L1927">
        <v>0.1</v>
      </c>
      <c r="M1927" t="s">
        <v>10089</v>
      </c>
      <c r="N1927" t="s">
        <v>10090</v>
      </c>
      <c r="O1927" t="s">
        <v>43</v>
      </c>
      <c r="P1927" t="s">
        <v>112</v>
      </c>
      <c r="Q1927" t="s">
        <v>31</v>
      </c>
      <c r="R1927" s="3">
        <v>19338.804</v>
      </c>
    </row>
    <row r="1928" spans="1:18" x14ac:dyDescent="0.3">
      <c r="A1928" t="s">
        <v>10091</v>
      </c>
      <c r="B1928" t="str">
        <f>TEXT(Raw_Data[[#This Row],[Order Date]],"mmm")</f>
        <v>Jun</v>
      </c>
      <c r="C1928" t="s">
        <v>1725</v>
      </c>
      <c r="D1928" t="s">
        <v>10092</v>
      </c>
      <c r="E1928" t="s">
        <v>35</v>
      </c>
      <c r="F1928" t="s">
        <v>21</v>
      </c>
      <c r="G1928" t="s">
        <v>130</v>
      </c>
      <c r="H1928" t="s">
        <v>23</v>
      </c>
      <c r="I1928" t="s">
        <v>263</v>
      </c>
      <c r="J1928" t="s">
        <v>25</v>
      </c>
      <c r="K1928" t="s">
        <v>10093</v>
      </c>
      <c r="L1928">
        <v>0</v>
      </c>
      <c r="M1928" t="s">
        <v>10094</v>
      </c>
      <c r="N1928" t="s">
        <v>10095</v>
      </c>
      <c r="O1928" t="s">
        <v>43</v>
      </c>
      <c r="P1928" t="s">
        <v>112</v>
      </c>
      <c r="Q1928" t="s">
        <v>65</v>
      </c>
      <c r="R1928" s="3">
        <v>72449.14</v>
      </c>
    </row>
    <row r="1929" spans="1:18" x14ac:dyDescent="0.3">
      <c r="A1929" t="s">
        <v>10096</v>
      </c>
      <c r="B1929" t="str">
        <f>TEXT(Raw_Data[[#This Row],[Order Date]],"mmm")</f>
        <v>Aug</v>
      </c>
      <c r="C1929" t="s">
        <v>1403</v>
      </c>
      <c r="D1929" t="s">
        <v>10097</v>
      </c>
      <c r="E1929" t="s">
        <v>48</v>
      </c>
      <c r="F1929" t="s">
        <v>36</v>
      </c>
      <c r="G1929" t="s">
        <v>196</v>
      </c>
      <c r="H1929" t="s">
        <v>23</v>
      </c>
      <c r="I1929" t="s">
        <v>263</v>
      </c>
      <c r="J1929" t="s">
        <v>25</v>
      </c>
      <c r="K1929" t="s">
        <v>10098</v>
      </c>
      <c r="L1929">
        <v>0.05</v>
      </c>
      <c r="M1929" t="s">
        <v>10099</v>
      </c>
      <c r="N1929" t="s">
        <v>10100</v>
      </c>
      <c r="O1929" t="s">
        <v>173</v>
      </c>
      <c r="P1929" t="s">
        <v>112</v>
      </c>
      <c r="Q1929" t="s">
        <v>65</v>
      </c>
      <c r="R1929" s="3">
        <v>39548.680500000002</v>
      </c>
    </row>
    <row r="1930" spans="1:18" x14ac:dyDescent="0.3">
      <c r="A1930" t="s">
        <v>10101</v>
      </c>
      <c r="B1930" t="str">
        <f>TEXT(Raw_Data[[#This Row],[Order Date]],"mmm")</f>
        <v>Jul</v>
      </c>
      <c r="C1930" t="s">
        <v>3390</v>
      </c>
      <c r="D1930" t="s">
        <v>10102</v>
      </c>
      <c r="E1930" t="s">
        <v>48</v>
      </c>
      <c r="F1930" t="s">
        <v>78</v>
      </c>
      <c r="G1930" t="s">
        <v>79</v>
      </c>
      <c r="H1930" t="s">
        <v>23</v>
      </c>
      <c r="I1930" t="s">
        <v>183</v>
      </c>
      <c r="J1930" t="s">
        <v>25</v>
      </c>
      <c r="K1930" t="s">
        <v>10103</v>
      </c>
      <c r="L1930">
        <v>0.15</v>
      </c>
      <c r="M1930" t="s">
        <v>10104</v>
      </c>
      <c r="N1930" t="s">
        <v>10105</v>
      </c>
      <c r="O1930" t="s">
        <v>64</v>
      </c>
      <c r="P1930" t="s">
        <v>112</v>
      </c>
      <c r="Q1930" t="s">
        <v>44</v>
      </c>
      <c r="R1930" s="3">
        <v>22335.602999999999</v>
      </c>
    </row>
    <row r="1931" spans="1:18" x14ac:dyDescent="0.3">
      <c r="A1931" t="s">
        <v>10106</v>
      </c>
      <c r="B1931" t="str">
        <f>TEXT(Raw_Data[[#This Row],[Order Date]],"mmm")</f>
        <v>Sep</v>
      </c>
      <c r="C1931" t="s">
        <v>1714</v>
      </c>
      <c r="D1931" t="s">
        <v>10107</v>
      </c>
      <c r="E1931" t="s">
        <v>20</v>
      </c>
      <c r="F1931" t="s">
        <v>78</v>
      </c>
      <c r="G1931" t="s">
        <v>79</v>
      </c>
      <c r="H1931" t="s">
        <v>107</v>
      </c>
      <c r="I1931" t="s">
        <v>591</v>
      </c>
      <c r="J1931" t="s">
        <v>25</v>
      </c>
      <c r="K1931" t="s">
        <v>10108</v>
      </c>
      <c r="L1931">
        <v>0.15</v>
      </c>
      <c r="M1931" t="s">
        <v>10109</v>
      </c>
      <c r="N1931" t="s">
        <v>10110</v>
      </c>
      <c r="O1931" t="s">
        <v>54</v>
      </c>
      <c r="P1931" t="s">
        <v>159</v>
      </c>
      <c r="Q1931" t="s">
        <v>44</v>
      </c>
      <c r="R1931" s="3">
        <v>14609.986999999999</v>
      </c>
    </row>
    <row r="1932" spans="1:18" x14ac:dyDescent="0.3">
      <c r="A1932" t="s">
        <v>10111</v>
      </c>
      <c r="B1932" t="str">
        <f>TEXT(Raw_Data[[#This Row],[Order Date]],"mmm")</f>
        <v>Jun</v>
      </c>
      <c r="C1932" t="s">
        <v>181</v>
      </c>
      <c r="D1932" t="s">
        <v>10112</v>
      </c>
      <c r="E1932" t="s">
        <v>20</v>
      </c>
      <c r="F1932" t="s">
        <v>36</v>
      </c>
      <c r="G1932" t="s">
        <v>37</v>
      </c>
      <c r="H1932" t="s">
        <v>38</v>
      </c>
      <c r="I1932" t="s">
        <v>71</v>
      </c>
      <c r="J1932" t="s">
        <v>25</v>
      </c>
      <c r="K1932" t="s">
        <v>10113</v>
      </c>
      <c r="L1932">
        <v>0</v>
      </c>
      <c r="M1932" t="s">
        <v>10114</v>
      </c>
      <c r="N1932" t="s">
        <v>10115</v>
      </c>
      <c r="O1932" t="s">
        <v>173</v>
      </c>
      <c r="P1932" t="s">
        <v>159</v>
      </c>
      <c r="Q1932" t="s">
        <v>44</v>
      </c>
      <c r="R1932" s="3">
        <v>2376.64</v>
      </c>
    </row>
    <row r="1933" spans="1:18" x14ac:dyDescent="0.3">
      <c r="A1933" t="s">
        <v>10116</v>
      </c>
      <c r="B1933" t="str">
        <f>TEXT(Raw_Data[[#This Row],[Order Date]],"mmm")</f>
        <v>Sep</v>
      </c>
      <c r="C1933" t="s">
        <v>834</v>
      </c>
      <c r="D1933" t="s">
        <v>10117</v>
      </c>
      <c r="E1933" t="s">
        <v>48</v>
      </c>
      <c r="F1933" t="s">
        <v>21</v>
      </c>
      <c r="G1933" t="s">
        <v>22</v>
      </c>
      <c r="H1933" t="s">
        <v>107</v>
      </c>
      <c r="I1933" t="s">
        <v>378</v>
      </c>
      <c r="J1933" t="s">
        <v>25</v>
      </c>
      <c r="K1933" t="s">
        <v>10118</v>
      </c>
      <c r="L1933">
        <v>0.15</v>
      </c>
      <c r="M1933" t="s">
        <v>10119</v>
      </c>
      <c r="N1933" t="s">
        <v>10120</v>
      </c>
      <c r="O1933" t="s">
        <v>64</v>
      </c>
      <c r="P1933" t="s">
        <v>30</v>
      </c>
      <c r="Q1933" t="s">
        <v>44</v>
      </c>
      <c r="R1933" s="3">
        <v>9082.8874999999898</v>
      </c>
    </row>
    <row r="1934" spans="1:18" x14ac:dyDescent="0.3">
      <c r="A1934" t="s">
        <v>10121</v>
      </c>
      <c r="B1934" t="str">
        <f>TEXT(Raw_Data[[#This Row],[Order Date]],"mmm")</f>
        <v>Apr</v>
      </c>
      <c r="C1934" t="s">
        <v>804</v>
      </c>
      <c r="D1934" t="s">
        <v>10122</v>
      </c>
      <c r="E1934" t="s">
        <v>35</v>
      </c>
      <c r="F1934" t="s">
        <v>89</v>
      </c>
      <c r="G1934" t="s">
        <v>99</v>
      </c>
      <c r="H1934" t="s">
        <v>107</v>
      </c>
      <c r="I1934" t="s">
        <v>108</v>
      </c>
      <c r="J1934" t="s">
        <v>50</v>
      </c>
      <c r="K1934" t="s">
        <v>10123</v>
      </c>
      <c r="L1934">
        <v>0.15</v>
      </c>
      <c r="M1934" t="s">
        <v>10124</v>
      </c>
      <c r="N1934" t="s">
        <v>10125</v>
      </c>
      <c r="O1934" t="s">
        <v>173</v>
      </c>
      <c r="P1934" t="s">
        <v>159</v>
      </c>
      <c r="Q1934" t="s">
        <v>31</v>
      </c>
      <c r="R1934" s="3">
        <v>10430.1799999999</v>
      </c>
    </row>
    <row r="1935" spans="1:18" x14ac:dyDescent="0.3">
      <c r="A1935" t="s">
        <v>10126</v>
      </c>
      <c r="B1935" t="str">
        <f>TEXT(Raw_Data[[#This Row],[Order Date]],"mmm")</f>
        <v>Jun</v>
      </c>
      <c r="C1935" t="s">
        <v>2223</v>
      </c>
      <c r="D1935" t="s">
        <v>10127</v>
      </c>
      <c r="E1935" t="s">
        <v>48</v>
      </c>
      <c r="F1935" t="s">
        <v>58</v>
      </c>
      <c r="G1935" t="s">
        <v>59</v>
      </c>
      <c r="H1935" t="s">
        <v>154</v>
      </c>
      <c r="I1935" t="s">
        <v>309</v>
      </c>
      <c r="J1935" t="s">
        <v>50</v>
      </c>
      <c r="K1935" t="s">
        <v>10128</v>
      </c>
      <c r="L1935">
        <v>0.05</v>
      </c>
      <c r="M1935" t="s">
        <v>10129</v>
      </c>
      <c r="N1935" t="s">
        <v>10130</v>
      </c>
      <c r="O1935" t="s">
        <v>2763</v>
      </c>
      <c r="P1935" t="s">
        <v>30</v>
      </c>
      <c r="Q1935" t="s">
        <v>31</v>
      </c>
      <c r="R1935" s="3">
        <v>22589.707999999999</v>
      </c>
    </row>
    <row r="1936" spans="1:18" x14ac:dyDescent="0.3">
      <c r="A1936" t="s">
        <v>10131</v>
      </c>
      <c r="B1936" t="str">
        <f>TEXT(Raw_Data[[#This Row],[Order Date]],"mmm")</f>
        <v>Feb</v>
      </c>
      <c r="C1936" t="s">
        <v>942</v>
      </c>
      <c r="D1936" t="s">
        <v>10132</v>
      </c>
      <c r="E1936" t="s">
        <v>35</v>
      </c>
      <c r="F1936" t="s">
        <v>21</v>
      </c>
      <c r="G1936" t="s">
        <v>130</v>
      </c>
      <c r="H1936" t="s">
        <v>107</v>
      </c>
      <c r="I1936" t="s">
        <v>591</v>
      </c>
      <c r="J1936" t="s">
        <v>25</v>
      </c>
      <c r="K1936" t="s">
        <v>10133</v>
      </c>
      <c r="L1936">
        <v>0.05</v>
      </c>
      <c r="M1936" t="s">
        <v>10134</v>
      </c>
      <c r="N1936" t="s">
        <v>10135</v>
      </c>
      <c r="O1936" t="s">
        <v>173</v>
      </c>
      <c r="P1936" t="s">
        <v>159</v>
      </c>
      <c r="Q1936" t="s">
        <v>44</v>
      </c>
      <c r="R1936" s="3">
        <v>3182.7660000000001</v>
      </c>
    </row>
    <row r="1937" spans="1:18" x14ac:dyDescent="0.3">
      <c r="A1937" t="s">
        <v>10136</v>
      </c>
      <c r="B1937" t="str">
        <f>TEXT(Raw_Data[[#This Row],[Order Date]],"mmm")</f>
        <v>Aug</v>
      </c>
      <c r="C1937" t="s">
        <v>1053</v>
      </c>
      <c r="D1937" t="s">
        <v>10137</v>
      </c>
      <c r="E1937" t="s">
        <v>35</v>
      </c>
      <c r="F1937" t="s">
        <v>36</v>
      </c>
      <c r="G1937" t="s">
        <v>123</v>
      </c>
      <c r="H1937" t="s">
        <v>154</v>
      </c>
      <c r="I1937" t="s">
        <v>155</v>
      </c>
      <c r="J1937" t="s">
        <v>50</v>
      </c>
      <c r="K1937" t="s">
        <v>10138</v>
      </c>
      <c r="L1937">
        <v>0.15</v>
      </c>
      <c r="M1937" t="s">
        <v>10139</v>
      </c>
      <c r="N1937" t="s">
        <v>10140</v>
      </c>
      <c r="O1937" t="s">
        <v>29</v>
      </c>
      <c r="P1937" t="s">
        <v>30</v>
      </c>
      <c r="Q1937" t="s">
        <v>44</v>
      </c>
      <c r="R1937" s="3">
        <v>874.20799999999997</v>
      </c>
    </row>
    <row r="1938" spans="1:18" x14ac:dyDescent="0.3">
      <c r="A1938" t="s">
        <v>10141</v>
      </c>
      <c r="B1938" t="str">
        <f>TEXT(Raw_Data[[#This Row],[Order Date]],"mmm")</f>
        <v>May</v>
      </c>
      <c r="C1938" t="s">
        <v>810</v>
      </c>
      <c r="D1938" t="s">
        <v>10142</v>
      </c>
      <c r="E1938" t="s">
        <v>35</v>
      </c>
      <c r="F1938" t="s">
        <v>215</v>
      </c>
      <c r="G1938" t="s">
        <v>216</v>
      </c>
      <c r="H1938" t="s">
        <v>80</v>
      </c>
      <c r="I1938" t="s">
        <v>146</v>
      </c>
      <c r="J1938" t="s">
        <v>25</v>
      </c>
      <c r="K1938" t="s">
        <v>10143</v>
      </c>
      <c r="L1938">
        <v>0.1</v>
      </c>
      <c r="M1938" t="s">
        <v>10144</v>
      </c>
      <c r="N1938" t="s">
        <v>10145</v>
      </c>
      <c r="O1938" t="s">
        <v>54</v>
      </c>
      <c r="P1938" t="s">
        <v>30</v>
      </c>
      <c r="Q1938" t="s">
        <v>31</v>
      </c>
      <c r="R1938" s="3">
        <v>3315.5369999999998</v>
      </c>
    </row>
    <row r="1939" spans="1:18" x14ac:dyDescent="0.3">
      <c r="A1939" t="s">
        <v>10146</v>
      </c>
      <c r="B1939" t="str">
        <f>TEXT(Raw_Data[[#This Row],[Order Date]],"mmm")</f>
        <v>Feb</v>
      </c>
      <c r="C1939" t="s">
        <v>2410</v>
      </c>
      <c r="D1939" t="s">
        <v>10147</v>
      </c>
      <c r="E1939" t="s">
        <v>35</v>
      </c>
      <c r="F1939" t="s">
        <v>78</v>
      </c>
      <c r="G1939" t="s">
        <v>731</v>
      </c>
      <c r="H1939" t="s">
        <v>23</v>
      </c>
      <c r="I1939" t="s">
        <v>183</v>
      </c>
      <c r="J1939" t="s">
        <v>50</v>
      </c>
      <c r="K1939" t="s">
        <v>10148</v>
      </c>
      <c r="L1939">
        <v>0.15</v>
      </c>
      <c r="M1939" t="s">
        <v>10149</v>
      </c>
      <c r="N1939" t="s">
        <v>10150</v>
      </c>
      <c r="O1939" t="s">
        <v>173</v>
      </c>
      <c r="P1939" t="s">
        <v>30</v>
      </c>
      <c r="Q1939" t="s">
        <v>65</v>
      </c>
      <c r="R1939" s="3">
        <v>126769.74800000001</v>
      </c>
    </row>
    <row r="1940" spans="1:18" x14ac:dyDescent="0.3">
      <c r="A1940" t="s">
        <v>10151</v>
      </c>
      <c r="B1940" t="str">
        <f>TEXT(Raw_Data[[#This Row],[Order Date]],"mmm")</f>
        <v>Oct</v>
      </c>
      <c r="C1940" t="s">
        <v>474</v>
      </c>
      <c r="D1940" t="s">
        <v>10152</v>
      </c>
      <c r="E1940" t="s">
        <v>20</v>
      </c>
      <c r="F1940" t="s">
        <v>78</v>
      </c>
      <c r="G1940" t="s">
        <v>79</v>
      </c>
      <c r="H1940" t="s">
        <v>23</v>
      </c>
      <c r="I1940" t="s">
        <v>183</v>
      </c>
      <c r="J1940" t="s">
        <v>25</v>
      </c>
      <c r="K1940" t="s">
        <v>10153</v>
      </c>
      <c r="L1940">
        <v>0</v>
      </c>
      <c r="M1940" t="s">
        <v>10154</v>
      </c>
      <c r="N1940" t="s">
        <v>10155</v>
      </c>
      <c r="O1940" t="s">
        <v>43</v>
      </c>
      <c r="P1940" t="s">
        <v>30</v>
      </c>
      <c r="Q1940" t="s">
        <v>31</v>
      </c>
      <c r="R1940" s="3">
        <v>13138.24</v>
      </c>
    </row>
    <row r="1941" spans="1:18" x14ac:dyDescent="0.3">
      <c r="A1941" t="s">
        <v>10156</v>
      </c>
      <c r="B1941" t="str">
        <f>TEXT(Raw_Data[[#This Row],[Order Date]],"mmm")</f>
        <v>Feb</v>
      </c>
      <c r="C1941" t="s">
        <v>7114</v>
      </c>
      <c r="D1941" t="s">
        <v>10157</v>
      </c>
      <c r="E1941" t="s">
        <v>48</v>
      </c>
      <c r="F1941" t="s">
        <v>21</v>
      </c>
      <c r="G1941" t="s">
        <v>22</v>
      </c>
      <c r="H1941" t="s">
        <v>23</v>
      </c>
      <c r="I1941" t="s">
        <v>263</v>
      </c>
      <c r="J1941" t="s">
        <v>25</v>
      </c>
      <c r="K1941" t="s">
        <v>10158</v>
      </c>
      <c r="L1941">
        <v>0</v>
      </c>
      <c r="M1941" t="s">
        <v>10159</v>
      </c>
      <c r="N1941" t="s">
        <v>10160</v>
      </c>
      <c r="O1941" t="s">
        <v>29</v>
      </c>
      <c r="P1941" t="s">
        <v>30</v>
      </c>
      <c r="Q1941" t="s">
        <v>65</v>
      </c>
      <c r="R1941" s="3">
        <v>37008.480000000003</v>
      </c>
    </row>
    <row r="1942" spans="1:18" x14ac:dyDescent="0.3">
      <c r="A1942" t="s">
        <v>10161</v>
      </c>
      <c r="B1942" t="str">
        <f>TEXT(Raw_Data[[#This Row],[Order Date]],"mmm")</f>
        <v>Oct</v>
      </c>
      <c r="C1942" t="s">
        <v>1171</v>
      </c>
      <c r="D1942" t="s">
        <v>10162</v>
      </c>
      <c r="E1942" t="s">
        <v>35</v>
      </c>
      <c r="F1942" t="s">
        <v>58</v>
      </c>
      <c r="G1942" t="s">
        <v>59</v>
      </c>
      <c r="H1942" t="s">
        <v>154</v>
      </c>
      <c r="I1942" t="s">
        <v>1061</v>
      </c>
      <c r="J1942" t="s">
        <v>25</v>
      </c>
      <c r="K1942" t="s">
        <v>10163</v>
      </c>
      <c r="L1942">
        <v>0.1</v>
      </c>
      <c r="M1942" t="s">
        <v>10164</v>
      </c>
      <c r="N1942" t="s">
        <v>10165</v>
      </c>
      <c r="O1942" t="s">
        <v>54</v>
      </c>
      <c r="P1942" t="s">
        <v>30</v>
      </c>
      <c r="Q1942" t="s">
        <v>44</v>
      </c>
      <c r="R1942" s="3">
        <v>7587.36</v>
      </c>
    </row>
    <row r="1943" spans="1:18" x14ac:dyDescent="0.3">
      <c r="A1943" t="s">
        <v>10166</v>
      </c>
      <c r="B1943" t="str">
        <f>TEXT(Raw_Data[[#This Row],[Order Date]],"mmm")</f>
        <v>Feb</v>
      </c>
      <c r="C1943" t="s">
        <v>2676</v>
      </c>
      <c r="D1943" t="s">
        <v>10167</v>
      </c>
      <c r="E1943" t="s">
        <v>35</v>
      </c>
      <c r="F1943" t="s">
        <v>69</v>
      </c>
      <c r="G1943" t="s">
        <v>139</v>
      </c>
      <c r="H1943" t="s">
        <v>23</v>
      </c>
      <c r="I1943" t="s">
        <v>183</v>
      </c>
      <c r="J1943" t="s">
        <v>50</v>
      </c>
      <c r="K1943" t="s">
        <v>10168</v>
      </c>
      <c r="L1943">
        <v>0.05</v>
      </c>
      <c r="M1943" t="s">
        <v>10169</v>
      </c>
      <c r="N1943" t="s">
        <v>10170</v>
      </c>
      <c r="O1943" t="s">
        <v>64</v>
      </c>
      <c r="P1943" t="s">
        <v>30</v>
      </c>
      <c r="Q1943" t="s">
        <v>44</v>
      </c>
      <c r="R1943" s="3">
        <v>56591.271999999997</v>
      </c>
    </row>
    <row r="1944" spans="1:18" x14ac:dyDescent="0.3">
      <c r="A1944" t="s">
        <v>10171</v>
      </c>
      <c r="B1944" t="str">
        <f>TEXT(Raw_Data[[#This Row],[Order Date]],"mmm")</f>
        <v>Jun</v>
      </c>
      <c r="C1944" t="s">
        <v>2272</v>
      </c>
      <c r="D1944" t="s">
        <v>10172</v>
      </c>
      <c r="E1944" t="s">
        <v>35</v>
      </c>
      <c r="F1944" t="s">
        <v>58</v>
      </c>
      <c r="G1944" t="s">
        <v>59</v>
      </c>
      <c r="H1944" t="s">
        <v>80</v>
      </c>
      <c r="I1944" t="s">
        <v>81</v>
      </c>
      <c r="J1944" t="s">
        <v>50</v>
      </c>
      <c r="K1944" t="s">
        <v>10173</v>
      </c>
      <c r="L1944">
        <v>0</v>
      </c>
      <c r="M1944" t="s">
        <v>10174</v>
      </c>
      <c r="N1944" t="s">
        <v>10175</v>
      </c>
      <c r="O1944" t="s">
        <v>64</v>
      </c>
      <c r="P1944" t="s">
        <v>30</v>
      </c>
      <c r="Q1944" t="s">
        <v>44</v>
      </c>
      <c r="R1944" s="3">
        <v>8545.18</v>
      </c>
    </row>
    <row r="1945" spans="1:18" x14ac:dyDescent="0.3">
      <c r="A1945" t="s">
        <v>10176</v>
      </c>
      <c r="B1945" t="str">
        <f>TEXT(Raw_Data[[#This Row],[Order Date]],"mmm")</f>
        <v>Aug</v>
      </c>
      <c r="C1945" t="s">
        <v>2112</v>
      </c>
      <c r="D1945" t="s">
        <v>10177</v>
      </c>
      <c r="E1945" t="s">
        <v>48</v>
      </c>
      <c r="F1945" t="s">
        <v>58</v>
      </c>
      <c r="G1945" t="s">
        <v>812</v>
      </c>
      <c r="H1945" t="s">
        <v>154</v>
      </c>
      <c r="I1945" t="s">
        <v>155</v>
      </c>
      <c r="J1945" t="s">
        <v>25</v>
      </c>
      <c r="K1945" t="s">
        <v>10178</v>
      </c>
      <c r="L1945">
        <v>0.2</v>
      </c>
      <c r="M1945" t="s">
        <v>10179</v>
      </c>
      <c r="N1945" t="s">
        <v>10180</v>
      </c>
      <c r="O1945" t="s">
        <v>173</v>
      </c>
      <c r="P1945" t="s">
        <v>30</v>
      </c>
      <c r="Q1945" t="s">
        <v>65</v>
      </c>
      <c r="R1945" s="3">
        <v>8454.03999999999</v>
      </c>
    </row>
    <row r="1946" spans="1:18" x14ac:dyDescent="0.3">
      <c r="A1946" t="s">
        <v>10181</v>
      </c>
      <c r="B1946" t="str">
        <f>TEXT(Raw_Data[[#This Row],[Order Date]],"mmm")</f>
        <v>May</v>
      </c>
      <c r="C1946" t="s">
        <v>1533</v>
      </c>
      <c r="D1946" t="s">
        <v>10182</v>
      </c>
      <c r="E1946" t="s">
        <v>35</v>
      </c>
      <c r="F1946" t="s">
        <v>69</v>
      </c>
      <c r="G1946" t="s">
        <v>70</v>
      </c>
      <c r="H1946" t="s">
        <v>107</v>
      </c>
      <c r="I1946" t="s">
        <v>108</v>
      </c>
      <c r="J1946" t="s">
        <v>25</v>
      </c>
      <c r="K1946" t="s">
        <v>10183</v>
      </c>
      <c r="L1946">
        <v>0.15</v>
      </c>
      <c r="M1946" t="s">
        <v>10184</v>
      </c>
      <c r="N1946" t="s">
        <v>10185</v>
      </c>
      <c r="O1946" t="s">
        <v>29</v>
      </c>
      <c r="P1946" t="s">
        <v>30</v>
      </c>
      <c r="Q1946" t="s">
        <v>65</v>
      </c>
      <c r="R1946" s="3">
        <v>1663.1524999999999</v>
      </c>
    </row>
    <row r="1947" spans="1:18" x14ac:dyDescent="0.3">
      <c r="A1947" t="s">
        <v>10186</v>
      </c>
      <c r="B1947" t="str">
        <f>TEXT(Raw_Data[[#This Row],[Order Date]],"mmm")</f>
        <v>Jul</v>
      </c>
      <c r="C1947" t="s">
        <v>2261</v>
      </c>
      <c r="D1947" t="s">
        <v>10187</v>
      </c>
      <c r="E1947" t="s">
        <v>48</v>
      </c>
      <c r="F1947" t="s">
        <v>21</v>
      </c>
      <c r="G1947" t="s">
        <v>22</v>
      </c>
      <c r="H1947" t="s">
        <v>23</v>
      </c>
      <c r="I1947" t="s">
        <v>341</v>
      </c>
      <c r="J1947" t="s">
        <v>25</v>
      </c>
      <c r="K1947" t="s">
        <v>10188</v>
      </c>
      <c r="L1947">
        <v>0.1</v>
      </c>
      <c r="M1947" t="s">
        <v>10189</v>
      </c>
      <c r="N1947" t="s">
        <v>10190</v>
      </c>
      <c r="O1947" t="s">
        <v>43</v>
      </c>
      <c r="P1947" t="s">
        <v>95</v>
      </c>
      <c r="Q1947" t="s">
        <v>65</v>
      </c>
      <c r="R1947" s="3">
        <v>22047.452999999899</v>
      </c>
    </row>
    <row r="1948" spans="1:18" x14ac:dyDescent="0.3">
      <c r="A1948" t="s">
        <v>10191</v>
      </c>
      <c r="B1948" t="str">
        <f>TEXT(Raw_Data[[#This Row],[Order Date]],"mmm")</f>
        <v>May</v>
      </c>
      <c r="C1948" t="s">
        <v>5513</v>
      </c>
      <c r="D1948" t="s">
        <v>10192</v>
      </c>
      <c r="E1948" t="s">
        <v>20</v>
      </c>
      <c r="F1948" t="s">
        <v>78</v>
      </c>
      <c r="G1948" t="s">
        <v>79</v>
      </c>
      <c r="H1948" t="s">
        <v>80</v>
      </c>
      <c r="I1948" t="s">
        <v>91</v>
      </c>
      <c r="J1948" t="s">
        <v>25</v>
      </c>
      <c r="K1948" t="s">
        <v>10193</v>
      </c>
      <c r="L1948">
        <v>0.1</v>
      </c>
      <c r="M1948" t="s">
        <v>10194</v>
      </c>
      <c r="N1948" t="s">
        <v>10195</v>
      </c>
      <c r="O1948" t="s">
        <v>43</v>
      </c>
      <c r="P1948" t="s">
        <v>30</v>
      </c>
      <c r="Q1948" t="s">
        <v>44</v>
      </c>
      <c r="R1948" s="3">
        <v>4440.915</v>
      </c>
    </row>
    <row r="1949" spans="1:18" x14ac:dyDescent="0.3">
      <c r="A1949" t="s">
        <v>10196</v>
      </c>
      <c r="B1949" t="str">
        <f>TEXT(Raw_Data[[#This Row],[Order Date]],"mmm")</f>
        <v>Dec</v>
      </c>
      <c r="C1949" t="s">
        <v>786</v>
      </c>
      <c r="D1949" t="s">
        <v>10197</v>
      </c>
      <c r="E1949" t="s">
        <v>48</v>
      </c>
      <c r="F1949" t="s">
        <v>69</v>
      </c>
      <c r="G1949" t="s">
        <v>139</v>
      </c>
      <c r="H1949" t="s">
        <v>80</v>
      </c>
      <c r="I1949" t="s">
        <v>146</v>
      </c>
      <c r="J1949" t="s">
        <v>50</v>
      </c>
      <c r="K1949" t="s">
        <v>10198</v>
      </c>
      <c r="L1949">
        <v>0</v>
      </c>
      <c r="M1949" t="s">
        <v>10199</v>
      </c>
      <c r="N1949" t="s">
        <v>10200</v>
      </c>
      <c r="O1949" t="s">
        <v>54</v>
      </c>
      <c r="P1949" t="s">
        <v>30</v>
      </c>
      <c r="Q1949" t="s">
        <v>44</v>
      </c>
      <c r="R1949" s="3">
        <v>8188.68</v>
      </c>
    </row>
    <row r="1950" spans="1:18" x14ac:dyDescent="0.3">
      <c r="A1950" t="s">
        <v>10201</v>
      </c>
      <c r="B1950" t="str">
        <f>TEXT(Raw_Data[[#This Row],[Order Date]],"mmm")</f>
        <v>Mar</v>
      </c>
      <c r="C1950" t="s">
        <v>4670</v>
      </c>
      <c r="D1950" t="s">
        <v>10202</v>
      </c>
      <c r="E1950" t="s">
        <v>48</v>
      </c>
      <c r="F1950" t="s">
        <v>21</v>
      </c>
      <c r="G1950" t="s">
        <v>130</v>
      </c>
      <c r="H1950" t="s">
        <v>80</v>
      </c>
      <c r="I1950" t="s">
        <v>131</v>
      </c>
      <c r="J1950" t="s">
        <v>25</v>
      </c>
      <c r="K1950" t="s">
        <v>10203</v>
      </c>
      <c r="L1950">
        <v>0.05</v>
      </c>
      <c r="M1950" t="s">
        <v>10204</v>
      </c>
      <c r="N1950" t="s">
        <v>10205</v>
      </c>
      <c r="O1950" t="s">
        <v>64</v>
      </c>
      <c r="P1950" t="s">
        <v>112</v>
      </c>
      <c r="Q1950" t="s">
        <v>65</v>
      </c>
      <c r="R1950" s="3">
        <v>2487.7174999999902</v>
      </c>
    </row>
    <row r="1951" spans="1:18" x14ac:dyDescent="0.3">
      <c r="A1951" t="s">
        <v>10206</v>
      </c>
      <c r="B1951" t="str">
        <f>TEXT(Raw_Data[[#This Row],[Order Date]],"mmm")</f>
        <v>Aug</v>
      </c>
      <c r="C1951" t="s">
        <v>681</v>
      </c>
      <c r="D1951" t="s">
        <v>10207</v>
      </c>
      <c r="E1951" t="s">
        <v>48</v>
      </c>
      <c r="F1951" t="s">
        <v>89</v>
      </c>
      <c r="G1951" t="s">
        <v>230</v>
      </c>
      <c r="H1951" t="s">
        <v>154</v>
      </c>
      <c r="I1951" t="s">
        <v>365</v>
      </c>
      <c r="J1951" t="s">
        <v>100</v>
      </c>
      <c r="K1951" t="s">
        <v>10208</v>
      </c>
      <c r="L1951">
        <v>0.05</v>
      </c>
      <c r="M1951" t="s">
        <v>10209</v>
      </c>
      <c r="N1951" t="s">
        <v>10210</v>
      </c>
      <c r="O1951" t="s">
        <v>29</v>
      </c>
      <c r="P1951" t="s">
        <v>490</v>
      </c>
      <c r="Q1951" t="s">
        <v>31</v>
      </c>
      <c r="R1951" s="3">
        <v>19016.055</v>
      </c>
    </row>
    <row r="1952" spans="1:18" x14ac:dyDescent="0.3">
      <c r="A1952" t="s">
        <v>10211</v>
      </c>
      <c r="B1952" t="str">
        <f>TEXT(Raw_Data[[#This Row],[Order Date]],"mmm")</f>
        <v>Mar</v>
      </c>
      <c r="C1952" t="s">
        <v>56</v>
      </c>
      <c r="D1952" t="s">
        <v>10212</v>
      </c>
      <c r="E1952" t="s">
        <v>48</v>
      </c>
      <c r="F1952" t="s">
        <v>36</v>
      </c>
      <c r="G1952" t="s">
        <v>123</v>
      </c>
      <c r="H1952" t="s">
        <v>80</v>
      </c>
      <c r="I1952" t="s">
        <v>116</v>
      </c>
      <c r="J1952" t="s">
        <v>50</v>
      </c>
      <c r="K1952" t="s">
        <v>10213</v>
      </c>
      <c r="L1952">
        <v>0.1</v>
      </c>
      <c r="M1952" t="s">
        <v>10214</v>
      </c>
      <c r="N1952" t="s">
        <v>10215</v>
      </c>
      <c r="O1952" t="s">
        <v>29</v>
      </c>
      <c r="P1952" t="s">
        <v>30</v>
      </c>
      <c r="Q1952" t="s">
        <v>65</v>
      </c>
      <c r="R1952" s="3">
        <v>1042.038</v>
      </c>
    </row>
    <row r="1953" spans="1:18" x14ac:dyDescent="0.3">
      <c r="A1953" t="s">
        <v>10216</v>
      </c>
      <c r="B1953" t="str">
        <f>TEXT(Raw_Data[[#This Row],[Order Date]],"mmm")</f>
        <v>Sep</v>
      </c>
      <c r="C1953" t="s">
        <v>1539</v>
      </c>
      <c r="D1953" t="s">
        <v>10217</v>
      </c>
      <c r="E1953" t="s">
        <v>48</v>
      </c>
      <c r="F1953" t="s">
        <v>215</v>
      </c>
      <c r="G1953" t="s">
        <v>276</v>
      </c>
      <c r="H1953" t="s">
        <v>154</v>
      </c>
      <c r="I1953" t="s">
        <v>237</v>
      </c>
      <c r="J1953" t="s">
        <v>25</v>
      </c>
      <c r="K1953" t="s">
        <v>10218</v>
      </c>
      <c r="L1953">
        <v>0.15</v>
      </c>
      <c r="M1953" t="s">
        <v>10219</v>
      </c>
      <c r="N1953" t="s">
        <v>10220</v>
      </c>
      <c r="O1953" t="s">
        <v>173</v>
      </c>
      <c r="P1953" t="s">
        <v>30</v>
      </c>
      <c r="Q1953" t="s">
        <v>44</v>
      </c>
      <c r="R1953" s="3">
        <v>9510.2420000000002</v>
      </c>
    </row>
    <row r="1954" spans="1:18" x14ac:dyDescent="0.3">
      <c r="A1954" t="s">
        <v>10221</v>
      </c>
      <c r="B1954" t="str">
        <f>TEXT(Raw_Data[[#This Row],[Order Date]],"mmm")</f>
        <v>Jan</v>
      </c>
      <c r="C1954" t="s">
        <v>1296</v>
      </c>
      <c r="D1954" t="s">
        <v>10222</v>
      </c>
      <c r="E1954" t="s">
        <v>48</v>
      </c>
      <c r="F1954" t="s">
        <v>106</v>
      </c>
      <c r="G1954" t="s">
        <v>106</v>
      </c>
      <c r="H1954" t="s">
        <v>23</v>
      </c>
      <c r="I1954" t="s">
        <v>49</v>
      </c>
      <c r="J1954" t="s">
        <v>25</v>
      </c>
      <c r="K1954" t="s">
        <v>10223</v>
      </c>
      <c r="L1954">
        <v>0.1</v>
      </c>
      <c r="M1954" t="s">
        <v>10224</v>
      </c>
      <c r="N1954" t="s">
        <v>10225</v>
      </c>
      <c r="O1954" t="s">
        <v>64</v>
      </c>
      <c r="P1954" t="s">
        <v>30</v>
      </c>
      <c r="Q1954" t="s">
        <v>31</v>
      </c>
      <c r="R1954" s="3">
        <v>20735.64</v>
      </c>
    </row>
    <row r="1955" spans="1:18" x14ac:dyDescent="0.3">
      <c r="A1955" t="s">
        <v>10226</v>
      </c>
      <c r="B1955" t="str">
        <f>TEXT(Raw_Data[[#This Row],[Order Date]],"mmm")</f>
        <v>Jan</v>
      </c>
      <c r="C1955" t="s">
        <v>1878</v>
      </c>
      <c r="D1955" t="s">
        <v>10227</v>
      </c>
      <c r="E1955" t="s">
        <v>20</v>
      </c>
      <c r="F1955" t="s">
        <v>78</v>
      </c>
      <c r="G1955" t="s">
        <v>468</v>
      </c>
      <c r="H1955" t="s">
        <v>107</v>
      </c>
      <c r="I1955" t="s">
        <v>469</v>
      </c>
      <c r="J1955" t="s">
        <v>25</v>
      </c>
      <c r="K1955" t="s">
        <v>10228</v>
      </c>
      <c r="L1955">
        <v>0</v>
      </c>
      <c r="M1955" t="s">
        <v>10229</v>
      </c>
      <c r="N1955" t="s">
        <v>10230</v>
      </c>
      <c r="O1955" t="s">
        <v>54</v>
      </c>
      <c r="P1955" t="s">
        <v>30</v>
      </c>
      <c r="Q1955" t="s">
        <v>65</v>
      </c>
      <c r="R1955" s="3">
        <v>17911.580000000002</v>
      </c>
    </row>
    <row r="1956" spans="1:18" x14ac:dyDescent="0.3">
      <c r="A1956" t="s">
        <v>10231</v>
      </c>
      <c r="B1956" t="str">
        <f>TEXT(Raw_Data[[#This Row],[Order Date]],"mmm")</f>
        <v>Jan</v>
      </c>
      <c r="C1956" t="s">
        <v>2602</v>
      </c>
      <c r="D1956" t="s">
        <v>10232</v>
      </c>
      <c r="E1956" t="s">
        <v>20</v>
      </c>
      <c r="F1956" t="s">
        <v>36</v>
      </c>
      <c r="G1956" t="s">
        <v>153</v>
      </c>
      <c r="H1956" t="s">
        <v>107</v>
      </c>
      <c r="I1956" t="s">
        <v>108</v>
      </c>
      <c r="J1956" t="s">
        <v>100</v>
      </c>
      <c r="K1956" t="s">
        <v>10233</v>
      </c>
      <c r="L1956">
        <v>0.15</v>
      </c>
      <c r="M1956" t="s">
        <v>10234</v>
      </c>
      <c r="N1956" t="s">
        <v>10235</v>
      </c>
      <c r="O1956" t="s">
        <v>43</v>
      </c>
      <c r="P1956" t="s">
        <v>112</v>
      </c>
      <c r="Q1956" t="s">
        <v>44</v>
      </c>
      <c r="R1956" s="3">
        <v>7326.4304999999904</v>
      </c>
    </row>
    <row r="1957" spans="1:18" x14ac:dyDescent="0.3">
      <c r="A1957" t="s">
        <v>10236</v>
      </c>
      <c r="B1957" t="str">
        <f>TEXT(Raw_Data[[#This Row],[Order Date]],"mmm")</f>
        <v>Dec</v>
      </c>
      <c r="C1957" t="s">
        <v>268</v>
      </c>
      <c r="D1957" t="s">
        <v>10237</v>
      </c>
      <c r="E1957" t="s">
        <v>20</v>
      </c>
      <c r="F1957" t="s">
        <v>69</v>
      </c>
      <c r="G1957" t="s">
        <v>70</v>
      </c>
      <c r="H1957" t="s">
        <v>154</v>
      </c>
      <c r="I1957" t="s">
        <v>309</v>
      </c>
      <c r="J1957" t="s">
        <v>50</v>
      </c>
      <c r="K1957" t="s">
        <v>10238</v>
      </c>
      <c r="L1957">
        <v>0</v>
      </c>
      <c r="M1957" t="s">
        <v>10239</v>
      </c>
      <c r="N1957" t="s">
        <v>10240</v>
      </c>
      <c r="O1957" t="s">
        <v>64</v>
      </c>
      <c r="P1957" t="s">
        <v>30</v>
      </c>
      <c r="Q1957" t="s">
        <v>31</v>
      </c>
      <c r="R1957" s="3">
        <v>19759.54</v>
      </c>
    </row>
    <row r="1958" spans="1:18" x14ac:dyDescent="0.3">
      <c r="A1958" t="s">
        <v>10241</v>
      </c>
      <c r="B1958" t="str">
        <f>TEXT(Raw_Data[[#This Row],[Order Date]],"mmm")</f>
        <v>Mar</v>
      </c>
      <c r="C1958" t="s">
        <v>425</v>
      </c>
      <c r="D1958" t="s">
        <v>10242</v>
      </c>
      <c r="E1958" t="s">
        <v>48</v>
      </c>
      <c r="F1958" t="s">
        <v>21</v>
      </c>
      <c r="G1958" t="s">
        <v>22</v>
      </c>
      <c r="H1958" t="s">
        <v>23</v>
      </c>
      <c r="I1958" t="s">
        <v>24</v>
      </c>
      <c r="J1958" t="s">
        <v>25</v>
      </c>
      <c r="K1958" t="s">
        <v>10243</v>
      </c>
      <c r="L1958">
        <v>0</v>
      </c>
      <c r="M1958" t="s">
        <v>10244</v>
      </c>
      <c r="N1958" t="s">
        <v>10245</v>
      </c>
      <c r="O1958" t="s">
        <v>64</v>
      </c>
      <c r="P1958" t="s">
        <v>30</v>
      </c>
      <c r="Q1958" t="s">
        <v>31</v>
      </c>
      <c r="R1958" s="3">
        <v>37519.49</v>
      </c>
    </row>
    <row r="1959" spans="1:18" x14ac:dyDescent="0.3">
      <c r="A1959" t="s">
        <v>10246</v>
      </c>
      <c r="B1959" t="str">
        <f>TEXT(Raw_Data[[#This Row],[Order Date]],"mmm")</f>
        <v>Feb</v>
      </c>
      <c r="C1959" t="s">
        <v>2399</v>
      </c>
      <c r="D1959" t="s">
        <v>10247</v>
      </c>
      <c r="E1959" t="s">
        <v>35</v>
      </c>
      <c r="F1959" t="s">
        <v>89</v>
      </c>
      <c r="G1959" t="s">
        <v>99</v>
      </c>
      <c r="H1959" t="s">
        <v>80</v>
      </c>
      <c r="I1959" t="s">
        <v>71</v>
      </c>
      <c r="J1959" t="s">
        <v>25</v>
      </c>
      <c r="K1959" t="s">
        <v>10248</v>
      </c>
      <c r="L1959">
        <v>0</v>
      </c>
      <c r="M1959" t="s">
        <v>10249</v>
      </c>
      <c r="N1959" t="s">
        <v>10250</v>
      </c>
      <c r="O1959" t="s">
        <v>64</v>
      </c>
      <c r="P1959" t="s">
        <v>30</v>
      </c>
      <c r="Q1959" t="s">
        <v>31</v>
      </c>
      <c r="R1959" s="3">
        <v>1965.23</v>
      </c>
    </row>
    <row r="1960" spans="1:18" x14ac:dyDescent="0.3">
      <c r="A1960" t="s">
        <v>10251</v>
      </c>
      <c r="B1960" t="str">
        <f>TEXT(Raw_Data[[#This Row],[Order Date]],"mmm")</f>
        <v>Jan</v>
      </c>
      <c r="C1960" t="s">
        <v>274</v>
      </c>
      <c r="D1960" t="s">
        <v>10252</v>
      </c>
      <c r="E1960" t="s">
        <v>48</v>
      </c>
      <c r="F1960" t="s">
        <v>89</v>
      </c>
      <c r="G1960" t="s">
        <v>90</v>
      </c>
      <c r="H1960" t="s">
        <v>107</v>
      </c>
      <c r="I1960" t="s">
        <v>277</v>
      </c>
      <c r="J1960" t="s">
        <v>100</v>
      </c>
      <c r="K1960" t="s">
        <v>10253</v>
      </c>
      <c r="L1960">
        <v>0.05</v>
      </c>
      <c r="M1960" t="s">
        <v>10254</v>
      </c>
      <c r="N1960" t="s">
        <v>10255</v>
      </c>
      <c r="O1960" t="s">
        <v>64</v>
      </c>
      <c r="P1960" t="s">
        <v>30</v>
      </c>
      <c r="Q1960" t="s">
        <v>44</v>
      </c>
      <c r="R1960" s="3">
        <v>22251.260999999999</v>
      </c>
    </row>
    <row r="1961" spans="1:18" x14ac:dyDescent="0.3">
      <c r="A1961" t="s">
        <v>10256</v>
      </c>
      <c r="B1961" t="str">
        <f>TEXT(Raw_Data[[#This Row],[Order Date]],"mmm")</f>
        <v>Jul</v>
      </c>
      <c r="C1961" t="s">
        <v>3390</v>
      </c>
      <c r="D1961" t="s">
        <v>10257</v>
      </c>
      <c r="E1961" t="s">
        <v>48</v>
      </c>
      <c r="F1961" t="s">
        <v>106</v>
      </c>
      <c r="G1961" t="s">
        <v>163</v>
      </c>
      <c r="H1961" t="s">
        <v>80</v>
      </c>
      <c r="I1961" t="s">
        <v>81</v>
      </c>
      <c r="J1961" t="s">
        <v>25</v>
      </c>
      <c r="K1961" t="s">
        <v>10258</v>
      </c>
      <c r="L1961">
        <v>0</v>
      </c>
      <c r="M1961" t="s">
        <v>10259</v>
      </c>
      <c r="N1961" t="s">
        <v>10260</v>
      </c>
      <c r="O1961" t="s">
        <v>29</v>
      </c>
      <c r="P1961" t="s">
        <v>30</v>
      </c>
      <c r="Q1961" t="s">
        <v>65</v>
      </c>
      <c r="R1961" s="3">
        <v>2778.52</v>
      </c>
    </row>
    <row r="1962" spans="1:18" x14ac:dyDescent="0.3">
      <c r="A1962" t="s">
        <v>10261</v>
      </c>
      <c r="B1962" t="str">
        <f>TEXT(Raw_Data[[#This Row],[Order Date]],"mmm")</f>
        <v>Apr</v>
      </c>
      <c r="C1962" t="s">
        <v>376</v>
      </c>
      <c r="D1962" t="s">
        <v>10262</v>
      </c>
      <c r="E1962" t="s">
        <v>20</v>
      </c>
      <c r="F1962" t="s">
        <v>89</v>
      </c>
      <c r="G1962" t="s">
        <v>90</v>
      </c>
      <c r="H1962" t="s">
        <v>80</v>
      </c>
      <c r="I1962" t="s">
        <v>131</v>
      </c>
      <c r="J1962" t="s">
        <v>25</v>
      </c>
      <c r="K1962" t="s">
        <v>10263</v>
      </c>
      <c r="L1962">
        <v>0.1</v>
      </c>
      <c r="M1962" t="s">
        <v>10264</v>
      </c>
      <c r="N1962" t="s">
        <v>10265</v>
      </c>
      <c r="O1962" t="s">
        <v>173</v>
      </c>
      <c r="P1962" t="s">
        <v>159</v>
      </c>
      <c r="Q1962" t="s">
        <v>44</v>
      </c>
      <c r="R1962" s="3">
        <v>3478.41</v>
      </c>
    </row>
    <row r="1963" spans="1:18" x14ac:dyDescent="0.3">
      <c r="A1963" t="s">
        <v>10266</v>
      </c>
      <c r="B1963" t="str">
        <f>TEXT(Raw_Data[[#This Row],[Order Date]],"mmm")</f>
        <v>Feb</v>
      </c>
      <c r="C1963" t="s">
        <v>161</v>
      </c>
      <c r="D1963" t="s">
        <v>10267</v>
      </c>
      <c r="E1963" t="s">
        <v>35</v>
      </c>
      <c r="F1963" t="s">
        <v>58</v>
      </c>
      <c r="G1963" t="s">
        <v>812</v>
      </c>
      <c r="H1963" t="s">
        <v>107</v>
      </c>
      <c r="I1963" t="s">
        <v>378</v>
      </c>
      <c r="J1963" t="s">
        <v>100</v>
      </c>
      <c r="K1963" t="s">
        <v>10268</v>
      </c>
      <c r="L1963">
        <v>0.1</v>
      </c>
      <c r="M1963" t="s">
        <v>10269</v>
      </c>
      <c r="N1963" t="s">
        <v>10270</v>
      </c>
      <c r="O1963" t="s">
        <v>43</v>
      </c>
      <c r="P1963" t="s">
        <v>30</v>
      </c>
      <c r="Q1963" t="s">
        <v>44</v>
      </c>
      <c r="R1963" s="3">
        <v>32852.3849999999</v>
      </c>
    </row>
    <row r="1964" spans="1:18" x14ac:dyDescent="0.3">
      <c r="A1964" t="s">
        <v>10271</v>
      </c>
      <c r="B1964" t="str">
        <f>TEXT(Raw_Data[[#This Row],[Order Date]],"mmm")</f>
        <v>Jan</v>
      </c>
      <c r="C1964" t="s">
        <v>1296</v>
      </c>
      <c r="D1964" t="s">
        <v>10272</v>
      </c>
      <c r="E1964" t="s">
        <v>20</v>
      </c>
      <c r="F1964" t="s">
        <v>21</v>
      </c>
      <c r="G1964" t="s">
        <v>22</v>
      </c>
      <c r="H1964" t="s">
        <v>23</v>
      </c>
      <c r="I1964" t="s">
        <v>263</v>
      </c>
      <c r="J1964" t="s">
        <v>25</v>
      </c>
      <c r="K1964" t="s">
        <v>10273</v>
      </c>
      <c r="L1964">
        <v>0.1</v>
      </c>
      <c r="M1964" t="s">
        <v>10274</v>
      </c>
      <c r="N1964" t="s">
        <v>10275</v>
      </c>
      <c r="O1964" t="s">
        <v>173</v>
      </c>
      <c r="P1964" t="s">
        <v>30</v>
      </c>
      <c r="Q1964" t="s">
        <v>31</v>
      </c>
      <c r="R1964" s="3">
        <v>30897.170999999998</v>
      </c>
    </row>
    <row r="1965" spans="1:18" x14ac:dyDescent="0.3">
      <c r="A1965" t="s">
        <v>10276</v>
      </c>
      <c r="B1965" t="str">
        <f>TEXT(Raw_Data[[#This Row],[Order Date]],"mmm")</f>
        <v>May</v>
      </c>
      <c r="C1965" t="s">
        <v>1472</v>
      </c>
      <c r="D1965" t="s">
        <v>10277</v>
      </c>
      <c r="E1965" t="s">
        <v>48</v>
      </c>
      <c r="F1965" t="s">
        <v>21</v>
      </c>
      <c r="G1965" t="s">
        <v>22</v>
      </c>
      <c r="H1965" t="s">
        <v>107</v>
      </c>
      <c r="I1965" t="s">
        <v>108</v>
      </c>
      <c r="J1965" t="s">
        <v>100</v>
      </c>
      <c r="K1965" t="s">
        <v>10278</v>
      </c>
      <c r="L1965">
        <v>0.05</v>
      </c>
      <c r="M1965" t="s">
        <v>10279</v>
      </c>
      <c r="N1965" t="s">
        <v>10280</v>
      </c>
      <c r="O1965" t="s">
        <v>64</v>
      </c>
      <c r="P1965" t="s">
        <v>30</v>
      </c>
      <c r="Q1965" t="s">
        <v>31</v>
      </c>
      <c r="R1965" s="3">
        <v>12369.398999999999</v>
      </c>
    </row>
    <row r="1966" spans="1:18" x14ac:dyDescent="0.3">
      <c r="A1966" t="s">
        <v>10281</v>
      </c>
      <c r="B1966" t="str">
        <f>TEXT(Raw_Data[[#This Row],[Order Date]],"mmm")</f>
        <v>Apr</v>
      </c>
      <c r="C1966" t="s">
        <v>1904</v>
      </c>
      <c r="D1966" t="s">
        <v>10282</v>
      </c>
      <c r="E1966" t="s">
        <v>35</v>
      </c>
      <c r="F1966" t="s">
        <v>106</v>
      </c>
      <c r="G1966" t="s">
        <v>106</v>
      </c>
      <c r="H1966" t="s">
        <v>80</v>
      </c>
      <c r="I1966" t="s">
        <v>116</v>
      </c>
      <c r="J1966" t="s">
        <v>50</v>
      </c>
      <c r="K1966" t="s">
        <v>10283</v>
      </c>
      <c r="L1966">
        <v>0.05</v>
      </c>
      <c r="M1966" t="s">
        <v>10284</v>
      </c>
      <c r="N1966" t="s">
        <v>10285</v>
      </c>
      <c r="O1966" t="s">
        <v>29</v>
      </c>
      <c r="P1966" t="s">
        <v>30</v>
      </c>
      <c r="Q1966" t="s">
        <v>44</v>
      </c>
      <c r="R1966" s="3">
        <v>894.995</v>
      </c>
    </row>
    <row r="1967" spans="1:18" x14ac:dyDescent="0.3">
      <c r="A1967" t="s">
        <v>10286</v>
      </c>
      <c r="B1967" t="str">
        <f>TEXT(Raw_Data[[#This Row],[Order Date]],"mmm")</f>
        <v>Jul</v>
      </c>
      <c r="C1967" t="s">
        <v>2261</v>
      </c>
      <c r="D1967" t="s">
        <v>10287</v>
      </c>
      <c r="E1967" t="s">
        <v>20</v>
      </c>
      <c r="F1967" t="s">
        <v>21</v>
      </c>
      <c r="G1967" t="s">
        <v>130</v>
      </c>
      <c r="H1967" t="s">
        <v>107</v>
      </c>
      <c r="I1967" t="s">
        <v>277</v>
      </c>
      <c r="J1967" t="s">
        <v>25</v>
      </c>
      <c r="K1967" t="s">
        <v>10288</v>
      </c>
      <c r="L1967">
        <v>0.1</v>
      </c>
      <c r="M1967" t="s">
        <v>10289</v>
      </c>
      <c r="N1967" t="s">
        <v>10290</v>
      </c>
      <c r="O1967" t="s">
        <v>54</v>
      </c>
      <c r="P1967" t="s">
        <v>30</v>
      </c>
      <c r="Q1967" t="s">
        <v>44</v>
      </c>
      <c r="R1967" s="3">
        <v>10990.880999999999</v>
      </c>
    </row>
    <row r="1968" spans="1:18" x14ac:dyDescent="0.3">
      <c r="A1968" t="s">
        <v>10291</v>
      </c>
      <c r="B1968" t="str">
        <f>TEXT(Raw_Data[[#This Row],[Order Date]],"mmm")</f>
        <v>Feb</v>
      </c>
      <c r="C1968" t="s">
        <v>33</v>
      </c>
      <c r="D1968" t="s">
        <v>10292</v>
      </c>
      <c r="E1968" t="s">
        <v>35</v>
      </c>
      <c r="F1968" t="s">
        <v>21</v>
      </c>
      <c r="G1968" t="s">
        <v>22</v>
      </c>
      <c r="H1968" t="s">
        <v>80</v>
      </c>
      <c r="I1968" t="s">
        <v>81</v>
      </c>
      <c r="J1968" t="s">
        <v>100</v>
      </c>
      <c r="K1968" t="s">
        <v>10293</v>
      </c>
      <c r="L1968">
        <v>0.1</v>
      </c>
      <c r="M1968" t="s">
        <v>10294</v>
      </c>
      <c r="N1968" t="s">
        <v>10295</v>
      </c>
      <c r="O1968" t="s">
        <v>54</v>
      </c>
      <c r="P1968" t="s">
        <v>30</v>
      </c>
      <c r="Q1968" t="s">
        <v>44</v>
      </c>
      <c r="R1968" s="3">
        <v>13500.081</v>
      </c>
    </row>
    <row r="1969" spans="1:18" x14ac:dyDescent="0.3">
      <c r="A1969" t="s">
        <v>10296</v>
      </c>
      <c r="B1969" t="str">
        <f>TEXT(Raw_Data[[#This Row],[Order Date]],"mmm")</f>
        <v>Dec</v>
      </c>
      <c r="C1969" t="s">
        <v>2332</v>
      </c>
      <c r="D1969" t="s">
        <v>10297</v>
      </c>
      <c r="E1969" t="s">
        <v>48</v>
      </c>
      <c r="F1969" t="s">
        <v>215</v>
      </c>
      <c r="G1969" t="s">
        <v>216</v>
      </c>
      <c r="H1969" t="s">
        <v>23</v>
      </c>
      <c r="I1969" t="s">
        <v>183</v>
      </c>
      <c r="J1969" t="s">
        <v>82</v>
      </c>
      <c r="K1969" t="s">
        <v>10298</v>
      </c>
      <c r="L1969">
        <v>0</v>
      </c>
      <c r="M1969" t="s">
        <v>10299</v>
      </c>
      <c r="N1969" t="s">
        <v>10300</v>
      </c>
      <c r="O1969" t="s">
        <v>29</v>
      </c>
      <c r="P1969" t="s">
        <v>30</v>
      </c>
      <c r="Q1969" t="s">
        <v>65</v>
      </c>
      <c r="R1969" s="3">
        <v>80586.92</v>
      </c>
    </row>
    <row r="1970" spans="1:18" x14ac:dyDescent="0.3">
      <c r="A1970" t="s">
        <v>10301</v>
      </c>
      <c r="B1970" t="str">
        <f>TEXT(Raw_Data[[#This Row],[Order Date]],"mmm")</f>
        <v>Dec</v>
      </c>
      <c r="C1970" t="s">
        <v>982</v>
      </c>
      <c r="D1970" t="s">
        <v>10302</v>
      </c>
      <c r="E1970" t="s">
        <v>35</v>
      </c>
      <c r="F1970" t="s">
        <v>21</v>
      </c>
      <c r="G1970" t="s">
        <v>130</v>
      </c>
      <c r="H1970" t="s">
        <v>23</v>
      </c>
      <c r="I1970" t="s">
        <v>49</v>
      </c>
      <c r="J1970" t="s">
        <v>25</v>
      </c>
      <c r="K1970" t="s">
        <v>10303</v>
      </c>
      <c r="L1970">
        <v>0.15</v>
      </c>
      <c r="M1970" t="s">
        <v>10304</v>
      </c>
      <c r="N1970" t="s">
        <v>10305</v>
      </c>
      <c r="O1970" t="s">
        <v>29</v>
      </c>
      <c r="P1970" t="s">
        <v>112</v>
      </c>
      <c r="Q1970" t="s">
        <v>31</v>
      </c>
      <c r="R1970" s="3">
        <v>11478.1875</v>
      </c>
    </row>
    <row r="1971" spans="1:18" x14ac:dyDescent="0.3">
      <c r="A1971" t="s">
        <v>10306</v>
      </c>
      <c r="B1971" t="str">
        <f>TEXT(Raw_Data[[#This Row],[Order Date]],"mmm")</f>
        <v>Aug</v>
      </c>
      <c r="C1971" t="s">
        <v>1403</v>
      </c>
      <c r="D1971" t="s">
        <v>10307</v>
      </c>
      <c r="E1971" t="s">
        <v>20</v>
      </c>
      <c r="F1971" t="s">
        <v>69</v>
      </c>
      <c r="G1971" t="s">
        <v>139</v>
      </c>
      <c r="H1971" t="s">
        <v>80</v>
      </c>
      <c r="I1971" t="s">
        <v>131</v>
      </c>
      <c r="J1971" t="s">
        <v>100</v>
      </c>
      <c r="K1971" t="s">
        <v>10308</v>
      </c>
      <c r="L1971">
        <v>0.05</v>
      </c>
      <c r="M1971" t="s">
        <v>10309</v>
      </c>
      <c r="N1971" t="s">
        <v>10310</v>
      </c>
      <c r="O1971" t="s">
        <v>135</v>
      </c>
      <c r="P1971" t="s">
        <v>159</v>
      </c>
      <c r="Q1971" t="s">
        <v>65</v>
      </c>
      <c r="R1971" s="3">
        <v>15757.194</v>
      </c>
    </row>
    <row r="1972" spans="1:18" x14ac:dyDescent="0.3">
      <c r="A1972" t="s">
        <v>10311</v>
      </c>
      <c r="B1972" t="str">
        <f>TEXT(Raw_Data[[#This Row],[Order Date]],"mmm")</f>
        <v>Jun</v>
      </c>
      <c r="C1972" t="s">
        <v>2758</v>
      </c>
      <c r="D1972" t="s">
        <v>10312</v>
      </c>
      <c r="E1972" t="s">
        <v>20</v>
      </c>
      <c r="F1972" t="s">
        <v>78</v>
      </c>
      <c r="G1972" t="s">
        <v>79</v>
      </c>
      <c r="H1972" t="s">
        <v>23</v>
      </c>
      <c r="I1972" t="s">
        <v>263</v>
      </c>
      <c r="J1972" t="s">
        <v>25</v>
      </c>
      <c r="K1972" t="s">
        <v>10313</v>
      </c>
      <c r="L1972">
        <v>0.1</v>
      </c>
      <c r="M1972" t="s">
        <v>10314</v>
      </c>
      <c r="N1972" t="s">
        <v>10315</v>
      </c>
      <c r="O1972" t="s">
        <v>29</v>
      </c>
      <c r="P1972" t="s">
        <v>30</v>
      </c>
      <c r="Q1972" t="s">
        <v>44</v>
      </c>
      <c r="R1972" s="3">
        <v>3267.0450000000001</v>
      </c>
    </row>
    <row r="1973" spans="1:18" x14ac:dyDescent="0.3">
      <c r="A1973" t="s">
        <v>10316</v>
      </c>
      <c r="B1973" t="str">
        <f>TEXT(Raw_Data[[#This Row],[Order Date]],"mmm")</f>
        <v>Jul</v>
      </c>
      <c r="C1973" t="s">
        <v>3354</v>
      </c>
      <c r="D1973" t="s">
        <v>10317</v>
      </c>
      <c r="E1973" t="s">
        <v>35</v>
      </c>
      <c r="F1973" t="s">
        <v>58</v>
      </c>
      <c r="G1973" t="s">
        <v>812</v>
      </c>
      <c r="H1973" t="s">
        <v>107</v>
      </c>
      <c r="I1973" t="s">
        <v>108</v>
      </c>
      <c r="J1973" t="s">
        <v>25</v>
      </c>
      <c r="K1973" t="s">
        <v>10318</v>
      </c>
      <c r="L1973">
        <v>0.15</v>
      </c>
      <c r="M1973" t="s">
        <v>10319</v>
      </c>
      <c r="N1973" t="s">
        <v>10320</v>
      </c>
      <c r="O1973" t="s">
        <v>64</v>
      </c>
      <c r="P1973" t="s">
        <v>30</v>
      </c>
      <c r="Q1973" t="s">
        <v>65</v>
      </c>
      <c r="R1973" s="3">
        <v>13622.771500000001</v>
      </c>
    </row>
    <row r="1974" spans="1:18" x14ac:dyDescent="0.3">
      <c r="A1974" t="s">
        <v>10321</v>
      </c>
      <c r="B1974" t="str">
        <f>TEXT(Raw_Data[[#This Row],[Order Date]],"mmm")</f>
        <v>Jan</v>
      </c>
      <c r="C1974" t="s">
        <v>1296</v>
      </c>
      <c r="D1974" t="s">
        <v>10322</v>
      </c>
      <c r="E1974" t="s">
        <v>48</v>
      </c>
      <c r="F1974" t="s">
        <v>106</v>
      </c>
      <c r="G1974" t="s">
        <v>163</v>
      </c>
      <c r="H1974" t="s">
        <v>80</v>
      </c>
      <c r="I1974" t="s">
        <v>81</v>
      </c>
      <c r="J1974" t="s">
        <v>25</v>
      </c>
      <c r="K1974" t="s">
        <v>10323</v>
      </c>
      <c r="L1974">
        <v>0.1</v>
      </c>
      <c r="M1974" t="s">
        <v>10324</v>
      </c>
      <c r="N1974" t="s">
        <v>10325</v>
      </c>
      <c r="O1974" t="s">
        <v>54</v>
      </c>
      <c r="P1974" t="s">
        <v>30</v>
      </c>
      <c r="Q1974" t="s">
        <v>44</v>
      </c>
      <c r="R1974" s="3">
        <v>1456.596</v>
      </c>
    </row>
    <row r="1975" spans="1:18" x14ac:dyDescent="0.3">
      <c r="A1975" t="s">
        <v>10326</v>
      </c>
      <c r="B1975" t="str">
        <f>TEXT(Raw_Data[[#This Row],[Order Date]],"mmm")</f>
        <v>Aug</v>
      </c>
      <c r="C1975" t="s">
        <v>971</v>
      </c>
      <c r="D1975" t="s">
        <v>10327</v>
      </c>
      <c r="E1975" t="s">
        <v>35</v>
      </c>
      <c r="F1975" t="s">
        <v>78</v>
      </c>
      <c r="G1975" t="s">
        <v>731</v>
      </c>
      <c r="H1975" t="s">
        <v>23</v>
      </c>
      <c r="I1975" t="s">
        <v>341</v>
      </c>
      <c r="J1975" t="s">
        <v>50</v>
      </c>
      <c r="K1975" t="s">
        <v>10328</v>
      </c>
      <c r="L1975">
        <v>0.05</v>
      </c>
      <c r="M1975" t="s">
        <v>10329</v>
      </c>
      <c r="N1975" t="s">
        <v>10330</v>
      </c>
      <c r="O1975" t="s">
        <v>29</v>
      </c>
      <c r="P1975" t="s">
        <v>95</v>
      </c>
      <c r="Q1975" t="s">
        <v>31</v>
      </c>
      <c r="R1975" s="3">
        <v>37287.328999999998</v>
      </c>
    </row>
    <row r="1976" spans="1:18" x14ac:dyDescent="0.3">
      <c r="A1976" t="s">
        <v>10331</v>
      </c>
      <c r="B1976" t="str">
        <f>TEXT(Raw_Data[[#This Row],[Order Date]],"mmm")</f>
        <v>Sep</v>
      </c>
      <c r="C1976" t="s">
        <v>1570</v>
      </c>
      <c r="D1976" t="s">
        <v>10332</v>
      </c>
      <c r="E1976" t="s">
        <v>48</v>
      </c>
      <c r="F1976" t="s">
        <v>36</v>
      </c>
      <c r="G1976" t="s">
        <v>37</v>
      </c>
      <c r="H1976" t="s">
        <v>154</v>
      </c>
      <c r="I1976" t="s">
        <v>1061</v>
      </c>
      <c r="J1976" t="s">
        <v>25</v>
      </c>
      <c r="K1976" t="s">
        <v>10333</v>
      </c>
      <c r="L1976">
        <v>0</v>
      </c>
      <c r="M1976" t="s">
        <v>10334</v>
      </c>
      <c r="N1976" t="s">
        <v>10335</v>
      </c>
      <c r="O1976" t="s">
        <v>29</v>
      </c>
      <c r="P1976" t="s">
        <v>30</v>
      </c>
      <c r="Q1976" t="s">
        <v>31</v>
      </c>
      <c r="R1976" s="3">
        <v>11540.36</v>
      </c>
    </row>
    <row r="1977" spans="1:18" x14ac:dyDescent="0.3">
      <c r="A1977" t="s">
        <v>10336</v>
      </c>
      <c r="B1977" t="str">
        <f>TEXT(Raw_Data[[#This Row],[Order Date]],"mmm")</f>
        <v>May</v>
      </c>
      <c r="C1977" t="s">
        <v>874</v>
      </c>
      <c r="D1977" t="s">
        <v>10337</v>
      </c>
      <c r="E1977" t="s">
        <v>35</v>
      </c>
      <c r="F1977" t="s">
        <v>21</v>
      </c>
      <c r="G1977" t="s">
        <v>22</v>
      </c>
      <c r="H1977" t="s">
        <v>23</v>
      </c>
      <c r="I1977" t="s">
        <v>49</v>
      </c>
      <c r="J1977" t="s">
        <v>25</v>
      </c>
      <c r="K1977" t="s">
        <v>10338</v>
      </c>
      <c r="L1977">
        <v>0.05</v>
      </c>
      <c r="M1977" t="s">
        <v>10339</v>
      </c>
      <c r="N1977" t="s">
        <v>10340</v>
      </c>
      <c r="O1977" t="s">
        <v>29</v>
      </c>
      <c r="P1977" t="s">
        <v>30</v>
      </c>
      <c r="Q1977" t="s">
        <v>31</v>
      </c>
      <c r="R1977" s="3">
        <v>34298.191999999901</v>
      </c>
    </row>
    <row r="1978" spans="1:18" x14ac:dyDescent="0.3">
      <c r="A1978" t="s">
        <v>10341</v>
      </c>
      <c r="B1978" t="str">
        <f>TEXT(Raw_Data[[#This Row],[Order Date]],"mmm")</f>
        <v>Mar</v>
      </c>
      <c r="C1978" t="s">
        <v>3284</v>
      </c>
      <c r="D1978" t="s">
        <v>10342</v>
      </c>
      <c r="E1978" t="s">
        <v>48</v>
      </c>
      <c r="F1978" t="s">
        <v>89</v>
      </c>
      <c r="G1978" t="s">
        <v>90</v>
      </c>
      <c r="H1978" t="s">
        <v>107</v>
      </c>
      <c r="I1978" t="s">
        <v>469</v>
      </c>
      <c r="J1978" t="s">
        <v>25</v>
      </c>
      <c r="K1978" t="s">
        <v>10343</v>
      </c>
      <c r="L1978">
        <v>0.1</v>
      </c>
      <c r="M1978" t="s">
        <v>10344</v>
      </c>
      <c r="N1978" t="s">
        <v>10345</v>
      </c>
      <c r="O1978" t="s">
        <v>54</v>
      </c>
      <c r="P1978" t="s">
        <v>30</v>
      </c>
      <c r="Q1978" t="s">
        <v>65</v>
      </c>
      <c r="R1978" s="3">
        <v>9277.4159999999993</v>
      </c>
    </row>
    <row r="1979" spans="1:18" x14ac:dyDescent="0.3">
      <c r="A1979" t="s">
        <v>10346</v>
      </c>
      <c r="B1979" t="str">
        <f>TEXT(Raw_Data[[#This Row],[Order Date]],"mmm")</f>
        <v>Nov</v>
      </c>
      <c r="C1979" t="s">
        <v>1144</v>
      </c>
      <c r="D1979" t="s">
        <v>10347</v>
      </c>
      <c r="E1979" t="s">
        <v>35</v>
      </c>
      <c r="F1979" t="s">
        <v>69</v>
      </c>
      <c r="G1979" t="s">
        <v>139</v>
      </c>
      <c r="H1979" t="s">
        <v>80</v>
      </c>
      <c r="I1979" t="s">
        <v>116</v>
      </c>
      <c r="J1979" t="s">
        <v>50</v>
      </c>
      <c r="K1979" t="s">
        <v>10348</v>
      </c>
      <c r="L1979">
        <v>0.2</v>
      </c>
      <c r="M1979" t="s">
        <v>10349</v>
      </c>
      <c r="N1979" t="s">
        <v>10350</v>
      </c>
      <c r="O1979" t="s">
        <v>43</v>
      </c>
      <c r="P1979" t="s">
        <v>112</v>
      </c>
      <c r="Q1979" t="s">
        <v>44</v>
      </c>
      <c r="R1979" s="3">
        <v>4456.3360000000002</v>
      </c>
    </row>
    <row r="1980" spans="1:18" x14ac:dyDescent="0.3">
      <c r="A1980" t="s">
        <v>10351</v>
      </c>
      <c r="B1980" t="str">
        <f>TEXT(Raw_Data[[#This Row],[Order Date]],"mmm")</f>
        <v>Dec</v>
      </c>
      <c r="C1980" t="s">
        <v>268</v>
      </c>
      <c r="D1980" t="s">
        <v>10352</v>
      </c>
      <c r="E1980" t="s">
        <v>35</v>
      </c>
      <c r="F1980" t="s">
        <v>215</v>
      </c>
      <c r="G1980" t="s">
        <v>216</v>
      </c>
      <c r="H1980" t="s">
        <v>107</v>
      </c>
      <c r="I1980" t="s">
        <v>108</v>
      </c>
      <c r="J1980" t="s">
        <v>25</v>
      </c>
      <c r="K1980" t="s">
        <v>10353</v>
      </c>
      <c r="L1980">
        <v>0.15</v>
      </c>
      <c r="M1980" t="s">
        <v>10354</v>
      </c>
      <c r="N1980" t="s">
        <v>10355</v>
      </c>
      <c r="O1980" t="s">
        <v>29</v>
      </c>
      <c r="P1980" t="s">
        <v>30</v>
      </c>
      <c r="Q1980" t="s">
        <v>31</v>
      </c>
      <c r="R1980" s="3">
        <v>2262.6405</v>
      </c>
    </row>
    <row r="1981" spans="1:18" x14ac:dyDescent="0.3">
      <c r="A1981" t="s">
        <v>10356</v>
      </c>
      <c r="B1981" t="str">
        <f>TEXT(Raw_Data[[#This Row],[Order Date]],"mmm")</f>
        <v>Mar</v>
      </c>
      <c r="C1981" t="s">
        <v>2244</v>
      </c>
      <c r="D1981" t="s">
        <v>10357</v>
      </c>
      <c r="E1981" t="s">
        <v>20</v>
      </c>
      <c r="F1981" t="s">
        <v>58</v>
      </c>
      <c r="G1981" t="s">
        <v>290</v>
      </c>
      <c r="H1981" t="s">
        <v>23</v>
      </c>
      <c r="I1981" t="s">
        <v>183</v>
      </c>
      <c r="J1981" t="s">
        <v>25</v>
      </c>
      <c r="K1981" t="s">
        <v>10358</v>
      </c>
      <c r="L1981">
        <v>0</v>
      </c>
      <c r="M1981" t="s">
        <v>10359</v>
      </c>
      <c r="N1981" t="s">
        <v>10360</v>
      </c>
      <c r="O1981" t="s">
        <v>64</v>
      </c>
      <c r="P1981" t="s">
        <v>30</v>
      </c>
      <c r="Q1981" t="s">
        <v>65</v>
      </c>
      <c r="R1981" s="3">
        <v>35454.18</v>
      </c>
    </row>
    <row r="1982" spans="1:18" x14ac:dyDescent="0.3">
      <c r="A1982" t="s">
        <v>10361</v>
      </c>
      <c r="B1982" t="str">
        <f>TEXT(Raw_Data[[#This Row],[Order Date]],"mmm")</f>
        <v>Jul</v>
      </c>
      <c r="C1982" t="s">
        <v>1921</v>
      </c>
      <c r="D1982" t="s">
        <v>10362</v>
      </c>
      <c r="E1982" t="s">
        <v>20</v>
      </c>
      <c r="F1982" t="s">
        <v>36</v>
      </c>
      <c r="G1982" t="s">
        <v>153</v>
      </c>
      <c r="H1982" t="s">
        <v>80</v>
      </c>
      <c r="I1982" t="s">
        <v>91</v>
      </c>
      <c r="J1982" t="s">
        <v>25</v>
      </c>
      <c r="K1982" t="s">
        <v>10363</v>
      </c>
      <c r="L1982">
        <v>0.05</v>
      </c>
      <c r="M1982" t="s">
        <v>10364</v>
      </c>
      <c r="N1982" t="s">
        <v>10365</v>
      </c>
      <c r="O1982" t="s">
        <v>54</v>
      </c>
      <c r="P1982" t="s">
        <v>112</v>
      </c>
      <c r="Q1982" t="s">
        <v>65</v>
      </c>
      <c r="R1982" s="3">
        <v>4060.8319999999999</v>
      </c>
    </row>
    <row r="1983" spans="1:18" x14ac:dyDescent="0.3">
      <c r="A1983" t="s">
        <v>10366</v>
      </c>
      <c r="B1983" t="str">
        <f>TEXT(Raw_Data[[#This Row],[Order Date]],"mmm")</f>
        <v>May</v>
      </c>
      <c r="C1983" t="s">
        <v>2299</v>
      </c>
      <c r="D1983" t="s">
        <v>10367</v>
      </c>
      <c r="E1983" t="s">
        <v>48</v>
      </c>
      <c r="F1983" t="s">
        <v>69</v>
      </c>
      <c r="G1983" t="s">
        <v>328</v>
      </c>
      <c r="H1983" t="s">
        <v>38</v>
      </c>
      <c r="I1983" t="s">
        <v>256</v>
      </c>
      <c r="J1983" t="s">
        <v>100</v>
      </c>
      <c r="K1983" t="s">
        <v>10368</v>
      </c>
      <c r="L1983">
        <v>0.05</v>
      </c>
      <c r="M1983" t="s">
        <v>10369</v>
      </c>
      <c r="N1983" t="s">
        <v>9861</v>
      </c>
      <c r="O1983" t="s">
        <v>43</v>
      </c>
      <c r="P1983" t="s">
        <v>30</v>
      </c>
      <c r="Q1983" t="s">
        <v>65</v>
      </c>
      <c r="R1983" s="3">
        <v>9407.0519999999997</v>
      </c>
    </row>
    <row r="1984" spans="1:18" x14ac:dyDescent="0.3">
      <c r="A1984" t="s">
        <v>10370</v>
      </c>
      <c r="B1984" t="str">
        <f>TEXT(Raw_Data[[#This Row],[Order Date]],"mmm")</f>
        <v>Jan</v>
      </c>
      <c r="C1984" t="s">
        <v>207</v>
      </c>
      <c r="D1984" t="s">
        <v>10371</v>
      </c>
      <c r="E1984" t="s">
        <v>35</v>
      </c>
      <c r="F1984" t="s">
        <v>215</v>
      </c>
      <c r="G1984" t="s">
        <v>276</v>
      </c>
      <c r="H1984" t="s">
        <v>23</v>
      </c>
      <c r="I1984" t="s">
        <v>263</v>
      </c>
      <c r="J1984" t="s">
        <v>25</v>
      </c>
      <c r="K1984" t="s">
        <v>10372</v>
      </c>
      <c r="L1984">
        <v>0</v>
      </c>
      <c r="M1984" t="s">
        <v>10373</v>
      </c>
      <c r="N1984" t="s">
        <v>10374</v>
      </c>
      <c r="O1984" t="s">
        <v>29</v>
      </c>
      <c r="P1984" t="s">
        <v>30</v>
      </c>
      <c r="Q1984" t="s">
        <v>65</v>
      </c>
      <c r="R1984" s="3">
        <v>50186.41</v>
      </c>
    </row>
    <row r="1985" spans="1:18" x14ac:dyDescent="0.3">
      <c r="A1985" t="s">
        <v>10375</v>
      </c>
      <c r="B1985" t="str">
        <f>TEXT(Raw_Data[[#This Row],[Order Date]],"mmm")</f>
        <v>Sep</v>
      </c>
      <c r="C1985" t="s">
        <v>4639</v>
      </c>
      <c r="D1985" t="s">
        <v>10376</v>
      </c>
      <c r="E1985" t="s">
        <v>35</v>
      </c>
      <c r="F1985" t="s">
        <v>69</v>
      </c>
      <c r="G1985" t="s">
        <v>328</v>
      </c>
      <c r="H1985" t="s">
        <v>80</v>
      </c>
      <c r="I1985" t="s">
        <v>81</v>
      </c>
      <c r="J1985" t="s">
        <v>100</v>
      </c>
      <c r="K1985" t="s">
        <v>10377</v>
      </c>
      <c r="L1985">
        <v>0</v>
      </c>
      <c r="M1985" t="s">
        <v>10378</v>
      </c>
      <c r="N1985" t="s">
        <v>10379</v>
      </c>
      <c r="O1985" t="s">
        <v>64</v>
      </c>
      <c r="P1985" t="s">
        <v>30</v>
      </c>
      <c r="Q1985" t="s">
        <v>31</v>
      </c>
      <c r="R1985" s="3">
        <v>5484.8099999999904</v>
      </c>
    </row>
    <row r="1986" spans="1:18" x14ac:dyDescent="0.3">
      <c r="A1986" t="s">
        <v>10380</v>
      </c>
      <c r="B1986" t="str">
        <f>TEXT(Raw_Data[[#This Row],[Order Date]],"mmm")</f>
        <v>Jan</v>
      </c>
      <c r="C1986" t="s">
        <v>3252</v>
      </c>
      <c r="D1986" t="s">
        <v>10381</v>
      </c>
      <c r="E1986" t="s">
        <v>20</v>
      </c>
      <c r="F1986" t="s">
        <v>215</v>
      </c>
      <c r="G1986" t="s">
        <v>216</v>
      </c>
      <c r="H1986" t="s">
        <v>107</v>
      </c>
      <c r="I1986" t="s">
        <v>108</v>
      </c>
      <c r="J1986" t="s">
        <v>50</v>
      </c>
      <c r="K1986" t="s">
        <v>10382</v>
      </c>
      <c r="L1986">
        <v>0.05</v>
      </c>
      <c r="M1986" t="s">
        <v>10383</v>
      </c>
      <c r="N1986" t="s">
        <v>10384</v>
      </c>
      <c r="O1986" t="s">
        <v>54</v>
      </c>
      <c r="P1986" t="s">
        <v>30</v>
      </c>
      <c r="Q1986" t="s">
        <v>44</v>
      </c>
      <c r="R1986" s="3">
        <v>9247.1669999999995</v>
      </c>
    </row>
    <row r="1987" spans="1:18" x14ac:dyDescent="0.3">
      <c r="A1987" t="s">
        <v>10385</v>
      </c>
      <c r="B1987" t="str">
        <f>TEXT(Raw_Data[[#This Row],[Order Date]],"mmm")</f>
        <v>Jun</v>
      </c>
      <c r="C1987" t="s">
        <v>1274</v>
      </c>
      <c r="D1987" t="s">
        <v>10386</v>
      </c>
      <c r="E1987" t="s">
        <v>35</v>
      </c>
      <c r="F1987" t="s">
        <v>89</v>
      </c>
      <c r="G1987" t="s">
        <v>99</v>
      </c>
      <c r="H1987" t="s">
        <v>107</v>
      </c>
      <c r="I1987" t="s">
        <v>277</v>
      </c>
      <c r="J1987" t="s">
        <v>25</v>
      </c>
      <c r="K1987" t="s">
        <v>10387</v>
      </c>
      <c r="L1987">
        <v>0.2</v>
      </c>
      <c r="M1987" t="s">
        <v>10388</v>
      </c>
      <c r="N1987" t="s">
        <v>10389</v>
      </c>
      <c r="O1987" t="s">
        <v>54</v>
      </c>
      <c r="P1987" t="s">
        <v>30</v>
      </c>
      <c r="Q1987" t="s">
        <v>31</v>
      </c>
      <c r="R1987" s="3">
        <v>9681.0879999999997</v>
      </c>
    </row>
    <row r="1988" spans="1:18" x14ac:dyDescent="0.3">
      <c r="A1988" t="s">
        <v>10390</v>
      </c>
      <c r="B1988" t="str">
        <f>TEXT(Raw_Data[[#This Row],[Order Date]],"mmm")</f>
        <v>Jul</v>
      </c>
      <c r="C1988" t="s">
        <v>3049</v>
      </c>
      <c r="D1988" t="s">
        <v>10391</v>
      </c>
      <c r="E1988" t="s">
        <v>48</v>
      </c>
      <c r="F1988" t="s">
        <v>58</v>
      </c>
      <c r="G1988" t="s">
        <v>290</v>
      </c>
      <c r="H1988" t="s">
        <v>23</v>
      </c>
      <c r="I1988" t="s">
        <v>183</v>
      </c>
      <c r="J1988" t="s">
        <v>25</v>
      </c>
      <c r="K1988" t="s">
        <v>10392</v>
      </c>
      <c r="L1988">
        <v>0.1</v>
      </c>
      <c r="M1988" t="s">
        <v>10393</v>
      </c>
      <c r="N1988" t="s">
        <v>10394</v>
      </c>
      <c r="O1988" t="s">
        <v>43</v>
      </c>
      <c r="P1988" t="s">
        <v>112</v>
      </c>
      <c r="Q1988" t="s">
        <v>44</v>
      </c>
      <c r="R1988" s="3">
        <v>21306.6</v>
      </c>
    </row>
    <row r="1989" spans="1:18" x14ac:dyDescent="0.3">
      <c r="A1989" t="s">
        <v>10395</v>
      </c>
      <c r="B1989" t="str">
        <f>TEXT(Raw_Data[[#This Row],[Order Date]],"mmm")</f>
        <v>Jan</v>
      </c>
      <c r="C1989" t="s">
        <v>1414</v>
      </c>
      <c r="D1989" t="s">
        <v>10396</v>
      </c>
      <c r="E1989" t="s">
        <v>35</v>
      </c>
      <c r="F1989" t="s">
        <v>89</v>
      </c>
      <c r="G1989" t="s">
        <v>230</v>
      </c>
      <c r="H1989" t="s">
        <v>80</v>
      </c>
      <c r="I1989" t="s">
        <v>116</v>
      </c>
      <c r="J1989" t="s">
        <v>25</v>
      </c>
      <c r="K1989" t="s">
        <v>10397</v>
      </c>
      <c r="L1989">
        <v>0.15</v>
      </c>
      <c r="M1989" t="s">
        <v>10398</v>
      </c>
      <c r="N1989" t="s">
        <v>10399</v>
      </c>
      <c r="O1989" t="s">
        <v>43</v>
      </c>
      <c r="P1989" t="s">
        <v>30</v>
      </c>
      <c r="Q1989" t="s">
        <v>44</v>
      </c>
      <c r="R1989" s="3">
        <v>4986.9925000000003</v>
      </c>
    </row>
    <row r="1990" spans="1:18" x14ac:dyDescent="0.3">
      <c r="A1990" t="s">
        <v>10400</v>
      </c>
      <c r="B1990" t="str">
        <f>TEXT(Raw_Data[[#This Row],[Order Date]],"mmm")</f>
        <v>Aug</v>
      </c>
      <c r="C1990" t="s">
        <v>151</v>
      </c>
      <c r="D1990" t="s">
        <v>10401</v>
      </c>
      <c r="E1990" t="s">
        <v>20</v>
      </c>
      <c r="F1990" t="s">
        <v>69</v>
      </c>
      <c r="G1990" t="s">
        <v>328</v>
      </c>
      <c r="H1990" t="s">
        <v>154</v>
      </c>
      <c r="I1990" t="s">
        <v>309</v>
      </c>
      <c r="J1990" t="s">
        <v>25</v>
      </c>
      <c r="K1990" t="s">
        <v>10402</v>
      </c>
      <c r="L1990">
        <v>0</v>
      </c>
      <c r="M1990" t="s">
        <v>10403</v>
      </c>
      <c r="N1990" t="s">
        <v>10404</v>
      </c>
      <c r="O1990" t="s">
        <v>29</v>
      </c>
      <c r="P1990" t="s">
        <v>30</v>
      </c>
      <c r="Q1990" t="s">
        <v>44</v>
      </c>
      <c r="R1990" s="3">
        <v>10886.57</v>
      </c>
    </row>
    <row r="1991" spans="1:18" x14ac:dyDescent="0.3">
      <c r="A1991" t="s">
        <v>10405</v>
      </c>
      <c r="B1991" t="str">
        <f>TEXT(Raw_Data[[#This Row],[Order Date]],"mmm")</f>
        <v>Jun</v>
      </c>
      <c r="C1991" t="s">
        <v>1862</v>
      </c>
      <c r="D1991" t="s">
        <v>10406</v>
      </c>
      <c r="E1991" t="s">
        <v>48</v>
      </c>
      <c r="F1991" t="s">
        <v>69</v>
      </c>
      <c r="G1991" t="s">
        <v>70</v>
      </c>
      <c r="H1991" t="s">
        <v>80</v>
      </c>
      <c r="I1991" t="s">
        <v>131</v>
      </c>
      <c r="J1991" t="s">
        <v>25</v>
      </c>
      <c r="K1991" t="s">
        <v>10407</v>
      </c>
      <c r="L1991">
        <v>0.15</v>
      </c>
      <c r="M1991" t="s">
        <v>10408</v>
      </c>
      <c r="N1991" t="s">
        <v>10409</v>
      </c>
      <c r="O1991" t="s">
        <v>43</v>
      </c>
      <c r="P1991" t="s">
        <v>30</v>
      </c>
      <c r="Q1991" t="s">
        <v>65</v>
      </c>
      <c r="R1991" s="3">
        <v>1316.4969999999901</v>
      </c>
    </row>
    <row r="1992" spans="1:18" x14ac:dyDescent="0.3">
      <c r="A1992" t="s">
        <v>10410</v>
      </c>
      <c r="B1992" t="str">
        <f>TEXT(Raw_Data[[#This Row],[Order Date]],"mmm")</f>
        <v>Jul</v>
      </c>
      <c r="C1992" t="s">
        <v>3575</v>
      </c>
      <c r="D1992" t="s">
        <v>10411</v>
      </c>
      <c r="E1992" t="s">
        <v>20</v>
      </c>
      <c r="F1992" t="s">
        <v>106</v>
      </c>
      <c r="G1992" t="s">
        <v>163</v>
      </c>
      <c r="H1992" t="s">
        <v>38</v>
      </c>
      <c r="I1992" t="s">
        <v>39</v>
      </c>
      <c r="J1992" t="s">
        <v>50</v>
      </c>
      <c r="K1992" t="s">
        <v>10412</v>
      </c>
      <c r="L1992">
        <v>0</v>
      </c>
      <c r="M1992" t="s">
        <v>10413</v>
      </c>
      <c r="N1992" t="s">
        <v>10414</v>
      </c>
      <c r="O1992" t="s">
        <v>173</v>
      </c>
      <c r="P1992" t="s">
        <v>30</v>
      </c>
      <c r="Q1992" t="s">
        <v>31</v>
      </c>
      <c r="R1992" s="3">
        <v>2509.36</v>
      </c>
    </row>
    <row r="1993" spans="1:18" x14ac:dyDescent="0.3">
      <c r="A1993" t="s">
        <v>10415</v>
      </c>
      <c r="B1993" t="str">
        <f>TEXT(Raw_Data[[#This Row],[Order Date]],"mmm")</f>
        <v>Jul</v>
      </c>
      <c r="C1993" t="s">
        <v>2261</v>
      </c>
      <c r="D1993" t="s">
        <v>10416</v>
      </c>
      <c r="E1993" t="s">
        <v>48</v>
      </c>
      <c r="F1993" t="s">
        <v>69</v>
      </c>
      <c r="G1993" t="s">
        <v>328</v>
      </c>
      <c r="H1993" t="s">
        <v>80</v>
      </c>
      <c r="I1993" t="s">
        <v>91</v>
      </c>
      <c r="J1993" t="s">
        <v>100</v>
      </c>
      <c r="K1993" t="s">
        <v>10417</v>
      </c>
      <c r="L1993">
        <v>0</v>
      </c>
      <c r="M1993" t="s">
        <v>10418</v>
      </c>
      <c r="N1993" t="s">
        <v>10419</v>
      </c>
      <c r="O1993" t="s">
        <v>54</v>
      </c>
      <c r="P1993" t="s">
        <v>30</v>
      </c>
      <c r="Q1993" t="s">
        <v>65</v>
      </c>
      <c r="R1993" s="3">
        <v>11554.65</v>
      </c>
    </row>
    <row r="1994" spans="1:18" x14ac:dyDescent="0.3">
      <c r="A1994" t="s">
        <v>10420</v>
      </c>
      <c r="B1994" t="str">
        <f>TEXT(Raw_Data[[#This Row],[Order Date]],"mmm")</f>
        <v>Jun</v>
      </c>
      <c r="C1994" t="s">
        <v>2586</v>
      </c>
      <c r="D1994" t="s">
        <v>10421</v>
      </c>
      <c r="E1994" t="s">
        <v>48</v>
      </c>
      <c r="F1994" t="s">
        <v>36</v>
      </c>
      <c r="G1994" t="s">
        <v>123</v>
      </c>
      <c r="H1994" t="s">
        <v>154</v>
      </c>
      <c r="I1994" t="s">
        <v>309</v>
      </c>
      <c r="J1994" t="s">
        <v>82</v>
      </c>
      <c r="K1994" t="s">
        <v>10422</v>
      </c>
      <c r="L1994">
        <v>0</v>
      </c>
      <c r="M1994" t="s">
        <v>10423</v>
      </c>
      <c r="N1994" t="s">
        <v>10424</v>
      </c>
      <c r="O1994" t="s">
        <v>54</v>
      </c>
      <c r="P1994" t="s">
        <v>30</v>
      </c>
      <c r="Q1994" t="s">
        <v>44</v>
      </c>
      <c r="R1994" s="3">
        <v>25630.16</v>
      </c>
    </row>
    <row r="1995" spans="1:18" x14ac:dyDescent="0.3">
      <c r="A1995" t="s">
        <v>10425</v>
      </c>
      <c r="B1995" t="str">
        <f>TEXT(Raw_Data[[#This Row],[Order Date]],"mmm")</f>
        <v>Feb</v>
      </c>
      <c r="C1995" t="s">
        <v>1087</v>
      </c>
      <c r="D1995" t="s">
        <v>10426</v>
      </c>
      <c r="E1995" t="s">
        <v>48</v>
      </c>
      <c r="F1995" t="s">
        <v>89</v>
      </c>
      <c r="G1995" t="s">
        <v>230</v>
      </c>
      <c r="H1995" t="s">
        <v>107</v>
      </c>
      <c r="I1995" t="s">
        <v>591</v>
      </c>
      <c r="J1995" t="s">
        <v>25</v>
      </c>
      <c r="K1995" t="s">
        <v>10427</v>
      </c>
      <c r="L1995">
        <v>0</v>
      </c>
      <c r="M1995" t="s">
        <v>10428</v>
      </c>
      <c r="N1995" t="s">
        <v>10429</v>
      </c>
      <c r="O1995" t="s">
        <v>64</v>
      </c>
      <c r="P1995" t="s">
        <v>30</v>
      </c>
      <c r="Q1995" t="s">
        <v>44</v>
      </c>
      <c r="R1995" s="3">
        <v>10117.120000000001</v>
      </c>
    </row>
    <row r="1996" spans="1:18" x14ac:dyDescent="0.3">
      <c r="A1996" t="s">
        <v>10430</v>
      </c>
      <c r="B1996" t="str">
        <f>TEXT(Raw_Data[[#This Row],[Order Date]],"mmm")</f>
        <v>Sep</v>
      </c>
      <c r="C1996" t="s">
        <v>663</v>
      </c>
      <c r="D1996" t="s">
        <v>10431</v>
      </c>
      <c r="E1996" t="s">
        <v>35</v>
      </c>
      <c r="F1996" t="s">
        <v>36</v>
      </c>
      <c r="G1996" t="s">
        <v>153</v>
      </c>
      <c r="H1996" t="s">
        <v>80</v>
      </c>
      <c r="I1996" t="s">
        <v>81</v>
      </c>
      <c r="J1996" t="s">
        <v>100</v>
      </c>
      <c r="K1996" t="s">
        <v>10432</v>
      </c>
      <c r="L1996">
        <v>0.2</v>
      </c>
      <c r="M1996" t="s">
        <v>10433</v>
      </c>
      <c r="N1996" t="s">
        <v>10434</v>
      </c>
      <c r="O1996" t="s">
        <v>54</v>
      </c>
      <c r="P1996" t="s">
        <v>30</v>
      </c>
      <c r="Q1996" t="s">
        <v>31</v>
      </c>
      <c r="R1996" s="3">
        <v>1856.4960000000001</v>
      </c>
    </row>
    <row r="1997" spans="1:18" x14ac:dyDescent="0.3">
      <c r="A1997" t="s">
        <v>10435</v>
      </c>
      <c r="B1997" t="str">
        <f>TEXT(Raw_Data[[#This Row],[Order Date]],"mmm")</f>
        <v>Aug</v>
      </c>
      <c r="C1997" t="s">
        <v>1680</v>
      </c>
      <c r="D1997" t="s">
        <v>10436</v>
      </c>
      <c r="E1997" t="s">
        <v>48</v>
      </c>
      <c r="F1997" t="s">
        <v>78</v>
      </c>
      <c r="G1997" t="s">
        <v>731</v>
      </c>
      <c r="H1997" t="s">
        <v>23</v>
      </c>
      <c r="I1997" t="s">
        <v>49</v>
      </c>
      <c r="J1997" t="s">
        <v>82</v>
      </c>
      <c r="K1997" t="s">
        <v>10437</v>
      </c>
      <c r="L1997">
        <v>0.1</v>
      </c>
      <c r="M1997" t="s">
        <v>10438</v>
      </c>
      <c r="N1997" t="s">
        <v>10439</v>
      </c>
      <c r="O1997" t="s">
        <v>54</v>
      </c>
      <c r="P1997" t="s">
        <v>30</v>
      </c>
      <c r="Q1997" t="s">
        <v>65</v>
      </c>
      <c r="R1997" s="3">
        <v>16514.063999999998</v>
      </c>
    </row>
    <row r="1998" spans="1:18" x14ac:dyDescent="0.3">
      <c r="A1998" t="s">
        <v>10440</v>
      </c>
      <c r="B1998" t="str">
        <f>TEXT(Raw_Data[[#This Row],[Order Date]],"mmm")</f>
        <v>Oct</v>
      </c>
      <c r="C1998" t="s">
        <v>5733</v>
      </c>
      <c r="D1998" t="s">
        <v>10441</v>
      </c>
      <c r="E1998" t="s">
        <v>20</v>
      </c>
      <c r="F1998" t="s">
        <v>36</v>
      </c>
      <c r="G1998" t="s">
        <v>153</v>
      </c>
      <c r="H1998" t="s">
        <v>38</v>
      </c>
      <c r="I1998" t="s">
        <v>39</v>
      </c>
      <c r="J1998" t="s">
        <v>25</v>
      </c>
      <c r="K1998" t="s">
        <v>10442</v>
      </c>
      <c r="L1998">
        <v>0.1</v>
      </c>
      <c r="M1998" t="s">
        <v>10443</v>
      </c>
      <c r="N1998" t="s">
        <v>10444</v>
      </c>
      <c r="O1998" t="s">
        <v>43</v>
      </c>
      <c r="P1998" t="s">
        <v>30</v>
      </c>
      <c r="Q1998" t="s">
        <v>31</v>
      </c>
      <c r="R1998" s="3">
        <v>4932.8010000000004</v>
      </c>
    </row>
    <row r="1999" spans="1:18" x14ac:dyDescent="0.3">
      <c r="A1999" t="s">
        <v>10445</v>
      </c>
      <c r="B1999" t="str">
        <f>TEXT(Raw_Data[[#This Row],[Order Date]],"mmm")</f>
        <v>Dec</v>
      </c>
      <c r="C1999" t="s">
        <v>2206</v>
      </c>
      <c r="D1999" t="s">
        <v>10446</v>
      </c>
      <c r="E1999" t="s">
        <v>48</v>
      </c>
      <c r="F1999" t="s">
        <v>89</v>
      </c>
      <c r="G1999" t="s">
        <v>90</v>
      </c>
      <c r="H1999" t="s">
        <v>107</v>
      </c>
      <c r="I1999" t="s">
        <v>277</v>
      </c>
      <c r="J1999" t="s">
        <v>100</v>
      </c>
      <c r="K1999" t="s">
        <v>10447</v>
      </c>
      <c r="L1999">
        <v>0</v>
      </c>
      <c r="M1999" t="s">
        <v>10448</v>
      </c>
      <c r="N1999" t="s">
        <v>10449</v>
      </c>
      <c r="O1999" t="s">
        <v>173</v>
      </c>
      <c r="P1999" t="s">
        <v>30</v>
      </c>
      <c r="Q1999" t="s">
        <v>44</v>
      </c>
      <c r="R1999" s="3">
        <v>26346.81</v>
      </c>
    </row>
    <row r="2000" spans="1:18" x14ac:dyDescent="0.3">
      <c r="A2000" t="s">
        <v>10450</v>
      </c>
      <c r="B2000" t="str">
        <f>TEXT(Raw_Data[[#This Row],[Order Date]],"mmm")</f>
        <v>Sep</v>
      </c>
      <c r="C2000" t="s">
        <v>1397</v>
      </c>
      <c r="D2000" t="s">
        <v>10451</v>
      </c>
      <c r="E2000" t="s">
        <v>20</v>
      </c>
      <c r="F2000" t="s">
        <v>36</v>
      </c>
      <c r="G2000" t="s">
        <v>414</v>
      </c>
      <c r="H2000" t="s">
        <v>38</v>
      </c>
      <c r="I2000" t="s">
        <v>39</v>
      </c>
      <c r="J2000" t="s">
        <v>25</v>
      </c>
      <c r="K2000" t="s">
        <v>10452</v>
      </c>
      <c r="L2000">
        <v>0.15</v>
      </c>
      <c r="M2000" t="s">
        <v>10453</v>
      </c>
      <c r="N2000" t="s">
        <v>10454</v>
      </c>
      <c r="O2000" t="s">
        <v>54</v>
      </c>
      <c r="P2000" t="s">
        <v>159</v>
      </c>
      <c r="Q2000" t="s">
        <v>65</v>
      </c>
      <c r="R2000" s="3">
        <v>811.12099999999998</v>
      </c>
    </row>
    <row r="2001" spans="1:18" x14ac:dyDescent="0.3">
      <c r="A2001" t="s">
        <v>10455</v>
      </c>
      <c r="B2001" t="str">
        <f>TEXT(Raw_Data[[#This Row],[Order Date]],"mmm")</f>
        <v>May</v>
      </c>
      <c r="C2001" t="s">
        <v>2693</v>
      </c>
      <c r="D2001" t="s">
        <v>10456</v>
      </c>
      <c r="E2001" t="s">
        <v>20</v>
      </c>
      <c r="F2001" t="s">
        <v>106</v>
      </c>
      <c r="G2001" t="s">
        <v>163</v>
      </c>
      <c r="H2001" t="s">
        <v>23</v>
      </c>
      <c r="I2001" t="s">
        <v>49</v>
      </c>
      <c r="J2001" t="s">
        <v>50</v>
      </c>
      <c r="K2001" t="s">
        <v>10457</v>
      </c>
      <c r="L2001">
        <v>0.15</v>
      </c>
      <c r="M2001" t="s">
        <v>10458</v>
      </c>
      <c r="N2001" t="s">
        <v>10459</v>
      </c>
      <c r="O2001" t="s">
        <v>173</v>
      </c>
      <c r="P2001" t="s">
        <v>30</v>
      </c>
      <c r="Q2001" t="s">
        <v>65</v>
      </c>
      <c r="R2001" s="3">
        <v>113138.689</v>
      </c>
    </row>
    <row r="2002" spans="1:18" x14ac:dyDescent="0.3">
      <c r="A2002" t="s">
        <v>10460</v>
      </c>
      <c r="B2002" t="str">
        <f>TEXT(Raw_Data[[#This Row],[Order Date]],"mmm")</f>
        <v>Nov</v>
      </c>
      <c r="C2002" t="s">
        <v>1775</v>
      </c>
      <c r="D2002" t="s">
        <v>10461</v>
      </c>
      <c r="E2002" t="s">
        <v>20</v>
      </c>
      <c r="F2002" t="s">
        <v>36</v>
      </c>
      <c r="G2002" t="s">
        <v>196</v>
      </c>
      <c r="H2002" t="s">
        <v>23</v>
      </c>
      <c r="I2002" t="s">
        <v>24</v>
      </c>
      <c r="J2002" t="s">
        <v>25</v>
      </c>
      <c r="K2002" t="s">
        <v>10462</v>
      </c>
      <c r="L2002">
        <v>0.1</v>
      </c>
      <c r="M2002" t="s">
        <v>10463</v>
      </c>
      <c r="N2002" t="s">
        <v>10464</v>
      </c>
      <c r="O2002" t="s">
        <v>173</v>
      </c>
      <c r="P2002" t="s">
        <v>30</v>
      </c>
      <c r="Q2002" t="s">
        <v>31</v>
      </c>
      <c r="R2002" s="3">
        <v>59115.1859999999</v>
      </c>
    </row>
    <row r="2003" spans="1:18" x14ac:dyDescent="0.3">
      <c r="A2003" t="s">
        <v>10465</v>
      </c>
      <c r="B2003" t="str">
        <f>TEXT(Raw_Data[[#This Row],[Order Date]],"mmm")</f>
        <v>Nov</v>
      </c>
      <c r="C2003" t="s">
        <v>5647</v>
      </c>
      <c r="D2003" t="s">
        <v>10466</v>
      </c>
      <c r="E2003" t="s">
        <v>20</v>
      </c>
      <c r="F2003" t="s">
        <v>36</v>
      </c>
      <c r="G2003" t="s">
        <v>37</v>
      </c>
      <c r="H2003" t="s">
        <v>80</v>
      </c>
      <c r="I2003" t="s">
        <v>131</v>
      </c>
      <c r="J2003" t="s">
        <v>50</v>
      </c>
      <c r="K2003" t="s">
        <v>10467</v>
      </c>
      <c r="L2003">
        <v>0.15</v>
      </c>
      <c r="M2003" t="s">
        <v>10468</v>
      </c>
      <c r="N2003" t="s">
        <v>10469</v>
      </c>
      <c r="O2003" t="s">
        <v>29</v>
      </c>
      <c r="P2003" t="s">
        <v>30</v>
      </c>
      <c r="Q2003" t="s">
        <v>44</v>
      </c>
      <c r="R2003" s="3">
        <v>6678.8409999999903</v>
      </c>
    </row>
    <row r="2004" spans="1:18" x14ac:dyDescent="0.3">
      <c r="A2004" t="s">
        <v>10470</v>
      </c>
      <c r="B2004" t="str">
        <f>TEXT(Raw_Data[[#This Row],[Order Date]],"mmm")</f>
        <v>Jan</v>
      </c>
      <c r="C2004" t="s">
        <v>254</v>
      </c>
      <c r="D2004" t="s">
        <v>10471</v>
      </c>
      <c r="E2004" t="s">
        <v>20</v>
      </c>
      <c r="F2004" t="s">
        <v>36</v>
      </c>
      <c r="G2004" t="s">
        <v>123</v>
      </c>
      <c r="H2004" t="s">
        <v>80</v>
      </c>
      <c r="I2004" t="s">
        <v>131</v>
      </c>
      <c r="J2004" t="s">
        <v>25</v>
      </c>
      <c r="K2004" t="s">
        <v>10472</v>
      </c>
      <c r="L2004">
        <v>0.05</v>
      </c>
      <c r="M2004" t="s">
        <v>10473</v>
      </c>
      <c r="N2004" t="s">
        <v>10474</v>
      </c>
      <c r="O2004" t="s">
        <v>173</v>
      </c>
      <c r="P2004" t="s">
        <v>30</v>
      </c>
      <c r="Q2004" t="s">
        <v>44</v>
      </c>
      <c r="R2004" s="3">
        <v>1581.53149999999</v>
      </c>
    </row>
    <row r="2005" spans="1:18" x14ac:dyDescent="0.3">
      <c r="A2005" t="s">
        <v>10475</v>
      </c>
      <c r="B2005" t="str">
        <f>TEXT(Raw_Data[[#This Row],[Order Date]],"mmm")</f>
        <v>Sep</v>
      </c>
      <c r="C2005" t="s">
        <v>2151</v>
      </c>
      <c r="D2005" t="s">
        <v>10476</v>
      </c>
      <c r="E2005" t="s">
        <v>48</v>
      </c>
      <c r="F2005" t="s">
        <v>78</v>
      </c>
      <c r="G2005" t="s">
        <v>79</v>
      </c>
      <c r="H2005" t="s">
        <v>80</v>
      </c>
      <c r="I2005" t="s">
        <v>116</v>
      </c>
      <c r="J2005" t="s">
        <v>50</v>
      </c>
      <c r="K2005" t="s">
        <v>10477</v>
      </c>
      <c r="L2005">
        <v>0</v>
      </c>
      <c r="M2005" t="s">
        <v>10478</v>
      </c>
      <c r="N2005" t="s">
        <v>10479</v>
      </c>
      <c r="O2005" t="s">
        <v>43</v>
      </c>
      <c r="P2005" t="s">
        <v>112</v>
      </c>
      <c r="Q2005" t="s">
        <v>31</v>
      </c>
      <c r="R2005" s="3">
        <v>3848.28</v>
      </c>
    </row>
    <row r="2006" spans="1:18" x14ac:dyDescent="0.3">
      <c r="A2006" t="s">
        <v>10480</v>
      </c>
      <c r="B2006" t="str">
        <f>TEXT(Raw_Data[[#This Row],[Order Date]],"mmm")</f>
        <v>Jan</v>
      </c>
      <c r="C2006" t="s">
        <v>780</v>
      </c>
      <c r="D2006" t="s">
        <v>10481</v>
      </c>
      <c r="E2006" t="s">
        <v>48</v>
      </c>
      <c r="F2006" t="s">
        <v>215</v>
      </c>
      <c r="G2006" t="s">
        <v>276</v>
      </c>
      <c r="H2006" t="s">
        <v>107</v>
      </c>
      <c r="I2006" t="s">
        <v>469</v>
      </c>
      <c r="J2006" t="s">
        <v>25</v>
      </c>
      <c r="K2006" t="s">
        <v>10482</v>
      </c>
      <c r="L2006">
        <v>0</v>
      </c>
      <c r="M2006" t="s">
        <v>10483</v>
      </c>
      <c r="N2006" t="s">
        <v>10484</v>
      </c>
      <c r="O2006" t="s">
        <v>173</v>
      </c>
      <c r="P2006" t="s">
        <v>30</v>
      </c>
      <c r="Q2006" t="s">
        <v>31</v>
      </c>
      <c r="R2006" s="3">
        <v>6812.32</v>
      </c>
    </row>
    <row r="2007" spans="1:18" x14ac:dyDescent="0.3">
      <c r="A2007" t="s">
        <v>10485</v>
      </c>
      <c r="B2007" t="str">
        <f>TEXT(Raw_Data[[#This Row],[Order Date]],"mmm")</f>
        <v>Oct</v>
      </c>
      <c r="C2007" t="s">
        <v>1846</v>
      </c>
      <c r="D2007" t="s">
        <v>10486</v>
      </c>
      <c r="E2007" t="s">
        <v>20</v>
      </c>
      <c r="F2007" t="s">
        <v>58</v>
      </c>
      <c r="G2007" t="s">
        <v>290</v>
      </c>
      <c r="H2007" t="s">
        <v>107</v>
      </c>
      <c r="I2007" t="s">
        <v>108</v>
      </c>
      <c r="J2007" t="s">
        <v>82</v>
      </c>
      <c r="K2007" t="s">
        <v>10487</v>
      </c>
      <c r="L2007">
        <v>0.15</v>
      </c>
      <c r="M2007" t="s">
        <v>10488</v>
      </c>
      <c r="N2007" t="s">
        <v>10489</v>
      </c>
      <c r="O2007" t="s">
        <v>64</v>
      </c>
      <c r="P2007" t="s">
        <v>30</v>
      </c>
      <c r="Q2007" t="s">
        <v>31</v>
      </c>
      <c r="R2007" s="3">
        <v>25408.063999999998</v>
      </c>
    </row>
    <row r="2008" spans="1:18" x14ac:dyDescent="0.3">
      <c r="A2008" t="s">
        <v>10490</v>
      </c>
      <c r="B2008" t="str">
        <f>TEXT(Raw_Data[[#This Row],[Order Date]],"mmm")</f>
        <v>Dec</v>
      </c>
      <c r="C2008" t="s">
        <v>268</v>
      </c>
      <c r="D2008" t="s">
        <v>10491</v>
      </c>
      <c r="E2008" t="s">
        <v>6036</v>
      </c>
      <c r="F2008" t="s">
        <v>21</v>
      </c>
      <c r="G2008" t="s">
        <v>22</v>
      </c>
      <c r="H2008" t="s">
        <v>80</v>
      </c>
      <c r="I2008" t="s">
        <v>131</v>
      </c>
      <c r="J2008" t="s">
        <v>25</v>
      </c>
      <c r="K2008" t="s">
        <v>10492</v>
      </c>
      <c r="L2008">
        <v>0.15</v>
      </c>
      <c r="M2008" t="s">
        <v>10493</v>
      </c>
      <c r="N2008" t="s">
        <v>10494</v>
      </c>
      <c r="O2008" t="s">
        <v>29</v>
      </c>
      <c r="P2008" t="s">
        <v>159</v>
      </c>
      <c r="Q2008" t="s">
        <v>65</v>
      </c>
      <c r="R2008" s="3">
        <v>2290.5884999999998</v>
      </c>
    </row>
    <row r="2009" spans="1:18" x14ac:dyDescent="0.3">
      <c r="A2009" t="s">
        <v>10495</v>
      </c>
      <c r="B2009" t="str">
        <f>TEXT(Raw_Data[[#This Row],[Order Date]],"mmm")</f>
        <v>Mar</v>
      </c>
      <c r="C2009" t="s">
        <v>602</v>
      </c>
      <c r="D2009" t="s">
        <v>10496</v>
      </c>
      <c r="E2009" t="s">
        <v>20</v>
      </c>
      <c r="F2009" t="s">
        <v>78</v>
      </c>
      <c r="G2009" t="s">
        <v>731</v>
      </c>
      <c r="H2009" t="s">
        <v>38</v>
      </c>
      <c r="I2009" t="s">
        <v>39</v>
      </c>
      <c r="J2009" t="s">
        <v>25</v>
      </c>
      <c r="K2009" t="s">
        <v>10497</v>
      </c>
      <c r="L2009">
        <v>0.1</v>
      </c>
      <c r="M2009" t="s">
        <v>10498</v>
      </c>
      <c r="N2009" t="s">
        <v>10499</v>
      </c>
      <c r="O2009" t="s">
        <v>54</v>
      </c>
      <c r="P2009" t="s">
        <v>30</v>
      </c>
      <c r="Q2009" t="s">
        <v>65</v>
      </c>
      <c r="R2009" s="3">
        <v>1093.383</v>
      </c>
    </row>
    <row r="2010" spans="1:18" x14ac:dyDescent="0.3">
      <c r="A2010" t="s">
        <v>10500</v>
      </c>
      <c r="B2010" t="str">
        <f>TEXT(Raw_Data[[#This Row],[Order Date]],"mmm")</f>
        <v>Jun</v>
      </c>
      <c r="C2010" t="s">
        <v>3263</v>
      </c>
      <c r="D2010" t="s">
        <v>10501</v>
      </c>
      <c r="E2010" t="s">
        <v>20</v>
      </c>
      <c r="F2010" t="s">
        <v>58</v>
      </c>
      <c r="G2010" t="s">
        <v>59</v>
      </c>
      <c r="H2010" t="s">
        <v>23</v>
      </c>
      <c r="I2010" t="s">
        <v>341</v>
      </c>
      <c r="J2010" t="s">
        <v>100</v>
      </c>
      <c r="K2010" t="s">
        <v>10502</v>
      </c>
      <c r="L2010">
        <v>0</v>
      </c>
      <c r="M2010" t="s">
        <v>10503</v>
      </c>
      <c r="N2010" t="s">
        <v>10504</v>
      </c>
      <c r="O2010" t="s">
        <v>54</v>
      </c>
      <c r="P2010" t="s">
        <v>112</v>
      </c>
      <c r="Q2010" t="s">
        <v>31</v>
      </c>
      <c r="R2010" s="3">
        <v>177365.66999999899</v>
      </c>
    </row>
    <row r="2011" spans="1:18" x14ac:dyDescent="0.3">
      <c r="A2011" t="s">
        <v>10505</v>
      </c>
      <c r="B2011" t="str">
        <f>TEXT(Raw_Data[[#This Row],[Order Date]],"mmm")</f>
        <v>Jul</v>
      </c>
      <c r="C2011" t="s">
        <v>114</v>
      </c>
      <c r="D2011" t="s">
        <v>10506</v>
      </c>
      <c r="E2011" t="s">
        <v>20</v>
      </c>
      <c r="F2011" t="s">
        <v>89</v>
      </c>
      <c r="G2011" t="s">
        <v>99</v>
      </c>
      <c r="H2011" t="s">
        <v>154</v>
      </c>
      <c r="I2011" t="s">
        <v>365</v>
      </c>
      <c r="J2011" t="s">
        <v>100</v>
      </c>
      <c r="K2011" t="s">
        <v>10507</v>
      </c>
      <c r="L2011">
        <v>0.1</v>
      </c>
      <c r="M2011" t="s">
        <v>10508</v>
      </c>
      <c r="N2011" t="s">
        <v>10509</v>
      </c>
      <c r="O2011" t="s">
        <v>43</v>
      </c>
      <c r="P2011" t="s">
        <v>95</v>
      </c>
      <c r="Q2011" t="s">
        <v>31</v>
      </c>
      <c r="R2011" s="3">
        <v>17336.16</v>
      </c>
    </row>
    <row r="2012" spans="1:18" x14ac:dyDescent="0.3">
      <c r="A2012" t="s">
        <v>10510</v>
      </c>
      <c r="B2012" t="str">
        <f>TEXT(Raw_Data[[#This Row],[Order Date]],"mmm")</f>
        <v>Oct</v>
      </c>
      <c r="C2012" t="s">
        <v>2052</v>
      </c>
      <c r="D2012" t="s">
        <v>10511</v>
      </c>
      <c r="E2012" t="s">
        <v>48</v>
      </c>
      <c r="F2012" t="s">
        <v>215</v>
      </c>
      <c r="G2012" t="s">
        <v>276</v>
      </c>
      <c r="H2012" t="s">
        <v>107</v>
      </c>
      <c r="I2012" t="s">
        <v>277</v>
      </c>
      <c r="J2012" t="s">
        <v>25</v>
      </c>
      <c r="K2012" t="s">
        <v>10512</v>
      </c>
      <c r="L2012">
        <v>0.15</v>
      </c>
      <c r="M2012" t="s">
        <v>10513</v>
      </c>
      <c r="N2012" t="s">
        <v>10514</v>
      </c>
      <c r="O2012" t="s">
        <v>54</v>
      </c>
      <c r="P2012" t="s">
        <v>30</v>
      </c>
      <c r="Q2012" t="s">
        <v>44</v>
      </c>
      <c r="R2012" s="3">
        <v>2433.482</v>
      </c>
    </row>
    <row r="2013" spans="1:18" x14ac:dyDescent="0.3">
      <c r="A2013" t="s">
        <v>10515</v>
      </c>
      <c r="B2013" t="str">
        <f>TEXT(Raw_Data[[#This Row],[Order Date]],"mmm")</f>
        <v>Oct</v>
      </c>
      <c r="C2013" t="s">
        <v>1227</v>
      </c>
      <c r="D2013" t="s">
        <v>10516</v>
      </c>
      <c r="E2013" t="s">
        <v>35</v>
      </c>
      <c r="F2013" t="s">
        <v>78</v>
      </c>
      <c r="G2013" t="s">
        <v>731</v>
      </c>
      <c r="H2013" t="s">
        <v>38</v>
      </c>
      <c r="I2013" t="s">
        <v>256</v>
      </c>
      <c r="J2013" t="s">
        <v>25</v>
      </c>
      <c r="K2013" t="s">
        <v>10517</v>
      </c>
      <c r="L2013">
        <v>0.2</v>
      </c>
      <c r="M2013" t="s">
        <v>10518</v>
      </c>
      <c r="N2013" t="s">
        <v>10519</v>
      </c>
      <c r="O2013" t="s">
        <v>43</v>
      </c>
      <c r="P2013" t="s">
        <v>30</v>
      </c>
      <c r="Q2013" t="s">
        <v>31</v>
      </c>
      <c r="R2013" s="3">
        <v>1090.808</v>
      </c>
    </row>
    <row r="2014" spans="1:18" x14ac:dyDescent="0.3">
      <c r="A2014" t="s">
        <v>10520</v>
      </c>
      <c r="B2014" t="str">
        <f>TEXT(Raw_Data[[#This Row],[Order Date]],"mmm")</f>
        <v>Jul</v>
      </c>
      <c r="C2014" t="s">
        <v>358</v>
      </c>
      <c r="D2014" t="s">
        <v>10521</v>
      </c>
      <c r="E2014" t="s">
        <v>48</v>
      </c>
      <c r="F2014" t="s">
        <v>21</v>
      </c>
      <c r="G2014" t="s">
        <v>22</v>
      </c>
      <c r="H2014" t="s">
        <v>107</v>
      </c>
      <c r="I2014" t="s">
        <v>108</v>
      </c>
      <c r="J2014" t="s">
        <v>25</v>
      </c>
      <c r="K2014" t="s">
        <v>10522</v>
      </c>
      <c r="L2014">
        <v>0.05</v>
      </c>
      <c r="M2014" t="s">
        <v>10523</v>
      </c>
      <c r="N2014" t="s">
        <v>10524</v>
      </c>
      <c r="O2014" t="s">
        <v>64</v>
      </c>
      <c r="P2014" t="s">
        <v>112</v>
      </c>
      <c r="Q2014" t="s">
        <v>65</v>
      </c>
      <c r="R2014" s="3">
        <v>11960.3575</v>
      </c>
    </row>
    <row r="2015" spans="1:18" x14ac:dyDescent="0.3">
      <c r="A2015" t="s">
        <v>10525</v>
      </c>
      <c r="B2015" t="str">
        <f>TEXT(Raw_Data[[#This Row],[Order Date]],"mmm")</f>
        <v>Jan</v>
      </c>
      <c r="C2015" t="s">
        <v>3581</v>
      </c>
      <c r="D2015" t="s">
        <v>10526</v>
      </c>
      <c r="E2015" t="s">
        <v>35</v>
      </c>
      <c r="F2015" t="s">
        <v>106</v>
      </c>
      <c r="G2015" t="s">
        <v>106</v>
      </c>
      <c r="H2015" t="s">
        <v>23</v>
      </c>
      <c r="I2015" t="s">
        <v>183</v>
      </c>
      <c r="J2015" t="s">
        <v>82</v>
      </c>
      <c r="K2015" t="s">
        <v>10527</v>
      </c>
      <c r="L2015">
        <v>0.1</v>
      </c>
      <c r="M2015" t="s">
        <v>10528</v>
      </c>
      <c r="N2015" t="s">
        <v>10529</v>
      </c>
      <c r="O2015" t="s">
        <v>173</v>
      </c>
      <c r="P2015" t="s">
        <v>112</v>
      </c>
      <c r="Q2015" t="s">
        <v>44</v>
      </c>
      <c r="R2015" s="3">
        <v>69647.652000000002</v>
      </c>
    </row>
    <row r="2016" spans="1:18" x14ac:dyDescent="0.3">
      <c r="A2016" t="s">
        <v>10530</v>
      </c>
      <c r="B2016" t="str">
        <f>TEXT(Raw_Data[[#This Row],[Order Date]],"mmm")</f>
        <v>Jul</v>
      </c>
      <c r="C2016" t="s">
        <v>2261</v>
      </c>
      <c r="D2016" t="s">
        <v>10531</v>
      </c>
      <c r="E2016" t="s">
        <v>35</v>
      </c>
      <c r="F2016" t="s">
        <v>58</v>
      </c>
      <c r="G2016" t="s">
        <v>812</v>
      </c>
      <c r="H2016" t="s">
        <v>107</v>
      </c>
      <c r="I2016" t="s">
        <v>469</v>
      </c>
      <c r="J2016" t="s">
        <v>25</v>
      </c>
      <c r="K2016" t="s">
        <v>10532</v>
      </c>
      <c r="L2016">
        <v>0</v>
      </c>
      <c r="M2016" t="s">
        <v>10533</v>
      </c>
      <c r="N2016" t="s">
        <v>10534</v>
      </c>
      <c r="O2016" t="s">
        <v>64</v>
      </c>
      <c r="P2016" t="s">
        <v>30</v>
      </c>
      <c r="Q2016" t="s">
        <v>65</v>
      </c>
      <c r="R2016" s="3">
        <v>5135.5200000000004</v>
      </c>
    </row>
    <row r="2017" spans="1:18" x14ac:dyDescent="0.3">
      <c r="A2017" t="s">
        <v>10535</v>
      </c>
      <c r="B2017" t="str">
        <f>TEXT(Raw_Data[[#This Row],[Order Date]],"mmm")</f>
        <v>Sep</v>
      </c>
      <c r="C2017" t="s">
        <v>4639</v>
      </c>
      <c r="D2017" t="s">
        <v>10536</v>
      </c>
      <c r="E2017" t="s">
        <v>48</v>
      </c>
      <c r="F2017" t="s">
        <v>58</v>
      </c>
      <c r="G2017" t="s">
        <v>290</v>
      </c>
      <c r="H2017" t="s">
        <v>80</v>
      </c>
      <c r="I2017" t="s">
        <v>146</v>
      </c>
      <c r="J2017" t="s">
        <v>25</v>
      </c>
      <c r="K2017" t="s">
        <v>10537</v>
      </c>
      <c r="L2017">
        <v>0</v>
      </c>
      <c r="M2017" t="s">
        <v>10538</v>
      </c>
      <c r="N2017" t="s">
        <v>10539</v>
      </c>
      <c r="O2017" t="s">
        <v>54</v>
      </c>
      <c r="P2017" t="s">
        <v>30</v>
      </c>
      <c r="Q2017" t="s">
        <v>44</v>
      </c>
      <c r="R2017" s="3">
        <v>1122.93</v>
      </c>
    </row>
    <row r="2018" spans="1:18" x14ac:dyDescent="0.3">
      <c r="A2018" t="s">
        <v>10540</v>
      </c>
      <c r="B2018" t="str">
        <f>TEXT(Raw_Data[[#This Row],[Order Date]],"mmm")</f>
        <v>Jan</v>
      </c>
      <c r="C2018" t="s">
        <v>2765</v>
      </c>
      <c r="D2018" t="s">
        <v>10541</v>
      </c>
      <c r="E2018" t="s">
        <v>35</v>
      </c>
      <c r="F2018" t="s">
        <v>78</v>
      </c>
      <c r="G2018" t="s">
        <v>468</v>
      </c>
      <c r="H2018" t="s">
        <v>23</v>
      </c>
      <c r="I2018" t="s">
        <v>263</v>
      </c>
      <c r="J2018" t="s">
        <v>50</v>
      </c>
      <c r="K2018" t="s">
        <v>10542</v>
      </c>
      <c r="L2018">
        <v>0</v>
      </c>
      <c r="M2018" t="s">
        <v>10543</v>
      </c>
      <c r="N2018" t="s">
        <v>10544</v>
      </c>
      <c r="O2018" t="s">
        <v>64</v>
      </c>
      <c r="P2018" t="s">
        <v>159</v>
      </c>
      <c r="Q2018" t="s">
        <v>44</v>
      </c>
      <c r="R2018" s="3">
        <v>64121.4</v>
      </c>
    </row>
    <row r="2019" spans="1:18" x14ac:dyDescent="0.3">
      <c r="A2019" t="s">
        <v>10545</v>
      </c>
      <c r="B2019" t="str">
        <f>TEXT(Raw_Data[[#This Row],[Order Date]],"mmm")</f>
        <v>Sep</v>
      </c>
      <c r="C2019" t="s">
        <v>1280</v>
      </c>
      <c r="D2019" t="s">
        <v>10546</v>
      </c>
      <c r="E2019" t="s">
        <v>48</v>
      </c>
      <c r="F2019" t="s">
        <v>36</v>
      </c>
      <c r="G2019" t="s">
        <v>196</v>
      </c>
      <c r="H2019" t="s">
        <v>154</v>
      </c>
      <c r="I2019" t="s">
        <v>309</v>
      </c>
      <c r="J2019" t="s">
        <v>25</v>
      </c>
      <c r="K2019" t="s">
        <v>10547</v>
      </c>
      <c r="L2019">
        <v>0</v>
      </c>
      <c r="M2019" t="s">
        <v>10548</v>
      </c>
      <c r="N2019" t="s">
        <v>10549</v>
      </c>
      <c r="O2019" t="s">
        <v>64</v>
      </c>
      <c r="P2019" t="s">
        <v>30</v>
      </c>
      <c r="Q2019" t="s">
        <v>65</v>
      </c>
      <c r="R2019" s="3">
        <v>3891.71</v>
      </c>
    </row>
    <row r="2020" spans="1:18" x14ac:dyDescent="0.3">
      <c r="A2020" t="s">
        <v>10550</v>
      </c>
      <c r="B2020" t="str">
        <f>TEXT(Raw_Data[[#This Row],[Order Date]],"mmm")</f>
        <v>Oct</v>
      </c>
      <c r="C2020" t="s">
        <v>1239</v>
      </c>
      <c r="D2020" t="s">
        <v>10551</v>
      </c>
      <c r="E2020" t="s">
        <v>35</v>
      </c>
      <c r="F2020" t="s">
        <v>58</v>
      </c>
      <c r="G2020" t="s">
        <v>290</v>
      </c>
      <c r="H2020" t="s">
        <v>23</v>
      </c>
      <c r="I2020" t="s">
        <v>24</v>
      </c>
      <c r="J2020" t="s">
        <v>25</v>
      </c>
      <c r="K2020" t="s">
        <v>10552</v>
      </c>
      <c r="L2020">
        <v>0.1</v>
      </c>
      <c r="M2020" t="s">
        <v>10553</v>
      </c>
      <c r="N2020" t="s">
        <v>10554</v>
      </c>
      <c r="O2020" t="s">
        <v>173</v>
      </c>
      <c r="P2020" t="s">
        <v>112</v>
      </c>
      <c r="Q2020" t="s">
        <v>44</v>
      </c>
      <c r="R2020" s="3">
        <v>26693.451000000001</v>
      </c>
    </row>
    <row r="2021" spans="1:18" x14ac:dyDescent="0.3">
      <c r="A2021" t="s">
        <v>10555</v>
      </c>
      <c r="B2021" t="str">
        <f>TEXT(Raw_Data[[#This Row],[Order Date]],"mmm")</f>
        <v>Nov</v>
      </c>
      <c r="C2021" t="s">
        <v>1731</v>
      </c>
      <c r="D2021" t="s">
        <v>10556</v>
      </c>
      <c r="E2021" t="s">
        <v>48</v>
      </c>
      <c r="F2021" t="s">
        <v>36</v>
      </c>
      <c r="G2021" t="s">
        <v>196</v>
      </c>
      <c r="H2021" t="s">
        <v>80</v>
      </c>
      <c r="I2021" t="s">
        <v>131</v>
      </c>
      <c r="J2021" t="s">
        <v>50</v>
      </c>
      <c r="K2021" t="s">
        <v>10557</v>
      </c>
      <c r="L2021">
        <v>0.15</v>
      </c>
      <c r="M2021" t="s">
        <v>10558</v>
      </c>
      <c r="N2021" t="s">
        <v>10559</v>
      </c>
      <c r="O2021" t="s">
        <v>54</v>
      </c>
      <c r="P2021" t="s">
        <v>30</v>
      </c>
      <c r="Q2021" t="s">
        <v>65</v>
      </c>
      <c r="R2021" s="3">
        <v>6100.6879999999901</v>
      </c>
    </row>
    <row r="2022" spans="1:18" x14ac:dyDescent="0.3">
      <c r="A2022" t="s">
        <v>10560</v>
      </c>
      <c r="B2022" t="str">
        <f>TEXT(Raw_Data[[#This Row],[Order Date]],"mmm")</f>
        <v>Dec</v>
      </c>
      <c r="C2022" t="s">
        <v>2206</v>
      </c>
      <c r="D2022" t="s">
        <v>10561</v>
      </c>
      <c r="E2022" t="s">
        <v>20</v>
      </c>
      <c r="F2022" t="s">
        <v>89</v>
      </c>
      <c r="G2022" t="s">
        <v>230</v>
      </c>
      <c r="H2022" t="s">
        <v>38</v>
      </c>
      <c r="I2022" t="s">
        <v>39</v>
      </c>
      <c r="J2022" t="s">
        <v>25</v>
      </c>
      <c r="K2022" t="s">
        <v>10562</v>
      </c>
      <c r="L2022">
        <v>0.15</v>
      </c>
      <c r="M2022" t="s">
        <v>10563</v>
      </c>
      <c r="N2022" t="s">
        <v>10564</v>
      </c>
      <c r="O2022" t="s">
        <v>43</v>
      </c>
      <c r="P2022" t="s">
        <v>159</v>
      </c>
      <c r="Q2022" t="s">
        <v>31</v>
      </c>
      <c r="R2022" s="3">
        <v>450.3895</v>
      </c>
    </row>
    <row r="2023" spans="1:18" x14ac:dyDescent="0.3">
      <c r="A2023" t="s">
        <v>10565</v>
      </c>
      <c r="B2023" t="str">
        <f>TEXT(Raw_Data[[#This Row],[Order Date]],"mmm")</f>
        <v>Mar</v>
      </c>
      <c r="C2023" t="s">
        <v>2244</v>
      </c>
      <c r="D2023" t="s">
        <v>10566</v>
      </c>
      <c r="E2023" t="s">
        <v>20</v>
      </c>
      <c r="F2023" t="s">
        <v>89</v>
      </c>
      <c r="G2023" t="s">
        <v>230</v>
      </c>
      <c r="H2023" t="s">
        <v>80</v>
      </c>
      <c r="I2023" t="s">
        <v>81</v>
      </c>
      <c r="J2023" t="s">
        <v>25</v>
      </c>
      <c r="K2023" t="s">
        <v>10567</v>
      </c>
      <c r="L2023">
        <v>0.15</v>
      </c>
      <c r="M2023" t="s">
        <v>10568</v>
      </c>
      <c r="N2023" t="s">
        <v>10569</v>
      </c>
      <c r="O2023" t="s">
        <v>64</v>
      </c>
      <c r="P2023" t="s">
        <v>159</v>
      </c>
      <c r="Q2023" t="s">
        <v>65</v>
      </c>
      <c r="R2023" s="3">
        <v>4129.402</v>
      </c>
    </row>
    <row r="2024" spans="1:18" x14ac:dyDescent="0.3">
      <c r="A2024" t="s">
        <v>10570</v>
      </c>
      <c r="B2024" t="str">
        <f>TEXT(Raw_Data[[#This Row],[Order Date]],"mmm")</f>
        <v>Nov</v>
      </c>
      <c r="C2024" t="s">
        <v>510</v>
      </c>
      <c r="D2024" t="s">
        <v>10571</v>
      </c>
      <c r="E2024" t="s">
        <v>20</v>
      </c>
      <c r="F2024" t="s">
        <v>21</v>
      </c>
      <c r="G2024" t="s">
        <v>22</v>
      </c>
      <c r="H2024" t="s">
        <v>80</v>
      </c>
      <c r="I2024" t="s">
        <v>81</v>
      </c>
      <c r="J2024" t="s">
        <v>25</v>
      </c>
      <c r="K2024" t="s">
        <v>10572</v>
      </c>
      <c r="L2024">
        <v>0.15</v>
      </c>
      <c r="M2024" t="s">
        <v>10573</v>
      </c>
      <c r="N2024" t="s">
        <v>10574</v>
      </c>
      <c r="O2024" t="s">
        <v>29</v>
      </c>
      <c r="P2024" t="s">
        <v>30</v>
      </c>
      <c r="Q2024" t="s">
        <v>44</v>
      </c>
      <c r="R2024" s="3">
        <v>257.022999999999</v>
      </c>
    </row>
    <row r="2025" spans="1:18" x14ac:dyDescent="0.3">
      <c r="A2025" t="s">
        <v>10575</v>
      </c>
      <c r="B2025" t="str">
        <f>TEXT(Raw_Data[[#This Row],[Order Date]],"mmm")</f>
        <v>Feb</v>
      </c>
      <c r="C2025" t="s">
        <v>4592</v>
      </c>
      <c r="D2025" t="s">
        <v>10576</v>
      </c>
      <c r="E2025" t="s">
        <v>20</v>
      </c>
      <c r="F2025" t="s">
        <v>215</v>
      </c>
      <c r="G2025" t="s">
        <v>216</v>
      </c>
      <c r="H2025" t="s">
        <v>107</v>
      </c>
      <c r="I2025" t="s">
        <v>469</v>
      </c>
      <c r="J2025" t="s">
        <v>25</v>
      </c>
      <c r="K2025" t="s">
        <v>10577</v>
      </c>
      <c r="L2025">
        <v>0.05</v>
      </c>
      <c r="M2025" t="s">
        <v>10578</v>
      </c>
      <c r="N2025" t="s">
        <v>10579</v>
      </c>
      <c r="O2025" t="s">
        <v>54</v>
      </c>
      <c r="P2025" t="s">
        <v>30</v>
      </c>
      <c r="Q2025" t="s">
        <v>65</v>
      </c>
      <c r="R2025" s="3">
        <v>8333.5519999999997</v>
      </c>
    </row>
    <row r="2026" spans="1:18" x14ac:dyDescent="0.3">
      <c r="A2026" t="s">
        <v>10580</v>
      </c>
      <c r="B2026" t="str">
        <f>TEXT(Raw_Data[[#This Row],[Order Date]],"mmm")</f>
        <v>Jul</v>
      </c>
      <c r="C2026" t="s">
        <v>3916</v>
      </c>
      <c r="D2026" t="s">
        <v>10581</v>
      </c>
      <c r="E2026" t="s">
        <v>48</v>
      </c>
      <c r="F2026" t="s">
        <v>36</v>
      </c>
      <c r="G2026" t="s">
        <v>123</v>
      </c>
      <c r="H2026" t="s">
        <v>23</v>
      </c>
      <c r="I2026" t="s">
        <v>24</v>
      </c>
      <c r="J2026" t="s">
        <v>50</v>
      </c>
      <c r="K2026" t="s">
        <v>10582</v>
      </c>
      <c r="L2026">
        <v>0.1</v>
      </c>
      <c r="M2026" t="s">
        <v>10583</v>
      </c>
      <c r="N2026" t="s">
        <v>10584</v>
      </c>
      <c r="O2026" t="s">
        <v>173</v>
      </c>
      <c r="P2026" t="s">
        <v>30</v>
      </c>
      <c r="Q2026" t="s">
        <v>31</v>
      </c>
      <c r="R2026" s="3">
        <v>45487.565999999999</v>
      </c>
    </row>
    <row r="2027" spans="1:18" x14ac:dyDescent="0.3">
      <c r="A2027" t="s">
        <v>10585</v>
      </c>
      <c r="B2027" t="str">
        <f>TEXT(Raw_Data[[#This Row],[Order Date]],"mmm")</f>
        <v>May</v>
      </c>
      <c r="C2027" t="s">
        <v>948</v>
      </c>
      <c r="D2027" t="s">
        <v>10586</v>
      </c>
      <c r="E2027" t="s">
        <v>35</v>
      </c>
      <c r="F2027" t="s">
        <v>58</v>
      </c>
      <c r="G2027" t="s">
        <v>812</v>
      </c>
      <c r="H2027" t="s">
        <v>154</v>
      </c>
      <c r="I2027" t="s">
        <v>237</v>
      </c>
      <c r="J2027" t="s">
        <v>25</v>
      </c>
      <c r="K2027" t="s">
        <v>10587</v>
      </c>
      <c r="L2027">
        <v>0.1</v>
      </c>
      <c r="M2027" t="s">
        <v>10588</v>
      </c>
      <c r="N2027" t="s">
        <v>10589</v>
      </c>
      <c r="O2027" t="s">
        <v>43</v>
      </c>
      <c r="P2027" t="s">
        <v>159</v>
      </c>
      <c r="Q2027" t="s">
        <v>31</v>
      </c>
      <c r="R2027" s="3">
        <v>1111.0229999999999</v>
      </c>
    </row>
    <row r="2028" spans="1:18" x14ac:dyDescent="0.3">
      <c r="A2028" t="s">
        <v>10590</v>
      </c>
      <c r="B2028" t="str">
        <f>TEXT(Raw_Data[[#This Row],[Order Date]],"mmm")</f>
        <v>Jun</v>
      </c>
      <c r="C2028" t="s">
        <v>2546</v>
      </c>
      <c r="D2028" t="s">
        <v>10591</v>
      </c>
      <c r="E2028" t="s">
        <v>48</v>
      </c>
      <c r="F2028" t="s">
        <v>21</v>
      </c>
      <c r="G2028" t="s">
        <v>22</v>
      </c>
      <c r="H2028" t="s">
        <v>80</v>
      </c>
      <c r="I2028" t="s">
        <v>91</v>
      </c>
      <c r="J2028" t="s">
        <v>25</v>
      </c>
      <c r="K2028" t="s">
        <v>10592</v>
      </c>
      <c r="L2028">
        <v>0.15</v>
      </c>
      <c r="M2028" t="s">
        <v>10593</v>
      </c>
      <c r="N2028" t="s">
        <v>10594</v>
      </c>
      <c r="O2028" t="s">
        <v>43</v>
      </c>
      <c r="P2028" t="s">
        <v>112</v>
      </c>
      <c r="Q2028" t="s">
        <v>31</v>
      </c>
      <c r="R2028" s="3">
        <v>2581.7644999999902</v>
      </c>
    </row>
    <row r="2029" spans="1:18" x14ac:dyDescent="0.3">
      <c r="A2029" t="s">
        <v>10595</v>
      </c>
      <c r="B2029" t="str">
        <f>TEXT(Raw_Data[[#This Row],[Order Date]],"mmm")</f>
        <v>Jul</v>
      </c>
      <c r="C2029" t="s">
        <v>3575</v>
      </c>
      <c r="D2029" t="s">
        <v>10596</v>
      </c>
      <c r="E2029" t="s">
        <v>35</v>
      </c>
      <c r="F2029" t="s">
        <v>106</v>
      </c>
      <c r="G2029" t="s">
        <v>163</v>
      </c>
      <c r="H2029" t="s">
        <v>107</v>
      </c>
      <c r="I2029" t="s">
        <v>469</v>
      </c>
      <c r="J2029" t="s">
        <v>50</v>
      </c>
      <c r="K2029" t="s">
        <v>10597</v>
      </c>
      <c r="L2029">
        <v>0</v>
      </c>
      <c r="M2029" t="s">
        <v>10598</v>
      </c>
      <c r="N2029" t="s">
        <v>10599</v>
      </c>
      <c r="O2029" t="s">
        <v>173</v>
      </c>
      <c r="P2029" t="s">
        <v>30</v>
      </c>
      <c r="Q2029" t="s">
        <v>31</v>
      </c>
      <c r="R2029" s="3">
        <v>7388.86</v>
      </c>
    </row>
    <row r="2030" spans="1:18" x14ac:dyDescent="0.3">
      <c r="A2030" t="s">
        <v>10600</v>
      </c>
      <c r="B2030" t="str">
        <f>TEXT(Raw_Data[[#This Row],[Order Date]],"mmm")</f>
        <v>Oct</v>
      </c>
      <c r="C2030" t="s">
        <v>1076</v>
      </c>
      <c r="D2030" t="s">
        <v>10601</v>
      </c>
      <c r="E2030" t="s">
        <v>48</v>
      </c>
      <c r="F2030" t="s">
        <v>21</v>
      </c>
      <c r="G2030" t="s">
        <v>22</v>
      </c>
      <c r="H2030" t="s">
        <v>154</v>
      </c>
      <c r="I2030" t="s">
        <v>1061</v>
      </c>
      <c r="J2030" t="s">
        <v>25</v>
      </c>
      <c r="K2030" t="s">
        <v>10602</v>
      </c>
      <c r="L2030">
        <v>0.05</v>
      </c>
      <c r="M2030" t="s">
        <v>10603</v>
      </c>
      <c r="N2030" t="s">
        <v>10604</v>
      </c>
      <c r="O2030" t="s">
        <v>43</v>
      </c>
      <c r="P2030" t="s">
        <v>30</v>
      </c>
      <c r="Q2030" t="s">
        <v>44</v>
      </c>
      <c r="R2030" s="3">
        <v>6917.6054999999997</v>
      </c>
    </row>
    <row r="2031" spans="1:18" x14ac:dyDescent="0.3">
      <c r="A2031" t="s">
        <v>10605</v>
      </c>
      <c r="B2031" t="str">
        <f>TEXT(Raw_Data[[#This Row],[Order Date]],"mmm")</f>
        <v>Feb</v>
      </c>
      <c r="C2031" t="s">
        <v>936</v>
      </c>
      <c r="D2031" t="s">
        <v>10606</v>
      </c>
      <c r="E2031" t="s">
        <v>20</v>
      </c>
      <c r="F2031" t="s">
        <v>106</v>
      </c>
      <c r="G2031" t="s">
        <v>106</v>
      </c>
      <c r="H2031" t="s">
        <v>80</v>
      </c>
      <c r="I2031" t="s">
        <v>81</v>
      </c>
      <c r="J2031" t="s">
        <v>50</v>
      </c>
      <c r="K2031" t="s">
        <v>10607</v>
      </c>
      <c r="L2031">
        <v>0</v>
      </c>
      <c r="M2031" t="s">
        <v>10608</v>
      </c>
      <c r="N2031" t="s">
        <v>10609</v>
      </c>
      <c r="O2031" t="s">
        <v>54</v>
      </c>
      <c r="P2031" t="s">
        <v>30</v>
      </c>
      <c r="Q2031" t="s">
        <v>44</v>
      </c>
      <c r="R2031" s="3">
        <v>7181.2</v>
      </c>
    </row>
    <row r="2032" spans="1:18" x14ac:dyDescent="0.3">
      <c r="A2032" t="s">
        <v>10610</v>
      </c>
      <c r="B2032" t="str">
        <f>TEXT(Raw_Data[[#This Row],[Order Date]],"mmm")</f>
        <v>Mar</v>
      </c>
      <c r="C2032" t="s">
        <v>2244</v>
      </c>
      <c r="D2032" t="s">
        <v>10611</v>
      </c>
      <c r="E2032" t="s">
        <v>20</v>
      </c>
      <c r="F2032" t="s">
        <v>69</v>
      </c>
      <c r="G2032" t="s">
        <v>328</v>
      </c>
      <c r="H2032" t="s">
        <v>107</v>
      </c>
      <c r="I2032" t="s">
        <v>469</v>
      </c>
      <c r="J2032" t="s">
        <v>25</v>
      </c>
      <c r="K2032" t="s">
        <v>10612</v>
      </c>
      <c r="L2032">
        <v>0.05</v>
      </c>
      <c r="M2032" t="s">
        <v>10613</v>
      </c>
      <c r="N2032" t="s">
        <v>10614</v>
      </c>
      <c r="O2032" t="s">
        <v>173</v>
      </c>
      <c r="P2032" t="s">
        <v>30</v>
      </c>
      <c r="Q2032" t="s">
        <v>65</v>
      </c>
      <c r="R2032" s="3">
        <v>10495.9039999999</v>
      </c>
    </row>
    <row r="2033" spans="1:18" x14ac:dyDescent="0.3">
      <c r="A2033" t="s">
        <v>10615</v>
      </c>
      <c r="B2033" t="str">
        <f>TEXT(Raw_Data[[#This Row],[Order Date]],"mmm")</f>
        <v>Dec</v>
      </c>
      <c r="C2033" t="s">
        <v>242</v>
      </c>
      <c r="D2033" t="s">
        <v>10616</v>
      </c>
      <c r="E2033" t="s">
        <v>48</v>
      </c>
      <c r="F2033" t="s">
        <v>106</v>
      </c>
      <c r="G2033" t="s">
        <v>163</v>
      </c>
      <c r="H2033" t="s">
        <v>154</v>
      </c>
      <c r="I2033" t="s">
        <v>1061</v>
      </c>
      <c r="J2033" t="s">
        <v>25</v>
      </c>
      <c r="K2033" t="s">
        <v>10617</v>
      </c>
      <c r="L2033">
        <v>0.05</v>
      </c>
      <c r="M2033" t="s">
        <v>10618</v>
      </c>
      <c r="N2033" t="s">
        <v>10619</v>
      </c>
      <c r="O2033" t="s">
        <v>29</v>
      </c>
      <c r="P2033" t="s">
        <v>30</v>
      </c>
      <c r="Q2033" t="s">
        <v>44</v>
      </c>
      <c r="R2033" s="3">
        <v>2011.7104999999999</v>
      </c>
    </row>
    <row r="2034" spans="1:18" x14ac:dyDescent="0.3">
      <c r="A2034" t="s">
        <v>10620</v>
      </c>
      <c r="B2034" t="str">
        <f>TEXT(Raw_Data[[#This Row],[Order Date]],"mmm")</f>
        <v>May</v>
      </c>
      <c r="C2034" t="s">
        <v>4485</v>
      </c>
      <c r="D2034" t="s">
        <v>10621</v>
      </c>
      <c r="E2034" t="s">
        <v>20</v>
      </c>
      <c r="F2034" t="s">
        <v>78</v>
      </c>
      <c r="G2034" t="s">
        <v>468</v>
      </c>
      <c r="H2034" t="s">
        <v>80</v>
      </c>
      <c r="I2034" t="s">
        <v>146</v>
      </c>
      <c r="J2034" t="s">
        <v>100</v>
      </c>
      <c r="K2034" t="s">
        <v>10622</v>
      </c>
      <c r="L2034">
        <v>0</v>
      </c>
      <c r="M2034" t="s">
        <v>10623</v>
      </c>
      <c r="N2034" t="s">
        <v>10624</v>
      </c>
      <c r="O2034" t="s">
        <v>173</v>
      </c>
      <c r="P2034" t="s">
        <v>159</v>
      </c>
      <c r="Q2034" t="s">
        <v>65</v>
      </c>
      <c r="R2034" s="3">
        <v>16536</v>
      </c>
    </row>
    <row r="2035" spans="1:18" x14ac:dyDescent="0.3">
      <c r="A2035" t="s">
        <v>10625</v>
      </c>
      <c r="B2035" t="str">
        <f>TEXT(Raw_Data[[#This Row],[Order Date]],"mmm")</f>
        <v>Dec</v>
      </c>
      <c r="C2035" t="s">
        <v>1515</v>
      </c>
      <c r="D2035" t="s">
        <v>10626</v>
      </c>
      <c r="E2035" t="s">
        <v>20</v>
      </c>
      <c r="F2035" t="s">
        <v>58</v>
      </c>
      <c r="G2035" t="s">
        <v>59</v>
      </c>
      <c r="H2035" t="s">
        <v>23</v>
      </c>
      <c r="I2035" t="s">
        <v>341</v>
      </c>
      <c r="J2035" t="s">
        <v>50</v>
      </c>
      <c r="K2035" t="s">
        <v>10627</v>
      </c>
      <c r="L2035">
        <v>0.05</v>
      </c>
      <c r="M2035" t="s">
        <v>10628</v>
      </c>
      <c r="N2035" t="s">
        <v>10629</v>
      </c>
      <c r="O2035" t="s">
        <v>54</v>
      </c>
      <c r="P2035" t="s">
        <v>30</v>
      </c>
      <c r="Q2035" t="s">
        <v>44</v>
      </c>
      <c r="R2035" s="3">
        <v>10876.626</v>
      </c>
    </row>
    <row r="2036" spans="1:18" x14ac:dyDescent="0.3">
      <c r="A2036" t="s">
        <v>10630</v>
      </c>
      <c r="B2036" t="str">
        <f>TEXT(Raw_Data[[#This Row],[Order Date]],"mmm")</f>
        <v>Jan</v>
      </c>
      <c r="C2036" t="s">
        <v>2970</v>
      </c>
      <c r="D2036" t="s">
        <v>10631</v>
      </c>
      <c r="E2036" t="s">
        <v>20</v>
      </c>
      <c r="F2036" t="s">
        <v>36</v>
      </c>
      <c r="G2036" t="s">
        <v>196</v>
      </c>
      <c r="H2036" t="s">
        <v>38</v>
      </c>
      <c r="I2036" t="s">
        <v>39</v>
      </c>
      <c r="J2036" t="s">
        <v>25</v>
      </c>
      <c r="K2036" t="s">
        <v>10632</v>
      </c>
      <c r="L2036">
        <v>0</v>
      </c>
      <c r="M2036" t="s">
        <v>10633</v>
      </c>
      <c r="N2036" t="s">
        <v>10634</v>
      </c>
      <c r="O2036" t="s">
        <v>29</v>
      </c>
      <c r="P2036" t="s">
        <v>30</v>
      </c>
      <c r="Q2036" t="s">
        <v>44</v>
      </c>
      <c r="R2036" s="3">
        <v>5154.33</v>
      </c>
    </row>
    <row r="2037" spans="1:18" x14ac:dyDescent="0.3">
      <c r="A2037" t="s">
        <v>10635</v>
      </c>
      <c r="B2037" t="str">
        <f>TEXT(Raw_Data[[#This Row],[Order Date]],"mmm")</f>
        <v>Mar</v>
      </c>
      <c r="C2037" t="s">
        <v>1808</v>
      </c>
      <c r="D2037" t="s">
        <v>10636</v>
      </c>
      <c r="E2037" t="s">
        <v>35</v>
      </c>
      <c r="F2037" t="s">
        <v>89</v>
      </c>
      <c r="G2037" t="s">
        <v>90</v>
      </c>
      <c r="H2037" t="s">
        <v>38</v>
      </c>
      <c r="I2037" t="s">
        <v>71</v>
      </c>
      <c r="J2037" t="s">
        <v>100</v>
      </c>
      <c r="K2037" t="s">
        <v>10637</v>
      </c>
      <c r="L2037">
        <v>0.1</v>
      </c>
      <c r="M2037" t="s">
        <v>10638</v>
      </c>
      <c r="N2037" t="s">
        <v>10639</v>
      </c>
      <c r="O2037" t="s">
        <v>173</v>
      </c>
      <c r="P2037" t="s">
        <v>30</v>
      </c>
      <c r="Q2037" t="s">
        <v>44</v>
      </c>
      <c r="R2037" s="3">
        <v>3709.8</v>
      </c>
    </row>
    <row r="2038" spans="1:18" x14ac:dyDescent="0.3">
      <c r="A2038" t="s">
        <v>10640</v>
      </c>
      <c r="B2038" t="str">
        <f>TEXT(Raw_Data[[#This Row],[Order Date]],"mmm")</f>
        <v>Jul</v>
      </c>
      <c r="C2038" t="s">
        <v>358</v>
      </c>
      <c r="D2038" t="s">
        <v>10641</v>
      </c>
      <c r="E2038" t="s">
        <v>35</v>
      </c>
      <c r="F2038" t="s">
        <v>36</v>
      </c>
      <c r="G2038" t="s">
        <v>123</v>
      </c>
      <c r="H2038" t="s">
        <v>154</v>
      </c>
      <c r="I2038" t="s">
        <v>237</v>
      </c>
      <c r="J2038" t="s">
        <v>25</v>
      </c>
      <c r="K2038" t="s">
        <v>10642</v>
      </c>
      <c r="L2038">
        <v>0</v>
      </c>
      <c r="M2038" t="s">
        <v>10643</v>
      </c>
      <c r="N2038" t="s">
        <v>10644</v>
      </c>
      <c r="O2038" t="s">
        <v>173</v>
      </c>
      <c r="P2038" t="s">
        <v>30</v>
      </c>
      <c r="Q2038" t="s">
        <v>65</v>
      </c>
      <c r="R2038" s="3">
        <v>9061.11</v>
      </c>
    </row>
    <row r="2039" spans="1:18" x14ac:dyDescent="0.3">
      <c r="A2039" t="s">
        <v>10645</v>
      </c>
      <c r="B2039" t="str">
        <f>TEXT(Raw_Data[[#This Row],[Order Date]],"mmm")</f>
        <v>Sep</v>
      </c>
      <c r="C2039" t="s">
        <v>1714</v>
      </c>
      <c r="D2039" t="s">
        <v>10646</v>
      </c>
      <c r="E2039" t="s">
        <v>20</v>
      </c>
      <c r="F2039" t="s">
        <v>89</v>
      </c>
      <c r="G2039" t="s">
        <v>90</v>
      </c>
      <c r="H2039" t="s">
        <v>23</v>
      </c>
      <c r="I2039" t="s">
        <v>341</v>
      </c>
      <c r="J2039" t="s">
        <v>25</v>
      </c>
      <c r="K2039" t="s">
        <v>10647</v>
      </c>
      <c r="L2039">
        <v>0</v>
      </c>
      <c r="M2039" t="s">
        <v>10648</v>
      </c>
      <c r="N2039" t="s">
        <v>10649</v>
      </c>
      <c r="O2039" t="s">
        <v>64</v>
      </c>
      <c r="P2039" t="s">
        <v>159</v>
      </c>
      <c r="Q2039" t="s">
        <v>65</v>
      </c>
      <c r="R2039" s="3">
        <v>51235.61</v>
      </c>
    </row>
    <row r="2040" spans="1:18" x14ac:dyDescent="0.3">
      <c r="A2040" t="s">
        <v>10650</v>
      </c>
      <c r="B2040" t="str">
        <f>TEXT(Raw_Data[[#This Row],[Order Date]],"mmm")</f>
        <v>Jul</v>
      </c>
      <c r="C2040" t="s">
        <v>2670</v>
      </c>
      <c r="D2040" t="s">
        <v>10651</v>
      </c>
      <c r="E2040" t="s">
        <v>48</v>
      </c>
      <c r="F2040" t="s">
        <v>69</v>
      </c>
      <c r="G2040" t="s">
        <v>70</v>
      </c>
      <c r="H2040" t="s">
        <v>80</v>
      </c>
      <c r="I2040" t="s">
        <v>81</v>
      </c>
      <c r="J2040" t="s">
        <v>50</v>
      </c>
      <c r="K2040" t="s">
        <v>10652</v>
      </c>
      <c r="L2040">
        <v>0</v>
      </c>
      <c r="M2040" t="s">
        <v>10653</v>
      </c>
      <c r="N2040" t="s">
        <v>10654</v>
      </c>
      <c r="O2040" t="s">
        <v>54</v>
      </c>
      <c r="P2040" t="s">
        <v>30</v>
      </c>
      <c r="Q2040" t="s">
        <v>31</v>
      </c>
      <c r="R2040" s="3">
        <v>4283.5200000000004</v>
      </c>
    </row>
    <row r="2041" spans="1:18" x14ac:dyDescent="0.3">
      <c r="A2041" t="s">
        <v>10655</v>
      </c>
      <c r="B2041" t="str">
        <f>TEXT(Raw_Data[[#This Row],[Order Date]],"mmm")</f>
        <v>Feb</v>
      </c>
      <c r="C2041" t="s">
        <v>3467</v>
      </c>
      <c r="D2041" t="s">
        <v>10656</v>
      </c>
      <c r="E2041" t="s">
        <v>20</v>
      </c>
      <c r="F2041" t="s">
        <v>36</v>
      </c>
      <c r="G2041" t="s">
        <v>123</v>
      </c>
      <c r="H2041" t="s">
        <v>80</v>
      </c>
      <c r="I2041" t="s">
        <v>81</v>
      </c>
      <c r="J2041" t="s">
        <v>25</v>
      </c>
      <c r="K2041" t="s">
        <v>10657</v>
      </c>
      <c r="L2041">
        <v>0.1</v>
      </c>
      <c r="M2041" t="s">
        <v>10658</v>
      </c>
      <c r="N2041" t="s">
        <v>10659</v>
      </c>
      <c r="O2041" t="s">
        <v>43</v>
      </c>
      <c r="P2041" t="s">
        <v>30</v>
      </c>
      <c r="Q2041" t="s">
        <v>44</v>
      </c>
      <c r="R2041" s="3">
        <v>5191.1099999999997</v>
      </c>
    </row>
    <row r="2042" spans="1:18" x14ac:dyDescent="0.3">
      <c r="A2042" t="s">
        <v>10660</v>
      </c>
      <c r="B2042" t="str">
        <f>TEXT(Raw_Data[[#This Row],[Order Date]],"mmm")</f>
        <v>May</v>
      </c>
      <c r="C2042" t="s">
        <v>2174</v>
      </c>
      <c r="D2042" t="s">
        <v>10661</v>
      </c>
      <c r="E2042" t="s">
        <v>35</v>
      </c>
      <c r="F2042" t="s">
        <v>36</v>
      </c>
      <c r="G2042" t="s">
        <v>153</v>
      </c>
      <c r="H2042" t="s">
        <v>38</v>
      </c>
      <c r="I2042" t="s">
        <v>223</v>
      </c>
      <c r="J2042" t="s">
        <v>25</v>
      </c>
      <c r="K2042" t="s">
        <v>10662</v>
      </c>
      <c r="L2042">
        <v>0.05</v>
      </c>
      <c r="M2042" t="s">
        <v>10663</v>
      </c>
      <c r="N2042" t="s">
        <v>10664</v>
      </c>
      <c r="O2042" t="s">
        <v>173</v>
      </c>
      <c r="P2042" t="s">
        <v>30</v>
      </c>
      <c r="Q2042" t="s">
        <v>44</v>
      </c>
      <c r="R2042" s="3">
        <v>2393.0214999999998</v>
      </c>
    </row>
    <row r="2043" spans="1:18" x14ac:dyDescent="0.3">
      <c r="A2043" t="s">
        <v>10665</v>
      </c>
      <c r="B2043" t="str">
        <f>TEXT(Raw_Data[[#This Row],[Order Date]],"mmm")</f>
        <v>Feb</v>
      </c>
      <c r="C2043" t="s">
        <v>4453</v>
      </c>
      <c r="D2043" t="s">
        <v>10666</v>
      </c>
      <c r="E2043" t="s">
        <v>48</v>
      </c>
      <c r="F2043" t="s">
        <v>106</v>
      </c>
      <c r="G2043" t="s">
        <v>106</v>
      </c>
      <c r="H2043" t="s">
        <v>107</v>
      </c>
      <c r="I2043" t="s">
        <v>469</v>
      </c>
      <c r="J2043" t="s">
        <v>50</v>
      </c>
      <c r="K2043" t="s">
        <v>10667</v>
      </c>
      <c r="L2043">
        <v>0.05</v>
      </c>
      <c r="M2043" t="s">
        <v>10668</v>
      </c>
      <c r="N2043" t="s">
        <v>10669</v>
      </c>
      <c r="O2043" t="s">
        <v>173</v>
      </c>
      <c r="P2043" t="s">
        <v>112</v>
      </c>
      <c r="Q2043" t="s">
        <v>31</v>
      </c>
      <c r="R2043" s="3">
        <v>23344.425999999999</v>
      </c>
    </row>
    <row r="2044" spans="1:18" x14ac:dyDescent="0.3">
      <c r="A2044" t="s">
        <v>10670</v>
      </c>
      <c r="B2044" t="str">
        <f>TEXT(Raw_Data[[#This Row],[Order Date]],"mmm")</f>
        <v>Jul</v>
      </c>
      <c r="C2044" t="s">
        <v>333</v>
      </c>
      <c r="D2044" t="s">
        <v>10671</v>
      </c>
      <c r="E2044" t="s">
        <v>48</v>
      </c>
      <c r="F2044" t="s">
        <v>215</v>
      </c>
      <c r="G2044" t="s">
        <v>216</v>
      </c>
      <c r="H2044" t="s">
        <v>154</v>
      </c>
      <c r="I2044" t="s">
        <v>1061</v>
      </c>
      <c r="J2044" t="s">
        <v>25</v>
      </c>
      <c r="K2044" t="s">
        <v>10672</v>
      </c>
      <c r="L2044">
        <v>0.15</v>
      </c>
      <c r="M2044" t="s">
        <v>10673</v>
      </c>
      <c r="N2044" t="s">
        <v>10674</v>
      </c>
      <c r="O2044" t="s">
        <v>54</v>
      </c>
      <c r="P2044" t="s">
        <v>30</v>
      </c>
      <c r="Q2044" t="s">
        <v>65</v>
      </c>
      <c r="R2044" s="3">
        <v>1154.7335</v>
      </c>
    </row>
    <row r="2045" spans="1:18" x14ac:dyDescent="0.3">
      <c r="A2045" t="s">
        <v>10675</v>
      </c>
      <c r="B2045" t="str">
        <f>TEXT(Raw_Data[[#This Row],[Order Date]],"mmm")</f>
        <v>Apr</v>
      </c>
      <c r="C2045" t="s">
        <v>2903</v>
      </c>
      <c r="D2045" t="s">
        <v>10676</v>
      </c>
      <c r="E2045" t="s">
        <v>48</v>
      </c>
      <c r="F2045" t="s">
        <v>58</v>
      </c>
      <c r="G2045" t="s">
        <v>59</v>
      </c>
      <c r="H2045" t="s">
        <v>80</v>
      </c>
      <c r="I2045" t="s">
        <v>131</v>
      </c>
      <c r="J2045" t="s">
        <v>50</v>
      </c>
      <c r="K2045" t="s">
        <v>10677</v>
      </c>
      <c r="L2045">
        <v>0.15</v>
      </c>
      <c r="M2045" t="s">
        <v>10678</v>
      </c>
      <c r="N2045" t="s">
        <v>10679</v>
      </c>
      <c r="O2045" t="s">
        <v>173</v>
      </c>
      <c r="P2045" t="s">
        <v>30</v>
      </c>
      <c r="Q2045" t="s">
        <v>31</v>
      </c>
      <c r="R2045" s="3">
        <v>7189.0619999999899</v>
      </c>
    </row>
    <row r="2046" spans="1:18" x14ac:dyDescent="0.3">
      <c r="A2046" t="s">
        <v>10680</v>
      </c>
      <c r="B2046" t="str">
        <f>TEXT(Raw_Data[[#This Row],[Order Date]],"mmm")</f>
        <v>May</v>
      </c>
      <c r="C2046" t="s">
        <v>301</v>
      </c>
      <c r="D2046" t="s">
        <v>10681</v>
      </c>
      <c r="E2046" t="s">
        <v>48</v>
      </c>
      <c r="F2046" t="s">
        <v>78</v>
      </c>
      <c r="G2046" t="s">
        <v>731</v>
      </c>
      <c r="H2046" t="s">
        <v>107</v>
      </c>
      <c r="I2046" t="s">
        <v>108</v>
      </c>
      <c r="J2046" t="s">
        <v>50</v>
      </c>
      <c r="K2046" t="s">
        <v>10682</v>
      </c>
      <c r="L2046">
        <v>0.1</v>
      </c>
      <c r="M2046" t="s">
        <v>10683</v>
      </c>
      <c r="N2046" t="s">
        <v>10684</v>
      </c>
      <c r="O2046" t="s">
        <v>64</v>
      </c>
      <c r="P2046" t="s">
        <v>30</v>
      </c>
      <c r="Q2046" t="s">
        <v>44</v>
      </c>
      <c r="R2046" s="3">
        <v>31215.2039999999</v>
      </c>
    </row>
    <row r="2047" spans="1:18" x14ac:dyDescent="0.3">
      <c r="A2047" t="s">
        <v>10685</v>
      </c>
      <c r="B2047" t="str">
        <f>TEXT(Raw_Data[[#This Row],[Order Date]],"mmm")</f>
        <v>Dec</v>
      </c>
      <c r="C2047" t="s">
        <v>168</v>
      </c>
      <c r="D2047" t="s">
        <v>10686</v>
      </c>
      <c r="E2047" t="s">
        <v>20</v>
      </c>
      <c r="F2047" t="s">
        <v>58</v>
      </c>
      <c r="G2047" t="s">
        <v>290</v>
      </c>
      <c r="H2047" t="s">
        <v>23</v>
      </c>
      <c r="I2047" t="s">
        <v>49</v>
      </c>
      <c r="J2047" t="s">
        <v>100</v>
      </c>
      <c r="K2047" t="s">
        <v>10687</v>
      </c>
      <c r="L2047">
        <v>0</v>
      </c>
      <c r="M2047" t="s">
        <v>10688</v>
      </c>
      <c r="N2047" t="s">
        <v>10689</v>
      </c>
      <c r="O2047" t="s">
        <v>54</v>
      </c>
      <c r="P2047" t="s">
        <v>30</v>
      </c>
      <c r="Q2047" t="s">
        <v>65</v>
      </c>
      <c r="R2047" s="3">
        <v>30092.07</v>
      </c>
    </row>
    <row r="2048" spans="1:18" x14ac:dyDescent="0.3">
      <c r="A2048" t="s">
        <v>10690</v>
      </c>
      <c r="B2048" t="str">
        <f>TEXT(Raw_Data[[#This Row],[Order Date]],"mmm")</f>
        <v>Dec</v>
      </c>
      <c r="C2048" t="s">
        <v>982</v>
      </c>
      <c r="D2048" t="s">
        <v>10691</v>
      </c>
      <c r="E2048" t="s">
        <v>20</v>
      </c>
      <c r="F2048" t="s">
        <v>36</v>
      </c>
      <c r="G2048" t="s">
        <v>414</v>
      </c>
      <c r="H2048" t="s">
        <v>23</v>
      </c>
      <c r="I2048" t="s">
        <v>24</v>
      </c>
      <c r="J2048" t="s">
        <v>25</v>
      </c>
      <c r="K2048" t="s">
        <v>10692</v>
      </c>
      <c r="L2048">
        <v>0.05</v>
      </c>
      <c r="M2048" t="s">
        <v>10693</v>
      </c>
      <c r="N2048" t="s">
        <v>10694</v>
      </c>
      <c r="O2048" t="s">
        <v>54</v>
      </c>
      <c r="P2048" t="s">
        <v>30</v>
      </c>
      <c r="Q2048" t="s">
        <v>44</v>
      </c>
      <c r="R2048" s="3">
        <v>64449.862000000001</v>
      </c>
    </row>
    <row r="2049" spans="1:18" x14ac:dyDescent="0.3">
      <c r="A2049" t="s">
        <v>10695</v>
      </c>
      <c r="B2049" t="str">
        <f>TEXT(Raw_Data[[#This Row],[Order Date]],"mmm")</f>
        <v>Nov</v>
      </c>
      <c r="C2049" t="s">
        <v>1122</v>
      </c>
      <c r="D2049" t="s">
        <v>10696</v>
      </c>
      <c r="E2049" t="s">
        <v>20</v>
      </c>
      <c r="F2049" t="s">
        <v>58</v>
      </c>
      <c r="G2049" t="s">
        <v>290</v>
      </c>
      <c r="H2049" t="s">
        <v>38</v>
      </c>
      <c r="I2049" t="s">
        <v>256</v>
      </c>
      <c r="J2049" t="s">
        <v>25</v>
      </c>
      <c r="K2049" t="s">
        <v>10697</v>
      </c>
      <c r="L2049">
        <v>0.05</v>
      </c>
      <c r="M2049" t="s">
        <v>10698</v>
      </c>
      <c r="N2049" t="s">
        <v>10699</v>
      </c>
      <c r="O2049" t="s">
        <v>54</v>
      </c>
      <c r="P2049" t="s">
        <v>30</v>
      </c>
      <c r="Q2049" t="s">
        <v>65</v>
      </c>
      <c r="R2049" s="3">
        <v>5545.5394999999999</v>
      </c>
    </row>
    <row r="2050" spans="1:18" x14ac:dyDescent="0.3">
      <c r="A2050" t="s">
        <v>10700</v>
      </c>
      <c r="B2050" t="str">
        <f>TEXT(Raw_Data[[#This Row],[Order Date]],"mmm")</f>
        <v>Apr</v>
      </c>
      <c r="C2050" t="s">
        <v>419</v>
      </c>
      <c r="D2050" t="s">
        <v>10701</v>
      </c>
      <c r="E2050" t="s">
        <v>48</v>
      </c>
      <c r="F2050" t="s">
        <v>36</v>
      </c>
      <c r="G2050" t="s">
        <v>123</v>
      </c>
      <c r="H2050" t="s">
        <v>23</v>
      </c>
      <c r="I2050" t="s">
        <v>263</v>
      </c>
      <c r="J2050" t="s">
        <v>50</v>
      </c>
      <c r="K2050" t="s">
        <v>10702</v>
      </c>
      <c r="L2050">
        <v>0.05</v>
      </c>
      <c r="M2050" t="s">
        <v>10703</v>
      </c>
      <c r="N2050" t="s">
        <v>10704</v>
      </c>
      <c r="O2050" t="s">
        <v>64</v>
      </c>
      <c r="P2050" t="s">
        <v>30</v>
      </c>
      <c r="Q2050" t="s">
        <v>65</v>
      </c>
      <c r="R2050" s="3">
        <v>102415.852</v>
      </c>
    </row>
    <row r="2051" spans="1:18" x14ac:dyDescent="0.3">
      <c r="A2051" t="s">
        <v>10705</v>
      </c>
      <c r="B2051" t="str">
        <f>TEXT(Raw_Data[[#This Row],[Order Date]],"mmm")</f>
        <v>May</v>
      </c>
      <c r="C2051" t="s">
        <v>2840</v>
      </c>
      <c r="D2051" t="s">
        <v>10706</v>
      </c>
      <c r="E2051" t="s">
        <v>20</v>
      </c>
      <c r="F2051" t="s">
        <v>69</v>
      </c>
      <c r="G2051" t="s">
        <v>328</v>
      </c>
      <c r="H2051" t="s">
        <v>23</v>
      </c>
      <c r="I2051" t="s">
        <v>49</v>
      </c>
      <c r="J2051" t="s">
        <v>50</v>
      </c>
      <c r="K2051" t="s">
        <v>10707</v>
      </c>
      <c r="L2051">
        <v>0.1</v>
      </c>
      <c r="M2051" t="s">
        <v>10708</v>
      </c>
      <c r="N2051" t="s">
        <v>10709</v>
      </c>
      <c r="O2051" t="s">
        <v>29</v>
      </c>
      <c r="P2051" t="s">
        <v>30</v>
      </c>
      <c r="Q2051" t="s">
        <v>31</v>
      </c>
      <c r="R2051" s="3">
        <v>56251.53</v>
      </c>
    </row>
    <row r="2052" spans="1:18" x14ac:dyDescent="0.3">
      <c r="A2052" t="s">
        <v>10710</v>
      </c>
      <c r="B2052" t="str">
        <f>TEXT(Raw_Data[[#This Row],[Order Date]],"mmm")</f>
        <v>Aug</v>
      </c>
      <c r="C2052" t="s">
        <v>528</v>
      </c>
      <c r="D2052" t="s">
        <v>10711</v>
      </c>
      <c r="E2052" t="s">
        <v>20</v>
      </c>
      <c r="F2052" t="s">
        <v>21</v>
      </c>
      <c r="G2052" t="s">
        <v>130</v>
      </c>
      <c r="H2052" t="s">
        <v>154</v>
      </c>
      <c r="I2052" t="s">
        <v>237</v>
      </c>
      <c r="J2052" t="s">
        <v>82</v>
      </c>
      <c r="K2052" t="s">
        <v>10712</v>
      </c>
      <c r="L2052">
        <v>0.05</v>
      </c>
      <c r="M2052" t="s">
        <v>10713</v>
      </c>
      <c r="N2052" t="s">
        <v>10714</v>
      </c>
      <c r="O2052" t="s">
        <v>173</v>
      </c>
      <c r="P2052" t="s">
        <v>30</v>
      </c>
      <c r="Q2052" t="s">
        <v>44</v>
      </c>
      <c r="R2052" s="3">
        <v>37931.067999999999</v>
      </c>
    </row>
    <row r="2053" spans="1:18" x14ac:dyDescent="0.3">
      <c r="A2053" t="s">
        <v>10715</v>
      </c>
      <c r="B2053" t="str">
        <f>TEXT(Raw_Data[[#This Row],[Order Date]],"mmm")</f>
        <v>Aug</v>
      </c>
      <c r="C2053" t="s">
        <v>4263</v>
      </c>
      <c r="D2053" t="s">
        <v>10716</v>
      </c>
      <c r="E2053" t="s">
        <v>35</v>
      </c>
      <c r="F2053" t="s">
        <v>89</v>
      </c>
      <c r="G2053" t="s">
        <v>90</v>
      </c>
      <c r="H2053" t="s">
        <v>80</v>
      </c>
      <c r="I2053" t="s">
        <v>116</v>
      </c>
      <c r="J2053" t="s">
        <v>82</v>
      </c>
      <c r="K2053" t="s">
        <v>10717</v>
      </c>
      <c r="L2053">
        <v>0.1</v>
      </c>
      <c r="M2053" t="s">
        <v>10718</v>
      </c>
      <c r="N2053" t="s">
        <v>10719</v>
      </c>
      <c r="O2053" t="s">
        <v>29</v>
      </c>
      <c r="P2053" t="s">
        <v>30</v>
      </c>
      <c r="Q2053" t="s">
        <v>65</v>
      </c>
      <c r="R2053" s="3">
        <v>3199.68</v>
      </c>
    </row>
    <row r="2054" spans="1:18" x14ac:dyDescent="0.3">
      <c r="A2054" t="s">
        <v>10720</v>
      </c>
      <c r="B2054" t="str">
        <f>TEXT(Raw_Data[[#This Row],[Order Date]],"mmm")</f>
        <v>Apr</v>
      </c>
      <c r="C2054" t="s">
        <v>2338</v>
      </c>
      <c r="D2054" t="s">
        <v>10721</v>
      </c>
      <c r="E2054" t="s">
        <v>35</v>
      </c>
      <c r="F2054" t="s">
        <v>89</v>
      </c>
      <c r="G2054" t="s">
        <v>230</v>
      </c>
      <c r="H2054" t="s">
        <v>23</v>
      </c>
      <c r="I2054" t="s">
        <v>49</v>
      </c>
      <c r="J2054" t="s">
        <v>25</v>
      </c>
      <c r="K2054" t="s">
        <v>10722</v>
      </c>
      <c r="L2054">
        <v>0.2</v>
      </c>
      <c r="M2054" t="s">
        <v>10723</v>
      </c>
      <c r="N2054" t="s">
        <v>10724</v>
      </c>
      <c r="O2054" t="s">
        <v>29</v>
      </c>
      <c r="P2054" t="s">
        <v>112</v>
      </c>
      <c r="Q2054" t="s">
        <v>31</v>
      </c>
      <c r="R2054" s="3">
        <v>57676.464</v>
      </c>
    </row>
    <row r="2055" spans="1:18" x14ac:dyDescent="0.3">
      <c r="A2055" t="s">
        <v>10725</v>
      </c>
      <c r="B2055" t="str">
        <f>TEXT(Raw_Data[[#This Row],[Order Date]],"mmm")</f>
        <v>Sep</v>
      </c>
      <c r="C2055" t="s">
        <v>288</v>
      </c>
      <c r="D2055" t="s">
        <v>10726</v>
      </c>
      <c r="E2055" t="s">
        <v>35</v>
      </c>
      <c r="F2055" t="s">
        <v>69</v>
      </c>
      <c r="G2055" t="s">
        <v>328</v>
      </c>
      <c r="H2055" t="s">
        <v>80</v>
      </c>
      <c r="I2055" t="s">
        <v>81</v>
      </c>
      <c r="J2055" t="s">
        <v>25</v>
      </c>
      <c r="K2055" t="s">
        <v>10727</v>
      </c>
      <c r="L2055">
        <v>0.1</v>
      </c>
      <c r="M2055" t="s">
        <v>10728</v>
      </c>
      <c r="N2055" t="s">
        <v>10729</v>
      </c>
      <c r="O2055" t="s">
        <v>54</v>
      </c>
      <c r="P2055" t="s">
        <v>30</v>
      </c>
      <c r="Q2055" t="s">
        <v>31</v>
      </c>
      <c r="R2055" s="3">
        <v>4273.4250000000002</v>
      </c>
    </row>
    <row r="2056" spans="1:18" x14ac:dyDescent="0.3">
      <c r="A2056" t="s">
        <v>10730</v>
      </c>
      <c r="B2056" t="str">
        <f>TEXT(Raw_Data[[#This Row],[Order Date]],"mmm")</f>
        <v>Apr</v>
      </c>
      <c r="C2056" t="s">
        <v>1904</v>
      </c>
      <c r="D2056" t="s">
        <v>10731</v>
      </c>
      <c r="E2056" t="s">
        <v>48</v>
      </c>
      <c r="F2056" t="s">
        <v>69</v>
      </c>
      <c r="G2056" t="s">
        <v>328</v>
      </c>
      <c r="H2056" t="s">
        <v>107</v>
      </c>
      <c r="I2056" t="s">
        <v>469</v>
      </c>
      <c r="J2056" t="s">
        <v>50</v>
      </c>
      <c r="K2056" t="s">
        <v>10732</v>
      </c>
      <c r="L2056">
        <v>0.15</v>
      </c>
      <c r="M2056" t="s">
        <v>10733</v>
      </c>
      <c r="N2056" t="s">
        <v>10734</v>
      </c>
      <c r="O2056" t="s">
        <v>54</v>
      </c>
      <c r="P2056" t="s">
        <v>112</v>
      </c>
      <c r="Q2056" t="s">
        <v>31</v>
      </c>
      <c r="R2056" s="3">
        <v>16610.206999999999</v>
      </c>
    </row>
    <row r="2057" spans="1:18" x14ac:dyDescent="0.3">
      <c r="A2057" t="s">
        <v>10735</v>
      </c>
      <c r="B2057" t="str">
        <f>TEXT(Raw_Data[[#This Row],[Order Date]],"mmm")</f>
        <v>Jun</v>
      </c>
      <c r="C2057" t="s">
        <v>2163</v>
      </c>
      <c r="D2057" t="s">
        <v>10736</v>
      </c>
      <c r="E2057" t="s">
        <v>35</v>
      </c>
      <c r="F2057" t="s">
        <v>36</v>
      </c>
      <c r="G2057" t="s">
        <v>123</v>
      </c>
      <c r="H2057" t="s">
        <v>38</v>
      </c>
      <c r="I2057" t="s">
        <v>71</v>
      </c>
      <c r="J2057" t="s">
        <v>25</v>
      </c>
      <c r="K2057" t="s">
        <v>10737</v>
      </c>
      <c r="L2057">
        <v>0</v>
      </c>
      <c r="M2057" t="s">
        <v>10738</v>
      </c>
      <c r="N2057" t="s">
        <v>10739</v>
      </c>
      <c r="O2057" t="s">
        <v>173</v>
      </c>
      <c r="P2057" t="s">
        <v>30</v>
      </c>
      <c r="Q2057" t="s">
        <v>44</v>
      </c>
      <c r="R2057" s="3">
        <v>2274.38</v>
      </c>
    </row>
    <row r="2058" spans="1:18" x14ac:dyDescent="0.3">
      <c r="A2058" t="s">
        <v>10740</v>
      </c>
      <c r="B2058" t="str">
        <f>TEXT(Raw_Data[[#This Row],[Order Date]],"mmm")</f>
        <v>Sep</v>
      </c>
      <c r="C2058" t="s">
        <v>7865</v>
      </c>
      <c r="D2058" t="s">
        <v>10741</v>
      </c>
      <c r="E2058" t="s">
        <v>35</v>
      </c>
      <c r="F2058" t="s">
        <v>58</v>
      </c>
      <c r="G2058" t="s">
        <v>812</v>
      </c>
      <c r="H2058" t="s">
        <v>23</v>
      </c>
      <c r="I2058" t="s">
        <v>24</v>
      </c>
      <c r="J2058" t="s">
        <v>25</v>
      </c>
      <c r="K2058" t="s">
        <v>10742</v>
      </c>
      <c r="L2058">
        <v>0.1</v>
      </c>
      <c r="M2058" t="s">
        <v>10743</v>
      </c>
      <c r="N2058" t="s">
        <v>10744</v>
      </c>
      <c r="O2058" t="s">
        <v>29</v>
      </c>
      <c r="P2058" t="s">
        <v>30</v>
      </c>
      <c r="Q2058" t="s">
        <v>65</v>
      </c>
      <c r="R2058" s="3">
        <v>43709.760000000002</v>
      </c>
    </row>
    <row r="2059" spans="1:18" x14ac:dyDescent="0.3">
      <c r="A2059" t="s">
        <v>10745</v>
      </c>
      <c r="B2059" t="str">
        <f>TEXT(Raw_Data[[#This Row],[Order Date]],"mmm")</f>
        <v>Jun</v>
      </c>
      <c r="C2059" t="s">
        <v>1251</v>
      </c>
      <c r="D2059" t="s">
        <v>10746</v>
      </c>
      <c r="E2059" t="s">
        <v>48</v>
      </c>
      <c r="F2059" t="s">
        <v>89</v>
      </c>
      <c r="G2059" t="s">
        <v>230</v>
      </c>
      <c r="H2059" t="s">
        <v>38</v>
      </c>
      <c r="I2059" t="s">
        <v>223</v>
      </c>
      <c r="J2059" t="s">
        <v>25</v>
      </c>
      <c r="K2059" t="s">
        <v>10747</v>
      </c>
      <c r="L2059">
        <v>0.1</v>
      </c>
      <c r="M2059" t="s">
        <v>10748</v>
      </c>
      <c r="N2059" t="s">
        <v>10749</v>
      </c>
      <c r="O2059" t="s">
        <v>43</v>
      </c>
      <c r="P2059" t="s">
        <v>30</v>
      </c>
      <c r="Q2059" t="s">
        <v>65</v>
      </c>
      <c r="R2059" s="3">
        <v>2813.7689999999998</v>
      </c>
    </row>
    <row r="2060" spans="1:18" x14ac:dyDescent="0.3">
      <c r="A2060" t="s">
        <v>10750</v>
      </c>
      <c r="B2060" t="str">
        <f>TEXT(Raw_Data[[#This Row],[Order Date]],"mmm")</f>
        <v>Jul</v>
      </c>
      <c r="C2060" t="s">
        <v>389</v>
      </c>
      <c r="D2060" t="s">
        <v>10751</v>
      </c>
      <c r="E2060" t="s">
        <v>20</v>
      </c>
      <c r="F2060" t="s">
        <v>78</v>
      </c>
      <c r="G2060" t="s">
        <v>79</v>
      </c>
      <c r="H2060" t="s">
        <v>23</v>
      </c>
      <c r="I2060" t="s">
        <v>49</v>
      </c>
      <c r="J2060" t="s">
        <v>100</v>
      </c>
      <c r="K2060" t="s">
        <v>10752</v>
      </c>
      <c r="L2060">
        <v>0.1</v>
      </c>
      <c r="M2060" t="s">
        <v>10753</v>
      </c>
      <c r="N2060" t="s">
        <v>10754</v>
      </c>
      <c r="O2060" t="s">
        <v>173</v>
      </c>
      <c r="P2060" t="s">
        <v>112</v>
      </c>
      <c r="Q2060" t="s">
        <v>44</v>
      </c>
      <c r="R2060" s="3">
        <v>202050.288</v>
      </c>
    </row>
    <row r="2061" spans="1:18" x14ac:dyDescent="0.3">
      <c r="A2061" t="s">
        <v>10755</v>
      </c>
      <c r="B2061" t="str">
        <f>TEXT(Raw_Data[[#This Row],[Order Date]],"mmm")</f>
        <v>Jul</v>
      </c>
      <c r="C2061" t="s">
        <v>792</v>
      </c>
      <c r="D2061" t="s">
        <v>10756</v>
      </c>
      <c r="E2061" t="s">
        <v>35</v>
      </c>
      <c r="F2061" t="s">
        <v>215</v>
      </c>
      <c r="G2061" t="s">
        <v>216</v>
      </c>
      <c r="H2061" t="s">
        <v>154</v>
      </c>
      <c r="I2061" t="s">
        <v>365</v>
      </c>
      <c r="J2061" t="s">
        <v>50</v>
      </c>
      <c r="K2061" t="s">
        <v>10757</v>
      </c>
      <c r="L2061">
        <v>0.1</v>
      </c>
      <c r="M2061" t="s">
        <v>10758</v>
      </c>
      <c r="N2061" t="s">
        <v>10759</v>
      </c>
      <c r="O2061" t="s">
        <v>64</v>
      </c>
      <c r="P2061" t="s">
        <v>30</v>
      </c>
      <c r="Q2061" t="s">
        <v>44</v>
      </c>
      <c r="R2061" s="3">
        <v>21110.472000000002</v>
      </c>
    </row>
    <row r="2062" spans="1:18" x14ac:dyDescent="0.3">
      <c r="A2062" t="s">
        <v>10760</v>
      </c>
      <c r="B2062" t="str">
        <f>TEXT(Raw_Data[[#This Row],[Order Date]],"mmm")</f>
        <v>Aug</v>
      </c>
      <c r="C2062" t="s">
        <v>1649</v>
      </c>
      <c r="D2062" t="s">
        <v>10761</v>
      </c>
      <c r="E2062" t="s">
        <v>48</v>
      </c>
      <c r="F2062" t="s">
        <v>78</v>
      </c>
      <c r="G2062" t="s">
        <v>79</v>
      </c>
      <c r="H2062" t="s">
        <v>107</v>
      </c>
      <c r="I2062" t="s">
        <v>591</v>
      </c>
      <c r="J2062" t="s">
        <v>25</v>
      </c>
      <c r="K2062" t="s">
        <v>10762</v>
      </c>
      <c r="L2062">
        <v>0.05</v>
      </c>
      <c r="M2062" t="s">
        <v>10763</v>
      </c>
      <c r="N2062" t="s">
        <v>10764</v>
      </c>
      <c r="O2062" t="s">
        <v>43</v>
      </c>
      <c r="P2062" t="s">
        <v>30</v>
      </c>
      <c r="Q2062" t="s">
        <v>31</v>
      </c>
      <c r="R2062" s="3">
        <v>1494.4639999999899</v>
      </c>
    </row>
    <row r="2063" spans="1:18" x14ac:dyDescent="0.3">
      <c r="A2063" t="s">
        <v>10765</v>
      </c>
      <c r="B2063" t="str">
        <f>TEXT(Raw_Data[[#This Row],[Order Date]],"mmm")</f>
        <v>Jun</v>
      </c>
      <c r="C2063" t="s">
        <v>2223</v>
      </c>
      <c r="D2063" t="s">
        <v>10766</v>
      </c>
      <c r="E2063" t="s">
        <v>35</v>
      </c>
      <c r="F2063" t="s">
        <v>78</v>
      </c>
      <c r="G2063" t="s">
        <v>468</v>
      </c>
      <c r="H2063" t="s">
        <v>38</v>
      </c>
      <c r="I2063" t="s">
        <v>223</v>
      </c>
      <c r="J2063" t="s">
        <v>82</v>
      </c>
      <c r="K2063" t="s">
        <v>10767</v>
      </c>
      <c r="L2063">
        <v>0.05</v>
      </c>
      <c r="M2063" t="s">
        <v>10768</v>
      </c>
      <c r="N2063" t="s">
        <v>10769</v>
      </c>
      <c r="O2063" t="s">
        <v>173</v>
      </c>
      <c r="P2063" t="s">
        <v>112</v>
      </c>
      <c r="Q2063" t="s">
        <v>31</v>
      </c>
      <c r="R2063" s="3">
        <v>17911.831999999999</v>
      </c>
    </row>
    <row r="2064" spans="1:18" x14ac:dyDescent="0.3">
      <c r="A2064" t="s">
        <v>10770</v>
      </c>
      <c r="B2064" t="str">
        <f>TEXT(Raw_Data[[#This Row],[Order Date]],"mmm")</f>
        <v>Feb</v>
      </c>
      <c r="C2064" t="s">
        <v>4284</v>
      </c>
      <c r="D2064" t="s">
        <v>10771</v>
      </c>
      <c r="E2064" t="s">
        <v>48</v>
      </c>
      <c r="F2064" t="s">
        <v>58</v>
      </c>
      <c r="G2064" t="s">
        <v>290</v>
      </c>
      <c r="H2064" t="s">
        <v>80</v>
      </c>
      <c r="I2064" t="s">
        <v>131</v>
      </c>
      <c r="J2064" t="s">
        <v>25</v>
      </c>
      <c r="K2064" t="s">
        <v>10772</v>
      </c>
      <c r="L2064">
        <v>0.05</v>
      </c>
      <c r="M2064" t="s">
        <v>10773</v>
      </c>
      <c r="N2064" t="s">
        <v>10774</v>
      </c>
      <c r="O2064" t="s">
        <v>43</v>
      </c>
      <c r="P2064" t="s">
        <v>30</v>
      </c>
      <c r="Q2064" t="s">
        <v>31</v>
      </c>
      <c r="R2064" s="3">
        <v>2796.3154999999902</v>
      </c>
    </row>
    <row r="2065" spans="1:18" x14ac:dyDescent="0.3">
      <c r="A2065" t="s">
        <v>10775</v>
      </c>
      <c r="B2065" t="str">
        <f>TEXT(Raw_Data[[#This Row],[Order Date]],"mmm")</f>
        <v>Feb</v>
      </c>
      <c r="C2065" t="s">
        <v>3331</v>
      </c>
      <c r="D2065" t="s">
        <v>10776</v>
      </c>
      <c r="E2065" t="s">
        <v>48</v>
      </c>
      <c r="F2065" t="s">
        <v>106</v>
      </c>
      <c r="G2065" t="s">
        <v>106</v>
      </c>
      <c r="H2065" t="s">
        <v>80</v>
      </c>
      <c r="I2065" t="s">
        <v>131</v>
      </c>
      <c r="J2065" t="s">
        <v>50</v>
      </c>
      <c r="K2065" t="s">
        <v>10777</v>
      </c>
      <c r="L2065">
        <v>0.1</v>
      </c>
      <c r="M2065" t="s">
        <v>10778</v>
      </c>
      <c r="N2065" t="s">
        <v>10779</v>
      </c>
      <c r="O2065" t="s">
        <v>43</v>
      </c>
      <c r="P2065" t="s">
        <v>30</v>
      </c>
      <c r="Q2065" t="s">
        <v>44</v>
      </c>
      <c r="R2065" s="3">
        <v>1099.26</v>
      </c>
    </row>
    <row r="2066" spans="1:18" x14ac:dyDescent="0.3">
      <c r="A2066" t="s">
        <v>10780</v>
      </c>
      <c r="B2066" t="str">
        <f>TEXT(Raw_Data[[#This Row],[Order Date]],"mmm")</f>
        <v>Jul</v>
      </c>
      <c r="C2066" t="s">
        <v>2305</v>
      </c>
      <c r="D2066" t="s">
        <v>10781</v>
      </c>
      <c r="E2066" t="s">
        <v>48</v>
      </c>
      <c r="F2066" t="s">
        <v>58</v>
      </c>
      <c r="G2066" t="s">
        <v>812</v>
      </c>
      <c r="H2066" t="s">
        <v>80</v>
      </c>
      <c r="I2066" t="s">
        <v>81</v>
      </c>
      <c r="J2066" t="s">
        <v>25</v>
      </c>
      <c r="K2066" t="s">
        <v>10782</v>
      </c>
      <c r="L2066">
        <v>0.05</v>
      </c>
      <c r="M2066" t="s">
        <v>10783</v>
      </c>
      <c r="N2066" t="s">
        <v>10784</v>
      </c>
      <c r="O2066" t="s">
        <v>64</v>
      </c>
      <c r="P2066" t="s">
        <v>30</v>
      </c>
      <c r="Q2066" t="s">
        <v>31</v>
      </c>
      <c r="R2066" s="3">
        <v>4350.2304999999997</v>
      </c>
    </row>
    <row r="2067" spans="1:18" x14ac:dyDescent="0.3">
      <c r="A2067" t="s">
        <v>10785</v>
      </c>
      <c r="B2067" t="str">
        <f>TEXT(Raw_Data[[#This Row],[Order Date]],"mmm")</f>
        <v>Jun</v>
      </c>
      <c r="C2067" t="s">
        <v>2586</v>
      </c>
      <c r="D2067" t="s">
        <v>10786</v>
      </c>
      <c r="E2067" t="s">
        <v>35</v>
      </c>
      <c r="F2067" t="s">
        <v>89</v>
      </c>
      <c r="G2067" t="s">
        <v>99</v>
      </c>
      <c r="H2067" t="s">
        <v>38</v>
      </c>
      <c r="I2067" t="s">
        <v>256</v>
      </c>
      <c r="J2067" t="s">
        <v>100</v>
      </c>
      <c r="K2067" t="s">
        <v>10787</v>
      </c>
      <c r="L2067">
        <v>0</v>
      </c>
      <c r="M2067" t="s">
        <v>10788</v>
      </c>
      <c r="N2067" t="s">
        <v>10789</v>
      </c>
      <c r="O2067" t="s">
        <v>173</v>
      </c>
      <c r="P2067" t="s">
        <v>112</v>
      </c>
      <c r="Q2067" t="s">
        <v>31</v>
      </c>
      <c r="R2067" s="3">
        <v>9423.09</v>
      </c>
    </row>
    <row r="2068" spans="1:18" x14ac:dyDescent="0.3">
      <c r="A2068" t="s">
        <v>10790</v>
      </c>
      <c r="B2068" t="str">
        <f>TEXT(Raw_Data[[#This Row],[Order Date]],"mmm")</f>
        <v>Mar</v>
      </c>
      <c r="C2068" t="s">
        <v>556</v>
      </c>
      <c r="D2068" t="s">
        <v>10791</v>
      </c>
      <c r="E2068" t="s">
        <v>48</v>
      </c>
      <c r="F2068" t="s">
        <v>89</v>
      </c>
      <c r="G2068" t="s">
        <v>230</v>
      </c>
      <c r="H2068" t="s">
        <v>107</v>
      </c>
      <c r="I2068" t="s">
        <v>378</v>
      </c>
      <c r="J2068" t="s">
        <v>100</v>
      </c>
      <c r="K2068" t="s">
        <v>10792</v>
      </c>
      <c r="L2068">
        <v>0</v>
      </c>
      <c r="M2068" t="s">
        <v>10793</v>
      </c>
      <c r="N2068" t="s">
        <v>10794</v>
      </c>
      <c r="O2068" t="s">
        <v>43</v>
      </c>
      <c r="P2068" t="s">
        <v>30</v>
      </c>
      <c r="Q2068" t="s">
        <v>65</v>
      </c>
      <c r="R2068" s="3">
        <v>49635.839999999997</v>
      </c>
    </row>
    <row r="2069" spans="1:18" x14ac:dyDescent="0.3">
      <c r="A2069" t="s">
        <v>10795</v>
      </c>
      <c r="B2069" t="str">
        <f>TEXT(Raw_Data[[#This Row],[Order Date]],"mmm")</f>
        <v>Jan</v>
      </c>
      <c r="C2069" t="s">
        <v>207</v>
      </c>
      <c r="D2069" t="s">
        <v>10796</v>
      </c>
      <c r="E2069" t="s">
        <v>20</v>
      </c>
      <c r="F2069" t="s">
        <v>21</v>
      </c>
      <c r="G2069" t="s">
        <v>22</v>
      </c>
      <c r="H2069" t="s">
        <v>154</v>
      </c>
      <c r="I2069" t="s">
        <v>365</v>
      </c>
      <c r="J2069" t="s">
        <v>82</v>
      </c>
      <c r="K2069" t="s">
        <v>10797</v>
      </c>
      <c r="L2069">
        <v>0.05</v>
      </c>
      <c r="M2069" t="s">
        <v>10798</v>
      </c>
      <c r="N2069" t="s">
        <v>10799</v>
      </c>
      <c r="O2069" t="s">
        <v>29</v>
      </c>
      <c r="P2069" t="s">
        <v>30</v>
      </c>
      <c r="Q2069" t="s">
        <v>65</v>
      </c>
      <c r="R2069" s="3">
        <v>14375.4</v>
      </c>
    </row>
    <row r="2070" spans="1:18" x14ac:dyDescent="0.3">
      <c r="A2070" t="s">
        <v>10800</v>
      </c>
      <c r="B2070" t="str">
        <f>TEXT(Raw_Data[[#This Row],[Order Date]],"mmm")</f>
        <v>May</v>
      </c>
      <c r="C2070" t="s">
        <v>5513</v>
      </c>
      <c r="D2070" t="s">
        <v>10801</v>
      </c>
      <c r="E2070" t="s">
        <v>20</v>
      </c>
      <c r="F2070" t="s">
        <v>89</v>
      </c>
      <c r="G2070" t="s">
        <v>90</v>
      </c>
      <c r="H2070" t="s">
        <v>80</v>
      </c>
      <c r="I2070" t="s">
        <v>116</v>
      </c>
      <c r="J2070" t="s">
        <v>25</v>
      </c>
      <c r="K2070" t="s">
        <v>10802</v>
      </c>
      <c r="L2070">
        <v>0.1</v>
      </c>
      <c r="M2070" t="s">
        <v>10803</v>
      </c>
      <c r="N2070" t="s">
        <v>10804</v>
      </c>
      <c r="O2070" t="s">
        <v>173</v>
      </c>
      <c r="P2070" t="s">
        <v>112</v>
      </c>
      <c r="Q2070" t="s">
        <v>31</v>
      </c>
      <c r="R2070" s="3">
        <v>4173.12</v>
      </c>
    </row>
    <row r="2071" spans="1:18" x14ac:dyDescent="0.3">
      <c r="A2071" t="s">
        <v>10805</v>
      </c>
      <c r="B2071" t="str">
        <f>TEXT(Raw_Data[[#This Row],[Order Date]],"mmm")</f>
        <v>Oct</v>
      </c>
      <c r="C2071" t="s">
        <v>474</v>
      </c>
      <c r="D2071" t="s">
        <v>10806</v>
      </c>
      <c r="E2071" t="s">
        <v>20</v>
      </c>
      <c r="F2071" t="s">
        <v>69</v>
      </c>
      <c r="G2071" t="s">
        <v>328</v>
      </c>
      <c r="H2071" t="s">
        <v>23</v>
      </c>
      <c r="I2071" t="s">
        <v>263</v>
      </c>
      <c r="J2071" t="s">
        <v>25</v>
      </c>
      <c r="K2071" t="s">
        <v>10807</v>
      </c>
      <c r="L2071">
        <v>0.15</v>
      </c>
      <c r="M2071" t="s">
        <v>10808</v>
      </c>
      <c r="N2071" t="s">
        <v>10809</v>
      </c>
      <c r="O2071" t="s">
        <v>43</v>
      </c>
      <c r="P2071" t="s">
        <v>30</v>
      </c>
      <c r="Q2071" t="s">
        <v>31</v>
      </c>
      <c r="R2071" s="3">
        <v>25478.2484999999</v>
      </c>
    </row>
    <row r="2072" spans="1:18" x14ac:dyDescent="0.3">
      <c r="A2072" t="s">
        <v>10810</v>
      </c>
      <c r="B2072" t="str">
        <f>TEXT(Raw_Data[[#This Row],[Order Date]],"mmm")</f>
        <v>Jul</v>
      </c>
      <c r="C2072" t="s">
        <v>1210</v>
      </c>
      <c r="D2072" t="s">
        <v>10811</v>
      </c>
      <c r="E2072" t="s">
        <v>48</v>
      </c>
      <c r="F2072" t="s">
        <v>78</v>
      </c>
      <c r="G2072" t="s">
        <v>731</v>
      </c>
      <c r="H2072" t="s">
        <v>107</v>
      </c>
      <c r="I2072" t="s">
        <v>378</v>
      </c>
      <c r="J2072" t="s">
        <v>25</v>
      </c>
      <c r="K2072" t="s">
        <v>10812</v>
      </c>
      <c r="L2072">
        <v>0</v>
      </c>
      <c r="M2072" t="s">
        <v>10813</v>
      </c>
      <c r="N2072" t="s">
        <v>10814</v>
      </c>
      <c r="O2072" t="s">
        <v>173</v>
      </c>
      <c r="P2072" t="s">
        <v>30</v>
      </c>
      <c r="Q2072" t="s">
        <v>65</v>
      </c>
      <c r="R2072" s="3">
        <v>6746.7</v>
      </c>
    </row>
    <row r="2073" spans="1:18" x14ac:dyDescent="0.3">
      <c r="A2073" t="s">
        <v>10815</v>
      </c>
      <c r="B2073" t="str">
        <f>TEXT(Raw_Data[[#This Row],[Order Date]],"mmm")</f>
        <v>Dec</v>
      </c>
      <c r="C2073" t="s">
        <v>1769</v>
      </c>
      <c r="D2073" t="s">
        <v>10816</v>
      </c>
      <c r="E2073" t="s">
        <v>20</v>
      </c>
      <c r="F2073" t="s">
        <v>89</v>
      </c>
      <c r="G2073" t="s">
        <v>99</v>
      </c>
      <c r="H2073" t="s">
        <v>23</v>
      </c>
      <c r="I2073" t="s">
        <v>24</v>
      </c>
      <c r="J2073" t="s">
        <v>25</v>
      </c>
      <c r="K2073" t="s">
        <v>10817</v>
      </c>
      <c r="L2073">
        <v>0.1</v>
      </c>
      <c r="M2073" t="s">
        <v>10818</v>
      </c>
      <c r="N2073" t="s">
        <v>10819</v>
      </c>
      <c r="O2073" t="s">
        <v>64</v>
      </c>
      <c r="P2073" t="s">
        <v>30</v>
      </c>
      <c r="Q2073" t="s">
        <v>65</v>
      </c>
      <c r="R2073" s="3">
        <v>51425.343000000001</v>
      </c>
    </row>
    <row r="2074" spans="1:18" x14ac:dyDescent="0.3">
      <c r="A2074" t="s">
        <v>10820</v>
      </c>
      <c r="B2074" t="str">
        <f>TEXT(Raw_Data[[#This Row],[Order Date]],"mmm")</f>
        <v>Nov</v>
      </c>
      <c r="C2074" t="s">
        <v>851</v>
      </c>
      <c r="D2074" t="s">
        <v>10821</v>
      </c>
      <c r="E2074" t="s">
        <v>48</v>
      </c>
      <c r="F2074" t="s">
        <v>106</v>
      </c>
      <c r="G2074" t="s">
        <v>106</v>
      </c>
      <c r="H2074" t="s">
        <v>80</v>
      </c>
      <c r="I2074" t="s">
        <v>146</v>
      </c>
      <c r="J2074" t="s">
        <v>50</v>
      </c>
      <c r="K2074" t="s">
        <v>10822</v>
      </c>
      <c r="L2074">
        <v>0.1</v>
      </c>
      <c r="M2074" t="s">
        <v>10823</v>
      </c>
      <c r="N2074" t="s">
        <v>10824</v>
      </c>
      <c r="O2074" t="s">
        <v>64</v>
      </c>
      <c r="P2074" t="s">
        <v>30</v>
      </c>
      <c r="Q2074" t="s">
        <v>44</v>
      </c>
      <c r="R2074" s="3">
        <v>8972.5679999999993</v>
      </c>
    </row>
    <row r="2075" spans="1:18" x14ac:dyDescent="0.3">
      <c r="A2075" t="s">
        <v>10825</v>
      </c>
      <c r="B2075" t="str">
        <f>TEXT(Raw_Data[[#This Row],[Order Date]],"mmm")</f>
        <v>Sep</v>
      </c>
      <c r="C2075" t="s">
        <v>1586</v>
      </c>
      <c r="D2075" t="s">
        <v>10826</v>
      </c>
      <c r="E2075" t="s">
        <v>35</v>
      </c>
      <c r="F2075" t="s">
        <v>89</v>
      </c>
      <c r="G2075" t="s">
        <v>99</v>
      </c>
      <c r="H2075" t="s">
        <v>80</v>
      </c>
      <c r="I2075" t="s">
        <v>91</v>
      </c>
      <c r="J2075" t="s">
        <v>100</v>
      </c>
      <c r="K2075" t="s">
        <v>10827</v>
      </c>
      <c r="L2075">
        <v>0.15</v>
      </c>
      <c r="M2075" t="s">
        <v>10828</v>
      </c>
      <c r="N2075" t="s">
        <v>10829</v>
      </c>
      <c r="O2075" t="s">
        <v>173</v>
      </c>
      <c r="P2075" t="s">
        <v>30</v>
      </c>
      <c r="Q2075" t="s">
        <v>31</v>
      </c>
      <c r="R2075" s="3">
        <v>1822.07699999999</v>
      </c>
    </row>
    <row r="2076" spans="1:18" x14ac:dyDescent="0.3">
      <c r="A2076" t="s">
        <v>10830</v>
      </c>
      <c r="B2076" t="str">
        <f>TEXT(Raw_Data[[#This Row],[Order Date]],"mmm")</f>
        <v>Mar</v>
      </c>
      <c r="C2076" t="s">
        <v>492</v>
      </c>
      <c r="D2076" t="s">
        <v>10831</v>
      </c>
      <c r="E2076" t="s">
        <v>35</v>
      </c>
      <c r="F2076" t="s">
        <v>21</v>
      </c>
      <c r="G2076" t="s">
        <v>130</v>
      </c>
      <c r="H2076" t="s">
        <v>154</v>
      </c>
      <c r="I2076" t="s">
        <v>1061</v>
      </c>
      <c r="J2076" t="s">
        <v>25</v>
      </c>
      <c r="K2076" t="s">
        <v>10832</v>
      </c>
      <c r="L2076">
        <v>0.2</v>
      </c>
      <c r="M2076" t="s">
        <v>10833</v>
      </c>
      <c r="N2076" t="s">
        <v>10834</v>
      </c>
      <c r="O2076" t="s">
        <v>54</v>
      </c>
      <c r="P2076" t="s">
        <v>30</v>
      </c>
      <c r="Q2076" t="s">
        <v>65</v>
      </c>
      <c r="R2076" s="3">
        <v>7802.1440000000002</v>
      </c>
    </row>
    <row r="2077" spans="1:18" x14ac:dyDescent="0.3">
      <c r="A2077" t="s">
        <v>10835</v>
      </c>
      <c r="B2077" t="str">
        <f>TEXT(Raw_Data[[#This Row],[Order Date]],"mmm")</f>
        <v>Aug</v>
      </c>
      <c r="C2077" t="s">
        <v>1442</v>
      </c>
      <c r="D2077" t="s">
        <v>10836</v>
      </c>
      <c r="E2077" t="s">
        <v>35</v>
      </c>
      <c r="F2077" t="s">
        <v>21</v>
      </c>
      <c r="G2077" t="s">
        <v>22</v>
      </c>
      <c r="H2077" t="s">
        <v>107</v>
      </c>
      <c r="I2077" t="s">
        <v>277</v>
      </c>
      <c r="J2077" t="s">
        <v>50</v>
      </c>
      <c r="K2077" t="s">
        <v>10837</v>
      </c>
      <c r="L2077">
        <v>0.05</v>
      </c>
      <c r="M2077" t="s">
        <v>10838</v>
      </c>
      <c r="N2077" t="s">
        <v>10839</v>
      </c>
      <c r="O2077" t="s">
        <v>64</v>
      </c>
      <c r="P2077" t="s">
        <v>30</v>
      </c>
      <c r="Q2077" t="s">
        <v>65</v>
      </c>
      <c r="R2077" s="3">
        <v>15467.197</v>
      </c>
    </row>
    <row r="2078" spans="1:18" x14ac:dyDescent="0.3">
      <c r="A2078" t="s">
        <v>10840</v>
      </c>
      <c r="B2078" t="str">
        <f>TEXT(Raw_Data[[#This Row],[Order Date]],"mmm")</f>
        <v>Apr</v>
      </c>
      <c r="C2078" t="s">
        <v>137</v>
      </c>
      <c r="D2078" t="s">
        <v>10841</v>
      </c>
      <c r="E2078" t="s">
        <v>20</v>
      </c>
      <c r="F2078" t="s">
        <v>69</v>
      </c>
      <c r="G2078" t="s">
        <v>70</v>
      </c>
      <c r="H2078" t="s">
        <v>80</v>
      </c>
      <c r="I2078" t="s">
        <v>146</v>
      </c>
      <c r="J2078" t="s">
        <v>25</v>
      </c>
      <c r="K2078" t="s">
        <v>10842</v>
      </c>
      <c r="L2078">
        <v>0.15</v>
      </c>
      <c r="M2078" t="s">
        <v>10843</v>
      </c>
      <c r="N2078" t="s">
        <v>10844</v>
      </c>
      <c r="O2078" t="s">
        <v>64</v>
      </c>
      <c r="P2078" t="s">
        <v>30</v>
      </c>
      <c r="Q2078" t="s">
        <v>44</v>
      </c>
      <c r="R2078" s="3">
        <v>4953.9359999999997</v>
      </c>
    </row>
    <row r="2079" spans="1:18" x14ac:dyDescent="0.3">
      <c r="A2079" t="s">
        <v>10845</v>
      </c>
      <c r="B2079" t="str">
        <f>TEXT(Raw_Data[[#This Row],[Order Date]],"mmm")</f>
        <v>Aug</v>
      </c>
      <c r="C2079" t="s">
        <v>2139</v>
      </c>
      <c r="D2079" t="s">
        <v>10846</v>
      </c>
      <c r="E2079" t="s">
        <v>35</v>
      </c>
      <c r="F2079" t="s">
        <v>106</v>
      </c>
      <c r="G2079" t="s">
        <v>163</v>
      </c>
      <c r="H2079" t="s">
        <v>23</v>
      </c>
      <c r="I2079" t="s">
        <v>183</v>
      </c>
      <c r="J2079" t="s">
        <v>25</v>
      </c>
      <c r="K2079" t="s">
        <v>10847</v>
      </c>
      <c r="L2079">
        <v>0.05</v>
      </c>
      <c r="M2079" t="s">
        <v>10848</v>
      </c>
      <c r="N2079" t="s">
        <v>10849</v>
      </c>
      <c r="O2079" t="s">
        <v>29</v>
      </c>
      <c r="P2079" t="s">
        <v>30</v>
      </c>
      <c r="Q2079" t="s">
        <v>44</v>
      </c>
      <c r="R2079" s="3">
        <v>27954.576499999999</v>
      </c>
    </row>
    <row r="2080" spans="1:18" x14ac:dyDescent="0.3">
      <c r="A2080" t="s">
        <v>10850</v>
      </c>
      <c r="B2080" t="str">
        <f>TEXT(Raw_Data[[#This Row],[Order Date]],"mmm")</f>
        <v>Mar</v>
      </c>
      <c r="C2080" t="s">
        <v>1216</v>
      </c>
      <c r="D2080" t="s">
        <v>10851</v>
      </c>
      <c r="E2080" t="s">
        <v>20</v>
      </c>
      <c r="F2080" t="s">
        <v>89</v>
      </c>
      <c r="G2080" t="s">
        <v>99</v>
      </c>
      <c r="H2080" t="s">
        <v>23</v>
      </c>
      <c r="I2080" t="s">
        <v>341</v>
      </c>
      <c r="J2080" t="s">
        <v>100</v>
      </c>
      <c r="K2080" t="s">
        <v>10852</v>
      </c>
      <c r="L2080">
        <v>0.1</v>
      </c>
      <c r="M2080" t="s">
        <v>10853</v>
      </c>
      <c r="N2080" t="s">
        <v>10854</v>
      </c>
      <c r="O2080" t="s">
        <v>29</v>
      </c>
      <c r="P2080" t="s">
        <v>95</v>
      </c>
      <c r="Q2080" t="s">
        <v>44</v>
      </c>
      <c r="R2080" s="3">
        <v>48970.44</v>
      </c>
    </row>
    <row r="2081" spans="1:18" x14ac:dyDescent="0.3">
      <c r="A2081" t="s">
        <v>10855</v>
      </c>
      <c r="B2081" t="str">
        <f>TEXT(Raw_Data[[#This Row],[Order Date]],"mmm")</f>
        <v>Oct</v>
      </c>
      <c r="C2081" t="s">
        <v>5733</v>
      </c>
      <c r="D2081" t="s">
        <v>10856</v>
      </c>
      <c r="E2081" t="s">
        <v>20</v>
      </c>
      <c r="F2081" t="s">
        <v>106</v>
      </c>
      <c r="G2081" t="s">
        <v>106</v>
      </c>
      <c r="H2081" t="s">
        <v>38</v>
      </c>
      <c r="I2081" t="s">
        <v>60</v>
      </c>
      <c r="J2081" t="s">
        <v>25</v>
      </c>
      <c r="K2081" t="s">
        <v>10857</v>
      </c>
      <c r="L2081">
        <v>0.1</v>
      </c>
      <c r="M2081" t="s">
        <v>10858</v>
      </c>
      <c r="N2081" t="s">
        <v>10859</v>
      </c>
      <c r="O2081" t="s">
        <v>43</v>
      </c>
      <c r="P2081" t="s">
        <v>30</v>
      </c>
      <c r="Q2081" t="s">
        <v>44</v>
      </c>
      <c r="R2081" s="3">
        <v>289.89</v>
      </c>
    </row>
    <row r="2082" spans="1:18" x14ac:dyDescent="0.3">
      <c r="A2082" t="s">
        <v>10860</v>
      </c>
      <c r="B2082" t="str">
        <f>TEXT(Raw_Data[[#This Row],[Order Date]],"mmm")</f>
        <v>Mar</v>
      </c>
      <c r="C2082" t="s">
        <v>1808</v>
      </c>
      <c r="D2082" t="s">
        <v>10861</v>
      </c>
      <c r="E2082" t="s">
        <v>35</v>
      </c>
      <c r="F2082" t="s">
        <v>58</v>
      </c>
      <c r="G2082" t="s">
        <v>812</v>
      </c>
      <c r="H2082" t="s">
        <v>80</v>
      </c>
      <c r="I2082" t="s">
        <v>146</v>
      </c>
      <c r="J2082" t="s">
        <v>25</v>
      </c>
      <c r="K2082" t="s">
        <v>10862</v>
      </c>
      <c r="L2082">
        <v>0.05</v>
      </c>
      <c r="M2082" t="s">
        <v>10863</v>
      </c>
      <c r="N2082" t="s">
        <v>10864</v>
      </c>
      <c r="O2082" t="s">
        <v>43</v>
      </c>
      <c r="P2082" t="s">
        <v>30</v>
      </c>
      <c r="Q2082" t="s">
        <v>65</v>
      </c>
      <c r="R2082" s="3">
        <v>4645.1769999999997</v>
      </c>
    </row>
    <row r="2083" spans="1:18" x14ac:dyDescent="0.3">
      <c r="A2083" t="s">
        <v>10865</v>
      </c>
      <c r="B2083" t="str">
        <f>TEXT(Raw_Data[[#This Row],[Order Date]],"mmm")</f>
        <v>Jan</v>
      </c>
      <c r="C2083" t="s">
        <v>207</v>
      </c>
      <c r="D2083" t="s">
        <v>10866</v>
      </c>
      <c r="E2083" t="s">
        <v>48</v>
      </c>
      <c r="F2083" t="s">
        <v>58</v>
      </c>
      <c r="G2083" t="s">
        <v>59</v>
      </c>
      <c r="H2083" t="s">
        <v>107</v>
      </c>
      <c r="I2083" t="s">
        <v>277</v>
      </c>
      <c r="J2083" t="s">
        <v>25</v>
      </c>
      <c r="K2083" t="s">
        <v>10867</v>
      </c>
      <c r="L2083">
        <v>0.2</v>
      </c>
      <c r="M2083" t="s">
        <v>10868</v>
      </c>
      <c r="N2083" t="s">
        <v>10869</v>
      </c>
      <c r="O2083" t="s">
        <v>54</v>
      </c>
      <c r="P2083" t="s">
        <v>30</v>
      </c>
      <c r="Q2083" t="s">
        <v>65</v>
      </c>
      <c r="R2083" s="3">
        <v>4748.8239999999996</v>
      </c>
    </row>
    <row r="2084" spans="1:18" x14ac:dyDescent="0.3">
      <c r="A2084" t="s">
        <v>10870</v>
      </c>
      <c r="B2084" t="str">
        <f>TEXT(Raw_Data[[#This Row],[Order Date]],"mmm")</f>
        <v>Sep</v>
      </c>
      <c r="C2084" t="s">
        <v>339</v>
      </c>
      <c r="D2084" t="s">
        <v>10871</v>
      </c>
      <c r="E2084" t="s">
        <v>20</v>
      </c>
      <c r="F2084" t="s">
        <v>215</v>
      </c>
      <c r="G2084" t="s">
        <v>276</v>
      </c>
      <c r="H2084" t="s">
        <v>107</v>
      </c>
      <c r="I2084" t="s">
        <v>108</v>
      </c>
      <c r="J2084" t="s">
        <v>25</v>
      </c>
      <c r="K2084" t="s">
        <v>10872</v>
      </c>
      <c r="L2084">
        <v>0.05</v>
      </c>
      <c r="M2084" t="s">
        <v>10873</v>
      </c>
      <c r="N2084" t="s">
        <v>10874</v>
      </c>
      <c r="O2084" t="s">
        <v>173</v>
      </c>
      <c r="P2084" t="s">
        <v>30</v>
      </c>
      <c r="Q2084" t="s">
        <v>31</v>
      </c>
      <c r="R2084" s="3">
        <v>12454.538</v>
      </c>
    </row>
    <row r="2085" spans="1:18" x14ac:dyDescent="0.3">
      <c r="A2085" t="s">
        <v>10875</v>
      </c>
      <c r="B2085" t="str">
        <f>TEXT(Raw_Data[[#This Row],[Order Date]],"mmm")</f>
        <v>May</v>
      </c>
      <c r="C2085" t="s">
        <v>1985</v>
      </c>
      <c r="D2085" t="s">
        <v>10876</v>
      </c>
      <c r="E2085" t="s">
        <v>20</v>
      </c>
      <c r="F2085" t="s">
        <v>215</v>
      </c>
      <c r="G2085" t="s">
        <v>216</v>
      </c>
      <c r="H2085" t="s">
        <v>23</v>
      </c>
      <c r="I2085" t="s">
        <v>183</v>
      </c>
      <c r="J2085" t="s">
        <v>50</v>
      </c>
      <c r="K2085" t="s">
        <v>10877</v>
      </c>
      <c r="L2085">
        <v>0.15</v>
      </c>
      <c r="M2085" t="s">
        <v>10878</v>
      </c>
      <c r="N2085" t="s">
        <v>10879</v>
      </c>
      <c r="O2085" t="s">
        <v>43</v>
      </c>
      <c r="P2085" t="s">
        <v>30</v>
      </c>
      <c r="Q2085" t="s">
        <v>65</v>
      </c>
      <c r="R2085" s="3">
        <v>27378.448999999899</v>
      </c>
    </row>
    <row r="2086" spans="1:18" x14ac:dyDescent="0.3">
      <c r="A2086" t="s">
        <v>10880</v>
      </c>
      <c r="B2086" t="str">
        <f>TEXT(Raw_Data[[#This Row],[Order Date]],"mmm")</f>
        <v>Sep</v>
      </c>
      <c r="C2086" t="s">
        <v>618</v>
      </c>
      <c r="D2086" t="s">
        <v>10881</v>
      </c>
      <c r="E2086" t="s">
        <v>20</v>
      </c>
      <c r="F2086" t="s">
        <v>106</v>
      </c>
      <c r="G2086" t="s">
        <v>106</v>
      </c>
      <c r="H2086" t="s">
        <v>23</v>
      </c>
      <c r="I2086" t="s">
        <v>341</v>
      </c>
      <c r="J2086" t="s">
        <v>25</v>
      </c>
      <c r="K2086" t="s">
        <v>10882</v>
      </c>
      <c r="L2086">
        <v>0.1</v>
      </c>
      <c r="M2086" t="s">
        <v>10883</v>
      </c>
      <c r="N2086" t="s">
        <v>10884</v>
      </c>
      <c r="O2086" t="s">
        <v>54</v>
      </c>
      <c r="P2086" t="s">
        <v>112</v>
      </c>
      <c r="Q2086" t="s">
        <v>65</v>
      </c>
      <c r="R2086" s="3">
        <v>47622.483</v>
      </c>
    </row>
    <row r="2087" spans="1:18" x14ac:dyDescent="0.3">
      <c r="A2087" t="s">
        <v>10885</v>
      </c>
      <c r="B2087" t="str">
        <f>TEXT(Raw_Data[[#This Row],[Order Date]],"mmm")</f>
        <v>Sep</v>
      </c>
      <c r="C2087" t="s">
        <v>1397</v>
      </c>
      <c r="D2087" t="s">
        <v>10886</v>
      </c>
      <c r="E2087" t="s">
        <v>35</v>
      </c>
      <c r="F2087" t="s">
        <v>106</v>
      </c>
      <c r="G2087" t="s">
        <v>163</v>
      </c>
      <c r="H2087" t="s">
        <v>107</v>
      </c>
      <c r="I2087" t="s">
        <v>469</v>
      </c>
      <c r="J2087" t="s">
        <v>25</v>
      </c>
      <c r="K2087" t="s">
        <v>10887</v>
      </c>
      <c r="L2087">
        <v>0.05</v>
      </c>
      <c r="M2087" t="s">
        <v>746</v>
      </c>
      <c r="N2087" t="s">
        <v>10888</v>
      </c>
      <c r="O2087" t="s">
        <v>43</v>
      </c>
      <c r="P2087" t="s">
        <v>30</v>
      </c>
      <c r="Q2087" t="s">
        <v>44</v>
      </c>
      <c r="R2087" s="3">
        <v>16349.5</v>
      </c>
    </row>
    <row r="2088" spans="1:18" x14ac:dyDescent="0.3">
      <c r="A2088" t="s">
        <v>10889</v>
      </c>
      <c r="B2088" t="str">
        <f>TEXT(Raw_Data[[#This Row],[Order Date]],"mmm")</f>
        <v>Mar</v>
      </c>
      <c r="C2088" t="s">
        <v>326</v>
      </c>
      <c r="D2088" t="s">
        <v>10890</v>
      </c>
      <c r="E2088" t="s">
        <v>48</v>
      </c>
      <c r="F2088" t="s">
        <v>69</v>
      </c>
      <c r="G2088" t="s">
        <v>139</v>
      </c>
      <c r="H2088" t="s">
        <v>154</v>
      </c>
      <c r="I2088" t="s">
        <v>365</v>
      </c>
      <c r="J2088" t="s">
        <v>100</v>
      </c>
      <c r="K2088" t="s">
        <v>10891</v>
      </c>
      <c r="L2088">
        <v>0.15</v>
      </c>
      <c r="M2088" t="s">
        <v>10892</v>
      </c>
      <c r="N2088" t="s">
        <v>10893</v>
      </c>
      <c r="O2088" t="s">
        <v>29</v>
      </c>
      <c r="P2088" t="s">
        <v>30</v>
      </c>
      <c r="Q2088" t="s">
        <v>65</v>
      </c>
      <c r="R2088" s="3">
        <v>14900.8995</v>
      </c>
    </row>
    <row r="2089" spans="1:18" x14ac:dyDescent="0.3">
      <c r="A2089" t="s">
        <v>10894</v>
      </c>
      <c r="B2089" t="str">
        <f>TEXT(Raw_Data[[#This Row],[Order Date]],"mmm")</f>
        <v>Oct</v>
      </c>
      <c r="C2089" t="s">
        <v>1227</v>
      </c>
      <c r="D2089" t="s">
        <v>10895</v>
      </c>
      <c r="E2089" t="s">
        <v>35</v>
      </c>
      <c r="F2089" t="s">
        <v>21</v>
      </c>
      <c r="G2089" t="s">
        <v>130</v>
      </c>
      <c r="H2089" t="s">
        <v>38</v>
      </c>
      <c r="I2089" t="s">
        <v>71</v>
      </c>
      <c r="J2089" t="s">
        <v>50</v>
      </c>
      <c r="K2089" t="s">
        <v>10896</v>
      </c>
      <c r="L2089">
        <v>0.05</v>
      </c>
      <c r="M2089" t="s">
        <v>10897</v>
      </c>
      <c r="N2089" t="s">
        <v>10898</v>
      </c>
      <c r="O2089" t="s">
        <v>64</v>
      </c>
      <c r="P2089" t="s">
        <v>30</v>
      </c>
      <c r="Q2089" t="s">
        <v>44</v>
      </c>
      <c r="R2089" s="3">
        <v>6152.5990000000002</v>
      </c>
    </row>
    <row r="2090" spans="1:18" x14ac:dyDescent="0.3">
      <c r="A2090" t="s">
        <v>10899</v>
      </c>
      <c r="B2090" t="str">
        <f>TEXT(Raw_Data[[#This Row],[Order Date]],"mmm")</f>
        <v>Jun</v>
      </c>
      <c r="C2090" t="s">
        <v>4510</v>
      </c>
      <c r="D2090" t="s">
        <v>10900</v>
      </c>
      <c r="E2090" t="s">
        <v>20</v>
      </c>
      <c r="F2090" t="s">
        <v>58</v>
      </c>
      <c r="G2090" t="s">
        <v>59</v>
      </c>
      <c r="H2090" t="s">
        <v>154</v>
      </c>
      <c r="I2090" t="s">
        <v>365</v>
      </c>
      <c r="J2090" t="s">
        <v>25</v>
      </c>
      <c r="K2090" t="s">
        <v>10901</v>
      </c>
      <c r="L2090">
        <v>0.05</v>
      </c>
      <c r="M2090" t="s">
        <v>10902</v>
      </c>
      <c r="N2090" t="s">
        <v>10903</v>
      </c>
      <c r="O2090" t="s">
        <v>54</v>
      </c>
      <c r="P2090" t="s">
        <v>112</v>
      </c>
      <c r="Q2090" t="s">
        <v>31</v>
      </c>
      <c r="R2090" s="3">
        <v>3927.10049999999</v>
      </c>
    </row>
    <row r="2091" spans="1:18" x14ac:dyDescent="0.3">
      <c r="A2091" t="s">
        <v>10904</v>
      </c>
      <c r="B2091" t="str">
        <f>TEXT(Raw_Data[[#This Row],[Order Date]],"mmm")</f>
        <v>Jan</v>
      </c>
      <c r="C2091" t="s">
        <v>3337</v>
      </c>
      <c r="D2091" t="s">
        <v>10905</v>
      </c>
      <c r="E2091" t="s">
        <v>48</v>
      </c>
      <c r="F2091" t="s">
        <v>78</v>
      </c>
      <c r="G2091" t="s">
        <v>79</v>
      </c>
      <c r="H2091" t="s">
        <v>107</v>
      </c>
      <c r="I2091" t="s">
        <v>469</v>
      </c>
      <c r="J2091" t="s">
        <v>25</v>
      </c>
      <c r="K2091" t="s">
        <v>10906</v>
      </c>
      <c r="L2091">
        <v>0.1</v>
      </c>
      <c r="M2091" t="s">
        <v>10907</v>
      </c>
      <c r="N2091" t="s">
        <v>10908</v>
      </c>
      <c r="O2091" t="s">
        <v>29</v>
      </c>
      <c r="P2091" t="s">
        <v>30</v>
      </c>
      <c r="Q2091" t="s">
        <v>44</v>
      </c>
      <c r="R2091" s="3">
        <v>12116.601000000001</v>
      </c>
    </row>
    <row r="2092" spans="1:18" x14ac:dyDescent="0.3">
      <c r="A2092" t="s">
        <v>10909</v>
      </c>
      <c r="B2092" t="str">
        <f>TEXT(Raw_Data[[#This Row],[Order Date]],"mmm")</f>
        <v>Mar</v>
      </c>
      <c r="C2092" t="s">
        <v>1808</v>
      </c>
      <c r="D2092" t="s">
        <v>10910</v>
      </c>
      <c r="E2092" t="s">
        <v>20</v>
      </c>
      <c r="F2092" t="s">
        <v>78</v>
      </c>
      <c r="G2092" t="s">
        <v>468</v>
      </c>
      <c r="H2092" t="s">
        <v>38</v>
      </c>
      <c r="I2092" t="s">
        <v>71</v>
      </c>
      <c r="J2092" t="s">
        <v>25</v>
      </c>
      <c r="K2092" t="s">
        <v>10911</v>
      </c>
      <c r="L2092">
        <v>0.05</v>
      </c>
      <c r="M2092" t="s">
        <v>10912</v>
      </c>
      <c r="N2092" t="s">
        <v>10913</v>
      </c>
      <c r="O2092" t="s">
        <v>64</v>
      </c>
      <c r="P2092" t="s">
        <v>490</v>
      </c>
      <c r="Q2092" t="s">
        <v>65</v>
      </c>
      <c r="R2092" s="3">
        <v>3086.5974999999999</v>
      </c>
    </row>
    <row r="2093" spans="1:18" x14ac:dyDescent="0.3">
      <c r="A2093" t="s">
        <v>10914</v>
      </c>
      <c r="B2093" t="str">
        <f>TEXT(Raw_Data[[#This Row],[Order Date]],"mmm")</f>
        <v>Mar</v>
      </c>
      <c r="C2093" t="s">
        <v>2180</v>
      </c>
      <c r="D2093" t="s">
        <v>10915</v>
      </c>
      <c r="E2093" t="s">
        <v>48</v>
      </c>
      <c r="F2093" t="s">
        <v>89</v>
      </c>
      <c r="G2093" t="s">
        <v>90</v>
      </c>
      <c r="H2093" t="s">
        <v>107</v>
      </c>
      <c r="I2093" t="s">
        <v>378</v>
      </c>
      <c r="J2093" t="s">
        <v>25</v>
      </c>
      <c r="K2093" t="s">
        <v>10916</v>
      </c>
      <c r="L2093">
        <v>0.05</v>
      </c>
      <c r="M2093" t="s">
        <v>10917</v>
      </c>
      <c r="N2093" t="s">
        <v>10918</v>
      </c>
      <c r="O2093" t="s">
        <v>173</v>
      </c>
      <c r="P2093" t="s">
        <v>30</v>
      </c>
      <c r="Q2093" t="s">
        <v>44</v>
      </c>
      <c r="R2093" s="3">
        <v>11252.4365</v>
      </c>
    </row>
    <row r="2094" spans="1:18" x14ac:dyDescent="0.3">
      <c r="A2094" t="s">
        <v>10919</v>
      </c>
      <c r="B2094" t="str">
        <f>TEXT(Raw_Data[[#This Row],[Order Date]],"mmm")</f>
        <v>Apr</v>
      </c>
      <c r="C2094" t="s">
        <v>2649</v>
      </c>
      <c r="D2094" t="s">
        <v>10920</v>
      </c>
      <c r="E2094" t="s">
        <v>48</v>
      </c>
      <c r="F2094" t="s">
        <v>215</v>
      </c>
      <c r="G2094" t="s">
        <v>216</v>
      </c>
      <c r="H2094" t="s">
        <v>23</v>
      </c>
      <c r="I2094" t="s">
        <v>49</v>
      </c>
      <c r="J2094" t="s">
        <v>50</v>
      </c>
      <c r="K2094" t="s">
        <v>10921</v>
      </c>
      <c r="L2094">
        <v>0.1</v>
      </c>
      <c r="M2094" t="s">
        <v>10922</v>
      </c>
      <c r="N2094" t="s">
        <v>10923</v>
      </c>
      <c r="O2094" t="s">
        <v>29</v>
      </c>
      <c r="P2094" t="s">
        <v>30</v>
      </c>
      <c r="Q2094" t="s">
        <v>31</v>
      </c>
      <c r="R2094" s="3">
        <v>125423.496</v>
      </c>
    </row>
    <row r="2095" spans="1:18" x14ac:dyDescent="0.3">
      <c r="A2095" t="s">
        <v>10924</v>
      </c>
      <c r="B2095" t="str">
        <f>TEXT(Raw_Data[[#This Row],[Order Date]],"mmm")</f>
        <v>Jun</v>
      </c>
      <c r="C2095" t="s">
        <v>1862</v>
      </c>
      <c r="D2095" t="s">
        <v>10925</v>
      </c>
      <c r="E2095" t="s">
        <v>20</v>
      </c>
      <c r="F2095" t="s">
        <v>215</v>
      </c>
      <c r="G2095" t="s">
        <v>276</v>
      </c>
      <c r="H2095" t="s">
        <v>154</v>
      </c>
      <c r="I2095" t="s">
        <v>365</v>
      </c>
      <c r="J2095" t="s">
        <v>25</v>
      </c>
      <c r="K2095" t="s">
        <v>10926</v>
      </c>
      <c r="L2095">
        <v>0.05</v>
      </c>
      <c r="M2095" t="s">
        <v>10927</v>
      </c>
      <c r="N2095" t="s">
        <v>10928</v>
      </c>
      <c r="O2095" t="s">
        <v>29</v>
      </c>
      <c r="P2095" t="s">
        <v>30</v>
      </c>
      <c r="Q2095" t="s">
        <v>65</v>
      </c>
      <c r="R2095" s="3">
        <v>2926.893</v>
      </c>
    </row>
    <row r="2096" spans="1:18" x14ac:dyDescent="0.3">
      <c r="A2096" t="s">
        <v>10929</v>
      </c>
      <c r="B2096" t="str">
        <f>TEXT(Raw_Data[[#This Row],[Order Date]],"mmm")</f>
        <v>Aug</v>
      </c>
      <c r="C2096" t="s">
        <v>3841</v>
      </c>
      <c r="D2096" t="s">
        <v>10930</v>
      </c>
      <c r="E2096" t="s">
        <v>35</v>
      </c>
      <c r="F2096" t="s">
        <v>21</v>
      </c>
      <c r="G2096" t="s">
        <v>130</v>
      </c>
      <c r="H2096" t="s">
        <v>23</v>
      </c>
      <c r="I2096" t="s">
        <v>263</v>
      </c>
      <c r="J2096" t="s">
        <v>25</v>
      </c>
      <c r="K2096" t="s">
        <v>10931</v>
      </c>
      <c r="L2096">
        <v>0.1</v>
      </c>
      <c r="M2096" t="s">
        <v>10932</v>
      </c>
      <c r="N2096" t="s">
        <v>10933</v>
      </c>
      <c r="O2096" t="s">
        <v>173</v>
      </c>
      <c r="P2096" t="s">
        <v>30</v>
      </c>
      <c r="Q2096" t="s">
        <v>65</v>
      </c>
      <c r="R2096" s="3">
        <v>34546.995000000003</v>
      </c>
    </row>
    <row r="2097" spans="1:18" x14ac:dyDescent="0.3">
      <c r="A2097" t="s">
        <v>10934</v>
      </c>
      <c r="B2097" t="str">
        <f>TEXT(Raw_Data[[#This Row],[Order Date]],"mmm")</f>
        <v>Nov</v>
      </c>
      <c r="C2097" t="s">
        <v>443</v>
      </c>
      <c r="D2097" t="s">
        <v>10935</v>
      </c>
      <c r="E2097" t="s">
        <v>20</v>
      </c>
      <c r="F2097" t="s">
        <v>21</v>
      </c>
      <c r="G2097" t="s">
        <v>130</v>
      </c>
      <c r="H2097" t="s">
        <v>23</v>
      </c>
      <c r="I2097" t="s">
        <v>341</v>
      </c>
      <c r="J2097" t="s">
        <v>100</v>
      </c>
      <c r="K2097" t="s">
        <v>10936</v>
      </c>
      <c r="L2097">
        <v>0.15</v>
      </c>
      <c r="M2097" t="s">
        <v>10937</v>
      </c>
      <c r="N2097" t="s">
        <v>10938</v>
      </c>
      <c r="O2097" t="s">
        <v>64</v>
      </c>
      <c r="P2097" t="s">
        <v>159</v>
      </c>
      <c r="Q2097" t="s">
        <v>44</v>
      </c>
      <c r="R2097" s="3">
        <v>174219.95250000001</v>
      </c>
    </row>
    <row r="2098" spans="1:18" x14ac:dyDescent="0.3">
      <c r="A2098" t="s">
        <v>10939</v>
      </c>
      <c r="B2098" t="str">
        <f>TEXT(Raw_Data[[#This Row],[Order Date]],"mmm")</f>
        <v>Jul</v>
      </c>
      <c r="C2098" t="s">
        <v>792</v>
      </c>
      <c r="D2098" t="s">
        <v>10940</v>
      </c>
      <c r="E2098" t="s">
        <v>35</v>
      </c>
      <c r="F2098" t="s">
        <v>78</v>
      </c>
      <c r="G2098" t="s">
        <v>468</v>
      </c>
      <c r="H2098" t="s">
        <v>107</v>
      </c>
      <c r="I2098" t="s">
        <v>277</v>
      </c>
      <c r="J2098" t="s">
        <v>25</v>
      </c>
      <c r="K2098" t="s">
        <v>10941</v>
      </c>
      <c r="L2098">
        <v>0.05</v>
      </c>
      <c r="M2098" t="s">
        <v>10942</v>
      </c>
      <c r="N2098" t="s">
        <v>10943</v>
      </c>
      <c r="O2098" t="s">
        <v>54</v>
      </c>
      <c r="P2098" t="s">
        <v>30</v>
      </c>
      <c r="Q2098" t="s">
        <v>44</v>
      </c>
      <c r="R2098" s="3">
        <v>15780.0605</v>
      </c>
    </row>
    <row r="2099" spans="1:18" x14ac:dyDescent="0.3">
      <c r="A2099" t="s">
        <v>10944</v>
      </c>
      <c r="B2099" t="str">
        <f>TEXT(Raw_Data[[#This Row],[Order Date]],"mmm")</f>
        <v>Feb</v>
      </c>
      <c r="C2099" t="s">
        <v>936</v>
      </c>
      <c r="D2099" t="s">
        <v>10945</v>
      </c>
      <c r="E2099" t="s">
        <v>20</v>
      </c>
      <c r="F2099" t="s">
        <v>106</v>
      </c>
      <c r="G2099" t="s">
        <v>106</v>
      </c>
      <c r="H2099" t="s">
        <v>107</v>
      </c>
      <c r="I2099" t="s">
        <v>469</v>
      </c>
      <c r="J2099" t="s">
        <v>25</v>
      </c>
      <c r="K2099" t="s">
        <v>10946</v>
      </c>
      <c r="L2099">
        <v>0</v>
      </c>
      <c r="M2099" t="s">
        <v>10947</v>
      </c>
      <c r="N2099" t="s">
        <v>10948</v>
      </c>
      <c r="O2099" t="s">
        <v>173</v>
      </c>
      <c r="P2099" t="s">
        <v>159</v>
      </c>
      <c r="Q2099" t="s">
        <v>65</v>
      </c>
      <c r="R2099" s="3">
        <v>14833</v>
      </c>
    </row>
    <row r="2100" spans="1:18" x14ac:dyDescent="0.3">
      <c r="A2100" t="s">
        <v>10949</v>
      </c>
      <c r="B2100" t="str">
        <f>TEXT(Raw_Data[[#This Row],[Order Date]],"mmm")</f>
        <v>Mar</v>
      </c>
      <c r="C2100" t="s">
        <v>395</v>
      </c>
      <c r="D2100" t="s">
        <v>10950</v>
      </c>
      <c r="E2100" t="s">
        <v>48</v>
      </c>
      <c r="F2100" t="s">
        <v>21</v>
      </c>
      <c r="G2100" t="s">
        <v>130</v>
      </c>
      <c r="H2100" t="s">
        <v>80</v>
      </c>
      <c r="I2100" t="s">
        <v>146</v>
      </c>
      <c r="J2100" t="s">
        <v>100</v>
      </c>
      <c r="K2100" t="s">
        <v>10951</v>
      </c>
      <c r="L2100">
        <v>0.15</v>
      </c>
      <c r="M2100" t="s">
        <v>10952</v>
      </c>
      <c r="N2100" t="s">
        <v>10953</v>
      </c>
      <c r="O2100" t="s">
        <v>29</v>
      </c>
      <c r="P2100" t="s">
        <v>30</v>
      </c>
      <c r="Q2100" t="s">
        <v>31</v>
      </c>
      <c r="R2100" s="3">
        <v>1749.1980000000001</v>
      </c>
    </row>
    <row r="2101" spans="1:18" x14ac:dyDescent="0.3">
      <c r="A2101" t="s">
        <v>10954</v>
      </c>
      <c r="B2101" t="str">
        <f>TEXT(Raw_Data[[#This Row],[Order Date]],"mmm")</f>
        <v>Feb</v>
      </c>
      <c r="C2101" t="s">
        <v>862</v>
      </c>
      <c r="D2101" t="s">
        <v>10955</v>
      </c>
      <c r="E2101" t="s">
        <v>48</v>
      </c>
      <c r="F2101" t="s">
        <v>215</v>
      </c>
      <c r="G2101" t="s">
        <v>276</v>
      </c>
      <c r="H2101" t="s">
        <v>154</v>
      </c>
      <c r="I2101" t="s">
        <v>365</v>
      </c>
      <c r="J2101" t="s">
        <v>82</v>
      </c>
      <c r="K2101" t="s">
        <v>10956</v>
      </c>
      <c r="L2101">
        <v>0.05</v>
      </c>
      <c r="M2101" t="s">
        <v>10957</v>
      </c>
      <c r="N2101" t="s">
        <v>10958</v>
      </c>
      <c r="O2101" t="s">
        <v>29</v>
      </c>
      <c r="P2101" t="s">
        <v>30</v>
      </c>
      <c r="Q2101" t="s">
        <v>65</v>
      </c>
      <c r="R2101" s="3">
        <v>33896.038</v>
      </c>
    </row>
    <row r="2102" spans="1:18" x14ac:dyDescent="0.3">
      <c r="A2102" t="s">
        <v>10959</v>
      </c>
      <c r="B2102" t="str">
        <f>TEXT(Raw_Data[[#This Row],[Order Date]],"mmm")</f>
        <v>Feb</v>
      </c>
      <c r="C2102" t="s">
        <v>2892</v>
      </c>
      <c r="D2102" t="s">
        <v>10960</v>
      </c>
      <c r="E2102" t="s">
        <v>20</v>
      </c>
      <c r="F2102" t="s">
        <v>58</v>
      </c>
      <c r="G2102" t="s">
        <v>812</v>
      </c>
      <c r="H2102" t="s">
        <v>23</v>
      </c>
      <c r="I2102" t="s">
        <v>183</v>
      </c>
      <c r="J2102" t="s">
        <v>25</v>
      </c>
      <c r="K2102" t="s">
        <v>10961</v>
      </c>
      <c r="L2102">
        <v>0.1</v>
      </c>
      <c r="M2102" t="s">
        <v>10962</v>
      </c>
      <c r="N2102" t="s">
        <v>10963</v>
      </c>
      <c r="O2102" t="s">
        <v>54</v>
      </c>
      <c r="P2102" t="s">
        <v>112</v>
      </c>
      <c r="Q2102" t="s">
        <v>31</v>
      </c>
      <c r="R2102" s="3">
        <v>62363.205000000002</v>
      </c>
    </row>
    <row r="2103" spans="1:18" x14ac:dyDescent="0.3">
      <c r="A2103" t="s">
        <v>10964</v>
      </c>
      <c r="B2103" t="str">
        <f>TEXT(Raw_Data[[#This Row],[Order Date]],"mmm")</f>
        <v>May</v>
      </c>
      <c r="C2103" t="s">
        <v>4485</v>
      </c>
      <c r="D2103" t="s">
        <v>10965</v>
      </c>
      <c r="E2103" t="s">
        <v>48</v>
      </c>
      <c r="F2103" t="s">
        <v>89</v>
      </c>
      <c r="G2103" t="s">
        <v>230</v>
      </c>
      <c r="H2103" t="s">
        <v>107</v>
      </c>
      <c r="I2103" t="s">
        <v>277</v>
      </c>
      <c r="J2103" t="s">
        <v>25</v>
      </c>
      <c r="K2103" t="s">
        <v>10966</v>
      </c>
      <c r="L2103">
        <v>0</v>
      </c>
      <c r="M2103" t="s">
        <v>10967</v>
      </c>
      <c r="N2103" t="s">
        <v>10968</v>
      </c>
      <c r="O2103" t="s">
        <v>29</v>
      </c>
      <c r="P2103" t="s">
        <v>30</v>
      </c>
      <c r="Q2103" t="s">
        <v>44</v>
      </c>
      <c r="R2103" s="3">
        <v>7004.06</v>
      </c>
    </row>
    <row r="2104" spans="1:18" x14ac:dyDescent="0.3">
      <c r="A2104" t="s">
        <v>10969</v>
      </c>
      <c r="B2104" t="str">
        <f>TEXT(Raw_Data[[#This Row],[Order Date]],"mmm")</f>
        <v>Feb</v>
      </c>
      <c r="C2104" t="s">
        <v>702</v>
      </c>
      <c r="D2104" t="s">
        <v>10970</v>
      </c>
      <c r="E2104" t="s">
        <v>20</v>
      </c>
      <c r="F2104" t="s">
        <v>78</v>
      </c>
      <c r="G2104" t="s">
        <v>731</v>
      </c>
      <c r="H2104" t="s">
        <v>38</v>
      </c>
      <c r="I2104" t="s">
        <v>256</v>
      </c>
      <c r="J2104" t="s">
        <v>50</v>
      </c>
      <c r="K2104" t="s">
        <v>10971</v>
      </c>
      <c r="L2104">
        <v>0.1</v>
      </c>
      <c r="M2104" t="s">
        <v>10972</v>
      </c>
      <c r="N2104" t="s">
        <v>10973</v>
      </c>
      <c r="O2104" t="s">
        <v>54</v>
      </c>
      <c r="P2104" t="s">
        <v>30</v>
      </c>
      <c r="Q2104" t="s">
        <v>31</v>
      </c>
      <c r="R2104" s="3">
        <v>6145.326</v>
      </c>
    </row>
    <row r="2105" spans="1:18" x14ac:dyDescent="0.3">
      <c r="A2105" t="s">
        <v>10974</v>
      </c>
      <c r="B2105" t="str">
        <f>TEXT(Raw_Data[[#This Row],[Order Date]],"mmm")</f>
        <v>Aug</v>
      </c>
      <c r="C2105" t="s">
        <v>4263</v>
      </c>
      <c r="D2105" t="s">
        <v>10975</v>
      </c>
      <c r="E2105" t="s">
        <v>35</v>
      </c>
      <c r="F2105" t="s">
        <v>58</v>
      </c>
      <c r="G2105" t="s">
        <v>59</v>
      </c>
      <c r="H2105" t="s">
        <v>107</v>
      </c>
      <c r="I2105" t="s">
        <v>277</v>
      </c>
      <c r="J2105" t="s">
        <v>50</v>
      </c>
      <c r="K2105" t="s">
        <v>10976</v>
      </c>
      <c r="L2105">
        <v>0.1</v>
      </c>
      <c r="M2105" t="s">
        <v>10977</v>
      </c>
      <c r="N2105" t="s">
        <v>10978</v>
      </c>
      <c r="O2105" t="s">
        <v>173</v>
      </c>
      <c r="P2105" t="s">
        <v>30</v>
      </c>
      <c r="Q2105" t="s">
        <v>31</v>
      </c>
      <c r="R2105" s="3">
        <v>19737.234</v>
      </c>
    </row>
    <row r="2106" spans="1:18" x14ac:dyDescent="0.3">
      <c r="A2106" t="s">
        <v>10979</v>
      </c>
      <c r="B2106" t="str">
        <f>TEXT(Raw_Data[[#This Row],[Order Date]],"mmm")</f>
        <v>Apr</v>
      </c>
      <c r="C2106" t="s">
        <v>2903</v>
      </c>
      <c r="D2106" t="s">
        <v>10980</v>
      </c>
      <c r="E2106" t="s">
        <v>20</v>
      </c>
      <c r="F2106" t="s">
        <v>69</v>
      </c>
      <c r="G2106" t="s">
        <v>139</v>
      </c>
      <c r="H2106" t="s">
        <v>80</v>
      </c>
      <c r="I2106" t="s">
        <v>131</v>
      </c>
      <c r="J2106" t="s">
        <v>25</v>
      </c>
      <c r="K2106" t="s">
        <v>10981</v>
      </c>
      <c r="L2106">
        <v>0.1</v>
      </c>
      <c r="M2106" t="s">
        <v>10982</v>
      </c>
      <c r="N2106" t="s">
        <v>10983</v>
      </c>
      <c r="O2106" t="s">
        <v>3684</v>
      </c>
      <c r="P2106" t="s">
        <v>30</v>
      </c>
      <c r="Q2106" t="s">
        <v>65</v>
      </c>
      <c r="R2106" s="3">
        <v>2651.1750000000002</v>
      </c>
    </row>
    <row r="2107" spans="1:18" x14ac:dyDescent="0.3">
      <c r="A2107" t="s">
        <v>10984</v>
      </c>
      <c r="B2107" t="str">
        <f>TEXT(Raw_Data[[#This Row],[Order Date]],"mmm")</f>
        <v>Nov</v>
      </c>
      <c r="C2107" t="s">
        <v>851</v>
      </c>
      <c r="D2107" t="s">
        <v>10985</v>
      </c>
      <c r="E2107" t="s">
        <v>20</v>
      </c>
      <c r="F2107" t="s">
        <v>78</v>
      </c>
      <c r="G2107" t="s">
        <v>79</v>
      </c>
      <c r="H2107" t="s">
        <v>23</v>
      </c>
      <c r="I2107" t="s">
        <v>263</v>
      </c>
      <c r="J2107" t="s">
        <v>25</v>
      </c>
      <c r="K2107" t="s">
        <v>10986</v>
      </c>
      <c r="L2107">
        <v>0.05</v>
      </c>
      <c r="M2107" t="s">
        <v>10987</v>
      </c>
      <c r="N2107" t="s">
        <v>10988</v>
      </c>
      <c r="O2107" t="s">
        <v>29</v>
      </c>
      <c r="P2107" t="s">
        <v>30</v>
      </c>
      <c r="Q2107" t="s">
        <v>44</v>
      </c>
      <c r="R2107" s="3">
        <v>46255.025000000001</v>
      </c>
    </row>
    <row r="2108" spans="1:18" x14ac:dyDescent="0.3">
      <c r="A2108" t="s">
        <v>10989</v>
      </c>
      <c r="B2108" t="str">
        <f>TEXT(Raw_Data[[#This Row],[Order Date]],"mmm")</f>
        <v>Mar</v>
      </c>
      <c r="C2108" t="s">
        <v>1460</v>
      </c>
      <c r="D2108" t="s">
        <v>10990</v>
      </c>
      <c r="E2108" t="s">
        <v>35</v>
      </c>
      <c r="F2108" t="s">
        <v>21</v>
      </c>
      <c r="G2108" t="s">
        <v>130</v>
      </c>
      <c r="H2108" t="s">
        <v>23</v>
      </c>
      <c r="I2108" t="s">
        <v>263</v>
      </c>
      <c r="J2108" t="s">
        <v>25</v>
      </c>
      <c r="K2108" t="s">
        <v>10991</v>
      </c>
      <c r="L2108">
        <v>0.05</v>
      </c>
      <c r="M2108" t="s">
        <v>10992</v>
      </c>
      <c r="N2108" t="s">
        <v>10993</v>
      </c>
      <c r="O2108" t="s">
        <v>43</v>
      </c>
      <c r="P2108" t="s">
        <v>30</v>
      </c>
      <c r="Q2108" t="s">
        <v>65</v>
      </c>
      <c r="R2108" s="3">
        <v>63902.975499999899</v>
      </c>
    </row>
    <row r="2109" spans="1:18" x14ac:dyDescent="0.3">
      <c r="A2109" t="s">
        <v>10994</v>
      </c>
      <c r="B2109" t="str">
        <f>TEXT(Raw_Data[[#This Row],[Order Date]],"mmm")</f>
        <v>Mar</v>
      </c>
      <c r="C2109" t="s">
        <v>1460</v>
      </c>
      <c r="D2109" t="s">
        <v>10995</v>
      </c>
      <c r="E2109" t="s">
        <v>48</v>
      </c>
      <c r="F2109" t="s">
        <v>58</v>
      </c>
      <c r="G2109" t="s">
        <v>812</v>
      </c>
      <c r="H2109" t="s">
        <v>23</v>
      </c>
      <c r="I2109" t="s">
        <v>183</v>
      </c>
      <c r="J2109" t="s">
        <v>25</v>
      </c>
      <c r="K2109" t="s">
        <v>10996</v>
      </c>
      <c r="L2109">
        <v>0.1</v>
      </c>
      <c r="M2109" t="s">
        <v>10997</v>
      </c>
      <c r="N2109" t="s">
        <v>10998</v>
      </c>
      <c r="O2109" t="s">
        <v>173</v>
      </c>
      <c r="P2109" t="s">
        <v>30</v>
      </c>
      <c r="Q2109" t="s">
        <v>44</v>
      </c>
      <c r="R2109" s="3">
        <v>26753.192999999999</v>
      </c>
    </row>
    <row r="2110" spans="1:18" x14ac:dyDescent="0.3">
      <c r="A2110" t="s">
        <v>10999</v>
      </c>
      <c r="B2110" t="str">
        <f>TEXT(Raw_Data[[#This Row],[Order Date]],"mmm")</f>
        <v>Jul</v>
      </c>
      <c r="C2110" t="s">
        <v>295</v>
      </c>
      <c r="D2110" t="s">
        <v>11000</v>
      </c>
      <c r="E2110" t="s">
        <v>48</v>
      </c>
      <c r="F2110" t="s">
        <v>69</v>
      </c>
      <c r="G2110" t="s">
        <v>139</v>
      </c>
      <c r="H2110" t="s">
        <v>23</v>
      </c>
      <c r="I2110" t="s">
        <v>263</v>
      </c>
      <c r="J2110" t="s">
        <v>25</v>
      </c>
      <c r="K2110" t="s">
        <v>11001</v>
      </c>
      <c r="L2110">
        <v>0</v>
      </c>
      <c r="M2110" t="s">
        <v>11002</v>
      </c>
      <c r="N2110" t="s">
        <v>11003</v>
      </c>
      <c r="O2110" t="s">
        <v>64</v>
      </c>
      <c r="P2110" t="s">
        <v>30</v>
      </c>
      <c r="Q2110" t="s">
        <v>44</v>
      </c>
      <c r="R2110" s="3">
        <v>17983.72</v>
      </c>
    </row>
    <row r="2111" spans="1:18" x14ac:dyDescent="0.3">
      <c r="A2111" t="s">
        <v>11004</v>
      </c>
      <c r="B2111" t="str">
        <f>TEXT(Raw_Data[[#This Row],[Order Date]],"mmm")</f>
        <v>Oct</v>
      </c>
      <c r="C2111" t="s">
        <v>2255</v>
      </c>
      <c r="D2111" t="s">
        <v>11005</v>
      </c>
      <c r="E2111" t="s">
        <v>20</v>
      </c>
      <c r="F2111" t="s">
        <v>78</v>
      </c>
      <c r="G2111" t="s">
        <v>79</v>
      </c>
      <c r="H2111" t="s">
        <v>107</v>
      </c>
      <c r="I2111" t="s">
        <v>378</v>
      </c>
      <c r="J2111" t="s">
        <v>25</v>
      </c>
      <c r="K2111" t="s">
        <v>11006</v>
      </c>
      <c r="L2111">
        <v>0.05</v>
      </c>
      <c r="M2111" t="s">
        <v>11007</v>
      </c>
      <c r="N2111" t="s">
        <v>11008</v>
      </c>
      <c r="O2111" t="s">
        <v>64</v>
      </c>
      <c r="P2111" t="s">
        <v>30</v>
      </c>
      <c r="Q2111" t="s">
        <v>65</v>
      </c>
      <c r="R2111" s="3">
        <v>8131.8289999999997</v>
      </c>
    </row>
    <row r="2112" spans="1:18" x14ac:dyDescent="0.3">
      <c r="A2112" t="s">
        <v>11009</v>
      </c>
      <c r="B2112" t="str">
        <f>TEXT(Raw_Data[[#This Row],[Order Date]],"mmm")</f>
        <v>Feb</v>
      </c>
      <c r="C2112" t="s">
        <v>33</v>
      </c>
      <c r="D2112" t="s">
        <v>11010</v>
      </c>
      <c r="E2112" t="s">
        <v>20</v>
      </c>
      <c r="F2112" t="s">
        <v>36</v>
      </c>
      <c r="G2112" t="s">
        <v>123</v>
      </c>
      <c r="H2112" t="s">
        <v>107</v>
      </c>
      <c r="I2112" t="s">
        <v>277</v>
      </c>
      <c r="J2112" t="s">
        <v>25</v>
      </c>
      <c r="K2112" t="s">
        <v>11011</v>
      </c>
      <c r="L2112">
        <v>0.05</v>
      </c>
      <c r="M2112" t="s">
        <v>11012</v>
      </c>
      <c r="N2112" t="s">
        <v>11013</v>
      </c>
      <c r="O2112" t="s">
        <v>43</v>
      </c>
      <c r="P2112" t="s">
        <v>30</v>
      </c>
      <c r="Q2112" t="s">
        <v>44</v>
      </c>
      <c r="R2112" s="3">
        <v>14129.369000000001</v>
      </c>
    </row>
    <row r="2113" spans="1:18" x14ac:dyDescent="0.3">
      <c r="A2113" t="s">
        <v>11014</v>
      </c>
      <c r="B2113" t="str">
        <f>TEXT(Raw_Data[[#This Row],[Order Date]],"mmm")</f>
        <v>Feb</v>
      </c>
      <c r="C2113" t="s">
        <v>7114</v>
      </c>
      <c r="D2113" t="s">
        <v>11015</v>
      </c>
      <c r="E2113" t="s">
        <v>20</v>
      </c>
      <c r="F2113" t="s">
        <v>89</v>
      </c>
      <c r="G2113" t="s">
        <v>230</v>
      </c>
      <c r="H2113" t="s">
        <v>23</v>
      </c>
      <c r="I2113" t="s">
        <v>341</v>
      </c>
      <c r="J2113" t="s">
        <v>25</v>
      </c>
      <c r="K2113" t="s">
        <v>11016</v>
      </c>
      <c r="L2113">
        <v>0.1</v>
      </c>
      <c r="M2113" t="s">
        <v>11017</v>
      </c>
      <c r="N2113" t="s">
        <v>11018</v>
      </c>
      <c r="O2113" t="s">
        <v>173</v>
      </c>
      <c r="P2113" t="s">
        <v>112</v>
      </c>
      <c r="Q2113" t="s">
        <v>31</v>
      </c>
      <c r="R2113" s="3">
        <v>19817.469000000001</v>
      </c>
    </row>
    <row r="2114" spans="1:18" x14ac:dyDescent="0.3">
      <c r="A2114" t="s">
        <v>11019</v>
      </c>
      <c r="B2114" t="str">
        <f>TEXT(Raw_Data[[#This Row],[Order Date]],"mmm")</f>
        <v>Dec</v>
      </c>
      <c r="C2114" t="s">
        <v>982</v>
      </c>
      <c r="D2114" t="s">
        <v>11020</v>
      </c>
      <c r="E2114" t="s">
        <v>35</v>
      </c>
      <c r="F2114" t="s">
        <v>78</v>
      </c>
      <c r="G2114" t="s">
        <v>731</v>
      </c>
      <c r="H2114" t="s">
        <v>23</v>
      </c>
      <c r="I2114" t="s">
        <v>183</v>
      </c>
      <c r="J2114" t="s">
        <v>25</v>
      </c>
      <c r="K2114" t="s">
        <v>11021</v>
      </c>
      <c r="L2114">
        <v>0.15</v>
      </c>
      <c r="M2114" t="s">
        <v>11022</v>
      </c>
      <c r="N2114" t="s">
        <v>11023</v>
      </c>
      <c r="O2114" t="s">
        <v>29</v>
      </c>
      <c r="P2114" t="s">
        <v>112</v>
      </c>
      <c r="Q2114" t="s">
        <v>65</v>
      </c>
      <c r="R2114" s="3">
        <v>24280.879000000001</v>
      </c>
    </row>
    <row r="2115" spans="1:18" x14ac:dyDescent="0.3">
      <c r="A2115" t="s">
        <v>11024</v>
      </c>
      <c r="B2115" t="str">
        <f>TEXT(Raw_Data[[#This Row],[Order Date]],"mmm")</f>
        <v>Mar</v>
      </c>
      <c r="C2115" t="s">
        <v>2293</v>
      </c>
      <c r="D2115" t="s">
        <v>11025</v>
      </c>
      <c r="E2115" t="s">
        <v>48</v>
      </c>
      <c r="F2115" t="s">
        <v>21</v>
      </c>
      <c r="G2115" t="s">
        <v>130</v>
      </c>
      <c r="H2115" t="s">
        <v>154</v>
      </c>
      <c r="I2115" t="s">
        <v>237</v>
      </c>
      <c r="J2115" t="s">
        <v>25</v>
      </c>
      <c r="K2115" t="s">
        <v>11026</v>
      </c>
      <c r="L2115">
        <v>0.2</v>
      </c>
      <c r="M2115" t="s">
        <v>11027</v>
      </c>
      <c r="N2115" t="s">
        <v>11028</v>
      </c>
      <c r="O2115" t="s">
        <v>29</v>
      </c>
      <c r="P2115" t="s">
        <v>30</v>
      </c>
      <c r="Q2115" t="s">
        <v>65</v>
      </c>
      <c r="R2115" s="3">
        <v>3371.5039999999999</v>
      </c>
    </row>
    <row r="2116" spans="1:18" x14ac:dyDescent="0.3">
      <c r="A2116" t="s">
        <v>11029</v>
      </c>
      <c r="B2116" t="str">
        <f>TEXT(Raw_Data[[#This Row],[Order Date]],"mmm")</f>
        <v>Jul</v>
      </c>
      <c r="C2116" t="s">
        <v>128</v>
      </c>
      <c r="D2116" t="s">
        <v>11030</v>
      </c>
      <c r="E2116" t="s">
        <v>35</v>
      </c>
      <c r="F2116" t="s">
        <v>106</v>
      </c>
      <c r="G2116" t="s">
        <v>106</v>
      </c>
      <c r="H2116" t="s">
        <v>23</v>
      </c>
      <c r="I2116" t="s">
        <v>263</v>
      </c>
      <c r="J2116" t="s">
        <v>25</v>
      </c>
      <c r="K2116" t="s">
        <v>11031</v>
      </c>
      <c r="L2116">
        <v>0.1</v>
      </c>
      <c r="M2116" t="s">
        <v>11032</v>
      </c>
      <c r="N2116" t="s">
        <v>11033</v>
      </c>
      <c r="O2116" t="s">
        <v>54</v>
      </c>
      <c r="P2116" t="s">
        <v>30</v>
      </c>
      <c r="Q2116" t="s">
        <v>65</v>
      </c>
      <c r="R2116" s="3">
        <v>54171.792000000001</v>
      </c>
    </row>
    <row r="2117" spans="1:18" x14ac:dyDescent="0.3">
      <c r="A2117" t="s">
        <v>11034</v>
      </c>
      <c r="B2117" t="str">
        <f>TEXT(Raw_Data[[#This Row],[Order Date]],"mmm")</f>
        <v>Jun</v>
      </c>
      <c r="C2117" t="s">
        <v>2378</v>
      </c>
      <c r="D2117" t="s">
        <v>11035</v>
      </c>
      <c r="E2117" t="s">
        <v>20</v>
      </c>
      <c r="F2117" t="s">
        <v>36</v>
      </c>
      <c r="G2117" t="s">
        <v>123</v>
      </c>
      <c r="H2117" t="s">
        <v>38</v>
      </c>
      <c r="I2117" t="s">
        <v>256</v>
      </c>
      <c r="J2117" t="s">
        <v>25</v>
      </c>
      <c r="K2117" t="s">
        <v>11036</v>
      </c>
      <c r="L2117">
        <v>0.1</v>
      </c>
      <c r="M2117" t="s">
        <v>11037</v>
      </c>
      <c r="N2117" t="s">
        <v>11038</v>
      </c>
      <c r="O2117" t="s">
        <v>43</v>
      </c>
      <c r="P2117" t="s">
        <v>30</v>
      </c>
      <c r="Q2117" t="s">
        <v>31</v>
      </c>
      <c r="R2117" s="3">
        <v>4718.6549999999997</v>
      </c>
    </row>
    <row r="2118" spans="1:18" x14ac:dyDescent="0.3">
      <c r="A2118" t="s">
        <v>11039</v>
      </c>
      <c r="B2118" t="str">
        <f>TEXT(Raw_Data[[#This Row],[Order Date]],"mmm")</f>
        <v>May</v>
      </c>
      <c r="C2118" t="s">
        <v>2355</v>
      </c>
      <c r="D2118" t="s">
        <v>11040</v>
      </c>
      <c r="E2118" t="s">
        <v>48</v>
      </c>
      <c r="F2118" t="s">
        <v>21</v>
      </c>
      <c r="G2118" t="s">
        <v>22</v>
      </c>
      <c r="H2118" t="s">
        <v>38</v>
      </c>
      <c r="I2118" t="s">
        <v>71</v>
      </c>
      <c r="J2118" t="s">
        <v>50</v>
      </c>
      <c r="K2118" t="s">
        <v>11041</v>
      </c>
      <c r="L2118">
        <v>0.15</v>
      </c>
      <c r="M2118" t="s">
        <v>11042</v>
      </c>
      <c r="N2118" t="s">
        <v>11043</v>
      </c>
      <c r="O2118" t="s">
        <v>54</v>
      </c>
      <c r="P2118" t="s">
        <v>30</v>
      </c>
      <c r="Q2118" t="s">
        <v>65</v>
      </c>
      <c r="R2118" s="3">
        <v>10183.3229999999</v>
      </c>
    </row>
    <row r="2119" spans="1:18" x14ac:dyDescent="0.3">
      <c r="A2119" t="s">
        <v>11044</v>
      </c>
      <c r="B2119" t="str">
        <f>TEXT(Raw_Data[[#This Row],[Order Date]],"mmm")</f>
        <v>Oct</v>
      </c>
      <c r="C2119" t="s">
        <v>3724</v>
      </c>
      <c r="D2119" t="s">
        <v>11045</v>
      </c>
      <c r="E2119" t="s">
        <v>20</v>
      </c>
      <c r="F2119" t="s">
        <v>69</v>
      </c>
      <c r="G2119" t="s">
        <v>328</v>
      </c>
      <c r="H2119" t="s">
        <v>23</v>
      </c>
      <c r="I2119" t="s">
        <v>24</v>
      </c>
      <c r="J2119" t="s">
        <v>25</v>
      </c>
      <c r="K2119" t="s">
        <v>11046</v>
      </c>
      <c r="L2119">
        <v>0.1</v>
      </c>
      <c r="M2119" t="s">
        <v>11047</v>
      </c>
      <c r="N2119" t="s">
        <v>11048</v>
      </c>
      <c r="O2119" t="s">
        <v>43</v>
      </c>
      <c r="P2119" t="s">
        <v>30</v>
      </c>
      <c r="Q2119" t="s">
        <v>31</v>
      </c>
      <c r="R2119" s="3">
        <v>44139.303</v>
      </c>
    </row>
    <row r="2120" spans="1:18" x14ac:dyDescent="0.3">
      <c r="A2120" t="s">
        <v>11049</v>
      </c>
      <c r="B2120" t="str">
        <f>TEXT(Raw_Data[[#This Row],[Order Date]],"mmm")</f>
        <v>Mar</v>
      </c>
      <c r="C2120" t="s">
        <v>602</v>
      </c>
      <c r="D2120" t="s">
        <v>11050</v>
      </c>
      <c r="E2120" t="s">
        <v>48</v>
      </c>
      <c r="F2120" t="s">
        <v>106</v>
      </c>
      <c r="G2120" t="s">
        <v>106</v>
      </c>
      <c r="H2120" t="s">
        <v>107</v>
      </c>
      <c r="I2120" t="s">
        <v>277</v>
      </c>
      <c r="J2120" t="s">
        <v>100</v>
      </c>
      <c r="K2120" t="s">
        <v>11051</v>
      </c>
      <c r="L2120">
        <v>0.15</v>
      </c>
      <c r="M2120" t="s">
        <v>11052</v>
      </c>
      <c r="N2120" t="s">
        <v>11053</v>
      </c>
      <c r="O2120" t="s">
        <v>64</v>
      </c>
      <c r="P2120" t="s">
        <v>30</v>
      </c>
      <c r="Q2120" t="s">
        <v>65</v>
      </c>
      <c r="R2120" s="3">
        <v>42143.3655</v>
      </c>
    </row>
    <row r="2121" spans="1:18" x14ac:dyDescent="0.3">
      <c r="A2121" t="s">
        <v>11054</v>
      </c>
      <c r="B2121" t="str">
        <f>TEXT(Raw_Data[[#This Row],[Order Date]],"mmm")</f>
        <v>Oct</v>
      </c>
      <c r="C2121" t="s">
        <v>736</v>
      </c>
      <c r="D2121" t="s">
        <v>11055</v>
      </c>
      <c r="E2121" t="s">
        <v>48</v>
      </c>
      <c r="F2121" t="s">
        <v>215</v>
      </c>
      <c r="G2121" t="s">
        <v>216</v>
      </c>
      <c r="H2121" t="s">
        <v>107</v>
      </c>
      <c r="I2121" t="s">
        <v>108</v>
      </c>
      <c r="J2121" t="s">
        <v>25</v>
      </c>
      <c r="K2121" t="s">
        <v>11056</v>
      </c>
      <c r="L2121">
        <v>0</v>
      </c>
      <c r="M2121" t="s">
        <v>11057</v>
      </c>
      <c r="N2121" t="s">
        <v>11058</v>
      </c>
      <c r="O2121" t="s">
        <v>29</v>
      </c>
      <c r="P2121" t="s">
        <v>30</v>
      </c>
      <c r="Q2121" t="s">
        <v>44</v>
      </c>
      <c r="R2121" s="3">
        <v>10825.14</v>
      </c>
    </row>
    <row r="2122" spans="1:18" x14ac:dyDescent="0.3">
      <c r="A2122" t="s">
        <v>11059</v>
      </c>
      <c r="B2122" t="str">
        <f>TEXT(Raw_Data[[#This Row],[Order Date]],"mmm")</f>
        <v>Jun</v>
      </c>
      <c r="C2122" t="s">
        <v>213</v>
      </c>
      <c r="D2122" t="s">
        <v>11060</v>
      </c>
      <c r="E2122" t="s">
        <v>35</v>
      </c>
      <c r="F2122" t="s">
        <v>78</v>
      </c>
      <c r="G2122" t="s">
        <v>79</v>
      </c>
      <c r="H2122" t="s">
        <v>23</v>
      </c>
      <c r="I2122" t="s">
        <v>24</v>
      </c>
      <c r="J2122" t="s">
        <v>82</v>
      </c>
      <c r="K2122" t="s">
        <v>11061</v>
      </c>
      <c r="L2122">
        <v>0.05</v>
      </c>
      <c r="M2122" t="s">
        <v>11062</v>
      </c>
      <c r="N2122" t="s">
        <v>11063</v>
      </c>
      <c r="O2122" t="s">
        <v>173</v>
      </c>
      <c r="P2122" t="s">
        <v>30</v>
      </c>
      <c r="Q2122" t="s">
        <v>65</v>
      </c>
      <c r="R2122" s="3">
        <v>282123.70399999898</v>
      </c>
    </row>
    <row r="2123" spans="1:18" x14ac:dyDescent="0.3">
      <c r="A2123" t="s">
        <v>11064</v>
      </c>
      <c r="B2123" t="str">
        <f>TEXT(Raw_Data[[#This Row],[Order Date]],"mmm")</f>
        <v>Apr</v>
      </c>
      <c r="C2123" t="s">
        <v>419</v>
      </c>
      <c r="D2123" t="s">
        <v>11065</v>
      </c>
      <c r="E2123" t="s">
        <v>35</v>
      </c>
      <c r="F2123" t="s">
        <v>21</v>
      </c>
      <c r="G2123" t="s">
        <v>130</v>
      </c>
      <c r="H2123" t="s">
        <v>23</v>
      </c>
      <c r="I2123" t="s">
        <v>49</v>
      </c>
      <c r="J2123" t="s">
        <v>50</v>
      </c>
      <c r="K2123" t="s">
        <v>11066</v>
      </c>
      <c r="L2123">
        <v>0.05</v>
      </c>
      <c r="M2123" t="s">
        <v>11067</v>
      </c>
      <c r="N2123" t="s">
        <v>11068</v>
      </c>
      <c r="O2123" t="s">
        <v>54</v>
      </c>
      <c r="P2123" t="s">
        <v>30</v>
      </c>
      <c r="Q2123" t="s">
        <v>65</v>
      </c>
      <c r="R2123" s="3">
        <v>101743.27099999999</v>
      </c>
    </row>
    <row r="2124" spans="1:18" x14ac:dyDescent="0.3">
      <c r="A2124" t="s">
        <v>11069</v>
      </c>
      <c r="B2124" t="str">
        <f>TEXT(Raw_Data[[#This Row],[Order Date]],"mmm")</f>
        <v>Feb</v>
      </c>
      <c r="C2124" t="s">
        <v>2133</v>
      </c>
      <c r="D2124" t="s">
        <v>11070</v>
      </c>
      <c r="E2124" t="s">
        <v>20</v>
      </c>
      <c r="F2124" t="s">
        <v>215</v>
      </c>
      <c r="G2124" t="s">
        <v>216</v>
      </c>
      <c r="H2124" t="s">
        <v>38</v>
      </c>
      <c r="I2124" t="s">
        <v>71</v>
      </c>
      <c r="J2124" t="s">
        <v>25</v>
      </c>
      <c r="K2124" t="s">
        <v>11071</v>
      </c>
      <c r="L2124">
        <v>0.1</v>
      </c>
      <c r="M2124" t="s">
        <v>11072</v>
      </c>
      <c r="N2124" t="s">
        <v>11073</v>
      </c>
      <c r="O2124" t="s">
        <v>173</v>
      </c>
      <c r="P2124" t="s">
        <v>30</v>
      </c>
      <c r="Q2124" t="s">
        <v>31</v>
      </c>
      <c r="R2124" s="3">
        <v>4863.2039999999997</v>
      </c>
    </row>
    <row r="2125" spans="1:18" x14ac:dyDescent="0.3">
      <c r="A2125" t="s">
        <v>11074</v>
      </c>
      <c r="B2125" t="str">
        <f>TEXT(Raw_Data[[#This Row],[Order Date]],"mmm")</f>
        <v>Apr</v>
      </c>
      <c r="C2125" t="s">
        <v>902</v>
      </c>
      <c r="D2125" t="s">
        <v>11075</v>
      </c>
      <c r="E2125" t="s">
        <v>48</v>
      </c>
      <c r="F2125" t="s">
        <v>58</v>
      </c>
      <c r="G2125" t="s">
        <v>812</v>
      </c>
      <c r="H2125" t="s">
        <v>23</v>
      </c>
      <c r="I2125" t="s">
        <v>24</v>
      </c>
      <c r="J2125" t="s">
        <v>25</v>
      </c>
      <c r="K2125" t="s">
        <v>11076</v>
      </c>
      <c r="L2125">
        <v>0.15</v>
      </c>
      <c r="M2125" t="s">
        <v>11077</v>
      </c>
      <c r="N2125" t="s">
        <v>11078</v>
      </c>
      <c r="O2125" t="s">
        <v>43</v>
      </c>
      <c r="P2125" t="s">
        <v>30</v>
      </c>
      <c r="Q2125" t="s">
        <v>31</v>
      </c>
      <c r="R2125" s="3">
        <v>37639.19</v>
      </c>
    </row>
    <row r="2126" spans="1:18" x14ac:dyDescent="0.3">
      <c r="A2126" t="s">
        <v>11079</v>
      </c>
      <c r="B2126" t="str">
        <f>TEXT(Raw_Data[[#This Row],[Order Date]],"mmm")</f>
        <v>Aug</v>
      </c>
      <c r="C2126" t="s">
        <v>1649</v>
      </c>
      <c r="D2126" t="s">
        <v>11080</v>
      </c>
      <c r="E2126" t="s">
        <v>35</v>
      </c>
      <c r="F2126" t="s">
        <v>89</v>
      </c>
      <c r="G2126" t="s">
        <v>90</v>
      </c>
      <c r="H2126" t="s">
        <v>38</v>
      </c>
      <c r="I2126" t="s">
        <v>256</v>
      </c>
      <c r="J2126" t="s">
        <v>50</v>
      </c>
      <c r="K2126" t="s">
        <v>11081</v>
      </c>
      <c r="L2126">
        <v>0.05</v>
      </c>
      <c r="M2126" t="s">
        <v>11082</v>
      </c>
      <c r="N2126" t="s">
        <v>11083</v>
      </c>
      <c r="O2126" t="s">
        <v>173</v>
      </c>
      <c r="P2126" t="s">
        <v>30</v>
      </c>
      <c r="Q2126" t="s">
        <v>31</v>
      </c>
      <c r="R2126" s="3">
        <v>4954.4589999999998</v>
      </c>
    </row>
    <row r="2127" spans="1:18" x14ac:dyDescent="0.3">
      <c r="A2127" t="s">
        <v>11084</v>
      </c>
      <c r="B2127" t="str">
        <f>TEXT(Raw_Data[[#This Row],[Order Date]],"mmm")</f>
        <v>Sep</v>
      </c>
      <c r="C2127" t="s">
        <v>5944</v>
      </c>
      <c r="D2127" t="s">
        <v>11085</v>
      </c>
      <c r="E2127" t="s">
        <v>35</v>
      </c>
      <c r="F2127" t="s">
        <v>58</v>
      </c>
      <c r="G2127" t="s">
        <v>812</v>
      </c>
      <c r="H2127" t="s">
        <v>107</v>
      </c>
      <c r="I2127" t="s">
        <v>108</v>
      </c>
      <c r="J2127" t="s">
        <v>25</v>
      </c>
      <c r="K2127" t="s">
        <v>11086</v>
      </c>
      <c r="L2127">
        <v>0</v>
      </c>
      <c r="M2127" t="s">
        <v>11087</v>
      </c>
      <c r="N2127" t="s">
        <v>11088</v>
      </c>
      <c r="O2127" t="s">
        <v>43</v>
      </c>
      <c r="P2127" t="s">
        <v>30</v>
      </c>
      <c r="Q2127" t="s">
        <v>31</v>
      </c>
      <c r="R2127" s="3">
        <v>4037.83</v>
      </c>
    </row>
    <row r="2128" spans="1:18" x14ac:dyDescent="0.3">
      <c r="A2128" t="s">
        <v>11089</v>
      </c>
      <c r="B2128" t="str">
        <f>TEXT(Raw_Data[[#This Row],[Order Date]],"mmm")</f>
        <v>Nov</v>
      </c>
      <c r="C2128" t="s">
        <v>1009</v>
      </c>
      <c r="D2128" t="s">
        <v>11090</v>
      </c>
      <c r="E2128" t="s">
        <v>48</v>
      </c>
      <c r="F2128" t="s">
        <v>36</v>
      </c>
      <c r="G2128" t="s">
        <v>196</v>
      </c>
      <c r="H2128" t="s">
        <v>23</v>
      </c>
      <c r="I2128" t="s">
        <v>49</v>
      </c>
      <c r="J2128" t="s">
        <v>50</v>
      </c>
      <c r="K2128" t="s">
        <v>11091</v>
      </c>
      <c r="L2128">
        <v>0.05</v>
      </c>
      <c r="M2128" t="s">
        <v>11092</v>
      </c>
      <c r="N2128" t="s">
        <v>11093</v>
      </c>
      <c r="O2128" t="s">
        <v>173</v>
      </c>
      <c r="P2128" t="s">
        <v>159</v>
      </c>
      <c r="Q2128" t="s">
        <v>65</v>
      </c>
      <c r="R2128" s="3">
        <v>50023.256999999998</v>
      </c>
    </row>
    <row r="2129" spans="1:18" x14ac:dyDescent="0.3">
      <c r="A2129" t="s">
        <v>11094</v>
      </c>
      <c r="B2129" t="str">
        <f>TEXT(Raw_Data[[#This Row],[Order Date]],"mmm")</f>
        <v>Sep</v>
      </c>
      <c r="C2129" t="s">
        <v>2704</v>
      </c>
      <c r="D2129" t="s">
        <v>11095</v>
      </c>
      <c r="E2129" t="s">
        <v>48</v>
      </c>
      <c r="F2129" t="s">
        <v>89</v>
      </c>
      <c r="G2129" t="s">
        <v>90</v>
      </c>
      <c r="H2129" t="s">
        <v>80</v>
      </c>
      <c r="I2129" t="s">
        <v>146</v>
      </c>
      <c r="J2129" t="s">
        <v>50</v>
      </c>
      <c r="K2129" t="s">
        <v>11096</v>
      </c>
      <c r="L2129">
        <v>0.05</v>
      </c>
      <c r="M2129" t="s">
        <v>11097</v>
      </c>
      <c r="N2129" t="s">
        <v>11098</v>
      </c>
      <c r="O2129" t="s">
        <v>29</v>
      </c>
      <c r="P2129" t="s">
        <v>30</v>
      </c>
      <c r="Q2129" t="s">
        <v>65</v>
      </c>
      <c r="R2129" s="3">
        <v>12534.432999999901</v>
      </c>
    </row>
    <row r="2130" spans="1:18" x14ac:dyDescent="0.3">
      <c r="A2130" t="s">
        <v>11099</v>
      </c>
      <c r="B2130" t="str">
        <f>TEXT(Raw_Data[[#This Row],[Order Date]],"mmm")</f>
        <v>Sep</v>
      </c>
      <c r="C2130" t="s">
        <v>1192</v>
      </c>
      <c r="D2130" t="s">
        <v>11100</v>
      </c>
      <c r="E2130" t="s">
        <v>48</v>
      </c>
      <c r="F2130" t="s">
        <v>215</v>
      </c>
      <c r="G2130" t="s">
        <v>276</v>
      </c>
      <c r="H2130" t="s">
        <v>80</v>
      </c>
      <c r="I2130" t="s">
        <v>146</v>
      </c>
      <c r="J2130" t="s">
        <v>25</v>
      </c>
      <c r="K2130" t="s">
        <v>11101</v>
      </c>
      <c r="L2130">
        <v>0.1</v>
      </c>
      <c r="M2130" t="s">
        <v>11102</v>
      </c>
      <c r="N2130" t="s">
        <v>11103</v>
      </c>
      <c r="O2130" t="s">
        <v>29</v>
      </c>
      <c r="P2130" t="s">
        <v>30</v>
      </c>
      <c r="Q2130" t="s">
        <v>31</v>
      </c>
      <c r="R2130" s="3">
        <v>3866.13</v>
      </c>
    </row>
    <row r="2131" spans="1:18" x14ac:dyDescent="0.3">
      <c r="A2131" t="s">
        <v>11104</v>
      </c>
      <c r="B2131" t="str">
        <f>TEXT(Raw_Data[[#This Row],[Order Date]],"mmm")</f>
        <v>Jul</v>
      </c>
      <c r="C2131" t="s">
        <v>1921</v>
      </c>
      <c r="D2131" t="s">
        <v>11105</v>
      </c>
      <c r="E2131" t="s">
        <v>20</v>
      </c>
      <c r="F2131" t="s">
        <v>36</v>
      </c>
      <c r="G2131" t="s">
        <v>414</v>
      </c>
      <c r="H2131" t="s">
        <v>23</v>
      </c>
      <c r="I2131" t="s">
        <v>183</v>
      </c>
      <c r="J2131" t="s">
        <v>25</v>
      </c>
      <c r="K2131" t="s">
        <v>11106</v>
      </c>
      <c r="L2131">
        <v>0</v>
      </c>
      <c r="M2131" t="s">
        <v>11107</v>
      </c>
      <c r="N2131" t="s">
        <v>11108</v>
      </c>
      <c r="O2131" t="s">
        <v>54</v>
      </c>
      <c r="P2131" t="s">
        <v>30</v>
      </c>
      <c r="Q2131" t="s">
        <v>44</v>
      </c>
      <c r="R2131" s="3">
        <v>20897.189999999999</v>
      </c>
    </row>
    <row r="2132" spans="1:18" x14ac:dyDescent="0.3">
      <c r="A2132" t="s">
        <v>11109</v>
      </c>
      <c r="B2132" t="str">
        <f>TEXT(Raw_Data[[#This Row],[Order Date]],"mmm")</f>
        <v>Jun</v>
      </c>
      <c r="C2132" t="s">
        <v>1047</v>
      </c>
      <c r="D2132" t="s">
        <v>11110</v>
      </c>
      <c r="E2132" t="s">
        <v>20</v>
      </c>
      <c r="F2132" t="s">
        <v>106</v>
      </c>
      <c r="G2132" t="s">
        <v>163</v>
      </c>
      <c r="H2132" t="s">
        <v>107</v>
      </c>
      <c r="I2132" t="s">
        <v>277</v>
      </c>
      <c r="J2132" t="s">
        <v>100</v>
      </c>
      <c r="K2132" t="s">
        <v>11111</v>
      </c>
      <c r="L2132">
        <v>0</v>
      </c>
      <c r="M2132" t="s">
        <v>11112</v>
      </c>
      <c r="N2132" t="s">
        <v>11113</v>
      </c>
      <c r="O2132" t="s">
        <v>64</v>
      </c>
      <c r="P2132" t="s">
        <v>30</v>
      </c>
      <c r="Q2132" t="s">
        <v>65</v>
      </c>
      <c r="R2132" s="3">
        <v>10852.08</v>
      </c>
    </row>
    <row r="2133" spans="1:18" x14ac:dyDescent="0.3">
      <c r="A2133" t="s">
        <v>11114</v>
      </c>
      <c r="B2133" t="str">
        <f>TEXT(Raw_Data[[#This Row],[Order Date]],"mmm")</f>
        <v>Mar</v>
      </c>
      <c r="C2133" t="s">
        <v>425</v>
      </c>
      <c r="D2133" t="s">
        <v>11115</v>
      </c>
      <c r="E2133" t="s">
        <v>20</v>
      </c>
      <c r="F2133" t="s">
        <v>78</v>
      </c>
      <c r="G2133" t="s">
        <v>79</v>
      </c>
      <c r="H2133" t="s">
        <v>107</v>
      </c>
      <c r="I2133" t="s">
        <v>108</v>
      </c>
      <c r="J2133" t="s">
        <v>25</v>
      </c>
      <c r="K2133" t="s">
        <v>11116</v>
      </c>
      <c r="L2133">
        <v>0.1</v>
      </c>
      <c r="M2133" t="s">
        <v>11117</v>
      </c>
      <c r="N2133" t="s">
        <v>11118</v>
      </c>
      <c r="O2133" t="s">
        <v>29</v>
      </c>
      <c r="P2133" t="s">
        <v>30</v>
      </c>
      <c r="Q2133" t="s">
        <v>31</v>
      </c>
      <c r="R2133" s="3">
        <v>13864.644</v>
      </c>
    </row>
    <row r="2134" spans="1:18" x14ac:dyDescent="0.3">
      <c r="A2134" t="s">
        <v>11119</v>
      </c>
      <c r="B2134" t="str">
        <f>TEXT(Raw_Data[[#This Row],[Order Date]],"mmm")</f>
        <v>Aug</v>
      </c>
      <c r="C2134" t="s">
        <v>1840</v>
      </c>
      <c r="D2134" t="s">
        <v>11120</v>
      </c>
      <c r="E2134" t="s">
        <v>48</v>
      </c>
      <c r="F2134" t="s">
        <v>36</v>
      </c>
      <c r="G2134" t="s">
        <v>123</v>
      </c>
      <c r="H2134" t="s">
        <v>38</v>
      </c>
      <c r="I2134" t="s">
        <v>60</v>
      </c>
      <c r="J2134" t="s">
        <v>50</v>
      </c>
      <c r="K2134" t="s">
        <v>11121</v>
      </c>
      <c r="L2134">
        <v>0.1</v>
      </c>
      <c r="M2134" t="s">
        <v>11122</v>
      </c>
      <c r="N2134" t="s">
        <v>11123</v>
      </c>
      <c r="O2134" t="s">
        <v>173</v>
      </c>
      <c r="P2134" t="s">
        <v>30</v>
      </c>
      <c r="Q2134" t="s">
        <v>44</v>
      </c>
      <c r="R2134" s="3">
        <v>9890.2080000000005</v>
      </c>
    </row>
    <row r="2135" spans="1:18" x14ac:dyDescent="0.3">
      <c r="A2135" t="s">
        <v>11124</v>
      </c>
      <c r="B2135" t="str">
        <f>TEXT(Raw_Data[[#This Row],[Order Date]],"mmm")</f>
        <v>Mar</v>
      </c>
      <c r="C2135" t="s">
        <v>713</v>
      </c>
      <c r="D2135" t="s">
        <v>11125</v>
      </c>
      <c r="E2135" t="s">
        <v>48</v>
      </c>
      <c r="F2135" t="s">
        <v>69</v>
      </c>
      <c r="G2135" t="s">
        <v>328</v>
      </c>
      <c r="H2135" t="s">
        <v>23</v>
      </c>
      <c r="I2135" t="s">
        <v>183</v>
      </c>
      <c r="J2135" t="s">
        <v>25</v>
      </c>
      <c r="K2135" t="s">
        <v>11126</v>
      </c>
      <c r="L2135">
        <v>0.05</v>
      </c>
      <c r="M2135" t="s">
        <v>11127</v>
      </c>
      <c r="N2135" t="s">
        <v>11128</v>
      </c>
      <c r="O2135" t="s">
        <v>173</v>
      </c>
      <c r="P2135" t="s">
        <v>30</v>
      </c>
      <c r="Q2135" t="s">
        <v>65</v>
      </c>
      <c r="R2135" s="3">
        <v>60826.533499999998</v>
      </c>
    </row>
    <row r="2136" spans="1:18" x14ac:dyDescent="0.3">
      <c r="A2136" t="s">
        <v>11129</v>
      </c>
      <c r="B2136" t="str">
        <f>TEXT(Raw_Data[[#This Row],[Order Date]],"mmm")</f>
        <v>Aug</v>
      </c>
      <c r="C2136" t="s">
        <v>4227</v>
      </c>
      <c r="D2136" t="s">
        <v>11130</v>
      </c>
      <c r="E2136" t="s">
        <v>48</v>
      </c>
      <c r="F2136" t="s">
        <v>215</v>
      </c>
      <c r="G2136" t="s">
        <v>216</v>
      </c>
      <c r="H2136" t="s">
        <v>107</v>
      </c>
      <c r="I2136" t="s">
        <v>108</v>
      </c>
      <c r="J2136" t="s">
        <v>25</v>
      </c>
      <c r="K2136" t="s">
        <v>11131</v>
      </c>
      <c r="L2136">
        <v>0.05</v>
      </c>
      <c r="M2136" t="s">
        <v>11132</v>
      </c>
      <c r="N2136" t="s">
        <v>11133</v>
      </c>
      <c r="O2136" t="s">
        <v>64</v>
      </c>
      <c r="P2136" t="s">
        <v>30</v>
      </c>
      <c r="Q2136" t="s">
        <v>44</v>
      </c>
      <c r="R2136" s="3">
        <v>4991.0054999999902</v>
      </c>
    </row>
    <row r="2137" spans="1:18" x14ac:dyDescent="0.3">
      <c r="A2137" t="s">
        <v>11134</v>
      </c>
      <c r="B2137" t="str">
        <f>TEXT(Raw_Data[[#This Row],[Order Date]],"mmm")</f>
        <v>Sep</v>
      </c>
      <c r="C2137" t="s">
        <v>834</v>
      </c>
      <c r="D2137" t="s">
        <v>11135</v>
      </c>
      <c r="E2137" t="s">
        <v>35</v>
      </c>
      <c r="F2137" t="s">
        <v>58</v>
      </c>
      <c r="G2137" t="s">
        <v>812</v>
      </c>
      <c r="H2137" t="s">
        <v>107</v>
      </c>
      <c r="I2137" t="s">
        <v>378</v>
      </c>
      <c r="J2137" t="s">
        <v>50</v>
      </c>
      <c r="K2137" t="s">
        <v>11136</v>
      </c>
      <c r="L2137">
        <v>0.1</v>
      </c>
      <c r="M2137" t="s">
        <v>11137</v>
      </c>
      <c r="N2137" t="s">
        <v>11138</v>
      </c>
      <c r="O2137" t="s">
        <v>43</v>
      </c>
      <c r="P2137" t="s">
        <v>30</v>
      </c>
      <c r="Q2137" t="s">
        <v>44</v>
      </c>
      <c r="R2137" s="3">
        <v>11515.68</v>
      </c>
    </row>
    <row r="2138" spans="1:18" x14ac:dyDescent="0.3">
      <c r="A2138" t="s">
        <v>11139</v>
      </c>
      <c r="B2138" t="str">
        <f>TEXT(Raw_Data[[#This Row],[Order Date]],"mmm")</f>
        <v>Feb</v>
      </c>
      <c r="C2138" t="s">
        <v>2145</v>
      </c>
      <c r="D2138" t="s">
        <v>11140</v>
      </c>
      <c r="E2138" t="s">
        <v>35</v>
      </c>
      <c r="F2138" t="s">
        <v>21</v>
      </c>
      <c r="G2138" t="s">
        <v>22</v>
      </c>
      <c r="H2138" t="s">
        <v>23</v>
      </c>
      <c r="I2138" t="s">
        <v>24</v>
      </c>
      <c r="J2138" t="s">
        <v>100</v>
      </c>
      <c r="K2138" t="s">
        <v>11141</v>
      </c>
      <c r="L2138">
        <v>0</v>
      </c>
      <c r="M2138" t="s">
        <v>11142</v>
      </c>
      <c r="N2138" t="s">
        <v>11143</v>
      </c>
      <c r="O2138" t="s">
        <v>54</v>
      </c>
      <c r="P2138" t="s">
        <v>30</v>
      </c>
      <c r="Q2138" t="s">
        <v>65</v>
      </c>
      <c r="R2138" s="3">
        <v>169272.57</v>
      </c>
    </row>
    <row r="2139" spans="1:18" x14ac:dyDescent="0.3">
      <c r="A2139" t="s">
        <v>11144</v>
      </c>
      <c r="B2139" t="str">
        <f>TEXT(Raw_Data[[#This Row],[Order Date]],"mmm")</f>
        <v>Jun</v>
      </c>
      <c r="C2139" t="s">
        <v>2157</v>
      </c>
      <c r="D2139" t="s">
        <v>11145</v>
      </c>
      <c r="E2139" t="s">
        <v>20</v>
      </c>
      <c r="F2139" t="s">
        <v>21</v>
      </c>
      <c r="G2139" t="s">
        <v>130</v>
      </c>
      <c r="H2139" t="s">
        <v>107</v>
      </c>
      <c r="I2139" t="s">
        <v>108</v>
      </c>
      <c r="J2139" t="s">
        <v>50</v>
      </c>
      <c r="K2139" t="s">
        <v>11146</v>
      </c>
      <c r="L2139">
        <v>0</v>
      </c>
      <c r="M2139" t="s">
        <v>11147</v>
      </c>
      <c r="N2139" t="s">
        <v>11148</v>
      </c>
      <c r="O2139" t="s">
        <v>54</v>
      </c>
      <c r="P2139" t="s">
        <v>30</v>
      </c>
      <c r="Q2139" t="s">
        <v>31</v>
      </c>
      <c r="R2139" s="3">
        <v>13931.62</v>
      </c>
    </row>
    <row r="2140" spans="1:18" x14ac:dyDescent="0.3">
      <c r="A2140" t="s">
        <v>11149</v>
      </c>
      <c r="B2140" t="str">
        <f>TEXT(Raw_Data[[#This Row],[Order Date]],"mmm")</f>
        <v>Jul</v>
      </c>
      <c r="C2140" t="s">
        <v>2670</v>
      </c>
      <c r="D2140" t="s">
        <v>11150</v>
      </c>
      <c r="E2140" t="s">
        <v>20</v>
      </c>
      <c r="F2140" t="s">
        <v>78</v>
      </c>
      <c r="G2140" t="s">
        <v>79</v>
      </c>
      <c r="H2140" t="s">
        <v>80</v>
      </c>
      <c r="I2140" t="s">
        <v>116</v>
      </c>
      <c r="J2140" t="s">
        <v>25</v>
      </c>
      <c r="K2140" t="s">
        <v>11151</v>
      </c>
      <c r="L2140">
        <v>0</v>
      </c>
      <c r="M2140" t="s">
        <v>11152</v>
      </c>
      <c r="N2140" t="s">
        <v>11153</v>
      </c>
      <c r="O2140" t="s">
        <v>64</v>
      </c>
      <c r="P2140" t="s">
        <v>159</v>
      </c>
      <c r="Q2140" t="s">
        <v>44</v>
      </c>
      <c r="R2140" s="3">
        <v>3739.75</v>
      </c>
    </row>
    <row r="2141" spans="1:18" x14ac:dyDescent="0.3">
      <c r="A2141" t="s">
        <v>11154</v>
      </c>
      <c r="B2141" t="str">
        <f>TEXT(Raw_Data[[#This Row],[Order Date]],"mmm")</f>
        <v>May</v>
      </c>
      <c r="C2141" t="s">
        <v>4840</v>
      </c>
      <c r="D2141" t="s">
        <v>11155</v>
      </c>
      <c r="E2141" t="s">
        <v>48</v>
      </c>
      <c r="F2141" t="s">
        <v>106</v>
      </c>
      <c r="G2141" t="s">
        <v>106</v>
      </c>
      <c r="H2141" t="s">
        <v>23</v>
      </c>
      <c r="I2141" t="s">
        <v>341</v>
      </c>
      <c r="J2141" t="s">
        <v>25</v>
      </c>
      <c r="K2141" t="s">
        <v>11156</v>
      </c>
      <c r="L2141">
        <v>0.05</v>
      </c>
      <c r="M2141" t="s">
        <v>11157</v>
      </c>
      <c r="N2141" t="s">
        <v>11158</v>
      </c>
      <c r="O2141" t="s">
        <v>64</v>
      </c>
      <c r="P2141" t="s">
        <v>112</v>
      </c>
      <c r="Q2141" t="s">
        <v>31</v>
      </c>
      <c r="R2141" s="3">
        <v>34569.160499999998</v>
      </c>
    </row>
    <row r="2142" spans="1:18" x14ac:dyDescent="0.3">
      <c r="A2142" t="s">
        <v>11159</v>
      </c>
      <c r="B2142" t="str">
        <f>TEXT(Raw_Data[[#This Row],[Order Date]],"mmm")</f>
        <v>May</v>
      </c>
      <c r="C2142" t="s">
        <v>2840</v>
      </c>
      <c r="D2142" t="s">
        <v>11160</v>
      </c>
      <c r="E2142" t="s">
        <v>35</v>
      </c>
      <c r="F2142" t="s">
        <v>89</v>
      </c>
      <c r="G2142" t="s">
        <v>230</v>
      </c>
      <c r="H2142" t="s">
        <v>38</v>
      </c>
      <c r="I2142" t="s">
        <v>39</v>
      </c>
      <c r="J2142" t="s">
        <v>50</v>
      </c>
      <c r="K2142" t="s">
        <v>11161</v>
      </c>
      <c r="L2142">
        <v>0.15</v>
      </c>
      <c r="M2142" t="s">
        <v>11162</v>
      </c>
      <c r="N2142" t="s">
        <v>11163</v>
      </c>
      <c r="O2142" t="s">
        <v>54</v>
      </c>
      <c r="P2142" t="s">
        <v>30</v>
      </c>
      <c r="Q2142" t="s">
        <v>31</v>
      </c>
      <c r="R2142" s="3">
        <v>2792.471</v>
      </c>
    </row>
    <row r="2143" spans="1:18" x14ac:dyDescent="0.3">
      <c r="A2143" t="s">
        <v>11164</v>
      </c>
      <c r="B2143" t="str">
        <f>TEXT(Raw_Data[[#This Row],[Order Date]],"mmm")</f>
        <v>Nov</v>
      </c>
      <c r="C2143" t="s">
        <v>11165</v>
      </c>
      <c r="D2143" t="s">
        <v>11166</v>
      </c>
      <c r="E2143" t="s">
        <v>48</v>
      </c>
      <c r="F2143" t="s">
        <v>106</v>
      </c>
      <c r="G2143" t="s">
        <v>106</v>
      </c>
      <c r="H2143" t="s">
        <v>38</v>
      </c>
      <c r="I2143" t="s">
        <v>60</v>
      </c>
      <c r="J2143" t="s">
        <v>25</v>
      </c>
      <c r="K2143" t="s">
        <v>11167</v>
      </c>
      <c r="L2143">
        <v>0.1</v>
      </c>
      <c r="M2143" t="s">
        <v>11168</v>
      </c>
      <c r="N2143" t="s">
        <v>11169</v>
      </c>
      <c r="O2143" t="s">
        <v>173</v>
      </c>
      <c r="P2143" t="s">
        <v>30</v>
      </c>
      <c r="Q2143" t="s">
        <v>44</v>
      </c>
      <c r="R2143" s="3">
        <v>1651.365</v>
      </c>
    </row>
    <row r="2144" spans="1:18" x14ac:dyDescent="0.3">
      <c r="A2144" t="s">
        <v>11170</v>
      </c>
      <c r="B2144" t="str">
        <f>TEXT(Raw_Data[[#This Row],[Order Date]],"mmm")</f>
        <v>Jun</v>
      </c>
      <c r="C2144" t="s">
        <v>3514</v>
      </c>
      <c r="D2144" t="s">
        <v>11171</v>
      </c>
      <c r="E2144" t="s">
        <v>48</v>
      </c>
      <c r="F2144" t="s">
        <v>36</v>
      </c>
      <c r="G2144" t="s">
        <v>196</v>
      </c>
      <c r="H2144" t="s">
        <v>80</v>
      </c>
      <c r="I2144" t="s">
        <v>146</v>
      </c>
      <c r="J2144" t="s">
        <v>50</v>
      </c>
      <c r="K2144" t="s">
        <v>11172</v>
      </c>
      <c r="L2144">
        <v>0</v>
      </c>
      <c r="M2144" t="s">
        <v>11173</v>
      </c>
      <c r="N2144" t="s">
        <v>11174</v>
      </c>
      <c r="O2144" t="s">
        <v>29</v>
      </c>
      <c r="P2144" t="s">
        <v>30</v>
      </c>
      <c r="Q2144" t="s">
        <v>44</v>
      </c>
      <c r="R2144" s="3">
        <v>2374.94</v>
      </c>
    </row>
    <row r="2145" spans="1:18" x14ac:dyDescent="0.3">
      <c r="A2145" t="s">
        <v>11175</v>
      </c>
      <c r="B2145" t="str">
        <f>TEXT(Raw_Data[[#This Row],[Order Date]],"mmm")</f>
        <v>Jun</v>
      </c>
      <c r="C2145" t="s">
        <v>753</v>
      </c>
      <c r="D2145" t="s">
        <v>11176</v>
      </c>
      <c r="E2145" t="s">
        <v>20</v>
      </c>
      <c r="F2145" t="s">
        <v>21</v>
      </c>
      <c r="G2145" t="s">
        <v>22</v>
      </c>
      <c r="H2145" t="s">
        <v>23</v>
      </c>
      <c r="I2145" t="s">
        <v>341</v>
      </c>
      <c r="J2145" t="s">
        <v>50</v>
      </c>
      <c r="K2145" t="s">
        <v>11177</v>
      </c>
      <c r="L2145">
        <v>0.15</v>
      </c>
      <c r="M2145" t="s">
        <v>11178</v>
      </c>
      <c r="N2145" t="s">
        <v>11179</v>
      </c>
      <c r="O2145" t="s">
        <v>173</v>
      </c>
      <c r="P2145" t="s">
        <v>30</v>
      </c>
      <c r="Q2145" t="s">
        <v>65</v>
      </c>
      <c r="R2145" s="3">
        <v>20502.714</v>
      </c>
    </row>
    <row r="2146" spans="1:18" x14ac:dyDescent="0.3">
      <c r="A2146" t="s">
        <v>11180</v>
      </c>
      <c r="B2146" t="str">
        <f>TEXT(Raw_Data[[#This Row],[Order Date]],"mmm")</f>
        <v>Nov</v>
      </c>
      <c r="C2146" t="s">
        <v>4386</v>
      </c>
      <c r="D2146" t="s">
        <v>11181</v>
      </c>
      <c r="E2146" t="s">
        <v>20</v>
      </c>
      <c r="F2146" t="s">
        <v>36</v>
      </c>
      <c r="G2146" t="s">
        <v>153</v>
      </c>
      <c r="H2146" t="s">
        <v>80</v>
      </c>
      <c r="I2146" t="s">
        <v>146</v>
      </c>
      <c r="J2146" t="s">
        <v>100</v>
      </c>
      <c r="K2146" t="s">
        <v>11182</v>
      </c>
      <c r="L2146">
        <v>0.05</v>
      </c>
      <c r="M2146" t="s">
        <v>11183</v>
      </c>
      <c r="N2146" t="s">
        <v>11184</v>
      </c>
      <c r="O2146" t="s">
        <v>54</v>
      </c>
      <c r="P2146" t="s">
        <v>30</v>
      </c>
      <c r="Q2146" t="s">
        <v>44</v>
      </c>
      <c r="R2146" s="3">
        <v>13376.703</v>
      </c>
    </row>
    <row r="2147" spans="1:18" x14ac:dyDescent="0.3">
      <c r="A2147" t="s">
        <v>11185</v>
      </c>
      <c r="B2147" t="str">
        <f>TEXT(Raw_Data[[#This Row],[Order Date]],"mmm")</f>
        <v>Jul</v>
      </c>
      <c r="C2147" t="s">
        <v>1921</v>
      </c>
      <c r="D2147" t="s">
        <v>11186</v>
      </c>
      <c r="E2147" t="s">
        <v>20</v>
      </c>
      <c r="F2147" t="s">
        <v>89</v>
      </c>
      <c r="G2147" t="s">
        <v>90</v>
      </c>
      <c r="H2147" t="s">
        <v>38</v>
      </c>
      <c r="I2147" t="s">
        <v>71</v>
      </c>
      <c r="J2147" t="s">
        <v>25</v>
      </c>
      <c r="K2147" t="s">
        <v>11187</v>
      </c>
      <c r="L2147">
        <v>0.1</v>
      </c>
      <c r="M2147" t="s">
        <v>11188</v>
      </c>
      <c r="N2147" t="s">
        <v>11189</v>
      </c>
      <c r="O2147" t="s">
        <v>54</v>
      </c>
      <c r="P2147" t="s">
        <v>159</v>
      </c>
      <c r="Q2147" t="s">
        <v>44</v>
      </c>
      <c r="R2147" s="3">
        <v>1167.2729999999999</v>
      </c>
    </row>
    <row r="2148" spans="1:18" x14ac:dyDescent="0.3">
      <c r="A2148" t="s">
        <v>11190</v>
      </c>
      <c r="B2148" t="str">
        <f>TEXT(Raw_Data[[#This Row],[Order Date]],"mmm")</f>
        <v>Oct</v>
      </c>
      <c r="C2148" t="s">
        <v>2438</v>
      </c>
      <c r="D2148" t="s">
        <v>11191</v>
      </c>
      <c r="E2148" t="s">
        <v>20</v>
      </c>
      <c r="F2148" t="s">
        <v>69</v>
      </c>
      <c r="G2148" t="s">
        <v>139</v>
      </c>
      <c r="H2148" t="s">
        <v>23</v>
      </c>
      <c r="I2148" t="s">
        <v>341</v>
      </c>
      <c r="J2148" t="s">
        <v>25</v>
      </c>
      <c r="K2148" t="s">
        <v>11192</v>
      </c>
      <c r="L2148">
        <v>0.1</v>
      </c>
      <c r="M2148" t="s">
        <v>11193</v>
      </c>
      <c r="N2148" t="s">
        <v>11194</v>
      </c>
      <c r="O2148" t="s">
        <v>64</v>
      </c>
      <c r="P2148" t="s">
        <v>30</v>
      </c>
      <c r="Q2148" t="s">
        <v>31</v>
      </c>
      <c r="R2148" s="3">
        <v>25063.937999999998</v>
      </c>
    </row>
    <row r="2149" spans="1:18" x14ac:dyDescent="0.3">
      <c r="A2149" t="s">
        <v>11195</v>
      </c>
      <c r="B2149" t="str">
        <f>TEXT(Raw_Data[[#This Row],[Order Date]],"mmm")</f>
        <v>Jun</v>
      </c>
      <c r="C2149" t="s">
        <v>2223</v>
      </c>
      <c r="D2149" t="s">
        <v>11196</v>
      </c>
      <c r="E2149" t="s">
        <v>35</v>
      </c>
      <c r="F2149" t="s">
        <v>69</v>
      </c>
      <c r="G2149" t="s">
        <v>139</v>
      </c>
      <c r="H2149" t="s">
        <v>107</v>
      </c>
      <c r="I2149" t="s">
        <v>277</v>
      </c>
      <c r="J2149" t="s">
        <v>25</v>
      </c>
      <c r="K2149" t="s">
        <v>11197</v>
      </c>
      <c r="L2149">
        <v>0</v>
      </c>
      <c r="M2149" t="s">
        <v>11198</v>
      </c>
      <c r="N2149" t="s">
        <v>11199</v>
      </c>
      <c r="O2149" t="s">
        <v>43</v>
      </c>
      <c r="P2149" t="s">
        <v>112</v>
      </c>
      <c r="Q2149" t="s">
        <v>65</v>
      </c>
      <c r="R2149" s="3">
        <v>6671.91</v>
      </c>
    </row>
    <row r="2150" spans="1:18" x14ac:dyDescent="0.3">
      <c r="A2150" t="s">
        <v>11200</v>
      </c>
      <c r="B2150" t="str">
        <f>TEXT(Raw_Data[[#This Row],[Order Date]],"mmm")</f>
        <v>Feb</v>
      </c>
      <c r="C2150" t="s">
        <v>3493</v>
      </c>
      <c r="D2150" t="s">
        <v>11201</v>
      </c>
      <c r="E2150" t="s">
        <v>35</v>
      </c>
      <c r="F2150" t="s">
        <v>36</v>
      </c>
      <c r="G2150" t="s">
        <v>153</v>
      </c>
      <c r="H2150" t="s">
        <v>107</v>
      </c>
      <c r="I2150" t="s">
        <v>277</v>
      </c>
      <c r="J2150" t="s">
        <v>100</v>
      </c>
      <c r="K2150" t="s">
        <v>11202</v>
      </c>
      <c r="L2150">
        <v>0</v>
      </c>
      <c r="M2150" t="s">
        <v>11203</v>
      </c>
      <c r="N2150" t="s">
        <v>11204</v>
      </c>
      <c r="O2150" t="s">
        <v>29</v>
      </c>
      <c r="P2150" t="s">
        <v>30</v>
      </c>
      <c r="Q2150" t="s">
        <v>31</v>
      </c>
      <c r="R2150" s="3">
        <v>33878.159999999902</v>
      </c>
    </row>
    <row r="2151" spans="1:18" x14ac:dyDescent="0.3">
      <c r="A2151" t="s">
        <v>11205</v>
      </c>
      <c r="B2151" t="str">
        <f>TEXT(Raw_Data[[#This Row],[Order Date]],"mmm")</f>
        <v>Jan</v>
      </c>
      <c r="C2151" t="s">
        <v>3252</v>
      </c>
      <c r="D2151" t="s">
        <v>11206</v>
      </c>
      <c r="E2151" t="s">
        <v>48</v>
      </c>
      <c r="F2151" t="s">
        <v>106</v>
      </c>
      <c r="G2151" t="s">
        <v>163</v>
      </c>
      <c r="H2151" t="s">
        <v>80</v>
      </c>
      <c r="I2151" t="s">
        <v>146</v>
      </c>
      <c r="J2151" t="s">
        <v>25</v>
      </c>
      <c r="K2151" t="s">
        <v>11207</v>
      </c>
      <c r="L2151">
        <v>0</v>
      </c>
      <c r="M2151" t="s">
        <v>11208</v>
      </c>
      <c r="N2151" t="s">
        <v>11209</v>
      </c>
      <c r="O2151" t="s">
        <v>173</v>
      </c>
      <c r="P2151" t="s">
        <v>30</v>
      </c>
      <c r="Q2151" t="s">
        <v>65</v>
      </c>
      <c r="R2151" s="3">
        <v>2227.2600000000002</v>
      </c>
    </row>
    <row r="2152" spans="1:18" x14ac:dyDescent="0.3">
      <c r="A2152" t="s">
        <v>11210</v>
      </c>
      <c r="B2152" t="str">
        <f>TEXT(Raw_Data[[#This Row],[Order Date]],"mmm")</f>
        <v>Jul</v>
      </c>
      <c r="C2152" t="s">
        <v>333</v>
      </c>
      <c r="D2152" t="s">
        <v>11211</v>
      </c>
      <c r="E2152" t="s">
        <v>48</v>
      </c>
      <c r="F2152" t="s">
        <v>21</v>
      </c>
      <c r="G2152" t="s">
        <v>130</v>
      </c>
      <c r="H2152" t="s">
        <v>23</v>
      </c>
      <c r="I2152" t="s">
        <v>341</v>
      </c>
      <c r="J2152" t="s">
        <v>25</v>
      </c>
      <c r="K2152" t="s">
        <v>11212</v>
      </c>
      <c r="L2152">
        <v>0.1</v>
      </c>
      <c r="M2152" t="s">
        <v>11213</v>
      </c>
      <c r="N2152" t="s">
        <v>11214</v>
      </c>
      <c r="O2152" t="s">
        <v>64</v>
      </c>
      <c r="P2152" t="s">
        <v>30</v>
      </c>
      <c r="Q2152" t="s">
        <v>65</v>
      </c>
      <c r="R2152" s="3">
        <v>61876.466999999997</v>
      </c>
    </row>
    <row r="2153" spans="1:18" x14ac:dyDescent="0.3">
      <c r="A2153" t="s">
        <v>11215</v>
      </c>
      <c r="B2153" t="str">
        <f>TEXT(Raw_Data[[#This Row],[Order Date]],"mmm")</f>
        <v>Oct</v>
      </c>
      <c r="C2153" t="s">
        <v>1171</v>
      </c>
      <c r="D2153" t="s">
        <v>11216</v>
      </c>
      <c r="E2153" t="s">
        <v>35</v>
      </c>
      <c r="F2153" t="s">
        <v>89</v>
      </c>
      <c r="G2153" t="s">
        <v>99</v>
      </c>
      <c r="H2153" t="s">
        <v>154</v>
      </c>
      <c r="I2153" t="s">
        <v>237</v>
      </c>
      <c r="J2153" t="s">
        <v>25</v>
      </c>
      <c r="K2153" t="s">
        <v>11217</v>
      </c>
      <c r="L2153">
        <v>0.15</v>
      </c>
      <c r="M2153" t="s">
        <v>11218</v>
      </c>
      <c r="N2153" t="s">
        <v>11219</v>
      </c>
      <c r="O2153" t="s">
        <v>43</v>
      </c>
      <c r="P2153" t="s">
        <v>30</v>
      </c>
      <c r="Q2153" t="s">
        <v>44</v>
      </c>
      <c r="R2153" s="3">
        <v>5299.5545000000002</v>
      </c>
    </row>
    <row r="2154" spans="1:18" x14ac:dyDescent="0.3">
      <c r="A2154" t="s">
        <v>11220</v>
      </c>
      <c r="B2154" t="str">
        <f>TEXT(Raw_Data[[#This Row],[Order Date]],"mmm")</f>
        <v>Apr</v>
      </c>
      <c r="C2154" t="s">
        <v>2101</v>
      </c>
      <c r="D2154" t="s">
        <v>11221</v>
      </c>
      <c r="E2154" t="s">
        <v>48</v>
      </c>
      <c r="F2154" t="s">
        <v>215</v>
      </c>
      <c r="G2154" t="s">
        <v>276</v>
      </c>
      <c r="H2154" t="s">
        <v>154</v>
      </c>
      <c r="I2154" t="s">
        <v>365</v>
      </c>
      <c r="J2154" t="s">
        <v>100</v>
      </c>
      <c r="K2154" t="s">
        <v>11222</v>
      </c>
      <c r="L2154">
        <v>0.05</v>
      </c>
      <c r="M2154" t="s">
        <v>11223</v>
      </c>
      <c r="N2154" t="s">
        <v>11224</v>
      </c>
      <c r="O2154" t="s">
        <v>43</v>
      </c>
      <c r="P2154" t="s">
        <v>30</v>
      </c>
      <c r="Q2154" t="s">
        <v>31</v>
      </c>
      <c r="R2154" s="3">
        <v>7897.5779999999904</v>
      </c>
    </row>
    <row r="2155" spans="1:18" x14ac:dyDescent="0.3">
      <c r="A2155" t="s">
        <v>11225</v>
      </c>
      <c r="B2155" t="str">
        <f>TEXT(Raw_Data[[#This Row],[Order Date]],"mmm")</f>
        <v>Feb</v>
      </c>
      <c r="C2155" t="s">
        <v>2133</v>
      </c>
      <c r="D2155" t="s">
        <v>11226</v>
      </c>
      <c r="E2155" t="s">
        <v>20</v>
      </c>
      <c r="F2155" t="s">
        <v>36</v>
      </c>
      <c r="G2155" t="s">
        <v>196</v>
      </c>
      <c r="H2155" t="s">
        <v>38</v>
      </c>
      <c r="I2155" t="s">
        <v>256</v>
      </c>
      <c r="J2155" t="s">
        <v>25</v>
      </c>
      <c r="K2155" t="s">
        <v>11227</v>
      </c>
      <c r="L2155">
        <v>0</v>
      </c>
      <c r="M2155" t="s">
        <v>11228</v>
      </c>
      <c r="N2155" t="s">
        <v>2598</v>
      </c>
      <c r="O2155" t="s">
        <v>29</v>
      </c>
      <c r="P2155" t="s">
        <v>30</v>
      </c>
      <c r="Q2155" t="s">
        <v>31</v>
      </c>
      <c r="R2155" s="3">
        <v>1177.72</v>
      </c>
    </row>
    <row r="2156" spans="1:18" x14ac:dyDescent="0.3">
      <c r="A2156" t="s">
        <v>11229</v>
      </c>
      <c r="B2156" t="str">
        <f>TEXT(Raw_Data[[#This Row],[Order Date]],"mmm")</f>
        <v>Jan</v>
      </c>
      <c r="C2156" t="s">
        <v>485</v>
      </c>
      <c r="D2156" t="s">
        <v>11230</v>
      </c>
      <c r="E2156" t="s">
        <v>20</v>
      </c>
      <c r="F2156" t="s">
        <v>106</v>
      </c>
      <c r="G2156" t="s">
        <v>163</v>
      </c>
      <c r="H2156" t="s">
        <v>154</v>
      </c>
      <c r="I2156" t="s">
        <v>1061</v>
      </c>
      <c r="J2156" t="s">
        <v>25</v>
      </c>
      <c r="K2156" t="s">
        <v>11231</v>
      </c>
      <c r="L2156">
        <v>0.15</v>
      </c>
      <c r="M2156" t="s">
        <v>11232</v>
      </c>
      <c r="N2156" t="s">
        <v>11233</v>
      </c>
      <c r="O2156" t="s">
        <v>29</v>
      </c>
      <c r="P2156" t="s">
        <v>112</v>
      </c>
      <c r="Q2156" t="s">
        <v>31</v>
      </c>
      <c r="R2156" s="3">
        <v>6381.5789999999997</v>
      </c>
    </row>
    <row r="2157" spans="1:18" x14ac:dyDescent="0.3">
      <c r="A2157" t="s">
        <v>11234</v>
      </c>
      <c r="B2157" t="str">
        <f>TEXT(Raw_Data[[#This Row],[Order Date]],"mmm")</f>
        <v>Dec</v>
      </c>
      <c r="C2157" t="s">
        <v>268</v>
      </c>
      <c r="D2157" t="s">
        <v>11235</v>
      </c>
      <c r="E2157" t="s">
        <v>20</v>
      </c>
      <c r="F2157" t="s">
        <v>69</v>
      </c>
      <c r="G2157" t="s">
        <v>328</v>
      </c>
      <c r="H2157" t="s">
        <v>80</v>
      </c>
      <c r="I2157" t="s">
        <v>131</v>
      </c>
      <c r="J2157" t="s">
        <v>25</v>
      </c>
      <c r="K2157" t="s">
        <v>11236</v>
      </c>
      <c r="L2157">
        <v>0.1</v>
      </c>
      <c r="M2157" t="s">
        <v>11237</v>
      </c>
      <c r="N2157" t="s">
        <v>11238</v>
      </c>
      <c r="O2157" t="s">
        <v>64</v>
      </c>
      <c r="P2157" t="s">
        <v>30</v>
      </c>
      <c r="Q2157" t="s">
        <v>31</v>
      </c>
      <c r="R2157" s="3">
        <v>1880.9639999999999</v>
      </c>
    </row>
    <row r="2158" spans="1:18" x14ac:dyDescent="0.3">
      <c r="A2158" t="s">
        <v>11239</v>
      </c>
      <c r="B2158" t="str">
        <f>TEXT(Raw_Data[[#This Row],[Order Date]],"mmm")</f>
        <v>Dec</v>
      </c>
      <c r="C2158" t="s">
        <v>3159</v>
      </c>
      <c r="D2158" t="s">
        <v>11240</v>
      </c>
      <c r="E2158" t="s">
        <v>20</v>
      </c>
      <c r="F2158" t="s">
        <v>58</v>
      </c>
      <c r="G2158" t="s">
        <v>59</v>
      </c>
      <c r="H2158" t="s">
        <v>38</v>
      </c>
      <c r="I2158" t="s">
        <v>60</v>
      </c>
      <c r="J2158" t="s">
        <v>25</v>
      </c>
      <c r="K2158" t="s">
        <v>11241</v>
      </c>
      <c r="L2158">
        <v>0.1</v>
      </c>
      <c r="M2158" t="s">
        <v>11242</v>
      </c>
      <c r="N2158" t="s">
        <v>11243</v>
      </c>
      <c r="O2158" t="s">
        <v>173</v>
      </c>
      <c r="P2158" t="s">
        <v>30</v>
      </c>
      <c r="Q2158" t="s">
        <v>65</v>
      </c>
      <c r="R2158" s="3">
        <v>4036.4189999999999</v>
      </c>
    </row>
    <row r="2159" spans="1:18" x14ac:dyDescent="0.3">
      <c r="A2159" t="s">
        <v>11244</v>
      </c>
      <c r="B2159" t="str">
        <f>TEXT(Raw_Data[[#This Row],[Order Date]],"mmm")</f>
        <v>Jul</v>
      </c>
      <c r="C2159" t="s">
        <v>792</v>
      </c>
      <c r="D2159" t="s">
        <v>11245</v>
      </c>
      <c r="E2159" t="s">
        <v>20</v>
      </c>
      <c r="F2159" t="s">
        <v>78</v>
      </c>
      <c r="G2159" t="s">
        <v>468</v>
      </c>
      <c r="H2159" t="s">
        <v>107</v>
      </c>
      <c r="I2159" t="s">
        <v>277</v>
      </c>
      <c r="J2159" t="s">
        <v>25</v>
      </c>
      <c r="K2159" t="s">
        <v>11246</v>
      </c>
      <c r="L2159">
        <v>0.1</v>
      </c>
      <c r="M2159" t="s">
        <v>11247</v>
      </c>
      <c r="N2159" t="s">
        <v>11248</v>
      </c>
      <c r="O2159" t="s">
        <v>29</v>
      </c>
      <c r="P2159" t="s">
        <v>30</v>
      </c>
      <c r="Q2159" t="s">
        <v>44</v>
      </c>
      <c r="R2159" s="3">
        <v>2648.1779999999999</v>
      </c>
    </row>
    <row r="2160" spans="1:18" x14ac:dyDescent="0.3">
      <c r="A2160" t="s">
        <v>11249</v>
      </c>
      <c r="B2160" t="str">
        <f>TEXT(Raw_Data[[#This Row],[Order Date]],"mmm")</f>
        <v>Mar</v>
      </c>
      <c r="C2160" t="s">
        <v>3284</v>
      </c>
      <c r="D2160" t="s">
        <v>11250</v>
      </c>
      <c r="E2160" t="s">
        <v>35</v>
      </c>
      <c r="F2160" t="s">
        <v>58</v>
      </c>
      <c r="G2160" t="s">
        <v>59</v>
      </c>
      <c r="H2160" t="s">
        <v>23</v>
      </c>
      <c r="I2160" t="s">
        <v>24</v>
      </c>
      <c r="J2160" t="s">
        <v>100</v>
      </c>
      <c r="K2160" t="s">
        <v>11251</v>
      </c>
      <c r="L2160">
        <v>0</v>
      </c>
      <c r="M2160" t="s">
        <v>11252</v>
      </c>
      <c r="N2160" t="s">
        <v>11253</v>
      </c>
      <c r="O2160" t="s">
        <v>173</v>
      </c>
      <c r="P2160" t="s">
        <v>159</v>
      </c>
      <c r="Q2160" t="s">
        <v>65</v>
      </c>
      <c r="R2160" s="3">
        <v>123510.36</v>
      </c>
    </row>
    <row r="2161" spans="1:18" x14ac:dyDescent="0.3">
      <c r="A2161" t="s">
        <v>11254</v>
      </c>
      <c r="B2161" t="str">
        <f>TEXT(Raw_Data[[#This Row],[Order Date]],"mmm")</f>
        <v>Mar</v>
      </c>
      <c r="C2161" t="s">
        <v>2959</v>
      </c>
      <c r="D2161" t="s">
        <v>11255</v>
      </c>
      <c r="E2161" t="s">
        <v>20</v>
      </c>
      <c r="F2161" t="s">
        <v>89</v>
      </c>
      <c r="G2161" t="s">
        <v>99</v>
      </c>
      <c r="H2161" t="s">
        <v>154</v>
      </c>
      <c r="I2161" t="s">
        <v>309</v>
      </c>
      <c r="J2161" t="s">
        <v>25</v>
      </c>
      <c r="K2161" t="s">
        <v>11256</v>
      </c>
      <c r="L2161">
        <v>0.15</v>
      </c>
      <c r="M2161" t="s">
        <v>11257</v>
      </c>
      <c r="N2161" t="s">
        <v>11258</v>
      </c>
      <c r="O2161" t="s">
        <v>64</v>
      </c>
      <c r="P2161" t="s">
        <v>112</v>
      </c>
      <c r="Q2161" t="s">
        <v>44</v>
      </c>
      <c r="R2161" s="3">
        <v>4550.8234999999904</v>
      </c>
    </row>
    <row r="2162" spans="1:18" x14ac:dyDescent="0.3">
      <c r="A2162" t="s">
        <v>11259</v>
      </c>
      <c r="B2162" t="str">
        <f>TEXT(Raw_Data[[#This Row],[Order Date]],"mmm")</f>
        <v>Aug</v>
      </c>
      <c r="C2162" t="s">
        <v>1403</v>
      </c>
      <c r="D2162" t="s">
        <v>11260</v>
      </c>
      <c r="E2162" t="s">
        <v>35</v>
      </c>
      <c r="F2162" t="s">
        <v>106</v>
      </c>
      <c r="G2162" t="s">
        <v>106</v>
      </c>
      <c r="H2162" t="s">
        <v>80</v>
      </c>
      <c r="I2162" t="s">
        <v>60</v>
      </c>
      <c r="J2162" t="s">
        <v>25</v>
      </c>
      <c r="K2162" t="s">
        <v>11261</v>
      </c>
      <c r="L2162">
        <v>0.15</v>
      </c>
      <c r="M2162" t="s">
        <v>11262</v>
      </c>
      <c r="N2162" t="s">
        <v>11263</v>
      </c>
      <c r="O2162" t="s">
        <v>173</v>
      </c>
      <c r="P2162" t="s">
        <v>30</v>
      </c>
      <c r="Q2162" t="s">
        <v>31</v>
      </c>
      <c r="R2162" s="3">
        <v>3004.5630000000001</v>
      </c>
    </row>
    <row r="2163" spans="1:18" x14ac:dyDescent="0.3">
      <c r="A2163" t="s">
        <v>11264</v>
      </c>
      <c r="B2163" t="str">
        <f>TEXT(Raw_Data[[#This Row],[Order Date]],"mmm")</f>
        <v>Nov</v>
      </c>
      <c r="C2163" t="s">
        <v>2976</v>
      </c>
      <c r="D2163" t="s">
        <v>11265</v>
      </c>
      <c r="E2163" t="s">
        <v>48</v>
      </c>
      <c r="F2163" t="s">
        <v>78</v>
      </c>
      <c r="G2163" t="s">
        <v>731</v>
      </c>
      <c r="H2163" t="s">
        <v>80</v>
      </c>
      <c r="I2163" t="s">
        <v>131</v>
      </c>
      <c r="J2163" t="s">
        <v>50</v>
      </c>
      <c r="K2163" t="s">
        <v>11266</v>
      </c>
      <c r="L2163">
        <v>0</v>
      </c>
      <c r="M2163" t="s">
        <v>11267</v>
      </c>
      <c r="N2163" t="s">
        <v>11268</v>
      </c>
      <c r="O2163" t="s">
        <v>29</v>
      </c>
      <c r="P2163" t="s">
        <v>30</v>
      </c>
      <c r="Q2163" t="s">
        <v>65</v>
      </c>
      <c r="R2163" s="3">
        <v>6947.08</v>
      </c>
    </row>
    <row r="2164" spans="1:18" x14ac:dyDescent="0.3">
      <c r="A2164" t="s">
        <v>11269</v>
      </c>
      <c r="B2164" t="str">
        <f>TEXT(Raw_Data[[#This Row],[Order Date]],"mmm")</f>
        <v>May</v>
      </c>
      <c r="C2164" t="s">
        <v>1348</v>
      </c>
      <c r="D2164" t="s">
        <v>11270</v>
      </c>
      <c r="E2164" t="s">
        <v>20</v>
      </c>
      <c r="F2164" t="s">
        <v>78</v>
      </c>
      <c r="G2164" t="s">
        <v>731</v>
      </c>
      <c r="H2164" t="s">
        <v>80</v>
      </c>
      <c r="I2164" t="s">
        <v>131</v>
      </c>
      <c r="J2164" t="s">
        <v>50</v>
      </c>
      <c r="K2164" t="s">
        <v>11271</v>
      </c>
      <c r="L2164">
        <v>0</v>
      </c>
      <c r="M2164" t="s">
        <v>11272</v>
      </c>
      <c r="N2164" t="s">
        <v>10348</v>
      </c>
      <c r="O2164" t="s">
        <v>173</v>
      </c>
      <c r="P2164" t="s">
        <v>30</v>
      </c>
      <c r="Q2164" t="s">
        <v>44</v>
      </c>
      <c r="R2164" s="3">
        <v>13751.26</v>
      </c>
    </row>
    <row r="2165" spans="1:18" x14ac:dyDescent="0.3">
      <c r="A2165" t="s">
        <v>11273</v>
      </c>
      <c r="B2165" t="str">
        <f>TEXT(Raw_Data[[#This Row],[Order Date]],"mmm")</f>
        <v>Aug</v>
      </c>
      <c r="C2165" t="s">
        <v>4824</v>
      </c>
      <c r="D2165" t="s">
        <v>11274</v>
      </c>
      <c r="E2165" t="s">
        <v>35</v>
      </c>
      <c r="F2165" t="s">
        <v>106</v>
      </c>
      <c r="G2165" t="s">
        <v>106</v>
      </c>
      <c r="H2165" t="s">
        <v>80</v>
      </c>
      <c r="I2165" t="s">
        <v>81</v>
      </c>
      <c r="J2165" t="s">
        <v>100</v>
      </c>
      <c r="K2165" t="s">
        <v>11275</v>
      </c>
      <c r="L2165">
        <v>0</v>
      </c>
      <c r="M2165" t="s">
        <v>11276</v>
      </c>
      <c r="N2165" t="s">
        <v>11277</v>
      </c>
      <c r="O2165" t="s">
        <v>43</v>
      </c>
      <c r="P2165" t="s">
        <v>30</v>
      </c>
      <c r="Q2165" t="s">
        <v>44</v>
      </c>
      <c r="R2165" s="3">
        <v>3555.39</v>
      </c>
    </row>
    <row r="2166" spans="1:18" x14ac:dyDescent="0.3">
      <c r="A2166" t="s">
        <v>11278</v>
      </c>
      <c r="B2166" t="str">
        <f>TEXT(Raw_Data[[#This Row],[Order Date]],"mmm")</f>
        <v>Apr</v>
      </c>
      <c r="C2166" t="s">
        <v>67</v>
      </c>
      <c r="D2166" t="s">
        <v>11279</v>
      </c>
      <c r="E2166" t="s">
        <v>35</v>
      </c>
      <c r="F2166" t="s">
        <v>69</v>
      </c>
      <c r="G2166" t="s">
        <v>70</v>
      </c>
      <c r="H2166" t="s">
        <v>107</v>
      </c>
      <c r="I2166" t="s">
        <v>108</v>
      </c>
      <c r="J2166" t="s">
        <v>25</v>
      </c>
      <c r="K2166" t="s">
        <v>11280</v>
      </c>
      <c r="L2166">
        <v>0.2</v>
      </c>
      <c r="M2166" t="s">
        <v>11281</v>
      </c>
      <c r="N2166" t="s">
        <v>11282</v>
      </c>
      <c r="O2166" t="s">
        <v>43</v>
      </c>
      <c r="P2166" t="s">
        <v>30</v>
      </c>
      <c r="Q2166" t="s">
        <v>44</v>
      </c>
      <c r="R2166" s="3">
        <v>8679.4719999999998</v>
      </c>
    </row>
    <row r="2167" spans="1:18" x14ac:dyDescent="0.3">
      <c r="A2167" t="s">
        <v>11283</v>
      </c>
      <c r="B2167" t="str">
        <f>TEXT(Raw_Data[[#This Row],[Order Date]],"mmm")</f>
        <v>Jan</v>
      </c>
      <c r="C2167" t="s">
        <v>2886</v>
      </c>
      <c r="D2167" t="s">
        <v>11284</v>
      </c>
      <c r="E2167" t="s">
        <v>20</v>
      </c>
      <c r="F2167" t="s">
        <v>215</v>
      </c>
      <c r="G2167" t="s">
        <v>276</v>
      </c>
      <c r="H2167" t="s">
        <v>80</v>
      </c>
      <c r="I2167" t="s">
        <v>81</v>
      </c>
      <c r="J2167" t="s">
        <v>25</v>
      </c>
      <c r="K2167" t="s">
        <v>11285</v>
      </c>
      <c r="L2167">
        <v>0</v>
      </c>
      <c r="M2167" t="s">
        <v>11286</v>
      </c>
      <c r="N2167" t="s">
        <v>11287</v>
      </c>
      <c r="O2167" t="s">
        <v>43</v>
      </c>
      <c r="P2167" t="s">
        <v>30</v>
      </c>
      <c r="Q2167" t="s">
        <v>44</v>
      </c>
      <c r="R2167" s="3">
        <v>3837.39</v>
      </c>
    </row>
    <row r="2168" spans="1:18" x14ac:dyDescent="0.3">
      <c r="A2168" t="s">
        <v>11288</v>
      </c>
      <c r="B2168" t="str">
        <f>TEXT(Raw_Data[[#This Row],[Order Date]],"mmm")</f>
        <v>Mar</v>
      </c>
      <c r="C2168" t="s">
        <v>2731</v>
      </c>
      <c r="D2168" t="s">
        <v>11289</v>
      </c>
      <c r="E2168" t="s">
        <v>48</v>
      </c>
      <c r="F2168" t="s">
        <v>78</v>
      </c>
      <c r="G2168" t="s">
        <v>79</v>
      </c>
      <c r="H2168" t="s">
        <v>80</v>
      </c>
      <c r="I2168" t="s">
        <v>131</v>
      </c>
      <c r="J2168" t="s">
        <v>25</v>
      </c>
      <c r="K2168" t="s">
        <v>11290</v>
      </c>
      <c r="L2168">
        <v>0.1</v>
      </c>
      <c r="M2168" t="s">
        <v>11291</v>
      </c>
      <c r="N2168" t="s">
        <v>11292</v>
      </c>
      <c r="O2168" t="s">
        <v>54</v>
      </c>
      <c r="P2168" t="s">
        <v>112</v>
      </c>
      <c r="Q2168" t="s">
        <v>44</v>
      </c>
      <c r="R2168" s="3">
        <v>487.67399999999998</v>
      </c>
    </row>
    <row r="2169" spans="1:18" x14ac:dyDescent="0.3">
      <c r="A2169" t="s">
        <v>11293</v>
      </c>
      <c r="B2169" t="str">
        <f>TEXT(Raw_Data[[#This Row],[Order Date]],"mmm")</f>
        <v>Jan</v>
      </c>
      <c r="C2169" t="s">
        <v>3252</v>
      </c>
      <c r="D2169" t="s">
        <v>11294</v>
      </c>
      <c r="E2169" t="s">
        <v>35</v>
      </c>
      <c r="F2169" t="s">
        <v>215</v>
      </c>
      <c r="G2169" t="s">
        <v>276</v>
      </c>
      <c r="H2169" t="s">
        <v>38</v>
      </c>
      <c r="I2169" t="s">
        <v>256</v>
      </c>
      <c r="J2169" t="s">
        <v>25</v>
      </c>
      <c r="K2169" t="s">
        <v>11295</v>
      </c>
      <c r="L2169">
        <v>0.1</v>
      </c>
      <c r="M2169" t="s">
        <v>11296</v>
      </c>
      <c r="N2169" t="s">
        <v>11297</v>
      </c>
      <c r="O2169" t="s">
        <v>29</v>
      </c>
      <c r="P2169" t="s">
        <v>30</v>
      </c>
      <c r="Q2169" t="s">
        <v>65</v>
      </c>
      <c r="R2169" s="3">
        <v>2586.5369999999998</v>
      </c>
    </row>
    <row r="2170" spans="1:18" x14ac:dyDescent="0.3">
      <c r="A2170" t="s">
        <v>11298</v>
      </c>
      <c r="B2170" t="str">
        <f>TEXT(Raw_Data[[#This Row],[Order Date]],"mmm")</f>
        <v>May</v>
      </c>
      <c r="C2170" t="s">
        <v>2355</v>
      </c>
      <c r="D2170" t="s">
        <v>11299</v>
      </c>
      <c r="E2170" t="s">
        <v>20</v>
      </c>
      <c r="F2170" t="s">
        <v>215</v>
      </c>
      <c r="G2170" t="s">
        <v>216</v>
      </c>
      <c r="H2170" t="s">
        <v>23</v>
      </c>
      <c r="I2170" t="s">
        <v>341</v>
      </c>
      <c r="J2170" t="s">
        <v>25</v>
      </c>
      <c r="K2170" t="s">
        <v>11300</v>
      </c>
      <c r="L2170">
        <v>0.1</v>
      </c>
      <c r="M2170" t="s">
        <v>11301</v>
      </c>
      <c r="N2170" t="s">
        <v>11302</v>
      </c>
      <c r="O2170" t="s">
        <v>29</v>
      </c>
      <c r="P2170" t="s">
        <v>30</v>
      </c>
      <c r="Q2170" t="s">
        <v>31</v>
      </c>
      <c r="R2170" s="3">
        <v>10774.835999999999</v>
      </c>
    </row>
    <row r="2171" spans="1:18" x14ac:dyDescent="0.3">
      <c r="A2171" t="s">
        <v>11303</v>
      </c>
      <c r="B2171" t="str">
        <f>TEXT(Raw_Data[[#This Row],[Order Date]],"mmm")</f>
        <v>May</v>
      </c>
      <c r="C2171" t="s">
        <v>5513</v>
      </c>
      <c r="D2171" t="s">
        <v>11304</v>
      </c>
      <c r="E2171" t="s">
        <v>35</v>
      </c>
      <c r="F2171" t="s">
        <v>36</v>
      </c>
      <c r="G2171" t="s">
        <v>37</v>
      </c>
      <c r="H2171" t="s">
        <v>80</v>
      </c>
      <c r="I2171" t="s">
        <v>131</v>
      </c>
      <c r="J2171" t="s">
        <v>25</v>
      </c>
      <c r="K2171" t="s">
        <v>11305</v>
      </c>
      <c r="L2171">
        <v>0.1</v>
      </c>
      <c r="M2171" t="s">
        <v>11306</v>
      </c>
      <c r="N2171" t="s">
        <v>11307</v>
      </c>
      <c r="O2171" t="s">
        <v>43</v>
      </c>
      <c r="P2171" t="s">
        <v>30</v>
      </c>
      <c r="Q2171" t="s">
        <v>44</v>
      </c>
      <c r="R2171" s="3">
        <v>994.796999999999</v>
      </c>
    </row>
    <row r="2172" spans="1:18" x14ac:dyDescent="0.3">
      <c r="A2172" t="s">
        <v>11308</v>
      </c>
      <c r="B2172" t="str">
        <f>TEXT(Raw_Data[[#This Row],[Order Date]],"mmm")</f>
        <v>Jan</v>
      </c>
      <c r="C2172" t="s">
        <v>485</v>
      </c>
      <c r="D2172" t="s">
        <v>11309</v>
      </c>
      <c r="E2172" t="s">
        <v>35</v>
      </c>
      <c r="F2172" t="s">
        <v>89</v>
      </c>
      <c r="G2172" t="s">
        <v>99</v>
      </c>
      <c r="H2172" t="s">
        <v>23</v>
      </c>
      <c r="I2172" t="s">
        <v>183</v>
      </c>
      <c r="J2172" t="s">
        <v>100</v>
      </c>
      <c r="K2172" t="s">
        <v>11310</v>
      </c>
      <c r="L2172">
        <v>0.05</v>
      </c>
      <c r="M2172" t="s">
        <v>11311</v>
      </c>
      <c r="N2172" t="s">
        <v>11312</v>
      </c>
      <c r="O2172" t="s">
        <v>173</v>
      </c>
      <c r="P2172" t="s">
        <v>30</v>
      </c>
      <c r="Q2172" t="s">
        <v>65</v>
      </c>
      <c r="R2172" s="3">
        <v>90102.407999999996</v>
      </c>
    </row>
    <row r="2173" spans="1:18" x14ac:dyDescent="0.3">
      <c r="A2173" t="s">
        <v>11313</v>
      </c>
      <c r="B2173" t="str">
        <f>TEXT(Raw_Data[[#This Row],[Order Date]],"mmm")</f>
        <v>Aug</v>
      </c>
      <c r="C2173" t="s">
        <v>1442</v>
      </c>
      <c r="D2173" t="s">
        <v>11314</v>
      </c>
      <c r="E2173" t="s">
        <v>35</v>
      </c>
      <c r="F2173" t="s">
        <v>106</v>
      </c>
      <c r="G2173" t="s">
        <v>163</v>
      </c>
      <c r="H2173" t="s">
        <v>38</v>
      </c>
      <c r="I2173" t="s">
        <v>71</v>
      </c>
      <c r="J2173" t="s">
        <v>50</v>
      </c>
      <c r="K2173" t="s">
        <v>11315</v>
      </c>
      <c r="L2173">
        <v>0.15</v>
      </c>
      <c r="M2173" t="s">
        <v>11316</v>
      </c>
      <c r="N2173" t="s">
        <v>11317</v>
      </c>
      <c r="O2173" t="s">
        <v>54</v>
      </c>
      <c r="P2173" t="s">
        <v>30</v>
      </c>
      <c r="Q2173" t="s">
        <v>65</v>
      </c>
      <c r="R2173" s="3">
        <v>6497.4170000000004</v>
      </c>
    </row>
    <row r="2174" spans="1:18" x14ac:dyDescent="0.3">
      <c r="A2174" t="s">
        <v>11318</v>
      </c>
      <c r="B2174" t="str">
        <f>TEXT(Raw_Data[[#This Row],[Order Date]],"mmm")</f>
        <v>Mar</v>
      </c>
      <c r="C2174" t="s">
        <v>713</v>
      </c>
      <c r="D2174" t="s">
        <v>11319</v>
      </c>
      <c r="E2174" t="s">
        <v>20</v>
      </c>
      <c r="F2174" t="s">
        <v>89</v>
      </c>
      <c r="G2174" t="s">
        <v>230</v>
      </c>
      <c r="H2174" t="s">
        <v>107</v>
      </c>
      <c r="I2174" t="s">
        <v>469</v>
      </c>
      <c r="J2174" t="s">
        <v>25</v>
      </c>
      <c r="K2174" t="s">
        <v>11320</v>
      </c>
      <c r="L2174">
        <v>0.1</v>
      </c>
      <c r="M2174" t="s">
        <v>11321</v>
      </c>
      <c r="N2174" t="s">
        <v>11322</v>
      </c>
      <c r="O2174" t="s">
        <v>173</v>
      </c>
      <c r="P2174" t="s">
        <v>30</v>
      </c>
      <c r="Q2174" t="s">
        <v>65</v>
      </c>
      <c r="R2174" s="3">
        <v>3277.8359999999998</v>
      </c>
    </row>
    <row r="2175" spans="1:18" x14ac:dyDescent="0.3">
      <c r="A2175" t="s">
        <v>11323</v>
      </c>
      <c r="B2175" t="str">
        <f>TEXT(Raw_Data[[#This Row],[Order Date]],"mmm")</f>
        <v>Feb</v>
      </c>
      <c r="C2175" t="s">
        <v>1268</v>
      </c>
      <c r="D2175" t="s">
        <v>11324</v>
      </c>
      <c r="E2175" t="s">
        <v>35</v>
      </c>
      <c r="F2175" t="s">
        <v>69</v>
      </c>
      <c r="G2175" t="s">
        <v>328</v>
      </c>
      <c r="H2175" t="s">
        <v>107</v>
      </c>
      <c r="I2175" t="s">
        <v>378</v>
      </c>
      <c r="J2175" t="s">
        <v>25</v>
      </c>
      <c r="K2175" t="s">
        <v>11325</v>
      </c>
      <c r="L2175">
        <v>0.05</v>
      </c>
      <c r="M2175" t="s">
        <v>11326</v>
      </c>
      <c r="N2175" t="s">
        <v>11327</v>
      </c>
      <c r="O2175" t="s">
        <v>29</v>
      </c>
      <c r="P2175" t="s">
        <v>30</v>
      </c>
      <c r="Q2175" t="s">
        <v>65</v>
      </c>
      <c r="R2175" s="3">
        <v>15779.3385</v>
      </c>
    </row>
    <row r="2176" spans="1:18" x14ac:dyDescent="0.3">
      <c r="A2176" t="s">
        <v>11328</v>
      </c>
      <c r="B2176" t="str">
        <f>TEXT(Raw_Data[[#This Row],[Order Date]],"mmm")</f>
        <v>Feb</v>
      </c>
      <c r="C2176" t="s">
        <v>2399</v>
      </c>
      <c r="D2176" t="s">
        <v>11329</v>
      </c>
      <c r="E2176" t="s">
        <v>48</v>
      </c>
      <c r="F2176" t="s">
        <v>78</v>
      </c>
      <c r="G2176" t="s">
        <v>731</v>
      </c>
      <c r="H2176" t="s">
        <v>23</v>
      </c>
      <c r="I2176" t="s">
        <v>341</v>
      </c>
      <c r="J2176" t="s">
        <v>25</v>
      </c>
      <c r="K2176" t="s">
        <v>11330</v>
      </c>
      <c r="L2176">
        <v>0</v>
      </c>
      <c r="M2176" t="s">
        <v>11331</v>
      </c>
      <c r="N2176" t="s">
        <v>11332</v>
      </c>
      <c r="O2176" t="s">
        <v>173</v>
      </c>
      <c r="P2176" t="s">
        <v>30</v>
      </c>
      <c r="Q2176" t="s">
        <v>65</v>
      </c>
      <c r="R2176" s="3">
        <v>38843.51</v>
      </c>
    </row>
    <row r="2177" spans="1:18" x14ac:dyDescent="0.3">
      <c r="A2177" t="s">
        <v>11333</v>
      </c>
      <c r="B2177" t="str">
        <f>TEXT(Raw_Data[[#This Row],[Order Date]],"mmm")</f>
        <v>May</v>
      </c>
      <c r="C2177" t="s">
        <v>2693</v>
      </c>
      <c r="D2177" t="s">
        <v>11334</v>
      </c>
      <c r="E2177" t="s">
        <v>35</v>
      </c>
      <c r="F2177" t="s">
        <v>215</v>
      </c>
      <c r="G2177" t="s">
        <v>216</v>
      </c>
      <c r="H2177" t="s">
        <v>107</v>
      </c>
      <c r="I2177" t="s">
        <v>378</v>
      </c>
      <c r="J2177" t="s">
        <v>25</v>
      </c>
      <c r="K2177" t="s">
        <v>11335</v>
      </c>
      <c r="L2177">
        <v>0.05</v>
      </c>
      <c r="M2177" t="s">
        <v>11336</v>
      </c>
      <c r="N2177" t="s">
        <v>11337</v>
      </c>
      <c r="O2177" t="s">
        <v>29</v>
      </c>
      <c r="P2177" t="s">
        <v>30</v>
      </c>
      <c r="Q2177" t="s">
        <v>65</v>
      </c>
      <c r="R2177" s="3">
        <v>12168.112999999999</v>
      </c>
    </row>
    <row r="2178" spans="1:18" x14ac:dyDescent="0.3">
      <c r="A2178" t="s">
        <v>11338</v>
      </c>
      <c r="B2178" t="str">
        <f>TEXT(Raw_Data[[#This Row],[Order Date]],"mmm")</f>
        <v>Jun</v>
      </c>
      <c r="C2178" t="s">
        <v>2157</v>
      </c>
      <c r="D2178" t="s">
        <v>11339</v>
      </c>
      <c r="E2178" t="s">
        <v>20</v>
      </c>
      <c r="F2178" t="s">
        <v>215</v>
      </c>
      <c r="G2178" t="s">
        <v>216</v>
      </c>
      <c r="H2178" t="s">
        <v>107</v>
      </c>
      <c r="I2178" t="s">
        <v>277</v>
      </c>
      <c r="J2178" t="s">
        <v>25</v>
      </c>
      <c r="K2178" t="s">
        <v>11340</v>
      </c>
      <c r="L2178">
        <v>0.05</v>
      </c>
      <c r="M2178" t="s">
        <v>11341</v>
      </c>
      <c r="N2178" t="s">
        <v>11342</v>
      </c>
      <c r="O2178" t="s">
        <v>54</v>
      </c>
      <c r="P2178" t="s">
        <v>30</v>
      </c>
      <c r="Q2178" t="s">
        <v>31</v>
      </c>
      <c r="R2178" s="3">
        <v>15966.440999999901</v>
      </c>
    </row>
    <row r="2179" spans="1:18" x14ac:dyDescent="0.3">
      <c r="A2179" t="s">
        <v>11343</v>
      </c>
      <c r="B2179" t="str">
        <f>TEXT(Raw_Data[[#This Row],[Order Date]],"mmm")</f>
        <v>Apr</v>
      </c>
      <c r="C2179" t="s">
        <v>2552</v>
      </c>
      <c r="D2179" t="s">
        <v>11344</v>
      </c>
      <c r="E2179" t="s">
        <v>35</v>
      </c>
      <c r="F2179" t="s">
        <v>215</v>
      </c>
      <c r="G2179" t="s">
        <v>216</v>
      </c>
      <c r="H2179" t="s">
        <v>80</v>
      </c>
      <c r="I2179" t="s">
        <v>131</v>
      </c>
      <c r="J2179" t="s">
        <v>25</v>
      </c>
      <c r="K2179" t="s">
        <v>11345</v>
      </c>
      <c r="L2179">
        <v>0.05</v>
      </c>
      <c r="M2179" t="s">
        <v>11346</v>
      </c>
      <c r="N2179" t="s">
        <v>11347</v>
      </c>
      <c r="O2179" t="s">
        <v>29</v>
      </c>
      <c r="P2179" t="s">
        <v>30</v>
      </c>
      <c r="Q2179" t="s">
        <v>44</v>
      </c>
      <c r="R2179" s="3">
        <v>2373.0430000000001</v>
      </c>
    </row>
    <row r="2180" spans="1:18" x14ac:dyDescent="0.3">
      <c r="A2180" t="s">
        <v>11348</v>
      </c>
      <c r="B2180" t="str">
        <f>TEXT(Raw_Data[[#This Row],[Order Date]],"mmm")</f>
        <v>Aug</v>
      </c>
      <c r="C2180" t="s">
        <v>4824</v>
      </c>
      <c r="D2180" t="s">
        <v>11349</v>
      </c>
      <c r="E2180" t="s">
        <v>20</v>
      </c>
      <c r="F2180" t="s">
        <v>21</v>
      </c>
      <c r="G2180" t="s">
        <v>22</v>
      </c>
      <c r="H2180" t="s">
        <v>107</v>
      </c>
      <c r="I2180" t="s">
        <v>108</v>
      </c>
      <c r="J2180" t="s">
        <v>25</v>
      </c>
      <c r="K2180" t="s">
        <v>11350</v>
      </c>
      <c r="L2180">
        <v>0.1</v>
      </c>
      <c r="M2180" t="s">
        <v>11351</v>
      </c>
      <c r="N2180" t="s">
        <v>11352</v>
      </c>
      <c r="O2180" t="s">
        <v>29</v>
      </c>
      <c r="P2180" t="s">
        <v>30</v>
      </c>
      <c r="Q2180" t="s">
        <v>31</v>
      </c>
      <c r="R2180" s="3">
        <v>9937.44</v>
      </c>
    </row>
    <row r="2181" spans="1:18" x14ac:dyDescent="0.3">
      <c r="A2181" t="s">
        <v>11353</v>
      </c>
      <c r="B2181" t="str">
        <f>TEXT(Raw_Data[[#This Row],[Order Date]],"mmm")</f>
        <v>Dec</v>
      </c>
      <c r="C2181" t="s">
        <v>534</v>
      </c>
      <c r="D2181" t="s">
        <v>11354</v>
      </c>
      <c r="E2181" t="s">
        <v>20</v>
      </c>
      <c r="F2181" t="s">
        <v>106</v>
      </c>
      <c r="G2181" t="s">
        <v>163</v>
      </c>
      <c r="H2181" t="s">
        <v>80</v>
      </c>
      <c r="I2181" t="s">
        <v>91</v>
      </c>
      <c r="J2181" t="s">
        <v>82</v>
      </c>
      <c r="K2181" t="s">
        <v>11355</v>
      </c>
      <c r="L2181">
        <v>0.1</v>
      </c>
      <c r="M2181" t="s">
        <v>11356</v>
      </c>
      <c r="N2181" t="s">
        <v>11357</v>
      </c>
      <c r="O2181" t="s">
        <v>64</v>
      </c>
      <c r="P2181" t="s">
        <v>30</v>
      </c>
      <c r="Q2181" t="s">
        <v>44</v>
      </c>
      <c r="R2181" s="3">
        <v>15023.052</v>
      </c>
    </row>
    <row r="2182" spans="1:18" x14ac:dyDescent="0.3">
      <c r="A2182" t="s">
        <v>11358</v>
      </c>
      <c r="B2182" t="str">
        <f>TEXT(Raw_Data[[#This Row],[Order Date]],"mmm")</f>
        <v>Apr</v>
      </c>
      <c r="C2182" t="s">
        <v>902</v>
      </c>
      <c r="D2182" t="s">
        <v>11359</v>
      </c>
      <c r="E2182" t="s">
        <v>20</v>
      </c>
      <c r="F2182" t="s">
        <v>21</v>
      </c>
      <c r="G2182" t="s">
        <v>22</v>
      </c>
      <c r="H2182" t="s">
        <v>23</v>
      </c>
      <c r="I2182" t="s">
        <v>24</v>
      </c>
      <c r="J2182" t="s">
        <v>25</v>
      </c>
      <c r="K2182" t="s">
        <v>11360</v>
      </c>
      <c r="L2182">
        <v>0.15</v>
      </c>
      <c r="M2182" t="s">
        <v>11361</v>
      </c>
      <c r="N2182" t="s">
        <v>11362</v>
      </c>
      <c r="O2182" t="s">
        <v>29</v>
      </c>
      <c r="P2182" t="s">
        <v>95</v>
      </c>
      <c r="Q2182" t="s">
        <v>65</v>
      </c>
      <c r="R2182" s="3">
        <v>4197.8270000000002</v>
      </c>
    </row>
    <row r="2183" spans="1:18" x14ac:dyDescent="0.3">
      <c r="A2183" t="s">
        <v>11363</v>
      </c>
      <c r="B2183" t="str">
        <f>TEXT(Raw_Data[[#This Row],[Order Date]],"mmm")</f>
        <v>Oct</v>
      </c>
      <c r="C2183" t="s">
        <v>584</v>
      </c>
      <c r="D2183" t="s">
        <v>11364</v>
      </c>
      <c r="E2183" t="s">
        <v>35</v>
      </c>
      <c r="F2183" t="s">
        <v>89</v>
      </c>
      <c r="G2183" t="s">
        <v>230</v>
      </c>
      <c r="H2183" t="s">
        <v>154</v>
      </c>
      <c r="I2183" t="s">
        <v>237</v>
      </c>
      <c r="J2183" t="s">
        <v>25</v>
      </c>
      <c r="K2183" t="s">
        <v>11365</v>
      </c>
      <c r="L2183">
        <v>0</v>
      </c>
      <c r="M2183" t="s">
        <v>11366</v>
      </c>
      <c r="N2183" t="s">
        <v>11367</v>
      </c>
      <c r="O2183" t="s">
        <v>29</v>
      </c>
      <c r="P2183" t="s">
        <v>30</v>
      </c>
      <c r="Q2183" t="s">
        <v>31</v>
      </c>
      <c r="R2183" s="3">
        <v>7166.51</v>
      </c>
    </row>
    <row r="2184" spans="1:18" x14ac:dyDescent="0.3">
      <c r="A2184" t="s">
        <v>11368</v>
      </c>
      <c r="B2184" t="str">
        <f>TEXT(Raw_Data[[#This Row],[Order Date]],"mmm")</f>
        <v>Apr</v>
      </c>
      <c r="C2184" t="s">
        <v>376</v>
      </c>
      <c r="D2184" t="s">
        <v>11369</v>
      </c>
      <c r="E2184" t="s">
        <v>35</v>
      </c>
      <c r="F2184" t="s">
        <v>106</v>
      </c>
      <c r="G2184" t="s">
        <v>163</v>
      </c>
      <c r="H2184" t="s">
        <v>23</v>
      </c>
      <c r="I2184" t="s">
        <v>341</v>
      </c>
      <c r="J2184" t="s">
        <v>50</v>
      </c>
      <c r="K2184" t="s">
        <v>11370</v>
      </c>
      <c r="L2184">
        <v>0</v>
      </c>
      <c r="M2184" t="s">
        <v>11371</v>
      </c>
      <c r="N2184" t="s">
        <v>11372</v>
      </c>
      <c r="O2184" t="s">
        <v>29</v>
      </c>
      <c r="P2184" t="s">
        <v>30</v>
      </c>
      <c r="Q2184" t="s">
        <v>31</v>
      </c>
      <c r="R2184" s="3">
        <v>69154.48</v>
      </c>
    </row>
    <row r="2185" spans="1:18" x14ac:dyDescent="0.3">
      <c r="A2185" t="s">
        <v>11373</v>
      </c>
      <c r="B2185" t="str">
        <f>TEXT(Raw_Data[[#This Row],[Order Date]],"mmm")</f>
        <v>Oct</v>
      </c>
      <c r="C2185" t="s">
        <v>2052</v>
      </c>
      <c r="D2185" t="s">
        <v>11374</v>
      </c>
      <c r="E2185" t="s">
        <v>20</v>
      </c>
      <c r="F2185" t="s">
        <v>69</v>
      </c>
      <c r="G2185" t="s">
        <v>70</v>
      </c>
      <c r="H2185" t="s">
        <v>107</v>
      </c>
      <c r="I2185" t="s">
        <v>591</v>
      </c>
      <c r="J2185" t="s">
        <v>100</v>
      </c>
      <c r="K2185" t="s">
        <v>11375</v>
      </c>
      <c r="L2185">
        <v>0</v>
      </c>
      <c r="M2185" t="s">
        <v>11376</v>
      </c>
      <c r="N2185" t="s">
        <v>11377</v>
      </c>
      <c r="O2185" t="s">
        <v>29</v>
      </c>
      <c r="P2185" t="s">
        <v>30</v>
      </c>
      <c r="Q2185" t="s">
        <v>65</v>
      </c>
      <c r="R2185" s="3">
        <v>30195.33</v>
      </c>
    </row>
    <row r="2186" spans="1:18" x14ac:dyDescent="0.3">
      <c r="A2186" t="s">
        <v>11378</v>
      </c>
      <c r="B2186" t="str">
        <f>TEXT(Raw_Data[[#This Row],[Order Date]],"mmm")</f>
        <v>May</v>
      </c>
      <c r="C2186" t="s">
        <v>3348</v>
      </c>
      <c r="D2186" t="s">
        <v>11379</v>
      </c>
      <c r="E2186" t="s">
        <v>20</v>
      </c>
      <c r="F2186" t="s">
        <v>106</v>
      </c>
      <c r="G2186" t="s">
        <v>163</v>
      </c>
      <c r="H2186" t="s">
        <v>80</v>
      </c>
      <c r="I2186" t="s">
        <v>81</v>
      </c>
      <c r="J2186" t="s">
        <v>25</v>
      </c>
      <c r="K2186" t="s">
        <v>11380</v>
      </c>
      <c r="L2186">
        <v>0.05</v>
      </c>
      <c r="M2186" t="s">
        <v>11381</v>
      </c>
      <c r="N2186" t="s">
        <v>11382</v>
      </c>
      <c r="O2186" t="s">
        <v>43</v>
      </c>
      <c r="P2186" t="s">
        <v>30</v>
      </c>
      <c r="Q2186" t="s">
        <v>44</v>
      </c>
      <c r="R2186" s="3">
        <v>5748.1554999999898</v>
      </c>
    </row>
    <row r="2187" spans="1:18" x14ac:dyDescent="0.3">
      <c r="A2187" t="s">
        <v>11383</v>
      </c>
      <c r="B2187" t="str">
        <f>TEXT(Raw_Data[[#This Row],[Order Date]],"mmm")</f>
        <v>Aug</v>
      </c>
      <c r="C2187" t="s">
        <v>1245</v>
      </c>
      <c r="D2187" t="s">
        <v>11384</v>
      </c>
      <c r="E2187" t="s">
        <v>48</v>
      </c>
      <c r="F2187" t="s">
        <v>69</v>
      </c>
      <c r="G2187" t="s">
        <v>70</v>
      </c>
      <c r="H2187" t="s">
        <v>80</v>
      </c>
      <c r="I2187" t="s">
        <v>91</v>
      </c>
      <c r="J2187" t="s">
        <v>25</v>
      </c>
      <c r="K2187" t="s">
        <v>11385</v>
      </c>
      <c r="L2187">
        <v>0</v>
      </c>
      <c r="M2187" t="s">
        <v>11386</v>
      </c>
      <c r="N2187" t="s">
        <v>11387</v>
      </c>
      <c r="O2187" t="s">
        <v>64</v>
      </c>
      <c r="P2187" t="s">
        <v>30</v>
      </c>
      <c r="Q2187" t="s">
        <v>65</v>
      </c>
      <c r="R2187" s="3">
        <v>2311.25</v>
      </c>
    </row>
    <row r="2188" spans="1:18" x14ac:dyDescent="0.3">
      <c r="A2188" t="s">
        <v>11388</v>
      </c>
      <c r="B2188" t="str">
        <f>TEXT(Raw_Data[[#This Row],[Order Date]],"mmm")</f>
        <v>Jan</v>
      </c>
      <c r="C2188" t="s">
        <v>485</v>
      </c>
      <c r="D2188" t="s">
        <v>11389</v>
      </c>
      <c r="E2188" t="s">
        <v>35</v>
      </c>
      <c r="F2188" t="s">
        <v>106</v>
      </c>
      <c r="G2188" t="s">
        <v>106</v>
      </c>
      <c r="H2188" t="s">
        <v>107</v>
      </c>
      <c r="I2188" t="s">
        <v>277</v>
      </c>
      <c r="J2188" t="s">
        <v>25</v>
      </c>
      <c r="K2188" t="s">
        <v>11390</v>
      </c>
      <c r="L2188">
        <v>0</v>
      </c>
      <c r="M2188" t="s">
        <v>11391</v>
      </c>
      <c r="N2188" t="s">
        <v>11392</v>
      </c>
      <c r="O2188" t="s">
        <v>173</v>
      </c>
      <c r="P2188" t="s">
        <v>30</v>
      </c>
      <c r="Q2188" t="s">
        <v>44</v>
      </c>
      <c r="R2188" s="3">
        <v>10026.280000000001</v>
      </c>
    </row>
    <row r="2189" spans="1:18" x14ac:dyDescent="0.3">
      <c r="A2189" t="s">
        <v>11393</v>
      </c>
      <c r="B2189" t="str">
        <f>TEXT(Raw_Data[[#This Row],[Order Date]],"mmm")</f>
        <v>Jan</v>
      </c>
      <c r="C2189" t="s">
        <v>1296</v>
      </c>
      <c r="D2189" t="s">
        <v>11394</v>
      </c>
      <c r="E2189" t="s">
        <v>20</v>
      </c>
      <c r="F2189" t="s">
        <v>36</v>
      </c>
      <c r="G2189" t="s">
        <v>153</v>
      </c>
      <c r="H2189" t="s">
        <v>107</v>
      </c>
      <c r="I2189" t="s">
        <v>469</v>
      </c>
      <c r="J2189" t="s">
        <v>25</v>
      </c>
      <c r="K2189" t="s">
        <v>11395</v>
      </c>
      <c r="L2189">
        <v>0</v>
      </c>
      <c r="M2189" t="s">
        <v>11396</v>
      </c>
      <c r="N2189" t="s">
        <v>11397</v>
      </c>
      <c r="O2189" t="s">
        <v>64</v>
      </c>
      <c r="P2189" t="s">
        <v>30</v>
      </c>
      <c r="Q2189" t="s">
        <v>65</v>
      </c>
      <c r="R2189" s="3">
        <v>5639.94</v>
      </c>
    </row>
    <row r="2190" spans="1:18" x14ac:dyDescent="0.3">
      <c r="A2190" t="s">
        <v>11398</v>
      </c>
      <c r="B2190" t="str">
        <f>TEXT(Raw_Data[[#This Row],[Order Date]],"mmm")</f>
        <v>Sep</v>
      </c>
      <c r="C2190" t="s">
        <v>5944</v>
      </c>
      <c r="D2190" t="s">
        <v>11399</v>
      </c>
      <c r="E2190" t="s">
        <v>20</v>
      </c>
      <c r="F2190" t="s">
        <v>89</v>
      </c>
      <c r="G2190" t="s">
        <v>90</v>
      </c>
      <c r="H2190" t="s">
        <v>23</v>
      </c>
      <c r="I2190" t="s">
        <v>24</v>
      </c>
      <c r="J2190" t="s">
        <v>25</v>
      </c>
      <c r="K2190" t="s">
        <v>11400</v>
      </c>
      <c r="L2190">
        <v>0</v>
      </c>
      <c r="M2190" t="s">
        <v>11401</v>
      </c>
      <c r="N2190" t="s">
        <v>11402</v>
      </c>
      <c r="O2190" t="s">
        <v>64</v>
      </c>
      <c r="P2190" t="s">
        <v>30</v>
      </c>
      <c r="Q2190" t="s">
        <v>31</v>
      </c>
      <c r="R2190" s="3">
        <v>44942.98</v>
      </c>
    </row>
    <row r="2191" spans="1:18" x14ac:dyDescent="0.3">
      <c r="A2191" t="s">
        <v>11403</v>
      </c>
      <c r="B2191" t="str">
        <f>TEXT(Raw_Data[[#This Row],[Order Date]],"mmm")</f>
        <v>Sep</v>
      </c>
      <c r="C2191" t="s">
        <v>663</v>
      </c>
      <c r="D2191" t="s">
        <v>11404</v>
      </c>
      <c r="E2191" t="s">
        <v>20</v>
      </c>
      <c r="F2191" t="s">
        <v>89</v>
      </c>
      <c r="G2191" t="s">
        <v>230</v>
      </c>
      <c r="H2191" t="s">
        <v>38</v>
      </c>
      <c r="I2191" t="s">
        <v>39</v>
      </c>
      <c r="J2191" t="s">
        <v>25</v>
      </c>
      <c r="K2191" t="s">
        <v>11405</v>
      </c>
      <c r="L2191">
        <v>0.15</v>
      </c>
      <c r="M2191" t="s">
        <v>11406</v>
      </c>
      <c r="N2191" t="s">
        <v>11407</v>
      </c>
      <c r="O2191" t="s">
        <v>43</v>
      </c>
      <c r="P2191" t="s">
        <v>159</v>
      </c>
      <c r="Q2191" t="s">
        <v>44</v>
      </c>
      <c r="R2191" s="3">
        <v>3334.0144999999902</v>
      </c>
    </row>
    <row r="2192" spans="1:18" x14ac:dyDescent="0.3">
      <c r="A2192" t="s">
        <v>11408</v>
      </c>
      <c r="B2192" t="str">
        <f>TEXT(Raw_Data[[#This Row],[Order Date]],"mmm")</f>
        <v>Mar</v>
      </c>
      <c r="C2192" t="s">
        <v>1128</v>
      </c>
      <c r="D2192" t="s">
        <v>11409</v>
      </c>
      <c r="E2192" t="s">
        <v>20</v>
      </c>
      <c r="F2192" t="s">
        <v>36</v>
      </c>
      <c r="G2192" t="s">
        <v>414</v>
      </c>
      <c r="H2192" t="s">
        <v>107</v>
      </c>
      <c r="I2192" t="s">
        <v>277</v>
      </c>
      <c r="J2192" t="s">
        <v>25</v>
      </c>
      <c r="K2192" t="s">
        <v>11410</v>
      </c>
      <c r="L2192">
        <v>0.1</v>
      </c>
      <c r="M2192" t="s">
        <v>11411</v>
      </c>
      <c r="N2192" t="s">
        <v>11412</v>
      </c>
      <c r="O2192" t="s">
        <v>173</v>
      </c>
      <c r="P2192" t="s">
        <v>30</v>
      </c>
      <c r="Q2192" t="s">
        <v>44</v>
      </c>
      <c r="R2192" s="3">
        <v>10632.465</v>
      </c>
    </row>
    <row r="2193" spans="1:18" x14ac:dyDescent="0.3">
      <c r="A2193" t="s">
        <v>11413</v>
      </c>
      <c r="B2193" t="str">
        <f>TEXT(Raw_Data[[#This Row],[Order Date]],"mmm")</f>
        <v>Jan</v>
      </c>
      <c r="C2193" t="s">
        <v>3252</v>
      </c>
      <c r="D2193" t="s">
        <v>11414</v>
      </c>
      <c r="E2193" t="s">
        <v>48</v>
      </c>
      <c r="F2193" t="s">
        <v>106</v>
      </c>
      <c r="G2193" t="s">
        <v>106</v>
      </c>
      <c r="H2193" t="s">
        <v>23</v>
      </c>
      <c r="I2193" t="s">
        <v>183</v>
      </c>
      <c r="J2193" t="s">
        <v>82</v>
      </c>
      <c r="K2193" t="s">
        <v>11415</v>
      </c>
      <c r="L2193">
        <v>0.15</v>
      </c>
      <c r="M2193" t="s">
        <v>11416</v>
      </c>
      <c r="N2193" t="s">
        <v>11417</v>
      </c>
      <c r="O2193" t="s">
        <v>29</v>
      </c>
      <c r="P2193" t="s">
        <v>30</v>
      </c>
      <c r="Q2193" t="s">
        <v>65</v>
      </c>
      <c r="R2193" s="3">
        <v>221592.62</v>
      </c>
    </row>
    <row r="2194" spans="1:18" x14ac:dyDescent="0.3">
      <c r="A2194" t="s">
        <v>11418</v>
      </c>
      <c r="B2194" t="str">
        <f>TEXT(Raw_Data[[#This Row],[Order Date]],"mmm")</f>
        <v>Sep</v>
      </c>
      <c r="C2194" t="s">
        <v>2151</v>
      </c>
      <c r="D2194" t="s">
        <v>11419</v>
      </c>
      <c r="E2194" t="s">
        <v>20</v>
      </c>
      <c r="F2194" t="s">
        <v>58</v>
      </c>
      <c r="G2194" t="s">
        <v>59</v>
      </c>
      <c r="H2194" t="s">
        <v>38</v>
      </c>
      <c r="I2194" t="s">
        <v>71</v>
      </c>
      <c r="J2194" t="s">
        <v>50</v>
      </c>
      <c r="K2194" t="s">
        <v>11420</v>
      </c>
      <c r="L2194">
        <v>0</v>
      </c>
      <c r="M2194" t="s">
        <v>11421</v>
      </c>
      <c r="N2194" t="s">
        <v>11422</v>
      </c>
      <c r="O2194" t="s">
        <v>54</v>
      </c>
      <c r="P2194" t="s">
        <v>30</v>
      </c>
      <c r="Q2194" t="s">
        <v>65</v>
      </c>
      <c r="R2194" s="3">
        <v>6886.12</v>
      </c>
    </row>
    <row r="2195" spans="1:18" x14ac:dyDescent="0.3">
      <c r="A2195" t="s">
        <v>11423</v>
      </c>
      <c r="B2195" t="str">
        <f>TEXT(Raw_Data[[#This Row],[Order Date]],"mmm")</f>
        <v>Sep</v>
      </c>
      <c r="C2195" t="s">
        <v>2569</v>
      </c>
      <c r="D2195" t="s">
        <v>11424</v>
      </c>
      <c r="E2195" t="s">
        <v>48</v>
      </c>
      <c r="F2195" t="s">
        <v>36</v>
      </c>
      <c r="G2195" t="s">
        <v>196</v>
      </c>
      <c r="H2195" t="s">
        <v>107</v>
      </c>
      <c r="I2195" t="s">
        <v>591</v>
      </c>
      <c r="J2195" t="s">
        <v>25</v>
      </c>
      <c r="K2195" t="s">
        <v>11425</v>
      </c>
      <c r="L2195">
        <v>0.2</v>
      </c>
      <c r="M2195" t="s">
        <v>11426</v>
      </c>
      <c r="N2195" t="s">
        <v>11427</v>
      </c>
      <c r="O2195" t="s">
        <v>64</v>
      </c>
      <c r="P2195" t="s">
        <v>30</v>
      </c>
      <c r="Q2195" t="s">
        <v>44</v>
      </c>
      <c r="R2195" s="3">
        <v>14104.088</v>
      </c>
    </row>
    <row r="2196" spans="1:18" x14ac:dyDescent="0.3">
      <c r="A2196" t="s">
        <v>11428</v>
      </c>
      <c r="B2196" t="str">
        <f>TEXT(Raw_Data[[#This Row],[Order Date]],"mmm")</f>
        <v>Mar</v>
      </c>
      <c r="C2196" t="s">
        <v>194</v>
      </c>
      <c r="D2196" t="s">
        <v>11429</v>
      </c>
      <c r="E2196" t="s">
        <v>35</v>
      </c>
      <c r="F2196" t="s">
        <v>21</v>
      </c>
      <c r="G2196" t="s">
        <v>22</v>
      </c>
      <c r="H2196" t="s">
        <v>23</v>
      </c>
      <c r="I2196" t="s">
        <v>183</v>
      </c>
      <c r="J2196" t="s">
        <v>50</v>
      </c>
      <c r="K2196" t="s">
        <v>11430</v>
      </c>
      <c r="L2196">
        <v>0.2</v>
      </c>
      <c r="M2196" t="s">
        <v>11431</v>
      </c>
      <c r="N2196" t="s">
        <v>11432</v>
      </c>
      <c r="O2196" t="s">
        <v>64</v>
      </c>
      <c r="P2196" t="s">
        <v>159</v>
      </c>
      <c r="Q2196" t="s">
        <v>31</v>
      </c>
      <c r="R2196" s="3">
        <v>40784.703999999998</v>
      </c>
    </row>
    <row r="2197" spans="1:18" x14ac:dyDescent="0.3">
      <c r="A2197" t="s">
        <v>11433</v>
      </c>
      <c r="B2197" t="str">
        <f>TEXT(Raw_Data[[#This Row],[Order Date]],"mmm")</f>
        <v>May</v>
      </c>
      <c r="C2197" t="s">
        <v>1257</v>
      </c>
      <c r="D2197" t="s">
        <v>11434</v>
      </c>
      <c r="E2197" t="s">
        <v>35</v>
      </c>
      <c r="F2197" t="s">
        <v>58</v>
      </c>
      <c r="G2197" t="s">
        <v>290</v>
      </c>
      <c r="H2197" t="s">
        <v>23</v>
      </c>
      <c r="I2197" t="s">
        <v>183</v>
      </c>
      <c r="J2197" t="s">
        <v>25</v>
      </c>
      <c r="K2197" t="s">
        <v>11435</v>
      </c>
      <c r="L2197">
        <v>0.1</v>
      </c>
      <c r="M2197" t="s">
        <v>11436</v>
      </c>
      <c r="N2197" t="s">
        <v>11437</v>
      </c>
      <c r="O2197" t="s">
        <v>29</v>
      </c>
      <c r="P2197" t="s">
        <v>30</v>
      </c>
      <c r="Q2197" t="s">
        <v>65</v>
      </c>
      <c r="R2197" s="3">
        <v>53451.576000000001</v>
      </c>
    </row>
    <row r="2198" spans="1:18" x14ac:dyDescent="0.3">
      <c r="A2198" t="s">
        <v>11438</v>
      </c>
      <c r="B2198" t="str">
        <f>TEXT(Raw_Data[[#This Row],[Order Date]],"mmm")</f>
        <v>Feb</v>
      </c>
      <c r="C2198" t="s">
        <v>942</v>
      </c>
      <c r="D2198" t="s">
        <v>11439</v>
      </c>
      <c r="E2198" t="s">
        <v>48</v>
      </c>
      <c r="F2198" t="s">
        <v>78</v>
      </c>
      <c r="G2198" t="s">
        <v>468</v>
      </c>
      <c r="H2198" t="s">
        <v>80</v>
      </c>
      <c r="I2198" t="s">
        <v>91</v>
      </c>
      <c r="J2198" t="s">
        <v>25</v>
      </c>
      <c r="K2198" t="s">
        <v>11440</v>
      </c>
      <c r="L2198">
        <v>0.15</v>
      </c>
      <c r="M2198" t="s">
        <v>11441</v>
      </c>
      <c r="N2198" t="s">
        <v>11442</v>
      </c>
      <c r="O2198" t="s">
        <v>64</v>
      </c>
      <c r="P2198" t="s">
        <v>30</v>
      </c>
      <c r="Q2198" t="s">
        <v>44</v>
      </c>
      <c r="R2198" s="3">
        <v>719.98399999999901</v>
      </c>
    </row>
    <row r="2199" spans="1:18" x14ac:dyDescent="0.3">
      <c r="A2199" t="s">
        <v>11443</v>
      </c>
      <c r="B2199" t="str">
        <f>TEXT(Raw_Data[[#This Row],[Order Date]],"mmm")</f>
        <v>May</v>
      </c>
      <c r="C2199" t="s">
        <v>1420</v>
      </c>
      <c r="D2199" t="s">
        <v>11444</v>
      </c>
      <c r="E2199" t="s">
        <v>20</v>
      </c>
      <c r="F2199" t="s">
        <v>58</v>
      </c>
      <c r="G2199" t="s">
        <v>59</v>
      </c>
      <c r="H2199" t="s">
        <v>23</v>
      </c>
      <c r="I2199" t="s">
        <v>183</v>
      </c>
      <c r="J2199" t="s">
        <v>25</v>
      </c>
      <c r="K2199" t="s">
        <v>11445</v>
      </c>
      <c r="L2199">
        <v>0.1</v>
      </c>
      <c r="M2199" t="s">
        <v>11446</v>
      </c>
      <c r="N2199" t="s">
        <v>11447</v>
      </c>
      <c r="O2199" t="s">
        <v>54</v>
      </c>
      <c r="P2199" t="s">
        <v>30</v>
      </c>
      <c r="Q2199" t="s">
        <v>65</v>
      </c>
      <c r="R2199" s="3">
        <v>62085.311999999998</v>
      </c>
    </row>
    <row r="2200" spans="1:18" x14ac:dyDescent="0.3">
      <c r="A2200" t="s">
        <v>11448</v>
      </c>
      <c r="B2200" t="str">
        <f>TEXT(Raw_Data[[#This Row],[Order Date]],"mmm")</f>
        <v>May</v>
      </c>
      <c r="C2200" t="s">
        <v>5513</v>
      </c>
      <c r="D2200" t="s">
        <v>11449</v>
      </c>
      <c r="E2200" t="s">
        <v>35</v>
      </c>
      <c r="F2200" t="s">
        <v>106</v>
      </c>
      <c r="G2200" t="s">
        <v>106</v>
      </c>
      <c r="H2200" t="s">
        <v>23</v>
      </c>
      <c r="I2200" t="s">
        <v>49</v>
      </c>
      <c r="J2200" t="s">
        <v>50</v>
      </c>
      <c r="K2200" t="s">
        <v>11450</v>
      </c>
      <c r="L2200">
        <v>0</v>
      </c>
      <c r="M2200" t="s">
        <v>11451</v>
      </c>
      <c r="N2200" t="s">
        <v>11452</v>
      </c>
      <c r="O2200" t="s">
        <v>54</v>
      </c>
      <c r="P2200" t="s">
        <v>30</v>
      </c>
      <c r="Q2200" t="s">
        <v>31</v>
      </c>
      <c r="R2200" s="3">
        <v>16850.240000000002</v>
      </c>
    </row>
    <row r="2201" spans="1:18" x14ac:dyDescent="0.3">
      <c r="A2201" t="s">
        <v>11453</v>
      </c>
      <c r="B2201" t="str">
        <f>TEXT(Raw_Data[[#This Row],[Order Date]],"mmm")</f>
        <v>Aug</v>
      </c>
      <c r="C2201" t="s">
        <v>3841</v>
      </c>
      <c r="D2201" t="s">
        <v>11454</v>
      </c>
      <c r="E2201" t="s">
        <v>48</v>
      </c>
      <c r="F2201" t="s">
        <v>58</v>
      </c>
      <c r="G2201" t="s">
        <v>59</v>
      </c>
      <c r="H2201" t="s">
        <v>23</v>
      </c>
      <c r="I2201" t="s">
        <v>49</v>
      </c>
      <c r="J2201" t="s">
        <v>25</v>
      </c>
      <c r="K2201" t="s">
        <v>11455</v>
      </c>
      <c r="L2201">
        <v>0.1</v>
      </c>
      <c r="M2201" t="s">
        <v>11456</v>
      </c>
      <c r="N2201" t="s">
        <v>11457</v>
      </c>
      <c r="O2201" t="s">
        <v>173</v>
      </c>
      <c r="P2201" t="s">
        <v>30</v>
      </c>
      <c r="Q2201" t="s">
        <v>65</v>
      </c>
      <c r="R2201" s="3">
        <v>34024.716</v>
      </c>
    </row>
    <row r="2202" spans="1:18" x14ac:dyDescent="0.3">
      <c r="A2202" t="s">
        <v>11458</v>
      </c>
      <c r="B2202" t="str">
        <f>TEXT(Raw_Data[[#This Row],[Order Date]],"mmm")</f>
        <v>Jul</v>
      </c>
      <c r="C2202" t="s">
        <v>792</v>
      </c>
      <c r="D2202" t="s">
        <v>11459</v>
      </c>
      <c r="E2202" t="s">
        <v>35</v>
      </c>
      <c r="F2202" t="s">
        <v>21</v>
      </c>
      <c r="G2202" t="s">
        <v>130</v>
      </c>
      <c r="H2202" t="s">
        <v>80</v>
      </c>
      <c r="I2202" t="s">
        <v>116</v>
      </c>
      <c r="J2202" t="s">
        <v>25</v>
      </c>
      <c r="K2202" t="s">
        <v>11460</v>
      </c>
      <c r="L2202">
        <v>0.15</v>
      </c>
      <c r="M2202" t="s">
        <v>11461</v>
      </c>
      <c r="N2202" t="s">
        <v>11462</v>
      </c>
      <c r="O2202" t="s">
        <v>54</v>
      </c>
      <c r="P2202" t="s">
        <v>112</v>
      </c>
      <c r="Q2202" t="s">
        <v>44</v>
      </c>
      <c r="R2202" s="3">
        <v>5054.2444999999998</v>
      </c>
    </row>
    <row r="2203" spans="1:18" x14ac:dyDescent="0.3">
      <c r="A2203" t="s">
        <v>11463</v>
      </c>
      <c r="B2203" t="str">
        <f>TEXT(Raw_Data[[#This Row],[Order Date]],"mmm")</f>
        <v>Jan</v>
      </c>
      <c r="C2203" t="s">
        <v>274</v>
      </c>
      <c r="D2203" t="s">
        <v>11464</v>
      </c>
      <c r="E2203" t="s">
        <v>20</v>
      </c>
      <c r="F2203" t="s">
        <v>106</v>
      </c>
      <c r="G2203" t="s">
        <v>163</v>
      </c>
      <c r="H2203" t="s">
        <v>38</v>
      </c>
      <c r="I2203" t="s">
        <v>256</v>
      </c>
      <c r="J2203" t="s">
        <v>50</v>
      </c>
      <c r="K2203" t="s">
        <v>11465</v>
      </c>
      <c r="L2203">
        <v>0.1</v>
      </c>
      <c r="M2203" t="s">
        <v>11466</v>
      </c>
      <c r="N2203" t="s">
        <v>11467</v>
      </c>
      <c r="O2203" t="s">
        <v>64</v>
      </c>
      <c r="P2203" t="s">
        <v>30</v>
      </c>
      <c r="Q2203" t="s">
        <v>44</v>
      </c>
      <c r="R2203" s="3">
        <v>5117.4179999999997</v>
      </c>
    </row>
    <row r="2204" spans="1:18" x14ac:dyDescent="0.3">
      <c r="A2204" t="s">
        <v>11468</v>
      </c>
      <c r="B2204" t="str">
        <f>TEXT(Raw_Data[[#This Row],[Order Date]],"mmm")</f>
        <v>Jan</v>
      </c>
      <c r="C2204" t="s">
        <v>3252</v>
      </c>
      <c r="D2204" t="s">
        <v>11469</v>
      </c>
      <c r="E2204" t="s">
        <v>35</v>
      </c>
      <c r="F2204" t="s">
        <v>21</v>
      </c>
      <c r="G2204" t="s">
        <v>22</v>
      </c>
      <c r="H2204" t="s">
        <v>107</v>
      </c>
      <c r="I2204" t="s">
        <v>469</v>
      </c>
      <c r="J2204" t="s">
        <v>50</v>
      </c>
      <c r="K2204" t="s">
        <v>11470</v>
      </c>
      <c r="L2204">
        <v>0.1</v>
      </c>
      <c r="M2204" t="s">
        <v>11471</v>
      </c>
      <c r="N2204" t="s">
        <v>11472</v>
      </c>
      <c r="O2204" t="s">
        <v>29</v>
      </c>
      <c r="P2204" t="s">
        <v>112</v>
      </c>
      <c r="Q2204" t="s">
        <v>31</v>
      </c>
      <c r="R2204" s="3">
        <v>21782.772000000001</v>
      </c>
    </row>
    <row r="2205" spans="1:18" x14ac:dyDescent="0.3">
      <c r="A2205" t="s">
        <v>11473</v>
      </c>
      <c r="B2205" t="str">
        <f>TEXT(Raw_Data[[#This Row],[Order Date]],"mmm")</f>
        <v>Feb</v>
      </c>
      <c r="C2205" t="s">
        <v>702</v>
      </c>
      <c r="D2205" t="s">
        <v>11474</v>
      </c>
      <c r="E2205" t="s">
        <v>35</v>
      </c>
      <c r="F2205" t="s">
        <v>106</v>
      </c>
      <c r="G2205" t="s">
        <v>106</v>
      </c>
      <c r="H2205" t="s">
        <v>80</v>
      </c>
      <c r="I2205" t="s">
        <v>131</v>
      </c>
      <c r="J2205" t="s">
        <v>50</v>
      </c>
      <c r="K2205" t="s">
        <v>11475</v>
      </c>
      <c r="L2205">
        <v>0.1</v>
      </c>
      <c r="M2205" t="s">
        <v>11476</v>
      </c>
      <c r="N2205" t="s">
        <v>11477</v>
      </c>
      <c r="O2205" t="s">
        <v>54</v>
      </c>
      <c r="P2205" t="s">
        <v>112</v>
      </c>
      <c r="Q2205" t="s">
        <v>31</v>
      </c>
      <c r="R2205" s="3">
        <v>3643.002</v>
      </c>
    </row>
    <row r="2206" spans="1:18" x14ac:dyDescent="0.3">
      <c r="A2206" t="s">
        <v>11478</v>
      </c>
      <c r="B2206" t="str">
        <f>TEXT(Raw_Data[[#This Row],[Order Date]],"mmm")</f>
        <v>May</v>
      </c>
      <c r="C2206" t="s">
        <v>2089</v>
      </c>
      <c r="D2206" t="s">
        <v>11479</v>
      </c>
      <c r="E2206" t="s">
        <v>20</v>
      </c>
      <c r="F2206" t="s">
        <v>78</v>
      </c>
      <c r="G2206" t="s">
        <v>468</v>
      </c>
      <c r="H2206" t="s">
        <v>107</v>
      </c>
      <c r="I2206" t="s">
        <v>591</v>
      </c>
      <c r="J2206" t="s">
        <v>25</v>
      </c>
      <c r="K2206" t="s">
        <v>11480</v>
      </c>
      <c r="L2206">
        <v>0</v>
      </c>
      <c r="M2206" t="s">
        <v>11481</v>
      </c>
      <c r="N2206" t="s">
        <v>11482</v>
      </c>
      <c r="O2206" t="s">
        <v>43</v>
      </c>
      <c r="P2206" t="s">
        <v>30</v>
      </c>
      <c r="Q2206" t="s">
        <v>31</v>
      </c>
      <c r="R2206" s="3">
        <v>4097.7</v>
      </c>
    </row>
    <row r="2207" spans="1:18" x14ac:dyDescent="0.3">
      <c r="A2207" t="s">
        <v>11483</v>
      </c>
      <c r="B2207" t="str">
        <f>TEXT(Raw_Data[[#This Row],[Order Date]],"mmm")</f>
        <v>Aug</v>
      </c>
      <c r="C2207" t="s">
        <v>1426</v>
      </c>
      <c r="D2207" t="s">
        <v>11484</v>
      </c>
      <c r="E2207" t="s">
        <v>20</v>
      </c>
      <c r="F2207" t="s">
        <v>36</v>
      </c>
      <c r="G2207" t="s">
        <v>37</v>
      </c>
      <c r="H2207" t="s">
        <v>23</v>
      </c>
      <c r="I2207" t="s">
        <v>24</v>
      </c>
      <c r="J2207" t="s">
        <v>50</v>
      </c>
      <c r="K2207" t="s">
        <v>11485</v>
      </c>
      <c r="L2207">
        <v>0.05</v>
      </c>
      <c r="M2207" t="s">
        <v>11486</v>
      </c>
      <c r="N2207" t="s">
        <v>11487</v>
      </c>
      <c r="O2207" t="s">
        <v>173</v>
      </c>
      <c r="P2207" t="s">
        <v>112</v>
      </c>
      <c r="Q2207" t="s">
        <v>65</v>
      </c>
      <c r="R2207" s="3">
        <v>138035.45600000001</v>
      </c>
    </row>
    <row r="2208" spans="1:18" x14ac:dyDescent="0.3">
      <c r="A2208" t="s">
        <v>11488</v>
      </c>
      <c r="B2208" t="str">
        <f>TEXT(Raw_Data[[#This Row],[Order Date]],"mmm")</f>
        <v>Nov</v>
      </c>
      <c r="C2208" t="s">
        <v>1359</v>
      </c>
      <c r="D2208" t="s">
        <v>11489</v>
      </c>
      <c r="E2208" t="s">
        <v>48</v>
      </c>
      <c r="F2208" t="s">
        <v>106</v>
      </c>
      <c r="G2208" t="s">
        <v>163</v>
      </c>
      <c r="H2208" t="s">
        <v>107</v>
      </c>
      <c r="I2208" t="s">
        <v>108</v>
      </c>
      <c r="J2208" t="s">
        <v>25</v>
      </c>
      <c r="K2208" t="s">
        <v>11490</v>
      </c>
      <c r="L2208">
        <v>0.05</v>
      </c>
      <c r="M2208" t="s">
        <v>11491</v>
      </c>
      <c r="N2208" t="s">
        <v>11492</v>
      </c>
      <c r="O2208" t="s">
        <v>29</v>
      </c>
      <c r="P2208" t="s">
        <v>30</v>
      </c>
      <c r="Q2208" t="s">
        <v>44</v>
      </c>
      <c r="R2208" s="3">
        <v>10110.6885</v>
      </c>
    </row>
    <row r="2209" spans="1:18" x14ac:dyDescent="0.3">
      <c r="A2209" t="s">
        <v>11493</v>
      </c>
      <c r="B2209" t="str">
        <f>TEXT(Raw_Data[[#This Row],[Order Date]],"mmm")</f>
        <v>Apr</v>
      </c>
      <c r="C2209" t="s">
        <v>1466</v>
      </c>
      <c r="D2209" t="s">
        <v>11494</v>
      </c>
      <c r="E2209" t="s">
        <v>35</v>
      </c>
      <c r="F2209" t="s">
        <v>58</v>
      </c>
      <c r="G2209" t="s">
        <v>812</v>
      </c>
      <c r="H2209" t="s">
        <v>80</v>
      </c>
      <c r="I2209" t="s">
        <v>116</v>
      </c>
      <c r="J2209" t="s">
        <v>25</v>
      </c>
      <c r="K2209" t="s">
        <v>11495</v>
      </c>
      <c r="L2209">
        <v>0.05</v>
      </c>
      <c r="M2209" t="s">
        <v>11496</v>
      </c>
      <c r="N2209" t="s">
        <v>11497</v>
      </c>
      <c r="O2209" t="s">
        <v>54</v>
      </c>
      <c r="P2209" t="s">
        <v>30</v>
      </c>
      <c r="Q2209" t="s">
        <v>44</v>
      </c>
      <c r="R2209" s="3">
        <v>5942.3450000000003</v>
      </c>
    </row>
    <row r="2210" spans="1:18" x14ac:dyDescent="0.3">
      <c r="A2210" t="s">
        <v>11498</v>
      </c>
      <c r="B2210" t="str">
        <f>TEXT(Raw_Data[[#This Row],[Order Date]],"mmm")</f>
        <v>Jan</v>
      </c>
      <c r="C2210" t="s">
        <v>2602</v>
      </c>
      <c r="D2210" t="s">
        <v>11499</v>
      </c>
      <c r="E2210" t="s">
        <v>20</v>
      </c>
      <c r="F2210" t="s">
        <v>215</v>
      </c>
      <c r="G2210" t="s">
        <v>276</v>
      </c>
      <c r="H2210" t="s">
        <v>38</v>
      </c>
      <c r="I2210" t="s">
        <v>60</v>
      </c>
      <c r="J2210" t="s">
        <v>100</v>
      </c>
      <c r="K2210" t="s">
        <v>11500</v>
      </c>
      <c r="L2210">
        <v>0.15</v>
      </c>
      <c r="M2210" t="s">
        <v>11501</v>
      </c>
      <c r="N2210" t="s">
        <v>11502</v>
      </c>
      <c r="O2210" t="s">
        <v>173</v>
      </c>
      <c r="P2210" t="s">
        <v>30</v>
      </c>
      <c r="Q2210" t="s">
        <v>31</v>
      </c>
      <c r="R2210" s="3">
        <v>9754.8974999999991</v>
      </c>
    </row>
    <row r="2211" spans="1:18" x14ac:dyDescent="0.3">
      <c r="A2211" t="s">
        <v>11503</v>
      </c>
      <c r="B2211" t="str">
        <f>TEXT(Raw_Data[[#This Row],[Order Date]],"mmm")</f>
        <v>Mar</v>
      </c>
      <c r="C2211" t="s">
        <v>395</v>
      </c>
      <c r="D2211" t="s">
        <v>11504</v>
      </c>
      <c r="E2211" t="s">
        <v>35</v>
      </c>
      <c r="F2211" t="s">
        <v>69</v>
      </c>
      <c r="G2211" t="s">
        <v>139</v>
      </c>
      <c r="H2211" t="s">
        <v>107</v>
      </c>
      <c r="I2211" t="s">
        <v>277</v>
      </c>
      <c r="J2211" t="s">
        <v>25</v>
      </c>
      <c r="K2211" t="s">
        <v>11505</v>
      </c>
      <c r="L2211">
        <v>0.15</v>
      </c>
      <c r="M2211" t="s">
        <v>11506</v>
      </c>
      <c r="N2211" t="s">
        <v>11507</v>
      </c>
      <c r="O2211" t="s">
        <v>173</v>
      </c>
      <c r="P2211" t="s">
        <v>159</v>
      </c>
      <c r="Q2211" t="s">
        <v>44</v>
      </c>
      <c r="R2211" s="3">
        <v>8238.2424999999894</v>
      </c>
    </row>
    <row r="2212" spans="1:18" x14ac:dyDescent="0.3">
      <c r="A2212" t="s">
        <v>11508</v>
      </c>
      <c r="B2212" t="str">
        <f>TEXT(Raw_Data[[#This Row],[Order Date]],"mmm")</f>
        <v>Jun</v>
      </c>
      <c r="C2212" t="s">
        <v>2378</v>
      </c>
      <c r="D2212" t="s">
        <v>11509</v>
      </c>
      <c r="E2212" t="s">
        <v>48</v>
      </c>
      <c r="F2212" t="s">
        <v>58</v>
      </c>
      <c r="G2212" t="s">
        <v>290</v>
      </c>
      <c r="H2212" t="s">
        <v>107</v>
      </c>
      <c r="I2212" t="s">
        <v>108</v>
      </c>
      <c r="J2212" t="s">
        <v>50</v>
      </c>
      <c r="K2212" t="s">
        <v>11510</v>
      </c>
      <c r="L2212">
        <v>0.1</v>
      </c>
      <c r="M2212" t="s">
        <v>11511</v>
      </c>
      <c r="N2212" t="s">
        <v>11512</v>
      </c>
      <c r="O2212" t="s">
        <v>54</v>
      </c>
      <c r="P2212" t="s">
        <v>30</v>
      </c>
      <c r="Q2212" t="s">
        <v>31</v>
      </c>
      <c r="R2212" s="3">
        <v>2472.8220000000001</v>
      </c>
    </row>
    <row r="2213" spans="1:18" x14ac:dyDescent="0.3">
      <c r="A2213" t="s">
        <v>11513</v>
      </c>
      <c r="B2213" t="str">
        <f>TEXT(Raw_Data[[#This Row],[Order Date]],"mmm")</f>
        <v>Oct</v>
      </c>
      <c r="C2213" t="s">
        <v>3910</v>
      </c>
      <c r="D2213" t="s">
        <v>11514</v>
      </c>
      <c r="E2213" t="s">
        <v>48</v>
      </c>
      <c r="F2213" t="s">
        <v>106</v>
      </c>
      <c r="G2213" t="s">
        <v>106</v>
      </c>
      <c r="H2213" t="s">
        <v>154</v>
      </c>
      <c r="I2213" t="s">
        <v>237</v>
      </c>
      <c r="J2213" t="s">
        <v>25</v>
      </c>
      <c r="K2213" t="s">
        <v>11515</v>
      </c>
      <c r="L2213">
        <v>0.05</v>
      </c>
      <c r="M2213" t="s">
        <v>11516</v>
      </c>
      <c r="N2213" t="s">
        <v>11517</v>
      </c>
      <c r="O2213" t="s">
        <v>43</v>
      </c>
      <c r="P2213" t="s">
        <v>30</v>
      </c>
      <c r="Q2213" t="s">
        <v>65</v>
      </c>
      <c r="R2213" s="3">
        <v>5773.9384999999902</v>
      </c>
    </row>
    <row r="2214" spans="1:18" x14ac:dyDescent="0.3">
      <c r="A2214" t="s">
        <v>11518</v>
      </c>
      <c r="B2214" t="str">
        <f>TEXT(Raw_Data[[#This Row],[Order Date]],"mmm")</f>
        <v>Dec</v>
      </c>
      <c r="C2214" t="s">
        <v>646</v>
      </c>
      <c r="D2214" t="s">
        <v>11519</v>
      </c>
      <c r="E2214" t="s">
        <v>48</v>
      </c>
      <c r="F2214" t="s">
        <v>106</v>
      </c>
      <c r="G2214" t="s">
        <v>163</v>
      </c>
      <c r="H2214" t="s">
        <v>23</v>
      </c>
      <c r="I2214" t="s">
        <v>263</v>
      </c>
      <c r="J2214" t="s">
        <v>25</v>
      </c>
      <c r="K2214" t="s">
        <v>11520</v>
      </c>
      <c r="L2214">
        <v>0.1</v>
      </c>
      <c r="M2214" t="s">
        <v>11521</v>
      </c>
      <c r="N2214" t="s">
        <v>11522</v>
      </c>
      <c r="O2214" t="s">
        <v>43</v>
      </c>
      <c r="P2214" t="s">
        <v>95</v>
      </c>
      <c r="Q2214" t="s">
        <v>44</v>
      </c>
      <c r="R2214" s="3">
        <v>26740.475999999999</v>
      </c>
    </row>
    <row r="2215" spans="1:18" x14ac:dyDescent="0.3">
      <c r="A2215" t="s">
        <v>11523</v>
      </c>
      <c r="B2215" t="str">
        <f>TEXT(Raw_Data[[#This Row],[Order Date]],"mmm")</f>
        <v>Nov</v>
      </c>
      <c r="C2215" t="s">
        <v>1731</v>
      </c>
      <c r="D2215" t="s">
        <v>11524</v>
      </c>
      <c r="E2215" t="s">
        <v>35</v>
      </c>
      <c r="F2215" t="s">
        <v>69</v>
      </c>
      <c r="G2215" t="s">
        <v>139</v>
      </c>
      <c r="H2215" t="s">
        <v>4794</v>
      </c>
      <c r="I2215" t="s">
        <v>146</v>
      </c>
      <c r="J2215" t="s">
        <v>25</v>
      </c>
      <c r="K2215" t="s">
        <v>11525</v>
      </c>
      <c r="L2215">
        <v>0.1</v>
      </c>
      <c r="M2215" t="s">
        <v>11526</v>
      </c>
      <c r="N2215" t="s">
        <v>11527</v>
      </c>
      <c r="O2215" t="s">
        <v>29</v>
      </c>
      <c r="P2215" t="s">
        <v>30</v>
      </c>
      <c r="Q2215" t="s">
        <v>65</v>
      </c>
      <c r="R2215" s="3">
        <v>2667.2310000000002</v>
      </c>
    </row>
    <row r="2216" spans="1:18" x14ac:dyDescent="0.3">
      <c r="A2216" t="s">
        <v>11528</v>
      </c>
      <c r="B2216" t="str">
        <f>TEXT(Raw_Data[[#This Row],[Order Date]],"mmm")</f>
        <v>May</v>
      </c>
      <c r="C2216" t="s">
        <v>3899</v>
      </c>
      <c r="D2216" t="s">
        <v>11529</v>
      </c>
      <c r="E2216" t="s">
        <v>35</v>
      </c>
      <c r="F2216" t="s">
        <v>36</v>
      </c>
      <c r="G2216" t="s">
        <v>123</v>
      </c>
      <c r="H2216" t="s">
        <v>154</v>
      </c>
      <c r="I2216" t="s">
        <v>237</v>
      </c>
      <c r="J2216" t="s">
        <v>25</v>
      </c>
      <c r="K2216" t="s">
        <v>11530</v>
      </c>
      <c r="L2216">
        <v>0.2</v>
      </c>
      <c r="M2216" t="s">
        <v>11531</v>
      </c>
      <c r="N2216" t="s">
        <v>10672</v>
      </c>
      <c r="O2216" t="s">
        <v>173</v>
      </c>
      <c r="P2216" t="s">
        <v>95</v>
      </c>
      <c r="Q2216" t="s">
        <v>31</v>
      </c>
      <c r="R2216" s="3">
        <v>7500.8879999999999</v>
      </c>
    </row>
    <row r="2217" spans="1:18" x14ac:dyDescent="0.3">
      <c r="A2217" t="s">
        <v>11532</v>
      </c>
      <c r="B2217" t="str">
        <f>TEXT(Raw_Data[[#This Row],[Order Date]],"mmm")</f>
        <v>Oct</v>
      </c>
      <c r="C2217" t="s">
        <v>1227</v>
      </c>
      <c r="D2217" t="s">
        <v>11533</v>
      </c>
      <c r="E2217" t="s">
        <v>20</v>
      </c>
      <c r="F2217" t="s">
        <v>89</v>
      </c>
      <c r="G2217" t="s">
        <v>90</v>
      </c>
      <c r="H2217" t="s">
        <v>107</v>
      </c>
      <c r="I2217" t="s">
        <v>108</v>
      </c>
      <c r="J2217" t="s">
        <v>100</v>
      </c>
      <c r="K2217" t="s">
        <v>11534</v>
      </c>
      <c r="L2217">
        <v>0.05</v>
      </c>
      <c r="M2217" t="s">
        <v>11535</v>
      </c>
      <c r="N2217" t="s">
        <v>11536</v>
      </c>
      <c r="O2217" t="s">
        <v>54</v>
      </c>
      <c r="P2217" t="s">
        <v>30</v>
      </c>
      <c r="Q2217" t="s">
        <v>44</v>
      </c>
      <c r="R2217" s="3">
        <v>38860.9755</v>
      </c>
    </row>
    <row r="2218" spans="1:18" x14ac:dyDescent="0.3">
      <c r="A2218" t="s">
        <v>11537</v>
      </c>
      <c r="B2218" t="str">
        <f>TEXT(Raw_Data[[#This Row],[Order Date]],"mmm")</f>
        <v>Nov</v>
      </c>
      <c r="C2218" t="s">
        <v>851</v>
      </c>
      <c r="D2218" t="s">
        <v>11538</v>
      </c>
      <c r="E2218" t="s">
        <v>20</v>
      </c>
      <c r="F2218" t="s">
        <v>106</v>
      </c>
      <c r="G2218" t="s">
        <v>106</v>
      </c>
      <c r="H2218" t="s">
        <v>23</v>
      </c>
      <c r="I2218" t="s">
        <v>263</v>
      </c>
      <c r="J2218" t="s">
        <v>82</v>
      </c>
      <c r="K2218" t="s">
        <v>11539</v>
      </c>
      <c r="L2218">
        <v>0.1</v>
      </c>
      <c r="M2218" t="s">
        <v>11540</v>
      </c>
      <c r="N2218" t="s">
        <v>11541</v>
      </c>
      <c r="O2218" t="s">
        <v>29</v>
      </c>
      <c r="P2218" t="s">
        <v>112</v>
      </c>
      <c r="Q2218" t="s">
        <v>31</v>
      </c>
      <c r="R2218" s="3">
        <v>75788.567999999999</v>
      </c>
    </row>
    <row r="2219" spans="1:18" x14ac:dyDescent="0.3">
      <c r="A2219" t="s">
        <v>11542</v>
      </c>
      <c r="B2219" t="str">
        <f>TEXT(Raw_Data[[#This Row],[Order Date]],"mmm")</f>
        <v>Mar</v>
      </c>
      <c r="C2219" t="s">
        <v>9097</v>
      </c>
      <c r="D2219" t="s">
        <v>11543</v>
      </c>
      <c r="E2219" t="s">
        <v>20</v>
      </c>
      <c r="F2219" t="s">
        <v>89</v>
      </c>
      <c r="G2219" t="s">
        <v>99</v>
      </c>
      <c r="H2219" t="s">
        <v>154</v>
      </c>
      <c r="I2219" t="s">
        <v>309</v>
      </c>
      <c r="J2219" t="s">
        <v>50</v>
      </c>
      <c r="K2219" t="s">
        <v>11544</v>
      </c>
      <c r="L2219">
        <v>0.05</v>
      </c>
      <c r="M2219" t="s">
        <v>11545</v>
      </c>
      <c r="N2219" t="s">
        <v>11546</v>
      </c>
      <c r="O2219" t="s">
        <v>173</v>
      </c>
      <c r="P2219" t="s">
        <v>30</v>
      </c>
      <c r="Q2219" t="s">
        <v>44</v>
      </c>
      <c r="R2219" s="3">
        <v>13641.4489999999</v>
      </c>
    </row>
    <row r="2220" spans="1:18" x14ac:dyDescent="0.3">
      <c r="A2220" t="s">
        <v>11547</v>
      </c>
      <c r="B2220" t="str">
        <f>TEXT(Raw_Data[[#This Row],[Order Date]],"mmm")</f>
        <v>Feb</v>
      </c>
      <c r="C2220" t="s">
        <v>2892</v>
      </c>
      <c r="D2220" t="s">
        <v>11548</v>
      </c>
      <c r="E2220" t="s">
        <v>48</v>
      </c>
      <c r="F2220" t="s">
        <v>58</v>
      </c>
      <c r="G2220" t="s">
        <v>812</v>
      </c>
      <c r="H2220" t="s">
        <v>154</v>
      </c>
      <c r="I2220" t="s">
        <v>309</v>
      </c>
      <c r="J2220" t="s">
        <v>50</v>
      </c>
      <c r="K2220" t="s">
        <v>11549</v>
      </c>
      <c r="L2220">
        <v>0.15</v>
      </c>
      <c r="M2220" t="s">
        <v>11550</v>
      </c>
      <c r="N2220" t="s">
        <v>11551</v>
      </c>
      <c r="O2220" t="s">
        <v>29</v>
      </c>
      <c r="P2220" t="s">
        <v>112</v>
      </c>
      <c r="Q2220" t="s">
        <v>44</v>
      </c>
      <c r="R2220" s="3">
        <v>10416.477999999999</v>
      </c>
    </row>
    <row r="2221" spans="1:18" x14ac:dyDescent="0.3">
      <c r="A2221" t="s">
        <v>11552</v>
      </c>
      <c r="B2221" t="str">
        <f>TEXT(Raw_Data[[#This Row],[Order Date]],"mmm")</f>
        <v>Jun</v>
      </c>
      <c r="C2221" t="s">
        <v>2798</v>
      </c>
      <c r="D2221" t="s">
        <v>11553</v>
      </c>
      <c r="E2221" t="s">
        <v>48</v>
      </c>
      <c r="F2221" t="s">
        <v>78</v>
      </c>
      <c r="G2221" t="s">
        <v>468</v>
      </c>
      <c r="H2221" t="s">
        <v>80</v>
      </c>
      <c r="I2221" t="s">
        <v>146</v>
      </c>
      <c r="J2221" t="s">
        <v>50</v>
      </c>
      <c r="K2221" t="s">
        <v>11554</v>
      </c>
      <c r="L2221">
        <v>0</v>
      </c>
      <c r="M2221" t="s">
        <v>11555</v>
      </c>
      <c r="N2221" t="s">
        <v>11556</v>
      </c>
      <c r="O2221" t="s">
        <v>64</v>
      </c>
      <c r="P2221" t="s">
        <v>30</v>
      </c>
      <c r="Q2221" t="s">
        <v>31</v>
      </c>
      <c r="R2221" s="3">
        <v>1609.42</v>
      </c>
    </row>
    <row r="2222" spans="1:18" x14ac:dyDescent="0.3">
      <c r="A2222" t="s">
        <v>11557</v>
      </c>
      <c r="B2222" t="str">
        <f>TEXT(Raw_Data[[#This Row],[Order Date]],"mmm")</f>
        <v>Dec</v>
      </c>
      <c r="C2222" t="s">
        <v>646</v>
      </c>
      <c r="D2222" t="s">
        <v>11558</v>
      </c>
      <c r="E2222" t="s">
        <v>48</v>
      </c>
      <c r="F2222" t="s">
        <v>21</v>
      </c>
      <c r="G2222" t="s">
        <v>130</v>
      </c>
      <c r="H2222" t="s">
        <v>154</v>
      </c>
      <c r="I2222" t="s">
        <v>1061</v>
      </c>
      <c r="J2222" t="s">
        <v>25</v>
      </c>
      <c r="K2222" t="s">
        <v>11559</v>
      </c>
      <c r="L2222">
        <v>0.05</v>
      </c>
      <c r="M2222" t="s">
        <v>11560</v>
      </c>
      <c r="N2222" t="s">
        <v>11561</v>
      </c>
      <c r="O2222" t="s">
        <v>29</v>
      </c>
      <c r="P2222" t="s">
        <v>30</v>
      </c>
      <c r="Q2222" t="s">
        <v>31</v>
      </c>
      <c r="R2222" s="3">
        <v>8385.6119999999992</v>
      </c>
    </row>
    <row r="2223" spans="1:18" x14ac:dyDescent="0.3">
      <c r="A2223" t="s">
        <v>11562</v>
      </c>
      <c r="B2223" t="str">
        <f>TEXT(Raw_Data[[#This Row],[Order Date]],"mmm")</f>
        <v>Mar</v>
      </c>
      <c r="C2223" t="s">
        <v>504</v>
      </c>
      <c r="D2223" t="s">
        <v>11563</v>
      </c>
      <c r="E2223" t="s">
        <v>48</v>
      </c>
      <c r="F2223" t="s">
        <v>89</v>
      </c>
      <c r="G2223" t="s">
        <v>90</v>
      </c>
      <c r="H2223" t="s">
        <v>80</v>
      </c>
      <c r="I2223" t="s">
        <v>116</v>
      </c>
      <c r="J2223" t="s">
        <v>25</v>
      </c>
      <c r="K2223" t="s">
        <v>11564</v>
      </c>
      <c r="L2223">
        <v>0.15</v>
      </c>
      <c r="M2223" t="s">
        <v>11565</v>
      </c>
      <c r="N2223" t="s">
        <v>11566</v>
      </c>
      <c r="O2223" t="s">
        <v>54</v>
      </c>
      <c r="P2223" t="s">
        <v>30</v>
      </c>
      <c r="Q2223" t="s">
        <v>65</v>
      </c>
      <c r="R2223" s="3">
        <v>4414.7809999999999</v>
      </c>
    </row>
    <row r="2224" spans="1:18" x14ac:dyDescent="0.3">
      <c r="A2224" t="s">
        <v>11567</v>
      </c>
      <c r="B2224" t="str">
        <f>TEXT(Raw_Data[[#This Row],[Order Date]],"mmm")</f>
        <v>Jan</v>
      </c>
      <c r="C2224" t="s">
        <v>891</v>
      </c>
      <c r="D2224" t="s">
        <v>11568</v>
      </c>
      <c r="E2224" t="s">
        <v>35</v>
      </c>
      <c r="F2224" t="s">
        <v>58</v>
      </c>
      <c r="G2224" t="s">
        <v>812</v>
      </c>
      <c r="H2224" t="s">
        <v>23</v>
      </c>
      <c r="I2224" t="s">
        <v>263</v>
      </c>
      <c r="J2224" t="s">
        <v>25</v>
      </c>
      <c r="K2224" t="s">
        <v>11569</v>
      </c>
      <c r="L2224">
        <v>0.1</v>
      </c>
      <c r="M2224" t="s">
        <v>11570</v>
      </c>
      <c r="N2224" t="s">
        <v>11571</v>
      </c>
      <c r="O2224" t="s">
        <v>43</v>
      </c>
      <c r="P2224" t="s">
        <v>30</v>
      </c>
      <c r="Q2224" t="s">
        <v>31</v>
      </c>
      <c r="R2224" s="3">
        <v>39992.741999999998</v>
      </c>
    </row>
    <row r="2225" spans="1:18" x14ac:dyDescent="0.3">
      <c r="A2225" t="s">
        <v>11572</v>
      </c>
      <c r="B2225" t="str">
        <f>TEXT(Raw_Data[[#This Row],[Order Date]],"mmm")</f>
        <v>Jun</v>
      </c>
      <c r="C2225" t="s">
        <v>213</v>
      </c>
      <c r="D2225" t="s">
        <v>11573</v>
      </c>
      <c r="E2225" t="s">
        <v>48</v>
      </c>
      <c r="F2225" t="s">
        <v>89</v>
      </c>
      <c r="G2225" t="s">
        <v>99</v>
      </c>
      <c r="H2225" t="s">
        <v>38</v>
      </c>
      <c r="I2225" t="s">
        <v>60</v>
      </c>
      <c r="J2225" t="s">
        <v>25</v>
      </c>
      <c r="K2225" t="s">
        <v>11574</v>
      </c>
      <c r="L2225">
        <v>0.1</v>
      </c>
      <c r="M2225" t="s">
        <v>11575</v>
      </c>
      <c r="N2225" t="s">
        <v>11576</v>
      </c>
      <c r="O2225" t="s">
        <v>29</v>
      </c>
      <c r="P2225" t="s">
        <v>112</v>
      </c>
      <c r="Q2225" t="s">
        <v>65</v>
      </c>
      <c r="R2225" s="3">
        <v>3674.5650000000001</v>
      </c>
    </row>
    <row r="2226" spans="1:18" x14ac:dyDescent="0.3">
      <c r="A2226" t="s">
        <v>11577</v>
      </c>
      <c r="B2226" t="str">
        <f>TEXT(Raw_Data[[#This Row],[Order Date]],"mmm")</f>
        <v>Mar</v>
      </c>
      <c r="C2226" t="s">
        <v>2731</v>
      </c>
      <c r="D2226" t="s">
        <v>11578</v>
      </c>
      <c r="E2226" t="s">
        <v>48</v>
      </c>
      <c r="F2226" t="s">
        <v>58</v>
      </c>
      <c r="G2226" t="s">
        <v>59</v>
      </c>
      <c r="H2226" t="s">
        <v>80</v>
      </c>
      <c r="I2226" t="s">
        <v>146</v>
      </c>
      <c r="J2226" t="s">
        <v>25</v>
      </c>
      <c r="K2226" t="s">
        <v>11579</v>
      </c>
      <c r="L2226">
        <v>0</v>
      </c>
      <c r="M2226" t="s">
        <v>11580</v>
      </c>
      <c r="N2226" t="s">
        <v>11581</v>
      </c>
      <c r="O2226" t="s">
        <v>29</v>
      </c>
      <c r="P2226" t="s">
        <v>30</v>
      </c>
      <c r="Q2226" t="s">
        <v>44</v>
      </c>
      <c r="R2226" s="3">
        <v>4256.51</v>
      </c>
    </row>
    <row r="2227" spans="1:18" x14ac:dyDescent="0.3">
      <c r="A2227" t="s">
        <v>11582</v>
      </c>
      <c r="B2227" t="str">
        <f>TEXT(Raw_Data[[#This Row],[Order Date]],"mmm")</f>
        <v>Mar</v>
      </c>
      <c r="C2227" t="s">
        <v>2244</v>
      </c>
      <c r="D2227" t="s">
        <v>11583</v>
      </c>
      <c r="E2227" t="s">
        <v>48</v>
      </c>
      <c r="F2227" t="s">
        <v>215</v>
      </c>
      <c r="G2227" t="s">
        <v>276</v>
      </c>
      <c r="H2227" t="s">
        <v>154</v>
      </c>
      <c r="I2227" t="s">
        <v>1061</v>
      </c>
      <c r="J2227" t="s">
        <v>25</v>
      </c>
      <c r="K2227" t="s">
        <v>11584</v>
      </c>
      <c r="L2227">
        <v>0.2</v>
      </c>
      <c r="M2227" t="s">
        <v>11585</v>
      </c>
      <c r="N2227" t="s">
        <v>11586</v>
      </c>
      <c r="O2227" t="s">
        <v>43</v>
      </c>
      <c r="P2227" t="s">
        <v>30</v>
      </c>
      <c r="Q2227" t="s">
        <v>65</v>
      </c>
      <c r="R2227" s="3">
        <v>7826.6719999999996</v>
      </c>
    </row>
    <row r="2228" spans="1:18" x14ac:dyDescent="0.3">
      <c r="A2228" t="s">
        <v>11587</v>
      </c>
      <c r="B2228" t="str">
        <f>TEXT(Raw_Data[[#This Row],[Order Date]],"mmm")</f>
        <v>Feb</v>
      </c>
      <c r="C2228" t="s">
        <v>3467</v>
      </c>
      <c r="D2228" t="s">
        <v>11588</v>
      </c>
      <c r="E2228" t="s">
        <v>20</v>
      </c>
      <c r="F2228" t="s">
        <v>215</v>
      </c>
      <c r="G2228" t="s">
        <v>216</v>
      </c>
      <c r="H2228" t="s">
        <v>107</v>
      </c>
      <c r="I2228" t="s">
        <v>108</v>
      </c>
      <c r="J2228" t="s">
        <v>50</v>
      </c>
      <c r="K2228" t="s">
        <v>11589</v>
      </c>
      <c r="L2228">
        <v>0.15</v>
      </c>
      <c r="M2228" t="s">
        <v>11590</v>
      </c>
      <c r="N2228" t="s">
        <v>11591</v>
      </c>
      <c r="O2228" t="s">
        <v>173</v>
      </c>
      <c r="P2228" t="s">
        <v>30</v>
      </c>
      <c r="Q2228" t="s">
        <v>31</v>
      </c>
      <c r="R2228" s="3">
        <v>26154.040999999899</v>
      </c>
    </row>
    <row r="2229" spans="1:18" x14ac:dyDescent="0.3">
      <c r="A2229" t="s">
        <v>11592</v>
      </c>
      <c r="B2229" t="str">
        <f>TEXT(Raw_Data[[#This Row],[Order Date]],"mmm")</f>
        <v>Nov</v>
      </c>
      <c r="C2229" t="s">
        <v>4206</v>
      </c>
      <c r="D2229" t="s">
        <v>11593</v>
      </c>
      <c r="E2229" t="s">
        <v>48</v>
      </c>
      <c r="F2229" t="s">
        <v>78</v>
      </c>
      <c r="G2229" t="s">
        <v>731</v>
      </c>
      <c r="H2229" t="s">
        <v>23</v>
      </c>
      <c r="I2229" t="s">
        <v>183</v>
      </c>
      <c r="J2229" t="s">
        <v>25</v>
      </c>
      <c r="K2229" t="s">
        <v>11594</v>
      </c>
      <c r="L2229">
        <v>0.1</v>
      </c>
      <c r="M2229" t="s">
        <v>11595</v>
      </c>
      <c r="N2229" t="s">
        <v>11596</v>
      </c>
      <c r="O2229" t="s">
        <v>173</v>
      </c>
      <c r="P2229" t="s">
        <v>95</v>
      </c>
      <c r="Q2229" t="s">
        <v>31</v>
      </c>
      <c r="R2229" s="3">
        <v>47225.997000000003</v>
      </c>
    </row>
    <row r="2230" spans="1:18" x14ac:dyDescent="0.3">
      <c r="A2230" t="s">
        <v>11597</v>
      </c>
      <c r="B2230" t="str">
        <f>TEXT(Raw_Data[[#This Row],[Order Date]],"mmm")</f>
        <v>Jul</v>
      </c>
      <c r="C2230" t="s">
        <v>792</v>
      </c>
      <c r="D2230" t="s">
        <v>11598</v>
      </c>
      <c r="E2230" t="s">
        <v>20</v>
      </c>
      <c r="F2230" t="s">
        <v>89</v>
      </c>
      <c r="G2230" t="s">
        <v>90</v>
      </c>
      <c r="H2230" t="s">
        <v>154</v>
      </c>
      <c r="I2230" t="s">
        <v>365</v>
      </c>
      <c r="J2230" t="s">
        <v>25</v>
      </c>
      <c r="K2230" t="s">
        <v>11599</v>
      </c>
      <c r="L2230">
        <v>0.15</v>
      </c>
      <c r="M2230" t="s">
        <v>11600</v>
      </c>
      <c r="N2230" t="s">
        <v>11601</v>
      </c>
      <c r="O2230" t="s">
        <v>54</v>
      </c>
      <c r="P2230" t="s">
        <v>30</v>
      </c>
      <c r="Q2230" t="s">
        <v>44</v>
      </c>
      <c r="R2230" s="3">
        <v>7176.0484999999999</v>
      </c>
    </row>
    <row r="2231" spans="1:18" x14ac:dyDescent="0.3">
      <c r="A2231" t="s">
        <v>11602</v>
      </c>
      <c r="B2231" t="str">
        <f>TEXT(Raw_Data[[#This Row],[Order Date]],"mmm")</f>
        <v>Mar</v>
      </c>
      <c r="C2231" t="s">
        <v>556</v>
      </c>
      <c r="D2231" t="s">
        <v>11603</v>
      </c>
      <c r="E2231" t="s">
        <v>20</v>
      </c>
      <c r="F2231" t="s">
        <v>69</v>
      </c>
      <c r="G2231" t="s">
        <v>328</v>
      </c>
      <c r="H2231" t="s">
        <v>23</v>
      </c>
      <c r="I2231" t="s">
        <v>49</v>
      </c>
      <c r="J2231" t="s">
        <v>100</v>
      </c>
      <c r="K2231" t="s">
        <v>11604</v>
      </c>
      <c r="L2231">
        <v>0.1</v>
      </c>
      <c r="M2231" t="s">
        <v>11605</v>
      </c>
      <c r="N2231" t="s">
        <v>11606</v>
      </c>
      <c r="O2231" t="s">
        <v>2763</v>
      </c>
      <c r="P2231" t="s">
        <v>30</v>
      </c>
      <c r="Q2231" t="s">
        <v>65</v>
      </c>
      <c r="R2231" s="3">
        <v>17213.5799999999</v>
      </c>
    </row>
    <row r="2232" spans="1:18" x14ac:dyDescent="0.3">
      <c r="A2232" t="s">
        <v>11607</v>
      </c>
      <c r="B2232" t="str">
        <f>TEXT(Raw_Data[[#This Row],[Order Date]],"mmm")</f>
        <v>Feb</v>
      </c>
      <c r="C2232" t="s">
        <v>228</v>
      </c>
      <c r="D2232" t="s">
        <v>11608</v>
      </c>
      <c r="E2232" t="s">
        <v>20</v>
      </c>
      <c r="F2232" t="s">
        <v>58</v>
      </c>
      <c r="G2232" t="s">
        <v>290</v>
      </c>
      <c r="H2232" t="s">
        <v>38</v>
      </c>
      <c r="I2232" t="s">
        <v>60</v>
      </c>
      <c r="J2232" t="s">
        <v>25</v>
      </c>
      <c r="K2232" t="s">
        <v>11609</v>
      </c>
      <c r="L2232">
        <v>0.15</v>
      </c>
      <c r="M2232" t="s">
        <v>11610</v>
      </c>
      <c r="N2232" t="s">
        <v>11611</v>
      </c>
      <c r="O2232" t="s">
        <v>54</v>
      </c>
      <c r="P2232" t="s">
        <v>30</v>
      </c>
      <c r="Q2232" t="s">
        <v>65</v>
      </c>
      <c r="R2232" s="3">
        <v>1925.1479999999999</v>
      </c>
    </row>
    <row r="2233" spans="1:18" x14ac:dyDescent="0.3">
      <c r="A2233" t="s">
        <v>11612</v>
      </c>
      <c r="B2233" t="str">
        <f>TEXT(Raw_Data[[#This Row],[Order Date]],"mmm")</f>
        <v>Jun</v>
      </c>
      <c r="C2233" t="s">
        <v>466</v>
      </c>
      <c r="D2233" t="s">
        <v>11613</v>
      </c>
      <c r="E2233" t="s">
        <v>20</v>
      </c>
      <c r="F2233" t="s">
        <v>58</v>
      </c>
      <c r="G2233" t="s">
        <v>812</v>
      </c>
      <c r="H2233" t="s">
        <v>107</v>
      </c>
      <c r="I2233" t="s">
        <v>277</v>
      </c>
      <c r="J2233" t="s">
        <v>50</v>
      </c>
      <c r="K2233" t="s">
        <v>11614</v>
      </c>
      <c r="L2233">
        <v>0.05</v>
      </c>
      <c r="M2233" t="s">
        <v>11615</v>
      </c>
      <c r="N2233" t="s">
        <v>11616</v>
      </c>
      <c r="O2233" t="s">
        <v>29</v>
      </c>
      <c r="P2233" t="s">
        <v>30</v>
      </c>
      <c r="Q2233" t="s">
        <v>44</v>
      </c>
      <c r="R2233" s="3">
        <v>7656.4489999999996</v>
      </c>
    </row>
    <row r="2234" spans="1:18" x14ac:dyDescent="0.3">
      <c r="A2234" t="s">
        <v>11617</v>
      </c>
      <c r="B2234" t="str">
        <f>TEXT(Raw_Data[[#This Row],[Order Date]],"mmm")</f>
        <v>Feb</v>
      </c>
      <c r="C2234" t="s">
        <v>942</v>
      </c>
      <c r="D2234" t="s">
        <v>11618</v>
      </c>
      <c r="E2234" t="s">
        <v>48</v>
      </c>
      <c r="F2234" t="s">
        <v>106</v>
      </c>
      <c r="G2234" t="s">
        <v>163</v>
      </c>
      <c r="H2234" t="s">
        <v>80</v>
      </c>
      <c r="I2234" t="s">
        <v>91</v>
      </c>
      <c r="J2234" t="s">
        <v>25</v>
      </c>
      <c r="K2234" t="s">
        <v>11619</v>
      </c>
      <c r="L2234">
        <v>0.1</v>
      </c>
      <c r="M2234" t="s">
        <v>11620</v>
      </c>
      <c r="N2234" t="s">
        <v>11621</v>
      </c>
      <c r="O2234" t="s">
        <v>54</v>
      </c>
      <c r="P2234" t="s">
        <v>30</v>
      </c>
      <c r="Q2234" t="s">
        <v>44</v>
      </c>
      <c r="R2234" s="3">
        <v>6205.5990000000002</v>
      </c>
    </row>
    <row r="2235" spans="1:18" x14ac:dyDescent="0.3">
      <c r="A2235" t="s">
        <v>11622</v>
      </c>
      <c r="B2235" t="str">
        <f>TEXT(Raw_Data[[#This Row],[Order Date]],"mmm")</f>
        <v>Feb</v>
      </c>
      <c r="C2235" t="s">
        <v>2676</v>
      </c>
      <c r="D2235" t="s">
        <v>11623</v>
      </c>
      <c r="E2235" t="s">
        <v>20</v>
      </c>
      <c r="F2235" t="s">
        <v>69</v>
      </c>
      <c r="G2235" t="s">
        <v>139</v>
      </c>
      <c r="H2235" t="s">
        <v>80</v>
      </c>
      <c r="I2235" t="s">
        <v>116</v>
      </c>
      <c r="J2235" t="s">
        <v>100</v>
      </c>
      <c r="K2235" t="s">
        <v>11624</v>
      </c>
      <c r="L2235">
        <v>0.05</v>
      </c>
      <c r="M2235" t="s">
        <v>11625</v>
      </c>
      <c r="N2235" t="s">
        <v>11626</v>
      </c>
      <c r="O2235" t="s">
        <v>64</v>
      </c>
      <c r="P2235" t="s">
        <v>30</v>
      </c>
      <c r="Q2235" t="s">
        <v>31</v>
      </c>
      <c r="R2235" s="3">
        <v>15480.174000000001</v>
      </c>
    </row>
    <row r="2236" spans="1:18" x14ac:dyDescent="0.3">
      <c r="A2236" t="s">
        <v>11627</v>
      </c>
      <c r="B2236" t="str">
        <f>TEXT(Raw_Data[[#This Row],[Order Date]],"mmm")</f>
        <v>May</v>
      </c>
      <c r="C2236" t="s">
        <v>1472</v>
      </c>
      <c r="D2236" t="s">
        <v>11628</v>
      </c>
      <c r="E2236" t="s">
        <v>20</v>
      </c>
      <c r="F2236" t="s">
        <v>36</v>
      </c>
      <c r="G2236" t="s">
        <v>196</v>
      </c>
      <c r="H2236" t="s">
        <v>23</v>
      </c>
      <c r="I2236" t="s">
        <v>341</v>
      </c>
      <c r="J2236" t="s">
        <v>25</v>
      </c>
      <c r="K2236" t="s">
        <v>11629</v>
      </c>
      <c r="L2236">
        <v>0.05</v>
      </c>
      <c r="M2236" t="s">
        <v>11630</v>
      </c>
      <c r="N2236" t="s">
        <v>11631</v>
      </c>
      <c r="O2236" t="s">
        <v>173</v>
      </c>
      <c r="P2236" t="s">
        <v>30</v>
      </c>
      <c r="Q2236" t="s">
        <v>65</v>
      </c>
      <c r="R2236" s="3">
        <v>4611.9840000000004</v>
      </c>
    </row>
    <row r="2237" spans="1:18" x14ac:dyDescent="0.3">
      <c r="A2237" t="s">
        <v>11632</v>
      </c>
      <c r="B2237" t="str">
        <f>TEXT(Raw_Data[[#This Row],[Order Date]],"mmm")</f>
        <v>Apr</v>
      </c>
      <c r="C2237" t="s">
        <v>798</v>
      </c>
      <c r="D2237" t="s">
        <v>11633</v>
      </c>
      <c r="E2237" t="s">
        <v>20</v>
      </c>
      <c r="F2237" t="s">
        <v>69</v>
      </c>
      <c r="G2237" t="s">
        <v>139</v>
      </c>
      <c r="H2237" t="s">
        <v>80</v>
      </c>
      <c r="I2237" t="s">
        <v>81</v>
      </c>
      <c r="J2237" t="s">
        <v>25</v>
      </c>
      <c r="K2237" t="s">
        <v>11634</v>
      </c>
      <c r="L2237">
        <v>0</v>
      </c>
      <c r="M2237" t="s">
        <v>11635</v>
      </c>
      <c r="N2237" t="s">
        <v>11636</v>
      </c>
      <c r="O2237" t="s">
        <v>64</v>
      </c>
      <c r="P2237" t="s">
        <v>159</v>
      </c>
      <c r="Q2237" t="s">
        <v>65</v>
      </c>
      <c r="R2237" s="3">
        <v>1743.23</v>
      </c>
    </row>
    <row r="2238" spans="1:18" x14ac:dyDescent="0.3">
      <c r="A2238" t="s">
        <v>11637</v>
      </c>
      <c r="B2238" t="str">
        <f>TEXT(Raw_Data[[#This Row],[Order Date]],"mmm")</f>
        <v>Mar</v>
      </c>
      <c r="C2238" t="s">
        <v>3284</v>
      </c>
      <c r="D2238" t="s">
        <v>11638</v>
      </c>
      <c r="E2238" t="s">
        <v>20</v>
      </c>
      <c r="F2238" t="s">
        <v>58</v>
      </c>
      <c r="G2238" t="s">
        <v>59</v>
      </c>
      <c r="H2238" t="s">
        <v>23</v>
      </c>
      <c r="I2238" t="s">
        <v>24</v>
      </c>
      <c r="J2238" t="s">
        <v>25</v>
      </c>
      <c r="K2238" t="s">
        <v>11639</v>
      </c>
      <c r="L2238">
        <v>0</v>
      </c>
      <c r="M2238" t="s">
        <v>11640</v>
      </c>
      <c r="N2238" t="s">
        <v>11641</v>
      </c>
      <c r="O2238" t="s">
        <v>43</v>
      </c>
      <c r="P2238" t="s">
        <v>30</v>
      </c>
      <c r="Q2238" t="s">
        <v>31</v>
      </c>
      <c r="R2238" s="3">
        <v>12550.97</v>
      </c>
    </row>
    <row r="2239" spans="1:18" x14ac:dyDescent="0.3">
      <c r="A2239" t="s">
        <v>11642</v>
      </c>
      <c r="B2239" t="str">
        <f>TEXT(Raw_Data[[#This Row],[Order Date]],"mmm")</f>
        <v>Jan</v>
      </c>
      <c r="C2239" t="s">
        <v>261</v>
      </c>
      <c r="D2239" t="s">
        <v>11643</v>
      </c>
      <c r="E2239" t="s">
        <v>35</v>
      </c>
      <c r="F2239" t="s">
        <v>69</v>
      </c>
      <c r="G2239" t="s">
        <v>139</v>
      </c>
      <c r="H2239" t="s">
        <v>107</v>
      </c>
      <c r="I2239" t="s">
        <v>277</v>
      </c>
      <c r="J2239" t="s">
        <v>25</v>
      </c>
      <c r="K2239" t="s">
        <v>11644</v>
      </c>
      <c r="L2239">
        <v>0.15</v>
      </c>
      <c r="M2239" t="s">
        <v>11645</v>
      </c>
      <c r="N2239" t="s">
        <v>11646</v>
      </c>
      <c r="O2239" t="s">
        <v>173</v>
      </c>
      <c r="P2239" t="s">
        <v>30</v>
      </c>
      <c r="Q2239" t="s">
        <v>31</v>
      </c>
      <c r="R2239" s="3">
        <v>10757.531999999999</v>
      </c>
    </row>
    <row r="2240" spans="1:18" x14ac:dyDescent="0.3">
      <c r="A2240" t="s">
        <v>11647</v>
      </c>
      <c r="B2240" t="str">
        <f>TEXT(Raw_Data[[#This Row],[Order Date]],"mmm")</f>
        <v>Apr</v>
      </c>
      <c r="C2240" t="s">
        <v>2649</v>
      </c>
      <c r="D2240" t="s">
        <v>11648</v>
      </c>
      <c r="E2240" t="s">
        <v>20</v>
      </c>
      <c r="F2240" t="s">
        <v>58</v>
      </c>
      <c r="G2240" t="s">
        <v>812</v>
      </c>
      <c r="H2240" t="s">
        <v>107</v>
      </c>
      <c r="I2240" t="s">
        <v>277</v>
      </c>
      <c r="J2240" t="s">
        <v>25</v>
      </c>
      <c r="K2240" t="s">
        <v>11649</v>
      </c>
      <c r="L2240">
        <v>0</v>
      </c>
      <c r="M2240" t="s">
        <v>11650</v>
      </c>
      <c r="N2240" t="s">
        <v>11651</v>
      </c>
      <c r="O2240" t="s">
        <v>64</v>
      </c>
      <c r="P2240" t="s">
        <v>30</v>
      </c>
      <c r="Q2240" t="s">
        <v>31</v>
      </c>
      <c r="R2240" s="3">
        <v>17757.89</v>
      </c>
    </row>
    <row r="2241" spans="1:18" x14ac:dyDescent="0.3">
      <c r="A2241" t="s">
        <v>11652</v>
      </c>
      <c r="B2241" t="str">
        <f>TEXT(Raw_Data[[#This Row],[Order Date]],"mmm")</f>
        <v>Aug</v>
      </c>
      <c r="C2241" t="s">
        <v>1155</v>
      </c>
      <c r="D2241" t="s">
        <v>11653</v>
      </c>
      <c r="E2241" t="s">
        <v>20</v>
      </c>
      <c r="F2241" t="s">
        <v>36</v>
      </c>
      <c r="G2241" t="s">
        <v>37</v>
      </c>
      <c r="H2241" t="s">
        <v>80</v>
      </c>
      <c r="I2241" t="s">
        <v>131</v>
      </c>
      <c r="J2241" t="s">
        <v>50</v>
      </c>
      <c r="K2241" t="s">
        <v>11654</v>
      </c>
      <c r="L2241">
        <v>0.05</v>
      </c>
      <c r="M2241" t="s">
        <v>11655</v>
      </c>
      <c r="N2241" t="s">
        <v>11656</v>
      </c>
      <c r="O2241" t="s">
        <v>43</v>
      </c>
      <c r="P2241" t="s">
        <v>30</v>
      </c>
      <c r="Q2241" t="s">
        <v>65</v>
      </c>
      <c r="R2241" s="3">
        <v>1466.4960000000001</v>
      </c>
    </row>
    <row r="2242" spans="1:18" x14ac:dyDescent="0.3">
      <c r="A2242" t="s">
        <v>11657</v>
      </c>
      <c r="B2242" t="str">
        <f>TEXT(Raw_Data[[#This Row],[Order Date]],"mmm")</f>
        <v>Apr</v>
      </c>
      <c r="C2242" t="s">
        <v>804</v>
      </c>
      <c r="D2242" t="s">
        <v>11658</v>
      </c>
      <c r="E2242" t="s">
        <v>20</v>
      </c>
      <c r="F2242" t="s">
        <v>69</v>
      </c>
      <c r="G2242" t="s">
        <v>139</v>
      </c>
      <c r="H2242" t="s">
        <v>23</v>
      </c>
      <c r="I2242" t="s">
        <v>183</v>
      </c>
      <c r="J2242" t="s">
        <v>25</v>
      </c>
      <c r="K2242" t="s">
        <v>11659</v>
      </c>
      <c r="L2242">
        <v>0.1</v>
      </c>
      <c r="M2242" t="s">
        <v>11660</v>
      </c>
      <c r="N2242" t="s">
        <v>11661</v>
      </c>
      <c r="O2242" t="s">
        <v>43</v>
      </c>
      <c r="P2242" t="s">
        <v>30</v>
      </c>
      <c r="Q2242" t="s">
        <v>31</v>
      </c>
      <c r="R2242" s="3">
        <v>63382.284</v>
      </c>
    </row>
    <row r="2243" spans="1:18" x14ac:dyDescent="0.3">
      <c r="A2243" t="s">
        <v>11662</v>
      </c>
      <c r="B2243" t="str">
        <f>TEXT(Raw_Data[[#This Row],[Order Date]],"mmm")</f>
        <v>Apr</v>
      </c>
      <c r="C2243" t="s">
        <v>2903</v>
      </c>
      <c r="D2243" t="s">
        <v>11663</v>
      </c>
      <c r="E2243" t="s">
        <v>20</v>
      </c>
      <c r="F2243" t="s">
        <v>78</v>
      </c>
      <c r="G2243" t="s">
        <v>79</v>
      </c>
      <c r="H2243" t="s">
        <v>80</v>
      </c>
      <c r="I2243" t="s">
        <v>116</v>
      </c>
      <c r="J2243" t="s">
        <v>50</v>
      </c>
      <c r="K2243" t="s">
        <v>11664</v>
      </c>
      <c r="L2243">
        <v>0.15</v>
      </c>
      <c r="M2243" t="s">
        <v>11665</v>
      </c>
      <c r="N2243" t="s">
        <v>11666</v>
      </c>
      <c r="O2243" t="s">
        <v>29</v>
      </c>
      <c r="P2243" t="s">
        <v>112</v>
      </c>
      <c r="Q2243" t="s">
        <v>65</v>
      </c>
      <c r="R2243" s="3">
        <v>2994.703</v>
      </c>
    </row>
    <row r="2244" spans="1:18" x14ac:dyDescent="0.3">
      <c r="A2244" t="s">
        <v>11667</v>
      </c>
      <c r="B2244" t="str">
        <f>TEXT(Raw_Data[[#This Row],[Order Date]],"mmm")</f>
        <v>Aug</v>
      </c>
      <c r="C2244" t="s">
        <v>1053</v>
      </c>
      <c r="D2244" t="s">
        <v>11668</v>
      </c>
      <c r="E2244" t="s">
        <v>35</v>
      </c>
      <c r="F2244" t="s">
        <v>36</v>
      </c>
      <c r="G2244" t="s">
        <v>153</v>
      </c>
      <c r="H2244" t="s">
        <v>23</v>
      </c>
      <c r="I2244" t="s">
        <v>263</v>
      </c>
      <c r="J2244" t="s">
        <v>25</v>
      </c>
      <c r="K2244" t="s">
        <v>11669</v>
      </c>
      <c r="L2244">
        <v>0</v>
      </c>
      <c r="M2244" t="s">
        <v>11670</v>
      </c>
      <c r="N2244" t="s">
        <v>11671</v>
      </c>
      <c r="O2244" t="s">
        <v>64</v>
      </c>
      <c r="P2244" t="s">
        <v>30</v>
      </c>
      <c r="Q2244" t="s">
        <v>31</v>
      </c>
      <c r="R2244" s="3">
        <v>11235.93</v>
      </c>
    </row>
    <row r="2245" spans="1:18" x14ac:dyDescent="0.3">
      <c r="A2245" t="s">
        <v>11672</v>
      </c>
      <c r="B2245" t="str">
        <f>TEXT(Raw_Data[[#This Row],[Order Date]],"mmm")</f>
        <v>May</v>
      </c>
      <c r="C2245" t="s">
        <v>4840</v>
      </c>
      <c r="D2245" t="s">
        <v>11673</v>
      </c>
      <c r="E2245" t="s">
        <v>35</v>
      </c>
      <c r="F2245" t="s">
        <v>215</v>
      </c>
      <c r="G2245" t="s">
        <v>216</v>
      </c>
      <c r="H2245" t="s">
        <v>154</v>
      </c>
      <c r="I2245" t="s">
        <v>309</v>
      </c>
      <c r="J2245" t="s">
        <v>100</v>
      </c>
      <c r="K2245" t="s">
        <v>11674</v>
      </c>
      <c r="L2245">
        <v>0.15</v>
      </c>
      <c r="M2245" t="s">
        <v>11675</v>
      </c>
      <c r="N2245" t="s">
        <v>11676</v>
      </c>
      <c r="O2245" t="s">
        <v>54</v>
      </c>
      <c r="P2245" t="s">
        <v>30</v>
      </c>
      <c r="Q2245" t="s">
        <v>44</v>
      </c>
      <c r="R2245" s="3">
        <v>24860.281499999899</v>
      </c>
    </row>
    <row r="2246" spans="1:18" x14ac:dyDescent="0.3">
      <c r="A2246" t="s">
        <v>11677</v>
      </c>
      <c r="B2246" t="str">
        <f>TEXT(Raw_Data[[#This Row],[Order Date]],"mmm")</f>
        <v>Jul</v>
      </c>
      <c r="C2246" t="s">
        <v>412</v>
      </c>
      <c r="D2246" t="s">
        <v>11678</v>
      </c>
      <c r="E2246" t="s">
        <v>35</v>
      </c>
      <c r="F2246" t="s">
        <v>58</v>
      </c>
      <c r="G2246" t="s">
        <v>812</v>
      </c>
      <c r="H2246" t="s">
        <v>80</v>
      </c>
      <c r="I2246" t="s">
        <v>146</v>
      </c>
      <c r="J2246" t="s">
        <v>100</v>
      </c>
      <c r="K2246" t="s">
        <v>11679</v>
      </c>
      <c r="L2246">
        <v>0.15</v>
      </c>
      <c r="M2246" t="s">
        <v>11680</v>
      </c>
      <c r="N2246" t="s">
        <v>11681</v>
      </c>
      <c r="O2246" t="s">
        <v>64</v>
      </c>
      <c r="P2246" t="s">
        <v>112</v>
      </c>
      <c r="Q2246" t="s">
        <v>31</v>
      </c>
      <c r="R2246" s="3">
        <v>6923.3265000000001</v>
      </c>
    </row>
    <row r="2247" spans="1:18" x14ac:dyDescent="0.3">
      <c r="A2247" t="s">
        <v>11682</v>
      </c>
      <c r="B2247" t="str">
        <f>TEXT(Raw_Data[[#This Row],[Order Date]],"mmm")</f>
        <v>May</v>
      </c>
      <c r="C2247" t="s">
        <v>1420</v>
      </c>
      <c r="D2247" t="s">
        <v>11683</v>
      </c>
      <c r="E2247" t="s">
        <v>35</v>
      </c>
      <c r="F2247" t="s">
        <v>58</v>
      </c>
      <c r="G2247" t="s">
        <v>290</v>
      </c>
      <c r="H2247" t="s">
        <v>154</v>
      </c>
      <c r="I2247" t="s">
        <v>237</v>
      </c>
      <c r="J2247" t="s">
        <v>25</v>
      </c>
      <c r="K2247" t="s">
        <v>11684</v>
      </c>
      <c r="L2247">
        <v>0.15</v>
      </c>
      <c r="M2247" t="s">
        <v>11685</v>
      </c>
      <c r="N2247" t="s">
        <v>11686</v>
      </c>
      <c r="O2247" t="s">
        <v>54</v>
      </c>
      <c r="P2247" t="s">
        <v>30</v>
      </c>
      <c r="Q2247" t="s">
        <v>65</v>
      </c>
      <c r="R2247" s="3">
        <v>9465.4215000000004</v>
      </c>
    </row>
    <row r="2248" spans="1:18" x14ac:dyDescent="0.3">
      <c r="A2248" t="s">
        <v>11687</v>
      </c>
      <c r="B2248" t="str">
        <f>TEXT(Raw_Data[[#This Row],[Order Date]],"mmm")</f>
        <v>Mar</v>
      </c>
      <c r="C2248" t="s">
        <v>492</v>
      </c>
      <c r="D2248" t="s">
        <v>11688</v>
      </c>
      <c r="E2248" t="s">
        <v>48</v>
      </c>
      <c r="F2248" t="s">
        <v>69</v>
      </c>
      <c r="G2248" t="s">
        <v>70</v>
      </c>
      <c r="H2248" t="s">
        <v>107</v>
      </c>
      <c r="I2248" t="s">
        <v>469</v>
      </c>
      <c r="J2248" t="s">
        <v>50</v>
      </c>
      <c r="K2248" t="s">
        <v>11689</v>
      </c>
      <c r="L2248">
        <v>0.1</v>
      </c>
      <c r="M2248" t="s">
        <v>11690</v>
      </c>
      <c r="N2248" t="s">
        <v>11691</v>
      </c>
      <c r="O2248" t="s">
        <v>173</v>
      </c>
      <c r="P2248" t="s">
        <v>30</v>
      </c>
      <c r="Q2248" t="s">
        <v>31</v>
      </c>
      <c r="R2248" s="3">
        <v>6839.4960000000001</v>
      </c>
    </row>
    <row r="2249" spans="1:18" x14ac:dyDescent="0.3">
      <c r="A2249" t="s">
        <v>11692</v>
      </c>
      <c r="B2249" t="str">
        <f>TEXT(Raw_Data[[#This Row],[Order Date]],"mmm")</f>
        <v>Apr</v>
      </c>
      <c r="C2249" t="s">
        <v>5341</v>
      </c>
      <c r="D2249" t="s">
        <v>11693</v>
      </c>
      <c r="E2249" t="s">
        <v>20</v>
      </c>
      <c r="F2249" t="s">
        <v>36</v>
      </c>
      <c r="G2249" t="s">
        <v>153</v>
      </c>
      <c r="H2249" t="s">
        <v>107</v>
      </c>
      <c r="I2249" t="s">
        <v>469</v>
      </c>
      <c r="J2249" t="s">
        <v>50</v>
      </c>
      <c r="K2249" t="s">
        <v>11694</v>
      </c>
      <c r="L2249">
        <v>0.05</v>
      </c>
      <c r="M2249" t="s">
        <v>11695</v>
      </c>
      <c r="N2249" t="s">
        <v>11696</v>
      </c>
      <c r="O2249" t="s">
        <v>29</v>
      </c>
      <c r="P2249" t="s">
        <v>30</v>
      </c>
      <c r="Q2249" t="s">
        <v>65</v>
      </c>
      <c r="R2249" s="3">
        <v>17288.936000000002</v>
      </c>
    </row>
    <row r="2250" spans="1:18" x14ac:dyDescent="0.3">
      <c r="A2250" t="s">
        <v>11697</v>
      </c>
      <c r="B2250" t="str">
        <f>TEXT(Raw_Data[[#This Row],[Order Date]],"mmm")</f>
        <v>Nov</v>
      </c>
      <c r="C2250" t="s">
        <v>1144</v>
      </c>
      <c r="D2250" t="s">
        <v>11698</v>
      </c>
      <c r="E2250" t="s">
        <v>20</v>
      </c>
      <c r="F2250" t="s">
        <v>21</v>
      </c>
      <c r="G2250" t="s">
        <v>130</v>
      </c>
      <c r="H2250" t="s">
        <v>80</v>
      </c>
      <c r="I2250" t="s">
        <v>81</v>
      </c>
      <c r="J2250" t="s">
        <v>25</v>
      </c>
      <c r="K2250" t="s">
        <v>11699</v>
      </c>
      <c r="L2250">
        <v>0.1</v>
      </c>
      <c r="M2250" t="s">
        <v>11700</v>
      </c>
      <c r="N2250" t="s">
        <v>11701</v>
      </c>
      <c r="O2250" t="s">
        <v>173</v>
      </c>
      <c r="P2250" t="s">
        <v>112</v>
      </c>
      <c r="Q2250" t="s">
        <v>44</v>
      </c>
      <c r="R2250" s="3">
        <v>2600.8290000000002</v>
      </c>
    </row>
    <row r="2251" spans="1:18" x14ac:dyDescent="0.3">
      <c r="A2251" t="s">
        <v>11702</v>
      </c>
      <c r="B2251" t="str">
        <f>TEXT(Raw_Data[[#This Row],[Order Date]],"mmm")</f>
        <v>Mar</v>
      </c>
      <c r="C2251" t="s">
        <v>492</v>
      </c>
      <c r="D2251" t="s">
        <v>11703</v>
      </c>
      <c r="E2251" t="s">
        <v>35</v>
      </c>
      <c r="F2251" t="s">
        <v>106</v>
      </c>
      <c r="G2251" t="s">
        <v>163</v>
      </c>
      <c r="H2251" t="s">
        <v>80</v>
      </c>
      <c r="I2251" t="s">
        <v>131</v>
      </c>
      <c r="J2251" t="s">
        <v>25</v>
      </c>
      <c r="K2251" t="s">
        <v>11704</v>
      </c>
      <c r="L2251">
        <v>0.05</v>
      </c>
      <c r="M2251" t="s">
        <v>11705</v>
      </c>
      <c r="N2251" t="s">
        <v>11706</v>
      </c>
      <c r="O2251" t="s">
        <v>64</v>
      </c>
      <c r="P2251" t="s">
        <v>30</v>
      </c>
      <c r="Q2251" t="s">
        <v>31</v>
      </c>
      <c r="R2251" s="3">
        <v>420.042499999999</v>
      </c>
    </row>
    <row r="2252" spans="1:18" x14ac:dyDescent="0.3">
      <c r="A2252" t="s">
        <v>11707</v>
      </c>
      <c r="B2252" t="str">
        <f>TEXT(Raw_Data[[#This Row],[Order Date]],"mmm")</f>
        <v>Jan</v>
      </c>
      <c r="C2252" t="s">
        <v>431</v>
      </c>
      <c r="D2252" t="s">
        <v>11708</v>
      </c>
      <c r="E2252" t="s">
        <v>20</v>
      </c>
      <c r="F2252" t="s">
        <v>106</v>
      </c>
      <c r="G2252" t="s">
        <v>163</v>
      </c>
      <c r="H2252" t="s">
        <v>23</v>
      </c>
      <c r="I2252" t="s">
        <v>24</v>
      </c>
      <c r="J2252" t="s">
        <v>25</v>
      </c>
      <c r="K2252" t="s">
        <v>11709</v>
      </c>
      <c r="L2252">
        <v>0.05</v>
      </c>
      <c r="M2252" t="s">
        <v>11710</v>
      </c>
      <c r="N2252" t="s">
        <v>11711</v>
      </c>
      <c r="O2252" t="s">
        <v>64</v>
      </c>
      <c r="P2252" t="s">
        <v>30</v>
      </c>
      <c r="Q2252" t="s">
        <v>65</v>
      </c>
      <c r="R2252" s="3">
        <v>54557.4739999999</v>
      </c>
    </row>
    <row r="2253" spans="1:18" x14ac:dyDescent="0.3">
      <c r="A2253" t="s">
        <v>11712</v>
      </c>
      <c r="B2253" t="str">
        <f>TEXT(Raw_Data[[#This Row],[Order Date]],"mmm")</f>
        <v>Aug</v>
      </c>
      <c r="C2253" t="s">
        <v>1313</v>
      </c>
      <c r="D2253" t="s">
        <v>11713</v>
      </c>
      <c r="E2253" t="s">
        <v>48</v>
      </c>
      <c r="F2253" t="s">
        <v>69</v>
      </c>
      <c r="G2253" t="s">
        <v>70</v>
      </c>
      <c r="H2253" t="s">
        <v>80</v>
      </c>
      <c r="I2253" t="s">
        <v>131</v>
      </c>
      <c r="J2253" t="s">
        <v>25</v>
      </c>
      <c r="K2253" t="s">
        <v>11714</v>
      </c>
      <c r="L2253">
        <v>0.1</v>
      </c>
      <c r="M2253" t="s">
        <v>11715</v>
      </c>
      <c r="N2253" t="s">
        <v>11716</v>
      </c>
      <c r="O2253" t="s">
        <v>64</v>
      </c>
      <c r="P2253" t="s">
        <v>30</v>
      </c>
      <c r="Q2253" t="s">
        <v>44</v>
      </c>
      <c r="R2253" s="3">
        <v>4551.9840000000004</v>
      </c>
    </row>
    <row r="2254" spans="1:18" x14ac:dyDescent="0.3">
      <c r="A2254" t="s">
        <v>11717</v>
      </c>
      <c r="B2254" t="str">
        <f>TEXT(Raw_Data[[#This Row],[Order Date]],"mmm")</f>
        <v>May</v>
      </c>
      <c r="C2254" t="s">
        <v>3348</v>
      </c>
      <c r="D2254" t="s">
        <v>11718</v>
      </c>
      <c r="E2254" t="s">
        <v>48</v>
      </c>
      <c r="F2254" t="s">
        <v>69</v>
      </c>
      <c r="G2254" t="s">
        <v>139</v>
      </c>
      <c r="H2254" t="s">
        <v>80</v>
      </c>
      <c r="I2254" t="s">
        <v>131</v>
      </c>
      <c r="J2254" t="s">
        <v>50</v>
      </c>
      <c r="K2254" t="s">
        <v>11719</v>
      </c>
      <c r="L2254">
        <v>0.15</v>
      </c>
      <c r="M2254" t="s">
        <v>11720</v>
      </c>
      <c r="N2254" t="s">
        <v>11721</v>
      </c>
      <c r="O2254" t="s">
        <v>54</v>
      </c>
      <c r="P2254" t="s">
        <v>30</v>
      </c>
      <c r="Q2254" t="s">
        <v>65</v>
      </c>
      <c r="R2254" s="3">
        <v>1168.3419999999901</v>
      </c>
    </row>
    <row r="2255" spans="1:18" x14ac:dyDescent="0.3">
      <c r="A2255" t="s">
        <v>11722</v>
      </c>
      <c r="B2255" t="str">
        <f>TEXT(Raw_Data[[#This Row],[Order Date]],"mmm")</f>
        <v>Jul</v>
      </c>
      <c r="C2255" t="s">
        <v>2992</v>
      </c>
      <c r="D2255" t="s">
        <v>11723</v>
      </c>
      <c r="E2255" t="s">
        <v>35</v>
      </c>
      <c r="F2255" t="s">
        <v>69</v>
      </c>
      <c r="G2255" t="s">
        <v>139</v>
      </c>
      <c r="H2255" t="s">
        <v>154</v>
      </c>
      <c r="I2255" t="s">
        <v>155</v>
      </c>
      <c r="J2255" t="s">
        <v>50</v>
      </c>
      <c r="K2255" t="s">
        <v>11724</v>
      </c>
      <c r="L2255">
        <v>0.05</v>
      </c>
      <c r="M2255" t="s">
        <v>11725</v>
      </c>
      <c r="N2255" t="s">
        <v>11726</v>
      </c>
      <c r="O2255" t="s">
        <v>43</v>
      </c>
      <c r="P2255" t="s">
        <v>30</v>
      </c>
      <c r="Q2255" t="s">
        <v>31</v>
      </c>
      <c r="R2255" s="3">
        <v>1339.2149999999999</v>
      </c>
    </row>
    <row r="2256" spans="1:18" x14ac:dyDescent="0.3">
      <c r="A2256" t="s">
        <v>11727</v>
      </c>
      <c r="B2256" t="str">
        <f>TEXT(Raw_Data[[#This Row],[Order Date]],"mmm")</f>
        <v>Feb</v>
      </c>
      <c r="C2256" t="s">
        <v>1087</v>
      </c>
      <c r="D2256" t="s">
        <v>11728</v>
      </c>
      <c r="E2256" t="s">
        <v>48</v>
      </c>
      <c r="F2256" t="s">
        <v>36</v>
      </c>
      <c r="G2256" t="s">
        <v>414</v>
      </c>
      <c r="H2256" t="s">
        <v>107</v>
      </c>
      <c r="I2256" t="s">
        <v>378</v>
      </c>
      <c r="J2256" t="s">
        <v>50</v>
      </c>
      <c r="K2256" t="s">
        <v>11729</v>
      </c>
      <c r="L2256">
        <v>0.2</v>
      </c>
      <c r="M2256" t="s">
        <v>11730</v>
      </c>
      <c r="N2256" t="s">
        <v>11731</v>
      </c>
      <c r="O2256" t="s">
        <v>64</v>
      </c>
      <c r="P2256" t="s">
        <v>112</v>
      </c>
      <c r="Q2256" t="s">
        <v>65</v>
      </c>
      <c r="R2256" s="3">
        <v>19236.64</v>
      </c>
    </row>
    <row r="2257" spans="1:18" x14ac:dyDescent="0.3">
      <c r="A2257" t="s">
        <v>11732</v>
      </c>
      <c r="B2257" t="str">
        <f>TEXT(Raw_Data[[#This Row],[Order Date]],"mmm")</f>
        <v>Nov</v>
      </c>
      <c r="C2257" t="s">
        <v>443</v>
      </c>
      <c r="D2257" t="s">
        <v>11733</v>
      </c>
      <c r="E2257" t="s">
        <v>20</v>
      </c>
      <c r="F2257" t="s">
        <v>36</v>
      </c>
      <c r="G2257" t="s">
        <v>37</v>
      </c>
      <c r="H2257" t="s">
        <v>23</v>
      </c>
      <c r="I2257" t="s">
        <v>49</v>
      </c>
      <c r="J2257" t="s">
        <v>25</v>
      </c>
      <c r="K2257" t="s">
        <v>11734</v>
      </c>
      <c r="L2257">
        <v>0.05</v>
      </c>
      <c r="M2257" t="s">
        <v>11735</v>
      </c>
      <c r="N2257" t="s">
        <v>11736</v>
      </c>
      <c r="O2257" t="s">
        <v>64</v>
      </c>
      <c r="P2257" t="s">
        <v>30</v>
      </c>
      <c r="Q2257" t="s">
        <v>65</v>
      </c>
      <c r="R2257" s="3">
        <v>70113.039999999994</v>
      </c>
    </row>
    <row r="2258" spans="1:18" x14ac:dyDescent="0.3">
      <c r="A2258" t="s">
        <v>11737</v>
      </c>
      <c r="B2258" t="str">
        <f>TEXT(Raw_Data[[#This Row],[Order Date]],"mmm")</f>
        <v>Jul</v>
      </c>
      <c r="C2258" t="s">
        <v>2992</v>
      </c>
      <c r="D2258" t="s">
        <v>11738</v>
      </c>
      <c r="E2258" t="s">
        <v>20</v>
      </c>
      <c r="F2258" t="s">
        <v>36</v>
      </c>
      <c r="G2258" t="s">
        <v>414</v>
      </c>
      <c r="H2258" t="s">
        <v>23</v>
      </c>
      <c r="I2258" t="s">
        <v>24</v>
      </c>
      <c r="J2258" t="s">
        <v>50</v>
      </c>
      <c r="K2258" t="s">
        <v>11739</v>
      </c>
      <c r="L2258">
        <v>0.2</v>
      </c>
      <c r="M2258" t="s">
        <v>11740</v>
      </c>
      <c r="N2258" t="s">
        <v>11741</v>
      </c>
      <c r="O2258" t="s">
        <v>173</v>
      </c>
      <c r="P2258" t="s">
        <v>30</v>
      </c>
      <c r="Q2258" t="s">
        <v>31</v>
      </c>
      <c r="R2258" s="3">
        <v>91993.551999999996</v>
      </c>
    </row>
    <row r="2259" spans="1:18" x14ac:dyDescent="0.3">
      <c r="A2259" t="s">
        <v>11742</v>
      </c>
      <c r="B2259" t="str">
        <f>TEXT(Raw_Data[[#This Row],[Order Date]],"mmm")</f>
        <v>Jan</v>
      </c>
      <c r="C2259" t="s">
        <v>261</v>
      </c>
      <c r="D2259" t="s">
        <v>11743</v>
      </c>
      <c r="E2259" t="s">
        <v>20</v>
      </c>
      <c r="F2259" t="s">
        <v>78</v>
      </c>
      <c r="G2259" t="s">
        <v>79</v>
      </c>
      <c r="H2259" t="s">
        <v>107</v>
      </c>
      <c r="I2259" t="s">
        <v>277</v>
      </c>
      <c r="J2259" t="s">
        <v>100</v>
      </c>
      <c r="K2259" t="s">
        <v>11744</v>
      </c>
      <c r="L2259">
        <v>0.15</v>
      </c>
      <c r="M2259" t="s">
        <v>11745</v>
      </c>
      <c r="N2259" t="s">
        <v>11746</v>
      </c>
      <c r="O2259" t="s">
        <v>173</v>
      </c>
      <c r="P2259" t="s">
        <v>30</v>
      </c>
      <c r="Q2259" t="s">
        <v>31</v>
      </c>
      <c r="R2259" s="3">
        <v>11043.948</v>
      </c>
    </row>
    <row r="2260" spans="1:18" x14ac:dyDescent="0.3">
      <c r="A2260" t="s">
        <v>11747</v>
      </c>
      <c r="B2260" t="str">
        <f>TEXT(Raw_Data[[#This Row],[Order Date]],"mmm")</f>
        <v>Jul</v>
      </c>
      <c r="C2260" t="s">
        <v>3916</v>
      </c>
      <c r="D2260" t="s">
        <v>11748</v>
      </c>
      <c r="E2260" t="s">
        <v>35</v>
      </c>
      <c r="F2260" t="s">
        <v>21</v>
      </c>
      <c r="G2260" t="s">
        <v>22</v>
      </c>
      <c r="H2260" t="s">
        <v>154</v>
      </c>
      <c r="I2260" t="s">
        <v>1061</v>
      </c>
      <c r="J2260" t="s">
        <v>50</v>
      </c>
      <c r="K2260" t="s">
        <v>11749</v>
      </c>
      <c r="L2260">
        <v>0.05</v>
      </c>
      <c r="M2260" t="s">
        <v>11750</v>
      </c>
      <c r="N2260" t="s">
        <v>11751</v>
      </c>
      <c r="O2260" t="s">
        <v>54</v>
      </c>
      <c r="P2260" t="s">
        <v>30</v>
      </c>
      <c r="Q2260" t="s">
        <v>65</v>
      </c>
      <c r="R2260" s="3">
        <v>4721.3669999999902</v>
      </c>
    </row>
    <row r="2261" spans="1:18" x14ac:dyDescent="0.3">
      <c r="A2261" t="s">
        <v>11752</v>
      </c>
      <c r="B2261" t="str">
        <f>TEXT(Raw_Data[[#This Row],[Order Date]],"mmm")</f>
        <v>Oct</v>
      </c>
      <c r="C2261" t="s">
        <v>2217</v>
      </c>
      <c r="D2261" t="s">
        <v>11753</v>
      </c>
      <c r="E2261" t="s">
        <v>20</v>
      </c>
      <c r="F2261" t="s">
        <v>89</v>
      </c>
      <c r="G2261" t="s">
        <v>99</v>
      </c>
      <c r="H2261" t="s">
        <v>80</v>
      </c>
      <c r="I2261" t="s">
        <v>91</v>
      </c>
      <c r="J2261" t="s">
        <v>50</v>
      </c>
      <c r="K2261" t="s">
        <v>11754</v>
      </c>
      <c r="L2261">
        <v>0.05</v>
      </c>
      <c r="M2261" t="s">
        <v>11755</v>
      </c>
      <c r="N2261" t="s">
        <v>11756</v>
      </c>
      <c r="O2261" t="s">
        <v>29</v>
      </c>
      <c r="P2261" t="s">
        <v>112</v>
      </c>
      <c r="Q2261" t="s">
        <v>44</v>
      </c>
      <c r="R2261" s="3">
        <v>8194.7759999999998</v>
      </c>
    </row>
    <row r="2262" spans="1:18" x14ac:dyDescent="0.3">
      <c r="A2262" t="s">
        <v>11757</v>
      </c>
      <c r="B2262" t="str">
        <f>TEXT(Raw_Data[[#This Row],[Order Date]],"mmm")</f>
        <v>Apr</v>
      </c>
      <c r="C2262" t="s">
        <v>2687</v>
      </c>
      <c r="D2262" t="s">
        <v>11758</v>
      </c>
      <c r="E2262" t="s">
        <v>35</v>
      </c>
      <c r="F2262" t="s">
        <v>106</v>
      </c>
      <c r="G2262" t="s">
        <v>106</v>
      </c>
      <c r="H2262" t="s">
        <v>107</v>
      </c>
      <c r="I2262" t="s">
        <v>469</v>
      </c>
      <c r="J2262" t="s">
        <v>25</v>
      </c>
      <c r="K2262" t="s">
        <v>11759</v>
      </c>
      <c r="L2262">
        <v>0.05</v>
      </c>
      <c r="M2262" t="s">
        <v>11760</v>
      </c>
      <c r="N2262" t="s">
        <v>11761</v>
      </c>
      <c r="O2262" t="s">
        <v>43</v>
      </c>
      <c r="P2262" t="s">
        <v>30</v>
      </c>
      <c r="Q2262" t="s">
        <v>44</v>
      </c>
      <c r="R2262" s="3">
        <v>11480.1989999999</v>
      </c>
    </row>
    <row r="2263" spans="1:18" x14ac:dyDescent="0.3">
      <c r="A2263" t="s">
        <v>11762</v>
      </c>
      <c r="B2263" t="str">
        <f>TEXT(Raw_Data[[#This Row],[Order Date]],"mmm")</f>
        <v>Jun</v>
      </c>
      <c r="C2263" t="s">
        <v>3780</v>
      </c>
      <c r="D2263" t="s">
        <v>11763</v>
      </c>
      <c r="E2263" t="s">
        <v>35</v>
      </c>
      <c r="F2263" t="s">
        <v>36</v>
      </c>
      <c r="G2263" t="s">
        <v>153</v>
      </c>
      <c r="H2263" t="s">
        <v>154</v>
      </c>
      <c r="I2263" t="s">
        <v>365</v>
      </c>
      <c r="J2263" t="s">
        <v>25</v>
      </c>
      <c r="K2263" t="s">
        <v>11764</v>
      </c>
      <c r="L2263">
        <v>0.2</v>
      </c>
      <c r="M2263" t="s">
        <v>11765</v>
      </c>
      <c r="N2263" t="s">
        <v>11766</v>
      </c>
      <c r="O2263" t="s">
        <v>29</v>
      </c>
      <c r="P2263" t="s">
        <v>30</v>
      </c>
      <c r="Q2263" t="s">
        <v>65</v>
      </c>
      <c r="R2263" s="3">
        <v>6972.192</v>
      </c>
    </row>
    <row r="2264" spans="1:18" x14ac:dyDescent="0.3">
      <c r="A2264" t="s">
        <v>11767</v>
      </c>
      <c r="B2264" t="str">
        <f>TEXT(Raw_Data[[#This Row],[Order Date]],"mmm")</f>
        <v>Apr</v>
      </c>
      <c r="C2264" t="s">
        <v>5341</v>
      </c>
      <c r="D2264" t="s">
        <v>11768</v>
      </c>
      <c r="E2264" t="s">
        <v>48</v>
      </c>
      <c r="F2264" t="s">
        <v>36</v>
      </c>
      <c r="G2264" t="s">
        <v>153</v>
      </c>
      <c r="H2264" t="s">
        <v>23</v>
      </c>
      <c r="I2264" t="s">
        <v>183</v>
      </c>
      <c r="J2264" t="s">
        <v>50</v>
      </c>
      <c r="K2264" t="s">
        <v>11769</v>
      </c>
      <c r="L2264">
        <v>0</v>
      </c>
      <c r="M2264" t="s">
        <v>11770</v>
      </c>
      <c r="N2264" t="s">
        <v>11771</v>
      </c>
      <c r="O2264" t="s">
        <v>173</v>
      </c>
      <c r="P2264" t="s">
        <v>95</v>
      </c>
      <c r="Q2264" t="s">
        <v>44</v>
      </c>
      <c r="R2264" s="3">
        <v>20711.62</v>
      </c>
    </row>
    <row r="2265" spans="1:18" x14ac:dyDescent="0.3">
      <c r="A2265" t="s">
        <v>11772</v>
      </c>
      <c r="B2265" t="str">
        <f>TEXT(Raw_Data[[#This Row],[Order Date]],"mmm")</f>
        <v>Jun</v>
      </c>
      <c r="C2265" t="s">
        <v>2223</v>
      </c>
      <c r="D2265" t="s">
        <v>11773</v>
      </c>
      <c r="E2265" t="s">
        <v>48</v>
      </c>
      <c r="F2265" t="s">
        <v>106</v>
      </c>
      <c r="G2265" t="s">
        <v>163</v>
      </c>
      <c r="H2265" t="s">
        <v>107</v>
      </c>
      <c r="I2265" t="s">
        <v>108</v>
      </c>
      <c r="J2265" t="s">
        <v>25</v>
      </c>
      <c r="K2265" t="s">
        <v>11774</v>
      </c>
      <c r="L2265">
        <v>0.2</v>
      </c>
      <c r="M2265" t="s">
        <v>11775</v>
      </c>
      <c r="N2265" t="s">
        <v>11776</v>
      </c>
      <c r="O2265" t="s">
        <v>54</v>
      </c>
      <c r="P2265" t="s">
        <v>30</v>
      </c>
      <c r="Q2265" t="s">
        <v>44</v>
      </c>
      <c r="R2265" s="3">
        <v>2505.08</v>
      </c>
    </row>
    <row r="2266" spans="1:18" x14ac:dyDescent="0.3">
      <c r="A2266" t="s">
        <v>11777</v>
      </c>
      <c r="B2266" t="str">
        <f>TEXT(Raw_Data[[#This Row],[Order Date]],"mmm")</f>
        <v>Apr</v>
      </c>
      <c r="C2266" t="s">
        <v>376</v>
      </c>
      <c r="D2266" t="s">
        <v>11778</v>
      </c>
      <c r="E2266" t="s">
        <v>35</v>
      </c>
      <c r="F2266" t="s">
        <v>36</v>
      </c>
      <c r="G2266" t="s">
        <v>153</v>
      </c>
      <c r="H2266" t="s">
        <v>154</v>
      </c>
      <c r="I2266" t="s">
        <v>309</v>
      </c>
      <c r="J2266" t="s">
        <v>50</v>
      </c>
      <c r="K2266" t="s">
        <v>11779</v>
      </c>
      <c r="L2266">
        <v>0.1</v>
      </c>
      <c r="M2266" t="s">
        <v>11780</v>
      </c>
      <c r="N2266" t="s">
        <v>11781</v>
      </c>
      <c r="O2266" t="s">
        <v>173</v>
      </c>
      <c r="P2266" t="s">
        <v>30</v>
      </c>
      <c r="Q2266" t="s">
        <v>65</v>
      </c>
      <c r="R2266" s="3">
        <v>12686.436</v>
      </c>
    </row>
    <row r="2267" spans="1:18" x14ac:dyDescent="0.3">
      <c r="A2267" t="s">
        <v>11782</v>
      </c>
      <c r="B2267" t="str">
        <f>TEXT(Raw_Data[[#This Row],[Order Date]],"mmm")</f>
        <v>May</v>
      </c>
      <c r="C2267" t="s">
        <v>1420</v>
      </c>
      <c r="D2267" t="s">
        <v>11783</v>
      </c>
      <c r="E2267" t="s">
        <v>20</v>
      </c>
      <c r="F2267" t="s">
        <v>89</v>
      </c>
      <c r="G2267" t="s">
        <v>99</v>
      </c>
      <c r="H2267" t="s">
        <v>80</v>
      </c>
      <c r="I2267" t="s">
        <v>146</v>
      </c>
      <c r="J2267" t="s">
        <v>25</v>
      </c>
      <c r="K2267" t="s">
        <v>11784</v>
      </c>
      <c r="L2267">
        <v>0.1</v>
      </c>
      <c r="M2267" t="s">
        <v>11785</v>
      </c>
      <c r="N2267" t="s">
        <v>11786</v>
      </c>
      <c r="O2267" t="s">
        <v>64</v>
      </c>
      <c r="P2267" t="s">
        <v>30</v>
      </c>
      <c r="Q2267" t="s">
        <v>31</v>
      </c>
      <c r="R2267" s="3">
        <v>5838.2370000000001</v>
      </c>
    </row>
    <row r="2268" spans="1:18" x14ac:dyDescent="0.3">
      <c r="A2268" t="s">
        <v>11787</v>
      </c>
      <c r="B2268" t="str">
        <f>TEXT(Raw_Data[[#This Row],[Order Date]],"mmm")</f>
        <v>Oct</v>
      </c>
      <c r="C2268" t="s">
        <v>1171</v>
      </c>
      <c r="D2268" t="s">
        <v>11788</v>
      </c>
      <c r="E2268" t="s">
        <v>35</v>
      </c>
      <c r="F2268" t="s">
        <v>69</v>
      </c>
      <c r="G2268" t="s">
        <v>139</v>
      </c>
      <c r="H2268" t="s">
        <v>107</v>
      </c>
      <c r="I2268" t="s">
        <v>378</v>
      </c>
      <c r="J2268" t="s">
        <v>25</v>
      </c>
      <c r="K2268" t="s">
        <v>11789</v>
      </c>
      <c r="L2268">
        <v>0.05</v>
      </c>
      <c r="M2268" t="s">
        <v>11790</v>
      </c>
      <c r="N2268" t="s">
        <v>11791</v>
      </c>
      <c r="O2268" t="s">
        <v>29</v>
      </c>
      <c r="P2268" t="s">
        <v>30</v>
      </c>
      <c r="Q2268" t="s">
        <v>31</v>
      </c>
      <c r="R2268" s="3">
        <v>5630.5739999999996</v>
      </c>
    </row>
    <row r="2269" spans="1:18" x14ac:dyDescent="0.3">
      <c r="A2269" t="s">
        <v>11792</v>
      </c>
      <c r="B2269" t="str">
        <f>TEXT(Raw_Data[[#This Row],[Order Date]],"mmm")</f>
        <v>May</v>
      </c>
      <c r="C2269" t="s">
        <v>817</v>
      </c>
      <c r="D2269" t="s">
        <v>11793</v>
      </c>
      <c r="E2269" t="s">
        <v>48</v>
      </c>
      <c r="F2269" t="s">
        <v>106</v>
      </c>
      <c r="G2269" t="s">
        <v>106</v>
      </c>
      <c r="H2269" t="s">
        <v>80</v>
      </c>
      <c r="I2269" t="s">
        <v>91</v>
      </c>
      <c r="J2269" t="s">
        <v>25</v>
      </c>
      <c r="K2269" t="s">
        <v>11794</v>
      </c>
      <c r="L2269">
        <v>0</v>
      </c>
      <c r="M2269" t="s">
        <v>11795</v>
      </c>
      <c r="N2269" t="s">
        <v>11796</v>
      </c>
      <c r="O2269" t="s">
        <v>43</v>
      </c>
      <c r="P2269" t="s">
        <v>30</v>
      </c>
      <c r="Q2269" t="s">
        <v>44</v>
      </c>
      <c r="R2269" s="3">
        <v>701.87</v>
      </c>
    </row>
    <row r="2270" spans="1:18" x14ac:dyDescent="0.3">
      <c r="A2270" t="s">
        <v>11797</v>
      </c>
      <c r="B2270" t="str">
        <f>TEXT(Raw_Data[[#This Row],[Order Date]],"mmm")</f>
        <v>May</v>
      </c>
      <c r="C2270" t="s">
        <v>817</v>
      </c>
      <c r="D2270" t="s">
        <v>11798</v>
      </c>
      <c r="E2270" t="s">
        <v>20</v>
      </c>
      <c r="F2270" t="s">
        <v>36</v>
      </c>
      <c r="G2270" t="s">
        <v>196</v>
      </c>
      <c r="H2270" t="s">
        <v>80</v>
      </c>
      <c r="I2270" t="s">
        <v>116</v>
      </c>
      <c r="J2270" t="s">
        <v>50</v>
      </c>
      <c r="K2270" t="s">
        <v>11799</v>
      </c>
      <c r="L2270">
        <v>0.15</v>
      </c>
      <c r="M2270" t="s">
        <v>11800</v>
      </c>
      <c r="N2270" t="s">
        <v>11801</v>
      </c>
      <c r="O2270" t="s">
        <v>64</v>
      </c>
      <c r="P2270" t="s">
        <v>112</v>
      </c>
      <c r="Q2270" t="s">
        <v>44</v>
      </c>
      <c r="R2270" s="3">
        <v>5406.2719999999999</v>
      </c>
    </row>
    <row r="2271" spans="1:18" x14ac:dyDescent="0.3">
      <c r="A2271" t="s">
        <v>11802</v>
      </c>
      <c r="B2271" t="str">
        <f>TEXT(Raw_Data[[#This Row],[Order Date]],"mmm")</f>
        <v>Jun</v>
      </c>
      <c r="C2271" t="s">
        <v>466</v>
      </c>
      <c r="D2271" t="s">
        <v>11803</v>
      </c>
      <c r="E2271" t="s">
        <v>35</v>
      </c>
      <c r="F2271" t="s">
        <v>215</v>
      </c>
      <c r="G2271" t="s">
        <v>216</v>
      </c>
      <c r="H2271" t="s">
        <v>107</v>
      </c>
      <c r="I2271" t="s">
        <v>108</v>
      </c>
      <c r="J2271" t="s">
        <v>25</v>
      </c>
      <c r="K2271" t="s">
        <v>11804</v>
      </c>
      <c r="L2271">
        <v>0.15</v>
      </c>
      <c r="M2271" t="s">
        <v>11805</v>
      </c>
      <c r="N2271" t="s">
        <v>11806</v>
      </c>
      <c r="O2271" t="s">
        <v>173</v>
      </c>
      <c r="P2271" t="s">
        <v>30</v>
      </c>
      <c r="Q2271" t="s">
        <v>31</v>
      </c>
      <c r="R2271" s="3">
        <v>1704.59</v>
      </c>
    </row>
    <row r="2272" spans="1:18" x14ac:dyDescent="0.3">
      <c r="A2272" t="s">
        <v>11807</v>
      </c>
      <c r="B2272" t="str">
        <f>TEXT(Raw_Data[[#This Row],[Order Date]],"mmm")</f>
        <v>May</v>
      </c>
      <c r="C2272" t="s">
        <v>144</v>
      </c>
      <c r="D2272" t="s">
        <v>11808</v>
      </c>
      <c r="E2272" t="s">
        <v>35</v>
      </c>
      <c r="F2272" t="s">
        <v>21</v>
      </c>
      <c r="G2272" t="s">
        <v>22</v>
      </c>
      <c r="H2272" t="s">
        <v>80</v>
      </c>
      <c r="I2272" t="s">
        <v>146</v>
      </c>
      <c r="J2272" t="s">
        <v>25</v>
      </c>
      <c r="K2272" t="s">
        <v>11809</v>
      </c>
      <c r="L2272">
        <v>0.05</v>
      </c>
      <c r="M2272" t="s">
        <v>11810</v>
      </c>
      <c r="N2272" t="s">
        <v>11811</v>
      </c>
      <c r="O2272" t="s">
        <v>54</v>
      </c>
      <c r="P2272" t="s">
        <v>30</v>
      </c>
      <c r="Q2272" t="s">
        <v>31</v>
      </c>
      <c r="R2272" s="3">
        <v>3549.0004999999901</v>
      </c>
    </row>
    <row r="2273" spans="1:18" x14ac:dyDescent="0.3">
      <c r="A2273" t="s">
        <v>11812</v>
      </c>
      <c r="B2273" t="str">
        <f>TEXT(Raw_Data[[#This Row],[Order Date]],"mmm")</f>
        <v>Jan</v>
      </c>
      <c r="C2273" t="s">
        <v>891</v>
      </c>
      <c r="D2273" t="s">
        <v>11813</v>
      </c>
      <c r="E2273" t="s">
        <v>48</v>
      </c>
      <c r="F2273" t="s">
        <v>58</v>
      </c>
      <c r="G2273" t="s">
        <v>59</v>
      </c>
      <c r="H2273" t="s">
        <v>107</v>
      </c>
      <c r="I2273" t="s">
        <v>469</v>
      </c>
      <c r="J2273" t="s">
        <v>25</v>
      </c>
      <c r="K2273" t="s">
        <v>11814</v>
      </c>
      <c r="L2273">
        <v>0.05</v>
      </c>
      <c r="M2273" t="s">
        <v>11815</v>
      </c>
      <c r="N2273" t="s">
        <v>11816</v>
      </c>
      <c r="O2273" t="s">
        <v>43</v>
      </c>
      <c r="P2273" t="s">
        <v>30</v>
      </c>
      <c r="Q2273" t="s">
        <v>44</v>
      </c>
      <c r="R2273" s="3">
        <v>13855.294</v>
      </c>
    </row>
    <row r="2274" spans="1:18" x14ac:dyDescent="0.3">
      <c r="A2274" t="s">
        <v>11817</v>
      </c>
      <c r="B2274" t="str">
        <f>TEXT(Raw_Data[[#This Row],[Order Date]],"mmm")</f>
        <v>Mar</v>
      </c>
      <c r="C2274" t="s">
        <v>395</v>
      </c>
      <c r="D2274" t="s">
        <v>11818</v>
      </c>
      <c r="E2274" t="s">
        <v>35</v>
      </c>
      <c r="F2274" t="s">
        <v>78</v>
      </c>
      <c r="G2274" t="s">
        <v>468</v>
      </c>
      <c r="H2274" t="s">
        <v>107</v>
      </c>
      <c r="I2274" t="s">
        <v>277</v>
      </c>
      <c r="J2274" t="s">
        <v>25</v>
      </c>
      <c r="K2274" t="s">
        <v>11819</v>
      </c>
      <c r="L2274">
        <v>0.15</v>
      </c>
      <c r="M2274" t="s">
        <v>11820</v>
      </c>
      <c r="N2274" t="s">
        <v>11821</v>
      </c>
      <c r="O2274" t="s">
        <v>64</v>
      </c>
      <c r="P2274" t="s">
        <v>30</v>
      </c>
      <c r="Q2274" t="s">
        <v>65</v>
      </c>
      <c r="R2274" s="3">
        <v>5851.1790000000001</v>
      </c>
    </row>
    <row r="2275" spans="1:18" x14ac:dyDescent="0.3">
      <c r="A2275" t="s">
        <v>11822</v>
      </c>
      <c r="B2275" t="str">
        <f>TEXT(Raw_Data[[#This Row],[Order Date]],"mmm")</f>
        <v>Jun</v>
      </c>
      <c r="C2275" t="s">
        <v>764</v>
      </c>
      <c r="D2275" t="s">
        <v>11823</v>
      </c>
      <c r="E2275" t="s">
        <v>48</v>
      </c>
      <c r="F2275" t="s">
        <v>78</v>
      </c>
      <c r="G2275" t="s">
        <v>468</v>
      </c>
      <c r="H2275" t="s">
        <v>23</v>
      </c>
      <c r="I2275" t="s">
        <v>183</v>
      </c>
      <c r="J2275" t="s">
        <v>25</v>
      </c>
      <c r="K2275" t="s">
        <v>11824</v>
      </c>
      <c r="L2275">
        <v>0</v>
      </c>
      <c r="M2275" t="s">
        <v>11825</v>
      </c>
      <c r="N2275" t="s">
        <v>11826</v>
      </c>
      <c r="O2275" t="s">
        <v>54</v>
      </c>
      <c r="P2275" t="s">
        <v>30</v>
      </c>
      <c r="Q2275" t="s">
        <v>44</v>
      </c>
      <c r="R2275" s="3">
        <v>70332.67</v>
      </c>
    </row>
    <row r="2276" spans="1:18" x14ac:dyDescent="0.3">
      <c r="A2276" t="s">
        <v>11827</v>
      </c>
      <c r="B2276" t="str">
        <f>TEXT(Raw_Data[[#This Row],[Order Date]],"mmm")</f>
        <v>Aug</v>
      </c>
      <c r="C2276" t="s">
        <v>930</v>
      </c>
      <c r="D2276" t="s">
        <v>11828</v>
      </c>
      <c r="E2276" t="s">
        <v>35</v>
      </c>
      <c r="F2276" t="s">
        <v>215</v>
      </c>
      <c r="G2276" t="s">
        <v>276</v>
      </c>
      <c r="H2276" t="s">
        <v>80</v>
      </c>
      <c r="I2276" t="s">
        <v>131</v>
      </c>
      <c r="J2276" t="s">
        <v>50</v>
      </c>
      <c r="K2276" t="s">
        <v>11829</v>
      </c>
      <c r="L2276">
        <v>0.1</v>
      </c>
      <c r="M2276" t="s">
        <v>11830</v>
      </c>
      <c r="N2276" t="s">
        <v>11831</v>
      </c>
      <c r="O2276" t="s">
        <v>29</v>
      </c>
      <c r="P2276" t="s">
        <v>30</v>
      </c>
      <c r="Q2276" t="s">
        <v>44</v>
      </c>
      <c r="R2276" s="3">
        <v>6808.3019999999997</v>
      </c>
    </row>
    <row r="2277" spans="1:18" x14ac:dyDescent="0.3">
      <c r="A2277" t="s">
        <v>11832</v>
      </c>
      <c r="B2277" t="str">
        <f>TEXT(Raw_Data[[#This Row],[Order Date]],"mmm")</f>
        <v>Apr</v>
      </c>
      <c r="C2277" t="s">
        <v>97</v>
      </c>
      <c r="D2277" t="s">
        <v>11833</v>
      </c>
      <c r="E2277" t="s">
        <v>20</v>
      </c>
      <c r="F2277" t="s">
        <v>215</v>
      </c>
      <c r="G2277" t="s">
        <v>276</v>
      </c>
      <c r="H2277" t="s">
        <v>23</v>
      </c>
      <c r="I2277" t="s">
        <v>49</v>
      </c>
      <c r="J2277" t="s">
        <v>50</v>
      </c>
      <c r="K2277" t="s">
        <v>11834</v>
      </c>
      <c r="L2277">
        <v>0.15</v>
      </c>
      <c r="M2277" t="s">
        <v>11835</v>
      </c>
      <c r="N2277" t="s">
        <v>11836</v>
      </c>
      <c r="O2277" t="s">
        <v>64</v>
      </c>
      <c r="P2277" t="s">
        <v>30</v>
      </c>
      <c r="Q2277" t="s">
        <v>44</v>
      </c>
      <c r="R2277" s="3">
        <v>6644.2629999999999</v>
      </c>
    </row>
    <row r="2278" spans="1:18" x14ac:dyDescent="0.3">
      <c r="A2278" t="s">
        <v>11837</v>
      </c>
      <c r="B2278" t="str">
        <f>TEXT(Raw_Data[[#This Row],[Order Date]],"mmm")</f>
        <v>Jul</v>
      </c>
      <c r="C2278" t="s">
        <v>3575</v>
      </c>
      <c r="D2278" t="s">
        <v>11838</v>
      </c>
      <c r="E2278" t="s">
        <v>48</v>
      </c>
      <c r="F2278" t="s">
        <v>215</v>
      </c>
      <c r="G2278" t="s">
        <v>216</v>
      </c>
      <c r="H2278" t="s">
        <v>107</v>
      </c>
      <c r="I2278" t="s">
        <v>108</v>
      </c>
      <c r="J2278" t="s">
        <v>25</v>
      </c>
      <c r="K2278" t="s">
        <v>11839</v>
      </c>
      <c r="L2278">
        <v>0</v>
      </c>
      <c r="M2278" t="s">
        <v>11840</v>
      </c>
      <c r="N2278" t="s">
        <v>5968</v>
      </c>
      <c r="O2278" t="s">
        <v>173</v>
      </c>
      <c r="P2278" t="s">
        <v>30</v>
      </c>
      <c r="Q2278" t="s">
        <v>44</v>
      </c>
      <c r="R2278" s="3">
        <v>6972.89</v>
      </c>
    </row>
    <row r="2279" spans="1:18" x14ac:dyDescent="0.3">
      <c r="A2279" t="s">
        <v>11841</v>
      </c>
      <c r="B2279" t="str">
        <f>TEXT(Raw_Data[[#This Row],[Order Date]],"mmm")</f>
        <v>Mar</v>
      </c>
      <c r="C2279" t="s">
        <v>1527</v>
      </c>
      <c r="D2279" t="s">
        <v>11842</v>
      </c>
      <c r="E2279" t="s">
        <v>20</v>
      </c>
      <c r="F2279" t="s">
        <v>78</v>
      </c>
      <c r="G2279" t="s">
        <v>79</v>
      </c>
      <c r="H2279" t="s">
        <v>23</v>
      </c>
      <c r="I2279" t="s">
        <v>341</v>
      </c>
      <c r="J2279" t="s">
        <v>50</v>
      </c>
      <c r="K2279" t="s">
        <v>11843</v>
      </c>
      <c r="L2279">
        <v>0</v>
      </c>
      <c r="M2279" t="s">
        <v>11844</v>
      </c>
      <c r="N2279" t="s">
        <v>11845</v>
      </c>
      <c r="O2279" t="s">
        <v>64</v>
      </c>
      <c r="P2279" t="s">
        <v>30</v>
      </c>
      <c r="Q2279" t="s">
        <v>31</v>
      </c>
      <c r="R2279" s="3">
        <v>44232.54</v>
      </c>
    </row>
    <row r="2280" spans="1:18" x14ac:dyDescent="0.3">
      <c r="A2280" t="s">
        <v>11846</v>
      </c>
      <c r="B2280" t="str">
        <f>TEXT(Raw_Data[[#This Row],[Order Date]],"mmm")</f>
        <v>Mar</v>
      </c>
      <c r="C2280" t="s">
        <v>1915</v>
      </c>
      <c r="D2280" t="s">
        <v>11847</v>
      </c>
      <c r="E2280" t="s">
        <v>20</v>
      </c>
      <c r="F2280" t="s">
        <v>89</v>
      </c>
      <c r="G2280" t="s">
        <v>99</v>
      </c>
      <c r="H2280" t="s">
        <v>2581</v>
      </c>
      <c r="I2280" t="s">
        <v>469</v>
      </c>
      <c r="J2280" t="s">
        <v>25</v>
      </c>
      <c r="K2280" t="s">
        <v>11848</v>
      </c>
      <c r="L2280">
        <v>0.2</v>
      </c>
      <c r="M2280" t="s">
        <v>11849</v>
      </c>
      <c r="N2280" t="s">
        <v>11850</v>
      </c>
      <c r="O2280" t="s">
        <v>173</v>
      </c>
      <c r="P2280" t="s">
        <v>30</v>
      </c>
      <c r="Q2280" t="s">
        <v>31</v>
      </c>
      <c r="R2280" s="3">
        <v>10201.744000000001</v>
      </c>
    </row>
    <row r="2281" spans="1:18" x14ac:dyDescent="0.3">
      <c r="A2281" t="s">
        <v>11851</v>
      </c>
      <c r="B2281" t="str">
        <f>TEXT(Raw_Data[[#This Row],[Order Date]],"mmm")</f>
        <v>May</v>
      </c>
      <c r="C2281" t="s">
        <v>885</v>
      </c>
      <c r="D2281" t="s">
        <v>11852</v>
      </c>
      <c r="E2281" t="s">
        <v>48</v>
      </c>
      <c r="F2281" t="s">
        <v>89</v>
      </c>
      <c r="G2281" t="s">
        <v>99</v>
      </c>
      <c r="H2281" t="s">
        <v>154</v>
      </c>
      <c r="I2281" t="s">
        <v>237</v>
      </c>
      <c r="J2281" t="s">
        <v>25</v>
      </c>
      <c r="K2281" t="s">
        <v>11853</v>
      </c>
      <c r="L2281">
        <v>0.1</v>
      </c>
      <c r="M2281" t="s">
        <v>11854</v>
      </c>
      <c r="N2281" t="s">
        <v>11855</v>
      </c>
      <c r="O2281" t="s">
        <v>173</v>
      </c>
      <c r="P2281" t="s">
        <v>30</v>
      </c>
      <c r="Q2281" t="s">
        <v>65</v>
      </c>
      <c r="R2281" s="3">
        <v>2361.384</v>
      </c>
    </row>
    <row r="2282" spans="1:18" x14ac:dyDescent="0.3">
      <c r="A2282" t="s">
        <v>11856</v>
      </c>
      <c r="B2282" t="str">
        <f>TEXT(Raw_Data[[#This Row],[Order Date]],"mmm")</f>
        <v>Aug</v>
      </c>
      <c r="C2282" t="s">
        <v>1155</v>
      </c>
      <c r="D2282" t="s">
        <v>11857</v>
      </c>
      <c r="E2282" t="s">
        <v>48</v>
      </c>
      <c r="F2282" t="s">
        <v>69</v>
      </c>
      <c r="G2282" t="s">
        <v>328</v>
      </c>
      <c r="H2282" t="s">
        <v>23</v>
      </c>
      <c r="I2282" t="s">
        <v>341</v>
      </c>
      <c r="J2282" t="s">
        <v>50</v>
      </c>
      <c r="K2282" t="s">
        <v>11858</v>
      </c>
      <c r="L2282">
        <v>0.05</v>
      </c>
      <c r="M2282" t="s">
        <v>11859</v>
      </c>
      <c r="N2282" t="s">
        <v>11860</v>
      </c>
      <c r="O2282" t="s">
        <v>54</v>
      </c>
      <c r="P2282" t="s">
        <v>112</v>
      </c>
      <c r="Q2282" t="s">
        <v>31</v>
      </c>
      <c r="R2282" s="3">
        <v>122330.77800000001</v>
      </c>
    </row>
    <row r="2283" spans="1:18" x14ac:dyDescent="0.3">
      <c r="A2283" t="s">
        <v>11861</v>
      </c>
      <c r="B2283" t="str">
        <f>TEXT(Raw_Data[[#This Row],[Order Date]],"mmm")</f>
        <v>Feb</v>
      </c>
      <c r="C2283" t="s">
        <v>2676</v>
      </c>
      <c r="D2283" t="s">
        <v>11862</v>
      </c>
      <c r="E2283" t="s">
        <v>48</v>
      </c>
      <c r="F2283" t="s">
        <v>69</v>
      </c>
      <c r="G2283" t="s">
        <v>139</v>
      </c>
      <c r="H2283" t="s">
        <v>107</v>
      </c>
      <c r="I2283" t="s">
        <v>469</v>
      </c>
      <c r="J2283" t="s">
        <v>25</v>
      </c>
      <c r="K2283" t="s">
        <v>11863</v>
      </c>
      <c r="L2283">
        <v>0.15</v>
      </c>
      <c r="M2283" t="s">
        <v>11864</v>
      </c>
      <c r="N2283" t="s">
        <v>11865</v>
      </c>
      <c r="O2283" t="s">
        <v>173</v>
      </c>
      <c r="P2283" t="s">
        <v>30</v>
      </c>
      <c r="Q2283" t="s">
        <v>44</v>
      </c>
      <c r="R2283" s="3">
        <v>11206.5785</v>
      </c>
    </row>
    <row r="2284" spans="1:18" x14ac:dyDescent="0.3">
      <c r="A2284" t="s">
        <v>11866</v>
      </c>
      <c r="B2284" t="str">
        <f>TEXT(Raw_Data[[#This Row],[Order Date]],"mmm")</f>
        <v>Feb</v>
      </c>
      <c r="C2284" t="s">
        <v>3331</v>
      </c>
      <c r="D2284" t="s">
        <v>11867</v>
      </c>
      <c r="E2284" t="s">
        <v>20</v>
      </c>
      <c r="F2284" t="s">
        <v>78</v>
      </c>
      <c r="G2284" t="s">
        <v>468</v>
      </c>
      <c r="H2284" t="s">
        <v>23</v>
      </c>
      <c r="I2284" t="s">
        <v>341</v>
      </c>
      <c r="J2284" t="s">
        <v>50</v>
      </c>
      <c r="K2284" t="s">
        <v>11868</v>
      </c>
      <c r="L2284">
        <v>0</v>
      </c>
      <c r="M2284" t="s">
        <v>11869</v>
      </c>
      <c r="N2284" t="s">
        <v>11870</v>
      </c>
      <c r="O2284" t="s">
        <v>43</v>
      </c>
      <c r="P2284" t="s">
        <v>112</v>
      </c>
      <c r="Q2284" t="s">
        <v>65</v>
      </c>
      <c r="R2284" s="3">
        <v>85269.14</v>
      </c>
    </row>
    <row r="2285" spans="1:18" x14ac:dyDescent="0.3">
      <c r="A2285" t="s">
        <v>11871</v>
      </c>
      <c r="B2285" t="str">
        <f>TEXT(Raw_Data[[#This Row],[Order Date]],"mmm")</f>
        <v>Dec</v>
      </c>
      <c r="C2285" t="s">
        <v>786</v>
      </c>
      <c r="D2285" t="s">
        <v>11872</v>
      </c>
      <c r="E2285" t="s">
        <v>20</v>
      </c>
      <c r="F2285" t="s">
        <v>69</v>
      </c>
      <c r="G2285" t="s">
        <v>139</v>
      </c>
      <c r="H2285" t="s">
        <v>107</v>
      </c>
      <c r="I2285" t="s">
        <v>469</v>
      </c>
      <c r="J2285" t="s">
        <v>25</v>
      </c>
      <c r="K2285" t="s">
        <v>11873</v>
      </c>
      <c r="L2285">
        <v>0.1</v>
      </c>
      <c r="M2285" t="s">
        <v>11874</v>
      </c>
      <c r="N2285" t="s">
        <v>11875</v>
      </c>
      <c r="O2285" t="s">
        <v>173</v>
      </c>
      <c r="P2285" t="s">
        <v>112</v>
      </c>
      <c r="Q2285" t="s">
        <v>31</v>
      </c>
      <c r="R2285" s="3">
        <v>15007.958999999901</v>
      </c>
    </row>
    <row r="2286" spans="1:18" x14ac:dyDescent="0.3">
      <c r="A2286" t="s">
        <v>11876</v>
      </c>
      <c r="B2286" t="str">
        <f>TEXT(Raw_Data[[#This Row],[Order Date]],"mmm")</f>
        <v>Aug</v>
      </c>
      <c r="C2286" t="s">
        <v>1426</v>
      </c>
      <c r="D2286" t="s">
        <v>11877</v>
      </c>
      <c r="E2286" t="s">
        <v>48</v>
      </c>
      <c r="F2286" t="s">
        <v>36</v>
      </c>
      <c r="G2286" t="s">
        <v>196</v>
      </c>
      <c r="H2286" t="s">
        <v>107</v>
      </c>
      <c r="I2286" t="s">
        <v>277</v>
      </c>
      <c r="J2286" t="s">
        <v>25</v>
      </c>
      <c r="K2286" t="s">
        <v>11878</v>
      </c>
      <c r="L2286">
        <v>0.1</v>
      </c>
      <c r="M2286" t="s">
        <v>11879</v>
      </c>
      <c r="N2286" t="s">
        <v>11880</v>
      </c>
      <c r="O2286" t="s">
        <v>64</v>
      </c>
      <c r="P2286" t="s">
        <v>30</v>
      </c>
      <c r="Q2286" t="s">
        <v>44</v>
      </c>
      <c r="R2286" s="3">
        <v>9130.9949999999899</v>
      </c>
    </row>
    <row r="2287" spans="1:18" x14ac:dyDescent="0.3">
      <c r="A2287" t="s">
        <v>11881</v>
      </c>
      <c r="B2287" t="str">
        <f>TEXT(Raw_Data[[#This Row],[Order Date]],"mmm")</f>
        <v>Feb</v>
      </c>
      <c r="C2287" t="s">
        <v>2676</v>
      </c>
      <c r="D2287" t="s">
        <v>11882</v>
      </c>
      <c r="E2287" t="s">
        <v>20</v>
      </c>
      <c r="F2287" t="s">
        <v>58</v>
      </c>
      <c r="G2287" t="s">
        <v>59</v>
      </c>
      <c r="H2287" t="s">
        <v>80</v>
      </c>
      <c r="I2287" t="s">
        <v>131</v>
      </c>
      <c r="J2287" t="s">
        <v>25</v>
      </c>
      <c r="K2287" t="s">
        <v>11883</v>
      </c>
      <c r="L2287">
        <v>0.1</v>
      </c>
      <c r="M2287" t="s">
        <v>11884</v>
      </c>
      <c r="N2287" t="s">
        <v>11885</v>
      </c>
      <c r="O2287" t="s">
        <v>54</v>
      </c>
      <c r="P2287" t="s">
        <v>30</v>
      </c>
      <c r="Q2287" t="s">
        <v>44</v>
      </c>
      <c r="R2287" s="3">
        <v>5912.3339999999998</v>
      </c>
    </row>
    <row r="2288" spans="1:18" x14ac:dyDescent="0.3">
      <c r="A2288" t="s">
        <v>11886</v>
      </c>
      <c r="B2288" t="str">
        <f>TEXT(Raw_Data[[#This Row],[Order Date]],"mmm")</f>
        <v>Jan</v>
      </c>
      <c r="C2288" t="s">
        <v>261</v>
      </c>
      <c r="D2288" t="s">
        <v>11887</v>
      </c>
      <c r="E2288" t="s">
        <v>35</v>
      </c>
      <c r="F2288" t="s">
        <v>106</v>
      </c>
      <c r="G2288" t="s">
        <v>163</v>
      </c>
      <c r="H2288" t="s">
        <v>38</v>
      </c>
      <c r="I2288" t="s">
        <v>71</v>
      </c>
      <c r="J2288" t="s">
        <v>25</v>
      </c>
      <c r="K2288" t="s">
        <v>11888</v>
      </c>
      <c r="L2288">
        <v>0</v>
      </c>
      <c r="M2288" t="s">
        <v>11889</v>
      </c>
      <c r="N2288" t="s">
        <v>11890</v>
      </c>
      <c r="O2288" t="s">
        <v>54</v>
      </c>
      <c r="P2288" t="s">
        <v>159</v>
      </c>
      <c r="Q2288" t="s">
        <v>65</v>
      </c>
      <c r="R2288" s="3">
        <v>1328.07</v>
      </c>
    </row>
    <row r="2289" spans="1:18" x14ac:dyDescent="0.3">
      <c r="A2289" t="s">
        <v>11891</v>
      </c>
      <c r="B2289" t="str">
        <f>TEXT(Raw_Data[[#This Row],[Order Date]],"mmm")</f>
        <v>Sep</v>
      </c>
      <c r="C2289" t="s">
        <v>401</v>
      </c>
      <c r="D2289" t="s">
        <v>11892</v>
      </c>
      <c r="E2289" t="s">
        <v>20</v>
      </c>
      <c r="F2289" t="s">
        <v>21</v>
      </c>
      <c r="G2289" t="s">
        <v>130</v>
      </c>
      <c r="H2289" t="s">
        <v>154</v>
      </c>
      <c r="I2289" t="s">
        <v>1061</v>
      </c>
      <c r="J2289" t="s">
        <v>25</v>
      </c>
      <c r="K2289" t="s">
        <v>11893</v>
      </c>
      <c r="L2289">
        <v>0.1</v>
      </c>
      <c r="M2289" t="s">
        <v>11894</v>
      </c>
      <c r="N2289" t="s">
        <v>11895</v>
      </c>
      <c r="O2289" t="s">
        <v>29</v>
      </c>
      <c r="P2289" t="s">
        <v>112</v>
      </c>
      <c r="Q2289" t="s">
        <v>65</v>
      </c>
      <c r="R2289" s="3">
        <v>3324.645</v>
      </c>
    </row>
    <row r="2290" spans="1:18" x14ac:dyDescent="0.3">
      <c r="A2290" t="s">
        <v>11896</v>
      </c>
      <c r="B2290" t="str">
        <f>TEXT(Raw_Data[[#This Row],[Order Date]],"mmm")</f>
        <v>Aug</v>
      </c>
      <c r="C2290" t="s">
        <v>971</v>
      </c>
      <c r="D2290" t="s">
        <v>11897</v>
      </c>
      <c r="E2290" t="s">
        <v>35</v>
      </c>
      <c r="F2290" t="s">
        <v>89</v>
      </c>
      <c r="G2290" t="s">
        <v>90</v>
      </c>
      <c r="H2290" t="s">
        <v>23</v>
      </c>
      <c r="I2290" t="s">
        <v>49</v>
      </c>
      <c r="J2290" t="s">
        <v>100</v>
      </c>
      <c r="K2290" t="s">
        <v>11898</v>
      </c>
      <c r="L2290">
        <v>0.05</v>
      </c>
      <c r="M2290" t="s">
        <v>11899</v>
      </c>
      <c r="N2290" t="s">
        <v>11900</v>
      </c>
      <c r="O2290" t="s">
        <v>64</v>
      </c>
      <c r="P2290" t="s">
        <v>30</v>
      </c>
      <c r="Q2290" t="s">
        <v>65</v>
      </c>
      <c r="R2290" s="3">
        <v>197262.03749999899</v>
      </c>
    </row>
    <row r="2291" spans="1:18" x14ac:dyDescent="0.3">
      <c r="A2291" t="s">
        <v>11901</v>
      </c>
      <c r="B2291" t="str">
        <f>TEXT(Raw_Data[[#This Row],[Order Date]],"mmm")</f>
        <v>Nov</v>
      </c>
      <c r="C2291" t="s">
        <v>4633</v>
      </c>
      <c r="D2291" t="s">
        <v>11902</v>
      </c>
      <c r="E2291" t="s">
        <v>48</v>
      </c>
      <c r="F2291" t="s">
        <v>106</v>
      </c>
      <c r="G2291" t="s">
        <v>163</v>
      </c>
      <c r="H2291" t="s">
        <v>107</v>
      </c>
      <c r="I2291" t="s">
        <v>378</v>
      </c>
      <c r="J2291" t="s">
        <v>50</v>
      </c>
      <c r="K2291" t="s">
        <v>11903</v>
      </c>
      <c r="L2291">
        <v>0</v>
      </c>
      <c r="M2291" t="s">
        <v>11904</v>
      </c>
      <c r="N2291" t="s">
        <v>11905</v>
      </c>
      <c r="O2291" t="s">
        <v>29</v>
      </c>
      <c r="P2291" t="s">
        <v>30</v>
      </c>
      <c r="Q2291" t="s">
        <v>44</v>
      </c>
      <c r="R2291" s="3">
        <v>10968.74</v>
      </c>
    </row>
    <row r="2292" spans="1:18" x14ac:dyDescent="0.3">
      <c r="A2292" t="s">
        <v>11906</v>
      </c>
      <c r="B2292" t="str">
        <f>TEXT(Raw_Data[[#This Row],[Order Date]],"mmm")</f>
        <v>Apr</v>
      </c>
      <c r="C2292" t="s">
        <v>97</v>
      </c>
      <c r="D2292" t="s">
        <v>11907</v>
      </c>
      <c r="E2292" t="s">
        <v>20</v>
      </c>
      <c r="F2292" t="s">
        <v>69</v>
      </c>
      <c r="G2292" t="s">
        <v>328</v>
      </c>
      <c r="H2292" t="s">
        <v>154</v>
      </c>
      <c r="I2292" t="s">
        <v>309</v>
      </c>
      <c r="J2292" t="s">
        <v>50</v>
      </c>
      <c r="K2292" t="s">
        <v>11908</v>
      </c>
      <c r="L2292">
        <v>0.1</v>
      </c>
      <c r="M2292" t="s">
        <v>11909</v>
      </c>
      <c r="N2292" t="s">
        <v>11910</v>
      </c>
      <c r="O2292" t="s">
        <v>173</v>
      </c>
      <c r="P2292" t="s">
        <v>30</v>
      </c>
      <c r="Q2292" t="s">
        <v>44</v>
      </c>
      <c r="R2292" s="3">
        <v>12366.755999999999</v>
      </c>
    </row>
    <row r="2293" spans="1:18" x14ac:dyDescent="0.3">
      <c r="A2293" t="s">
        <v>11911</v>
      </c>
      <c r="B2293" t="str">
        <f>TEXT(Raw_Data[[#This Row],[Order Date]],"mmm")</f>
        <v>Jun</v>
      </c>
      <c r="C2293" t="s">
        <v>1251</v>
      </c>
      <c r="D2293" t="s">
        <v>11912</v>
      </c>
      <c r="E2293" t="s">
        <v>20</v>
      </c>
      <c r="F2293" t="s">
        <v>215</v>
      </c>
      <c r="G2293" t="s">
        <v>276</v>
      </c>
      <c r="H2293" t="s">
        <v>23</v>
      </c>
      <c r="I2293" t="s">
        <v>24</v>
      </c>
      <c r="J2293" t="s">
        <v>50</v>
      </c>
      <c r="K2293" t="s">
        <v>11913</v>
      </c>
      <c r="L2293">
        <v>0.1</v>
      </c>
      <c r="M2293" t="s">
        <v>11914</v>
      </c>
      <c r="N2293" t="s">
        <v>11915</v>
      </c>
      <c r="O2293" t="s">
        <v>29</v>
      </c>
      <c r="P2293" t="s">
        <v>30</v>
      </c>
      <c r="Q2293" t="s">
        <v>44</v>
      </c>
      <c r="R2293" s="3">
        <v>110723.04</v>
      </c>
    </row>
    <row r="2294" spans="1:18" x14ac:dyDescent="0.3">
      <c r="A2294" t="s">
        <v>11916</v>
      </c>
      <c r="B2294" t="str">
        <f>TEXT(Raw_Data[[#This Row],[Order Date]],"mmm")</f>
        <v>Mar</v>
      </c>
      <c r="C2294" t="s">
        <v>2180</v>
      </c>
      <c r="D2294" t="s">
        <v>11917</v>
      </c>
      <c r="E2294" t="s">
        <v>48</v>
      </c>
      <c r="F2294" t="s">
        <v>215</v>
      </c>
      <c r="G2294" t="s">
        <v>216</v>
      </c>
      <c r="H2294" t="s">
        <v>38</v>
      </c>
      <c r="I2294" t="s">
        <v>39</v>
      </c>
      <c r="J2294" t="s">
        <v>25</v>
      </c>
      <c r="K2294" t="s">
        <v>11918</v>
      </c>
      <c r="L2294">
        <v>0.1</v>
      </c>
      <c r="M2294" t="s">
        <v>11919</v>
      </c>
      <c r="N2294" t="s">
        <v>11920</v>
      </c>
      <c r="O2294" t="s">
        <v>2763</v>
      </c>
      <c r="P2294" t="s">
        <v>30</v>
      </c>
      <c r="Q2294" t="s">
        <v>44</v>
      </c>
      <c r="R2294" s="3">
        <v>5037.2460000000001</v>
      </c>
    </row>
    <row r="2295" spans="1:18" x14ac:dyDescent="0.3">
      <c r="A2295" t="s">
        <v>11921</v>
      </c>
      <c r="B2295" t="str">
        <f>TEXT(Raw_Data[[#This Row],[Order Date]],"mmm")</f>
        <v>Jul</v>
      </c>
      <c r="C2295" t="s">
        <v>2261</v>
      </c>
      <c r="D2295" t="s">
        <v>11922</v>
      </c>
      <c r="E2295" t="s">
        <v>20</v>
      </c>
      <c r="F2295" t="s">
        <v>106</v>
      </c>
      <c r="G2295" t="s">
        <v>163</v>
      </c>
      <c r="H2295" t="s">
        <v>38</v>
      </c>
      <c r="I2295" t="s">
        <v>71</v>
      </c>
      <c r="J2295" t="s">
        <v>25</v>
      </c>
      <c r="K2295" t="s">
        <v>11923</v>
      </c>
      <c r="L2295">
        <v>0.05</v>
      </c>
      <c r="M2295" t="s">
        <v>11924</v>
      </c>
      <c r="N2295" t="s">
        <v>11925</v>
      </c>
      <c r="O2295" t="s">
        <v>54</v>
      </c>
      <c r="P2295" t="s">
        <v>112</v>
      </c>
      <c r="Q2295" t="s">
        <v>65</v>
      </c>
      <c r="R2295" s="3">
        <v>515.33699999999999</v>
      </c>
    </row>
    <row r="2296" spans="1:18" x14ac:dyDescent="0.3">
      <c r="A2296" t="s">
        <v>11926</v>
      </c>
      <c r="B2296" t="str">
        <f>TEXT(Raw_Data[[#This Row],[Order Date]],"mmm")</f>
        <v>Apr</v>
      </c>
      <c r="C2296" t="s">
        <v>1466</v>
      </c>
      <c r="D2296" t="s">
        <v>11927</v>
      </c>
      <c r="E2296" t="s">
        <v>48</v>
      </c>
      <c r="F2296" t="s">
        <v>106</v>
      </c>
      <c r="G2296" t="s">
        <v>106</v>
      </c>
      <c r="H2296" t="s">
        <v>80</v>
      </c>
      <c r="I2296" t="s">
        <v>91</v>
      </c>
      <c r="J2296" t="s">
        <v>50</v>
      </c>
      <c r="K2296" t="s">
        <v>11928</v>
      </c>
      <c r="L2296">
        <v>0</v>
      </c>
      <c r="M2296" t="s">
        <v>11929</v>
      </c>
      <c r="N2296" t="s">
        <v>11930</v>
      </c>
      <c r="O2296" t="s">
        <v>29</v>
      </c>
      <c r="P2296" t="s">
        <v>30</v>
      </c>
      <c r="Q2296" t="s">
        <v>31</v>
      </c>
      <c r="R2296" s="3">
        <v>9954.0400000000009</v>
      </c>
    </row>
    <row r="2297" spans="1:18" x14ac:dyDescent="0.3">
      <c r="A2297" t="s">
        <v>11931</v>
      </c>
      <c r="B2297" t="str">
        <f>TEXT(Raw_Data[[#This Row],[Order Date]],"mmm")</f>
        <v>May</v>
      </c>
      <c r="C2297" t="s">
        <v>4840</v>
      </c>
      <c r="D2297" t="s">
        <v>11932</v>
      </c>
      <c r="E2297" t="s">
        <v>20</v>
      </c>
      <c r="F2297" t="s">
        <v>89</v>
      </c>
      <c r="G2297" t="s">
        <v>99</v>
      </c>
      <c r="H2297" t="s">
        <v>38</v>
      </c>
      <c r="I2297" t="s">
        <v>60</v>
      </c>
      <c r="J2297" t="s">
        <v>25</v>
      </c>
      <c r="K2297" t="s">
        <v>11933</v>
      </c>
      <c r="L2297">
        <v>0.1</v>
      </c>
      <c r="M2297" t="s">
        <v>11934</v>
      </c>
      <c r="N2297" t="s">
        <v>11935</v>
      </c>
      <c r="O2297" t="s">
        <v>173</v>
      </c>
      <c r="P2297" t="s">
        <v>30</v>
      </c>
      <c r="Q2297" t="s">
        <v>44</v>
      </c>
      <c r="R2297" s="3">
        <v>2538.4679999999998</v>
      </c>
    </row>
    <row r="2298" spans="1:18" x14ac:dyDescent="0.3">
      <c r="A2298" t="s">
        <v>11936</v>
      </c>
      <c r="B2298" t="str">
        <f>TEXT(Raw_Data[[#This Row],[Order Date]],"mmm")</f>
        <v>Jun</v>
      </c>
      <c r="C2298" t="s">
        <v>3263</v>
      </c>
      <c r="D2298" t="s">
        <v>11937</v>
      </c>
      <c r="E2298" t="s">
        <v>48</v>
      </c>
      <c r="F2298" t="s">
        <v>215</v>
      </c>
      <c r="G2298" t="s">
        <v>276</v>
      </c>
      <c r="H2298" t="s">
        <v>154</v>
      </c>
      <c r="I2298" t="s">
        <v>309</v>
      </c>
      <c r="J2298" t="s">
        <v>50</v>
      </c>
      <c r="K2298" t="s">
        <v>11938</v>
      </c>
      <c r="L2298">
        <v>0</v>
      </c>
      <c r="M2298" t="s">
        <v>11939</v>
      </c>
      <c r="N2298" t="s">
        <v>11940</v>
      </c>
      <c r="O2298" t="s">
        <v>54</v>
      </c>
      <c r="P2298" t="s">
        <v>159</v>
      </c>
      <c r="Q2298" t="s">
        <v>31</v>
      </c>
      <c r="R2298" s="3">
        <v>9848.68</v>
      </c>
    </row>
    <row r="2299" spans="1:18" x14ac:dyDescent="0.3">
      <c r="A2299" t="s">
        <v>11941</v>
      </c>
      <c r="B2299" t="str">
        <f>TEXT(Raw_Data[[#This Row],[Order Date]],"mmm")</f>
        <v>Sep</v>
      </c>
      <c r="C2299" t="s">
        <v>401</v>
      </c>
      <c r="D2299" t="s">
        <v>11942</v>
      </c>
      <c r="E2299" t="s">
        <v>35</v>
      </c>
      <c r="F2299" t="s">
        <v>89</v>
      </c>
      <c r="G2299" t="s">
        <v>99</v>
      </c>
      <c r="H2299" t="s">
        <v>107</v>
      </c>
      <c r="I2299" t="s">
        <v>378</v>
      </c>
      <c r="J2299" t="s">
        <v>50</v>
      </c>
      <c r="K2299" t="s">
        <v>11943</v>
      </c>
      <c r="L2299">
        <v>0.15</v>
      </c>
      <c r="M2299" t="s">
        <v>11944</v>
      </c>
      <c r="N2299" t="s">
        <v>11945</v>
      </c>
      <c r="O2299" t="s">
        <v>173</v>
      </c>
      <c r="P2299" t="s">
        <v>30</v>
      </c>
      <c r="Q2299" t="s">
        <v>65</v>
      </c>
      <c r="R2299" s="3">
        <v>2442.5940000000001</v>
      </c>
    </row>
    <row r="2300" spans="1:18" x14ac:dyDescent="0.3">
      <c r="A2300" t="s">
        <v>11946</v>
      </c>
      <c r="B2300" t="str">
        <f>TEXT(Raw_Data[[#This Row],[Order Date]],"mmm")</f>
        <v>Nov</v>
      </c>
      <c r="C2300" t="s">
        <v>4633</v>
      </c>
      <c r="D2300" t="s">
        <v>11947</v>
      </c>
      <c r="E2300" t="s">
        <v>20</v>
      </c>
      <c r="F2300" t="s">
        <v>21</v>
      </c>
      <c r="G2300" t="s">
        <v>22</v>
      </c>
      <c r="H2300" t="s">
        <v>38</v>
      </c>
      <c r="I2300" t="s">
        <v>60</v>
      </c>
      <c r="J2300" t="s">
        <v>100</v>
      </c>
      <c r="K2300" t="s">
        <v>11948</v>
      </c>
      <c r="L2300">
        <v>0.2</v>
      </c>
      <c r="M2300" t="s">
        <v>11949</v>
      </c>
      <c r="N2300" t="s">
        <v>11950</v>
      </c>
      <c r="O2300" t="s">
        <v>173</v>
      </c>
      <c r="P2300" t="s">
        <v>30</v>
      </c>
      <c r="Q2300" t="s">
        <v>65</v>
      </c>
      <c r="R2300" s="3">
        <v>11035.368</v>
      </c>
    </row>
    <row r="2301" spans="1:18" x14ac:dyDescent="0.3">
      <c r="A2301" t="s">
        <v>11951</v>
      </c>
      <c r="B2301" t="str">
        <f>TEXT(Raw_Data[[#This Row],[Order Date]],"mmm")</f>
        <v>Sep</v>
      </c>
      <c r="C2301" t="s">
        <v>834</v>
      </c>
      <c r="D2301" t="s">
        <v>11952</v>
      </c>
      <c r="E2301" t="s">
        <v>48</v>
      </c>
      <c r="F2301" t="s">
        <v>78</v>
      </c>
      <c r="G2301" t="s">
        <v>468</v>
      </c>
      <c r="H2301" t="s">
        <v>107</v>
      </c>
      <c r="I2301" t="s">
        <v>469</v>
      </c>
      <c r="J2301" t="s">
        <v>25</v>
      </c>
      <c r="K2301" t="s">
        <v>11953</v>
      </c>
      <c r="L2301">
        <v>0.1</v>
      </c>
      <c r="M2301" t="s">
        <v>11954</v>
      </c>
      <c r="N2301" t="s">
        <v>11955</v>
      </c>
      <c r="O2301" t="s">
        <v>64</v>
      </c>
      <c r="P2301" t="s">
        <v>112</v>
      </c>
      <c r="Q2301" t="s">
        <v>65</v>
      </c>
      <c r="R2301" s="3">
        <v>6048.4859999999999</v>
      </c>
    </row>
    <row r="2302" spans="1:18" x14ac:dyDescent="0.3">
      <c r="A2302" t="s">
        <v>11956</v>
      </c>
      <c r="B2302" t="str">
        <f>TEXT(Raw_Data[[#This Row],[Order Date]],"mmm")</f>
        <v>Feb</v>
      </c>
      <c r="C2302" t="s">
        <v>2133</v>
      </c>
      <c r="D2302" t="s">
        <v>11957</v>
      </c>
      <c r="E2302" t="s">
        <v>20</v>
      </c>
      <c r="F2302" t="s">
        <v>58</v>
      </c>
      <c r="G2302" t="s">
        <v>290</v>
      </c>
      <c r="H2302" t="s">
        <v>80</v>
      </c>
      <c r="I2302" t="s">
        <v>116</v>
      </c>
      <c r="J2302" t="s">
        <v>100</v>
      </c>
      <c r="K2302" t="s">
        <v>11958</v>
      </c>
      <c r="L2302">
        <v>0.15</v>
      </c>
      <c r="M2302" t="s">
        <v>11959</v>
      </c>
      <c r="N2302" t="s">
        <v>11960</v>
      </c>
      <c r="O2302" t="s">
        <v>173</v>
      </c>
      <c r="P2302" t="s">
        <v>30</v>
      </c>
      <c r="Q2302" t="s">
        <v>65</v>
      </c>
      <c r="R2302" s="3">
        <v>13099.477500000001</v>
      </c>
    </row>
    <row r="2303" spans="1:18" x14ac:dyDescent="0.3">
      <c r="A2303" t="s">
        <v>11961</v>
      </c>
      <c r="B2303" t="str">
        <f>TEXT(Raw_Data[[#This Row],[Order Date]],"mmm")</f>
        <v>Jul</v>
      </c>
      <c r="C2303" t="s">
        <v>2305</v>
      </c>
      <c r="D2303" t="s">
        <v>11962</v>
      </c>
      <c r="E2303" t="s">
        <v>20</v>
      </c>
      <c r="F2303" t="s">
        <v>106</v>
      </c>
      <c r="G2303" t="s">
        <v>163</v>
      </c>
      <c r="H2303" t="s">
        <v>23</v>
      </c>
      <c r="I2303" t="s">
        <v>263</v>
      </c>
      <c r="J2303" t="s">
        <v>25</v>
      </c>
      <c r="K2303" t="s">
        <v>11963</v>
      </c>
      <c r="L2303">
        <v>0.1</v>
      </c>
      <c r="M2303" t="s">
        <v>11964</v>
      </c>
      <c r="N2303" t="s">
        <v>11965</v>
      </c>
      <c r="O2303" t="s">
        <v>54</v>
      </c>
      <c r="P2303" t="s">
        <v>30</v>
      </c>
      <c r="Q2303" t="s">
        <v>65</v>
      </c>
      <c r="R2303" s="3">
        <v>26869.103999999999</v>
      </c>
    </row>
    <row r="2304" spans="1:18" x14ac:dyDescent="0.3">
      <c r="A2304" t="s">
        <v>11966</v>
      </c>
      <c r="B2304" t="str">
        <f>TEXT(Raw_Data[[#This Row],[Order Date]],"mmm")</f>
        <v>Sep</v>
      </c>
      <c r="C2304" t="s">
        <v>2824</v>
      </c>
      <c r="D2304" t="s">
        <v>11967</v>
      </c>
      <c r="E2304" t="s">
        <v>35</v>
      </c>
      <c r="F2304" t="s">
        <v>58</v>
      </c>
      <c r="G2304" t="s">
        <v>59</v>
      </c>
      <c r="H2304" t="s">
        <v>23</v>
      </c>
      <c r="I2304" t="s">
        <v>183</v>
      </c>
      <c r="J2304" t="s">
        <v>25</v>
      </c>
      <c r="K2304" t="s">
        <v>11968</v>
      </c>
      <c r="L2304">
        <v>0.1</v>
      </c>
      <c r="M2304" t="s">
        <v>11969</v>
      </c>
      <c r="N2304" t="s">
        <v>11970</v>
      </c>
      <c r="O2304" t="s">
        <v>54</v>
      </c>
      <c r="P2304" t="s">
        <v>30</v>
      </c>
      <c r="Q2304" t="s">
        <v>44</v>
      </c>
      <c r="R2304" s="3">
        <v>45959.535000000003</v>
      </c>
    </row>
    <row r="2305" spans="1:18" x14ac:dyDescent="0.3">
      <c r="A2305" t="s">
        <v>11971</v>
      </c>
      <c r="B2305" t="str">
        <f>TEXT(Raw_Data[[#This Row],[Order Date]],"mmm")</f>
        <v>Apr</v>
      </c>
      <c r="C2305" t="s">
        <v>454</v>
      </c>
      <c r="D2305" t="s">
        <v>11972</v>
      </c>
      <c r="E2305" t="s">
        <v>48</v>
      </c>
      <c r="F2305" t="s">
        <v>89</v>
      </c>
      <c r="G2305" t="s">
        <v>99</v>
      </c>
      <c r="H2305" t="s">
        <v>23</v>
      </c>
      <c r="I2305" t="s">
        <v>263</v>
      </c>
      <c r="J2305" t="s">
        <v>25</v>
      </c>
      <c r="K2305" t="s">
        <v>11973</v>
      </c>
      <c r="L2305">
        <v>0.05</v>
      </c>
      <c r="M2305" t="s">
        <v>11974</v>
      </c>
      <c r="N2305" t="s">
        <v>11975</v>
      </c>
      <c r="O2305" t="s">
        <v>54</v>
      </c>
      <c r="P2305" t="s">
        <v>30</v>
      </c>
      <c r="Q2305" t="s">
        <v>65</v>
      </c>
      <c r="R2305" s="3">
        <v>6612.95</v>
      </c>
    </row>
    <row r="2306" spans="1:18" x14ac:dyDescent="0.3">
      <c r="A2306" t="s">
        <v>11976</v>
      </c>
      <c r="B2306" t="str">
        <f>TEXT(Raw_Data[[#This Row],[Order Date]],"mmm")</f>
        <v>Sep</v>
      </c>
      <c r="C2306" t="s">
        <v>2569</v>
      </c>
      <c r="D2306" t="s">
        <v>11977</v>
      </c>
      <c r="E2306" t="s">
        <v>20</v>
      </c>
      <c r="F2306" t="s">
        <v>89</v>
      </c>
      <c r="G2306" t="s">
        <v>99</v>
      </c>
      <c r="H2306" t="s">
        <v>38</v>
      </c>
      <c r="I2306" t="s">
        <v>71</v>
      </c>
      <c r="J2306" t="s">
        <v>50</v>
      </c>
      <c r="K2306" t="s">
        <v>11978</v>
      </c>
      <c r="L2306">
        <v>0</v>
      </c>
      <c r="M2306" t="s">
        <v>11979</v>
      </c>
      <c r="N2306" t="s">
        <v>11980</v>
      </c>
      <c r="O2306" t="s">
        <v>173</v>
      </c>
      <c r="P2306" t="s">
        <v>30</v>
      </c>
      <c r="Q2306" t="s">
        <v>44</v>
      </c>
      <c r="R2306" s="3">
        <v>7019.98</v>
      </c>
    </row>
    <row r="2307" spans="1:18" x14ac:dyDescent="0.3">
      <c r="A2307" t="s">
        <v>11981</v>
      </c>
      <c r="B2307" t="str">
        <f>TEXT(Raw_Data[[#This Row],[Order Date]],"mmm")</f>
        <v>Sep</v>
      </c>
      <c r="C2307" t="s">
        <v>4639</v>
      </c>
      <c r="D2307" t="s">
        <v>11982</v>
      </c>
      <c r="E2307" t="s">
        <v>20</v>
      </c>
      <c r="F2307" t="s">
        <v>89</v>
      </c>
      <c r="G2307" t="s">
        <v>230</v>
      </c>
      <c r="H2307" t="s">
        <v>23</v>
      </c>
      <c r="I2307" t="s">
        <v>183</v>
      </c>
      <c r="J2307" t="s">
        <v>25</v>
      </c>
      <c r="K2307" t="s">
        <v>11983</v>
      </c>
      <c r="L2307">
        <v>0.2</v>
      </c>
      <c r="M2307" t="s">
        <v>11984</v>
      </c>
      <c r="N2307" t="s">
        <v>11985</v>
      </c>
      <c r="O2307" t="s">
        <v>54</v>
      </c>
      <c r="P2307" t="s">
        <v>30</v>
      </c>
      <c r="Q2307" t="s">
        <v>31</v>
      </c>
      <c r="R2307" s="3">
        <v>29383.768</v>
      </c>
    </row>
    <row r="2308" spans="1:18" x14ac:dyDescent="0.3">
      <c r="A2308" t="s">
        <v>11986</v>
      </c>
      <c r="B2308" t="str">
        <f>TEXT(Raw_Data[[#This Row],[Order Date]],"mmm")</f>
        <v>May</v>
      </c>
      <c r="C2308" t="s">
        <v>144</v>
      </c>
      <c r="D2308" t="s">
        <v>11987</v>
      </c>
      <c r="E2308" t="s">
        <v>35</v>
      </c>
      <c r="F2308" t="s">
        <v>69</v>
      </c>
      <c r="G2308" t="s">
        <v>328</v>
      </c>
      <c r="H2308" t="s">
        <v>107</v>
      </c>
      <c r="I2308" t="s">
        <v>378</v>
      </c>
      <c r="J2308" t="s">
        <v>82</v>
      </c>
      <c r="K2308" t="s">
        <v>11988</v>
      </c>
      <c r="L2308">
        <v>0.1</v>
      </c>
      <c r="M2308" t="s">
        <v>11989</v>
      </c>
      <c r="N2308" t="s">
        <v>11990</v>
      </c>
      <c r="O2308" t="s">
        <v>43</v>
      </c>
      <c r="P2308" t="s">
        <v>30</v>
      </c>
      <c r="Q2308" t="s">
        <v>31</v>
      </c>
      <c r="R2308" s="3">
        <v>50186.411999999997</v>
      </c>
    </row>
    <row r="2309" spans="1:18" x14ac:dyDescent="0.3">
      <c r="A2309" t="s">
        <v>11991</v>
      </c>
      <c r="B2309" t="str">
        <f>TEXT(Raw_Data[[#This Row],[Order Date]],"mmm")</f>
        <v>Sep</v>
      </c>
      <c r="C2309" t="s">
        <v>4639</v>
      </c>
      <c r="D2309" t="s">
        <v>11992</v>
      </c>
      <c r="E2309" t="s">
        <v>20</v>
      </c>
      <c r="F2309" t="s">
        <v>21</v>
      </c>
      <c r="G2309" t="s">
        <v>22</v>
      </c>
      <c r="H2309" t="s">
        <v>154</v>
      </c>
      <c r="I2309" t="s">
        <v>309</v>
      </c>
      <c r="J2309" t="s">
        <v>50</v>
      </c>
      <c r="K2309" t="s">
        <v>11993</v>
      </c>
      <c r="L2309">
        <v>0.05</v>
      </c>
      <c r="M2309" t="s">
        <v>11994</v>
      </c>
      <c r="N2309" t="s">
        <v>11995</v>
      </c>
      <c r="O2309" t="s">
        <v>29</v>
      </c>
      <c r="P2309" t="s">
        <v>30</v>
      </c>
      <c r="Q2309" t="s">
        <v>44</v>
      </c>
      <c r="R2309" s="3">
        <v>13779.731</v>
      </c>
    </row>
    <row r="2310" spans="1:18" x14ac:dyDescent="0.3">
      <c r="A2310" t="s">
        <v>11996</v>
      </c>
      <c r="B2310" t="str">
        <f>TEXT(Raw_Data[[#This Row],[Order Date]],"mmm")</f>
        <v>Nov</v>
      </c>
      <c r="C2310" t="s">
        <v>2710</v>
      </c>
      <c r="D2310" t="s">
        <v>11997</v>
      </c>
      <c r="E2310" t="s">
        <v>20</v>
      </c>
      <c r="F2310" t="s">
        <v>58</v>
      </c>
      <c r="G2310" t="s">
        <v>59</v>
      </c>
      <c r="H2310" t="s">
        <v>80</v>
      </c>
      <c r="I2310" t="s">
        <v>81</v>
      </c>
      <c r="J2310" t="s">
        <v>100</v>
      </c>
      <c r="K2310" t="s">
        <v>11998</v>
      </c>
      <c r="L2310">
        <v>0.15</v>
      </c>
      <c r="M2310" t="s">
        <v>11999</v>
      </c>
      <c r="N2310" t="s">
        <v>12000</v>
      </c>
      <c r="O2310" t="s">
        <v>29</v>
      </c>
      <c r="P2310" t="s">
        <v>112</v>
      </c>
      <c r="Q2310" t="s">
        <v>44</v>
      </c>
      <c r="R2310" s="3">
        <v>8332.3035</v>
      </c>
    </row>
    <row r="2311" spans="1:18" x14ac:dyDescent="0.3">
      <c r="A2311" t="s">
        <v>12001</v>
      </c>
      <c r="B2311" t="str">
        <f>TEXT(Raw_Data[[#This Row],[Order Date]],"mmm")</f>
        <v>Nov</v>
      </c>
      <c r="C2311" t="s">
        <v>221</v>
      </c>
      <c r="D2311" t="s">
        <v>12002</v>
      </c>
      <c r="E2311" t="s">
        <v>20</v>
      </c>
      <c r="F2311" t="s">
        <v>36</v>
      </c>
      <c r="G2311" t="s">
        <v>196</v>
      </c>
      <c r="H2311" t="s">
        <v>38</v>
      </c>
      <c r="I2311" t="s">
        <v>60</v>
      </c>
      <c r="J2311" t="s">
        <v>25</v>
      </c>
      <c r="K2311" t="s">
        <v>12003</v>
      </c>
      <c r="L2311">
        <v>0.1</v>
      </c>
      <c r="M2311" t="s">
        <v>12004</v>
      </c>
      <c r="N2311" t="s">
        <v>12005</v>
      </c>
      <c r="O2311" t="s">
        <v>29</v>
      </c>
      <c r="P2311" t="s">
        <v>30</v>
      </c>
      <c r="Q2311" t="s">
        <v>44</v>
      </c>
      <c r="R2311" s="3">
        <v>1499.5709999999999</v>
      </c>
    </row>
    <row r="2312" spans="1:18" x14ac:dyDescent="0.3">
      <c r="A2312" t="s">
        <v>12006</v>
      </c>
      <c r="B2312" t="str">
        <f>TEXT(Raw_Data[[#This Row],[Order Date]],"mmm")</f>
        <v>Jan</v>
      </c>
      <c r="C2312" t="s">
        <v>7494</v>
      </c>
      <c r="D2312" t="s">
        <v>12007</v>
      </c>
      <c r="E2312" t="s">
        <v>35</v>
      </c>
      <c r="F2312" t="s">
        <v>215</v>
      </c>
      <c r="G2312" t="s">
        <v>216</v>
      </c>
      <c r="H2312" t="s">
        <v>23</v>
      </c>
      <c r="I2312" t="s">
        <v>263</v>
      </c>
      <c r="J2312" t="s">
        <v>82</v>
      </c>
      <c r="K2312" t="s">
        <v>12008</v>
      </c>
      <c r="L2312">
        <v>0</v>
      </c>
      <c r="M2312" t="s">
        <v>12009</v>
      </c>
      <c r="N2312" t="s">
        <v>12010</v>
      </c>
      <c r="O2312" t="s">
        <v>54</v>
      </c>
      <c r="P2312" t="s">
        <v>112</v>
      </c>
      <c r="Q2312" t="s">
        <v>44</v>
      </c>
      <c r="R2312" s="3">
        <v>80437.279999999999</v>
      </c>
    </row>
    <row r="2313" spans="1:18" x14ac:dyDescent="0.3">
      <c r="A2313" t="s">
        <v>12011</v>
      </c>
      <c r="B2313" t="str">
        <f>TEXT(Raw_Data[[#This Row],[Order Date]],"mmm")</f>
        <v>Nov</v>
      </c>
      <c r="C2313" t="s">
        <v>1697</v>
      </c>
      <c r="D2313" t="s">
        <v>12012</v>
      </c>
      <c r="E2313" t="s">
        <v>35</v>
      </c>
      <c r="F2313" t="s">
        <v>106</v>
      </c>
      <c r="G2313" t="s">
        <v>106</v>
      </c>
      <c r="H2313" t="s">
        <v>38</v>
      </c>
      <c r="I2313" t="s">
        <v>256</v>
      </c>
      <c r="J2313" t="s">
        <v>100</v>
      </c>
      <c r="K2313" t="s">
        <v>12013</v>
      </c>
      <c r="L2313">
        <v>0.05</v>
      </c>
      <c r="M2313" t="s">
        <v>12014</v>
      </c>
      <c r="N2313" t="s">
        <v>12015</v>
      </c>
      <c r="O2313" t="s">
        <v>29</v>
      </c>
      <c r="P2313" t="s">
        <v>30</v>
      </c>
      <c r="Q2313" t="s">
        <v>65</v>
      </c>
      <c r="R2313" s="3">
        <v>11597.362499999999</v>
      </c>
    </row>
    <row r="2314" spans="1:18" x14ac:dyDescent="0.3">
      <c r="A2314" t="s">
        <v>12016</v>
      </c>
      <c r="B2314" t="str">
        <f>TEXT(Raw_Data[[#This Row],[Order Date]],"mmm")</f>
        <v>Feb</v>
      </c>
      <c r="C2314" t="s">
        <v>4453</v>
      </c>
      <c r="D2314" t="s">
        <v>12017</v>
      </c>
      <c r="E2314" t="s">
        <v>20</v>
      </c>
      <c r="F2314" t="s">
        <v>21</v>
      </c>
      <c r="G2314" t="s">
        <v>130</v>
      </c>
      <c r="H2314" t="s">
        <v>38</v>
      </c>
      <c r="I2314" t="s">
        <v>71</v>
      </c>
      <c r="J2314" t="s">
        <v>25</v>
      </c>
      <c r="K2314" t="s">
        <v>12018</v>
      </c>
      <c r="L2314">
        <v>0</v>
      </c>
      <c r="M2314" t="s">
        <v>12019</v>
      </c>
      <c r="N2314" t="s">
        <v>12020</v>
      </c>
      <c r="O2314" t="s">
        <v>64</v>
      </c>
      <c r="P2314" t="s">
        <v>30</v>
      </c>
      <c r="Q2314" t="s">
        <v>65</v>
      </c>
      <c r="R2314" s="3">
        <v>3862.08</v>
      </c>
    </row>
    <row r="2315" spans="1:18" x14ac:dyDescent="0.3">
      <c r="A2315" t="s">
        <v>12021</v>
      </c>
      <c r="B2315" t="str">
        <f>TEXT(Raw_Data[[#This Row],[Order Date]],"mmm")</f>
        <v>Feb</v>
      </c>
      <c r="C2315" t="s">
        <v>2676</v>
      </c>
      <c r="D2315" t="s">
        <v>12022</v>
      </c>
      <c r="E2315" t="s">
        <v>35</v>
      </c>
      <c r="F2315" t="s">
        <v>58</v>
      </c>
      <c r="G2315" t="s">
        <v>290</v>
      </c>
      <c r="H2315" t="s">
        <v>23</v>
      </c>
      <c r="I2315" t="s">
        <v>263</v>
      </c>
      <c r="J2315" t="s">
        <v>50</v>
      </c>
      <c r="K2315" t="s">
        <v>12023</v>
      </c>
      <c r="L2315">
        <v>0</v>
      </c>
      <c r="M2315" t="s">
        <v>12024</v>
      </c>
      <c r="N2315" t="s">
        <v>12025</v>
      </c>
      <c r="O2315" t="s">
        <v>29</v>
      </c>
      <c r="P2315" t="s">
        <v>30</v>
      </c>
      <c r="Q2315" t="s">
        <v>31</v>
      </c>
      <c r="R2315" s="3">
        <v>61321.54</v>
      </c>
    </row>
    <row r="2316" spans="1:18" x14ac:dyDescent="0.3">
      <c r="A2316" t="s">
        <v>12026</v>
      </c>
      <c r="B2316" t="str">
        <f>TEXT(Raw_Data[[#This Row],[Order Date]],"mmm")</f>
        <v>Oct</v>
      </c>
      <c r="C2316" t="s">
        <v>2316</v>
      </c>
      <c r="D2316" t="s">
        <v>12027</v>
      </c>
      <c r="E2316" t="s">
        <v>48</v>
      </c>
      <c r="F2316" t="s">
        <v>36</v>
      </c>
      <c r="G2316" t="s">
        <v>196</v>
      </c>
      <c r="H2316" t="s">
        <v>107</v>
      </c>
      <c r="I2316" t="s">
        <v>108</v>
      </c>
      <c r="J2316" t="s">
        <v>50</v>
      </c>
      <c r="K2316" t="s">
        <v>12028</v>
      </c>
      <c r="L2316">
        <v>0.15</v>
      </c>
      <c r="M2316" t="s">
        <v>12029</v>
      </c>
      <c r="N2316" t="s">
        <v>12030</v>
      </c>
      <c r="O2316" t="s">
        <v>64</v>
      </c>
      <c r="P2316" t="s">
        <v>30</v>
      </c>
      <c r="Q2316" t="s">
        <v>65</v>
      </c>
      <c r="R2316" s="3">
        <v>20051.924999999999</v>
      </c>
    </row>
    <row r="2317" spans="1:18" x14ac:dyDescent="0.3">
      <c r="A2317" t="s">
        <v>12031</v>
      </c>
      <c r="B2317" t="str">
        <f>TEXT(Raw_Data[[#This Row],[Order Date]],"mmm")</f>
        <v>Dec</v>
      </c>
      <c r="C2317" t="s">
        <v>646</v>
      </c>
      <c r="D2317" t="s">
        <v>12032</v>
      </c>
      <c r="E2317" t="s">
        <v>35</v>
      </c>
      <c r="F2317" t="s">
        <v>21</v>
      </c>
      <c r="G2317" t="s">
        <v>130</v>
      </c>
      <c r="H2317" t="s">
        <v>80</v>
      </c>
      <c r="I2317" t="s">
        <v>131</v>
      </c>
      <c r="J2317" t="s">
        <v>25</v>
      </c>
      <c r="K2317" t="s">
        <v>12033</v>
      </c>
      <c r="L2317">
        <v>0.1</v>
      </c>
      <c r="M2317" t="s">
        <v>12034</v>
      </c>
      <c r="N2317" t="s">
        <v>12035</v>
      </c>
      <c r="O2317" t="s">
        <v>29</v>
      </c>
      <c r="P2317" t="s">
        <v>30</v>
      </c>
      <c r="Q2317" t="s">
        <v>31</v>
      </c>
      <c r="R2317" s="3">
        <v>879.48</v>
      </c>
    </row>
    <row r="2318" spans="1:18" x14ac:dyDescent="0.3">
      <c r="A2318" t="s">
        <v>12036</v>
      </c>
      <c r="B2318" t="str">
        <f>TEXT(Raw_Data[[#This Row],[Order Date]],"mmm")</f>
        <v>Apr</v>
      </c>
      <c r="C2318" t="s">
        <v>675</v>
      </c>
      <c r="D2318" t="s">
        <v>12037</v>
      </c>
      <c r="E2318" t="s">
        <v>20</v>
      </c>
      <c r="F2318" t="s">
        <v>21</v>
      </c>
      <c r="G2318" t="s">
        <v>22</v>
      </c>
      <c r="H2318" t="s">
        <v>107</v>
      </c>
      <c r="I2318" t="s">
        <v>469</v>
      </c>
      <c r="J2318" t="s">
        <v>50</v>
      </c>
      <c r="K2318" t="s">
        <v>12038</v>
      </c>
      <c r="L2318">
        <v>0.1</v>
      </c>
      <c r="M2318" t="s">
        <v>12039</v>
      </c>
      <c r="N2318" t="s">
        <v>12040</v>
      </c>
      <c r="O2318" t="s">
        <v>54</v>
      </c>
      <c r="P2318" t="s">
        <v>30</v>
      </c>
      <c r="Q2318" t="s">
        <v>65</v>
      </c>
      <c r="R2318" s="3">
        <v>25666.29</v>
      </c>
    </row>
    <row r="2319" spans="1:18" x14ac:dyDescent="0.3">
      <c r="A2319" t="s">
        <v>12041</v>
      </c>
      <c r="B2319" t="str">
        <f>TEXT(Raw_Data[[#This Row],[Order Date]],"mmm")</f>
        <v>Jan</v>
      </c>
      <c r="C2319" t="s">
        <v>261</v>
      </c>
      <c r="D2319" t="s">
        <v>12042</v>
      </c>
      <c r="E2319" t="s">
        <v>35</v>
      </c>
      <c r="F2319" t="s">
        <v>58</v>
      </c>
      <c r="G2319" t="s">
        <v>812</v>
      </c>
      <c r="H2319" t="s">
        <v>23</v>
      </c>
      <c r="I2319" t="s">
        <v>24</v>
      </c>
      <c r="J2319" t="s">
        <v>25</v>
      </c>
      <c r="K2319" t="s">
        <v>12043</v>
      </c>
      <c r="L2319">
        <v>0.15</v>
      </c>
      <c r="M2319" t="s">
        <v>12044</v>
      </c>
      <c r="N2319" t="s">
        <v>12045</v>
      </c>
      <c r="O2319" t="s">
        <v>64</v>
      </c>
      <c r="P2319" t="s">
        <v>30</v>
      </c>
      <c r="Q2319" t="s">
        <v>31</v>
      </c>
      <c r="R2319" s="3">
        <v>61114.353999999999</v>
      </c>
    </row>
    <row r="2320" spans="1:18" x14ac:dyDescent="0.3">
      <c r="A2320" t="s">
        <v>12046</v>
      </c>
      <c r="B2320" t="str">
        <f>TEXT(Raw_Data[[#This Row],[Order Date]],"mmm")</f>
        <v>Oct</v>
      </c>
      <c r="C2320" t="s">
        <v>2432</v>
      </c>
      <c r="D2320" t="s">
        <v>12047</v>
      </c>
      <c r="E2320" t="s">
        <v>20</v>
      </c>
      <c r="F2320" t="s">
        <v>36</v>
      </c>
      <c r="G2320" t="s">
        <v>414</v>
      </c>
      <c r="H2320" t="s">
        <v>80</v>
      </c>
      <c r="I2320" t="s">
        <v>81</v>
      </c>
      <c r="J2320" t="s">
        <v>25</v>
      </c>
      <c r="K2320" t="s">
        <v>12048</v>
      </c>
      <c r="L2320">
        <v>0.2</v>
      </c>
      <c r="M2320" t="s">
        <v>12049</v>
      </c>
      <c r="N2320" t="s">
        <v>12050</v>
      </c>
      <c r="O2320" t="s">
        <v>43</v>
      </c>
      <c r="P2320" t="s">
        <v>30</v>
      </c>
      <c r="Q2320" t="s">
        <v>44</v>
      </c>
      <c r="R2320" s="3">
        <v>4278.9359999999997</v>
      </c>
    </row>
    <row r="2321" spans="1:18" x14ac:dyDescent="0.3">
      <c r="A2321" t="s">
        <v>12051</v>
      </c>
      <c r="B2321" t="str">
        <f>TEXT(Raw_Data[[#This Row],[Order Date]],"mmm")</f>
        <v>Nov</v>
      </c>
      <c r="C2321" t="s">
        <v>1359</v>
      </c>
      <c r="D2321" t="s">
        <v>12052</v>
      </c>
      <c r="E2321" t="s">
        <v>48</v>
      </c>
      <c r="F2321" t="s">
        <v>69</v>
      </c>
      <c r="G2321" t="s">
        <v>139</v>
      </c>
      <c r="H2321" t="s">
        <v>80</v>
      </c>
      <c r="I2321" t="s">
        <v>81</v>
      </c>
      <c r="J2321" t="s">
        <v>25</v>
      </c>
      <c r="K2321" t="s">
        <v>12053</v>
      </c>
      <c r="L2321">
        <v>0</v>
      </c>
      <c r="M2321" t="s">
        <v>12054</v>
      </c>
      <c r="N2321" t="s">
        <v>12055</v>
      </c>
      <c r="O2321" t="s">
        <v>173</v>
      </c>
      <c r="P2321" t="s">
        <v>30</v>
      </c>
      <c r="Q2321" t="s">
        <v>65</v>
      </c>
      <c r="R2321" s="3">
        <v>4320.2700000000004</v>
      </c>
    </row>
    <row r="2322" spans="1:18" x14ac:dyDescent="0.3">
      <c r="A2322" t="s">
        <v>12056</v>
      </c>
      <c r="B2322" t="str">
        <f>TEXT(Raw_Data[[#This Row],[Order Date]],"mmm")</f>
        <v>Dec</v>
      </c>
      <c r="C2322" t="s">
        <v>168</v>
      </c>
      <c r="D2322" t="s">
        <v>12057</v>
      </c>
      <c r="E2322" t="s">
        <v>48</v>
      </c>
      <c r="F2322" t="s">
        <v>78</v>
      </c>
      <c r="G2322" t="s">
        <v>468</v>
      </c>
      <c r="H2322" t="s">
        <v>23</v>
      </c>
      <c r="I2322" t="s">
        <v>183</v>
      </c>
      <c r="J2322" t="s">
        <v>50</v>
      </c>
      <c r="K2322" t="s">
        <v>12058</v>
      </c>
      <c r="L2322">
        <v>0.05</v>
      </c>
      <c r="M2322" t="s">
        <v>12059</v>
      </c>
      <c r="N2322" t="s">
        <v>12060</v>
      </c>
      <c r="O2322" t="s">
        <v>54</v>
      </c>
      <c r="P2322" t="s">
        <v>30</v>
      </c>
      <c r="Q2322" t="s">
        <v>44</v>
      </c>
      <c r="R2322" s="3">
        <v>74027.667000000001</v>
      </c>
    </row>
    <row r="2323" spans="1:18" x14ac:dyDescent="0.3">
      <c r="A2323" t="s">
        <v>12061</v>
      </c>
      <c r="B2323" t="str">
        <f>TEXT(Raw_Data[[#This Row],[Order Date]],"mmm")</f>
        <v>May</v>
      </c>
      <c r="C2323" t="s">
        <v>2355</v>
      </c>
      <c r="D2323" t="s">
        <v>12062</v>
      </c>
      <c r="E2323" t="s">
        <v>35</v>
      </c>
      <c r="F2323" t="s">
        <v>21</v>
      </c>
      <c r="G2323" t="s">
        <v>22</v>
      </c>
      <c r="H2323" t="s">
        <v>23</v>
      </c>
      <c r="I2323" t="s">
        <v>341</v>
      </c>
      <c r="J2323" t="s">
        <v>25</v>
      </c>
      <c r="K2323" t="s">
        <v>12063</v>
      </c>
      <c r="L2323">
        <v>0.05</v>
      </c>
      <c r="M2323" t="s">
        <v>12064</v>
      </c>
      <c r="N2323" t="s">
        <v>12065</v>
      </c>
      <c r="O2323" t="s">
        <v>64</v>
      </c>
      <c r="P2323" t="s">
        <v>30</v>
      </c>
      <c r="Q2323" t="s">
        <v>31</v>
      </c>
      <c r="R2323" s="3">
        <v>60413.093500000003</v>
      </c>
    </row>
    <row r="2324" spans="1:18" x14ac:dyDescent="0.3">
      <c r="A2324" t="s">
        <v>12066</v>
      </c>
      <c r="B2324" t="str">
        <f>TEXT(Raw_Data[[#This Row],[Order Date]],"mmm")</f>
        <v>Oct</v>
      </c>
      <c r="C2324" t="s">
        <v>584</v>
      </c>
      <c r="D2324" t="s">
        <v>12067</v>
      </c>
      <c r="E2324" t="s">
        <v>48</v>
      </c>
      <c r="F2324" t="s">
        <v>106</v>
      </c>
      <c r="G2324" t="s">
        <v>106</v>
      </c>
      <c r="H2324" t="s">
        <v>23</v>
      </c>
      <c r="I2324" t="s">
        <v>183</v>
      </c>
      <c r="J2324" t="s">
        <v>50</v>
      </c>
      <c r="K2324" t="s">
        <v>12068</v>
      </c>
      <c r="L2324">
        <v>0.1</v>
      </c>
      <c r="M2324" t="s">
        <v>12069</v>
      </c>
      <c r="N2324" t="s">
        <v>12070</v>
      </c>
      <c r="O2324" t="s">
        <v>54</v>
      </c>
      <c r="P2324" t="s">
        <v>30</v>
      </c>
      <c r="Q2324" t="s">
        <v>31</v>
      </c>
      <c r="R2324" s="3">
        <v>2863.8180000000002</v>
      </c>
    </row>
    <row r="2325" spans="1:18" x14ac:dyDescent="0.3">
      <c r="A2325" t="s">
        <v>12071</v>
      </c>
      <c r="B2325" t="str">
        <f>TEXT(Raw_Data[[#This Row],[Order Date]],"mmm")</f>
        <v>Apr</v>
      </c>
      <c r="C2325" t="s">
        <v>352</v>
      </c>
      <c r="D2325" t="s">
        <v>12072</v>
      </c>
      <c r="E2325" t="s">
        <v>48</v>
      </c>
      <c r="F2325" t="s">
        <v>106</v>
      </c>
      <c r="G2325" t="s">
        <v>163</v>
      </c>
      <c r="H2325" t="s">
        <v>107</v>
      </c>
      <c r="I2325" t="s">
        <v>591</v>
      </c>
      <c r="J2325" t="s">
        <v>50</v>
      </c>
      <c r="K2325" t="s">
        <v>12073</v>
      </c>
      <c r="L2325">
        <v>0</v>
      </c>
      <c r="M2325" t="s">
        <v>12074</v>
      </c>
      <c r="N2325" t="s">
        <v>12075</v>
      </c>
      <c r="O2325" t="s">
        <v>29</v>
      </c>
      <c r="P2325" t="s">
        <v>112</v>
      </c>
      <c r="Q2325" t="s">
        <v>44</v>
      </c>
      <c r="R2325" s="3">
        <v>5901.28</v>
      </c>
    </row>
    <row r="2326" spans="1:18" x14ac:dyDescent="0.3">
      <c r="A2326" t="s">
        <v>12076</v>
      </c>
      <c r="B2326" t="str">
        <f>TEXT(Raw_Data[[#This Row],[Order Date]],"mmm")</f>
        <v>Nov</v>
      </c>
      <c r="C2326" t="s">
        <v>3696</v>
      </c>
      <c r="D2326" t="s">
        <v>12077</v>
      </c>
      <c r="E2326" t="s">
        <v>48</v>
      </c>
      <c r="F2326" t="s">
        <v>106</v>
      </c>
      <c r="G2326" t="s">
        <v>163</v>
      </c>
      <c r="H2326" t="s">
        <v>80</v>
      </c>
      <c r="I2326" t="s">
        <v>116</v>
      </c>
      <c r="J2326" t="s">
        <v>25</v>
      </c>
      <c r="K2326" t="s">
        <v>12078</v>
      </c>
      <c r="L2326">
        <v>0.1</v>
      </c>
      <c r="M2326" t="s">
        <v>12079</v>
      </c>
      <c r="N2326" t="s">
        <v>12080</v>
      </c>
      <c r="O2326" t="s">
        <v>173</v>
      </c>
      <c r="P2326" t="s">
        <v>30</v>
      </c>
      <c r="Q2326" t="s">
        <v>44</v>
      </c>
      <c r="R2326" s="3">
        <v>975.68999999999903</v>
      </c>
    </row>
    <row r="2327" spans="1:18" x14ac:dyDescent="0.3">
      <c r="A2327" t="s">
        <v>12081</v>
      </c>
      <c r="B2327" t="str">
        <f>TEXT(Raw_Data[[#This Row],[Order Date]],"mmm")</f>
        <v>Dec</v>
      </c>
      <c r="C2327" t="s">
        <v>268</v>
      </c>
      <c r="D2327" t="s">
        <v>12082</v>
      </c>
      <c r="E2327" t="s">
        <v>20</v>
      </c>
      <c r="F2327" t="s">
        <v>21</v>
      </c>
      <c r="G2327" t="s">
        <v>22</v>
      </c>
      <c r="H2327" t="s">
        <v>107</v>
      </c>
      <c r="I2327" t="s">
        <v>469</v>
      </c>
      <c r="J2327" t="s">
        <v>25</v>
      </c>
      <c r="K2327" t="s">
        <v>12083</v>
      </c>
      <c r="L2327">
        <v>0.05</v>
      </c>
      <c r="M2327" t="s">
        <v>12084</v>
      </c>
      <c r="N2327" t="s">
        <v>12085</v>
      </c>
      <c r="O2327" t="s">
        <v>64</v>
      </c>
      <c r="P2327" t="s">
        <v>30</v>
      </c>
      <c r="Q2327" t="s">
        <v>65</v>
      </c>
      <c r="R2327" s="3">
        <v>583.945999999999</v>
      </c>
    </row>
    <row r="2328" spans="1:18" x14ac:dyDescent="0.3">
      <c r="A2328" t="s">
        <v>12086</v>
      </c>
      <c r="B2328" t="str">
        <f>TEXT(Raw_Data[[#This Row],[Order Date]],"mmm")</f>
        <v>Jun</v>
      </c>
      <c r="C2328" t="s">
        <v>2378</v>
      </c>
      <c r="D2328" t="s">
        <v>12087</v>
      </c>
      <c r="E2328" t="s">
        <v>35</v>
      </c>
      <c r="F2328" t="s">
        <v>69</v>
      </c>
      <c r="G2328" t="s">
        <v>328</v>
      </c>
      <c r="H2328" t="s">
        <v>80</v>
      </c>
      <c r="I2328" t="s">
        <v>81</v>
      </c>
      <c r="J2328" t="s">
        <v>100</v>
      </c>
      <c r="K2328" t="s">
        <v>12088</v>
      </c>
      <c r="L2328">
        <v>0</v>
      </c>
      <c r="M2328" t="s">
        <v>12089</v>
      </c>
      <c r="N2328" t="s">
        <v>12090</v>
      </c>
      <c r="O2328" t="s">
        <v>54</v>
      </c>
      <c r="P2328" t="s">
        <v>159</v>
      </c>
      <c r="Q2328" t="s">
        <v>31</v>
      </c>
      <c r="R2328" s="3">
        <v>4913.79</v>
      </c>
    </row>
    <row r="2329" spans="1:18" x14ac:dyDescent="0.3">
      <c r="A2329" t="s">
        <v>12091</v>
      </c>
      <c r="B2329" t="str">
        <f>TEXT(Raw_Data[[#This Row],[Order Date]],"mmm")</f>
        <v>Oct</v>
      </c>
      <c r="C2329" t="s">
        <v>5733</v>
      </c>
      <c r="D2329" t="s">
        <v>12092</v>
      </c>
      <c r="E2329" t="s">
        <v>20</v>
      </c>
      <c r="F2329" t="s">
        <v>58</v>
      </c>
      <c r="G2329" t="s">
        <v>812</v>
      </c>
      <c r="H2329" t="s">
        <v>154</v>
      </c>
      <c r="I2329" t="s">
        <v>365</v>
      </c>
      <c r="J2329" t="s">
        <v>100</v>
      </c>
      <c r="K2329" t="s">
        <v>12093</v>
      </c>
      <c r="L2329">
        <v>0.2</v>
      </c>
      <c r="M2329" t="s">
        <v>12094</v>
      </c>
      <c r="N2329" t="s">
        <v>12095</v>
      </c>
      <c r="O2329" t="s">
        <v>29</v>
      </c>
      <c r="P2329" t="s">
        <v>30</v>
      </c>
      <c r="Q2329" t="s">
        <v>31</v>
      </c>
      <c r="R2329" s="3">
        <v>13436.784</v>
      </c>
    </row>
    <row r="2330" spans="1:18" x14ac:dyDescent="0.3">
      <c r="A2330" t="s">
        <v>12096</v>
      </c>
      <c r="B2330" t="str">
        <f>TEXT(Raw_Data[[#This Row],[Order Date]],"mmm")</f>
        <v>Nov</v>
      </c>
      <c r="C2330" t="s">
        <v>4633</v>
      </c>
      <c r="D2330" t="s">
        <v>12097</v>
      </c>
      <c r="E2330" t="s">
        <v>35</v>
      </c>
      <c r="F2330" t="s">
        <v>215</v>
      </c>
      <c r="G2330" t="s">
        <v>216</v>
      </c>
      <c r="H2330" t="s">
        <v>23</v>
      </c>
      <c r="I2330" t="s">
        <v>49</v>
      </c>
      <c r="J2330" t="s">
        <v>25</v>
      </c>
      <c r="K2330" t="s">
        <v>12098</v>
      </c>
      <c r="L2330">
        <v>0</v>
      </c>
      <c r="M2330" t="s">
        <v>12099</v>
      </c>
      <c r="N2330" t="s">
        <v>12100</v>
      </c>
      <c r="O2330" t="s">
        <v>43</v>
      </c>
      <c r="P2330" t="s">
        <v>112</v>
      </c>
      <c r="Q2330" t="s">
        <v>31</v>
      </c>
      <c r="R2330" s="3">
        <v>39608.230000000003</v>
      </c>
    </row>
    <row r="2331" spans="1:18" x14ac:dyDescent="0.3">
      <c r="A2331" t="s">
        <v>12101</v>
      </c>
      <c r="B2331" t="str">
        <f>TEXT(Raw_Data[[#This Row],[Order Date]],"mmm")</f>
        <v>Jun</v>
      </c>
      <c r="C2331" t="s">
        <v>2798</v>
      </c>
      <c r="D2331" t="s">
        <v>12102</v>
      </c>
      <c r="E2331" t="s">
        <v>35</v>
      </c>
      <c r="F2331" t="s">
        <v>215</v>
      </c>
      <c r="G2331" t="s">
        <v>276</v>
      </c>
      <c r="H2331" t="s">
        <v>107</v>
      </c>
      <c r="I2331" t="s">
        <v>469</v>
      </c>
      <c r="J2331" t="s">
        <v>25</v>
      </c>
      <c r="K2331" t="s">
        <v>12103</v>
      </c>
      <c r="L2331">
        <v>0.1</v>
      </c>
      <c r="M2331" t="s">
        <v>12104</v>
      </c>
      <c r="N2331" t="s">
        <v>12105</v>
      </c>
      <c r="O2331" t="s">
        <v>29</v>
      </c>
      <c r="P2331" t="s">
        <v>30</v>
      </c>
      <c r="Q2331" t="s">
        <v>65</v>
      </c>
      <c r="R2331" s="3">
        <v>1052.991</v>
      </c>
    </row>
    <row r="2332" spans="1:18" x14ac:dyDescent="0.3">
      <c r="A2332" t="s">
        <v>12106</v>
      </c>
      <c r="B2332" t="str">
        <f>TEXT(Raw_Data[[#This Row],[Order Date]],"mmm")</f>
        <v>Apr</v>
      </c>
      <c r="C2332" t="s">
        <v>804</v>
      </c>
      <c r="D2332" t="s">
        <v>12107</v>
      </c>
      <c r="E2332" t="s">
        <v>35</v>
      </c>
      <c r="F2332" t="s">
        <v>69</v>
      </c>
      <c r="G2332" t="s">
        <v>328</v>
      </c>
      <c r="H2332" t="s">
        <v>154</v>
      </c>
      <c r="I2332" t="s">
        <v>155</v>
      </c>
      <c r="J2332" t="s">
        <v>25</v>
      </c>
      <c r="K2332" t="s">
        <v>12108</v>
      </c>
      <c r="L2332">
        <v>0.15</v>
      </c>
      <c r="M2332" t="s">
        <v>12109</v>
      </c>
      <c r="N2332" t="s">
        <v>12110</v>
      </c>
      <c r="O2332" t="s">
        <v>43</v>
      </c>
      <c r="P2332" t="s">
        <v>30</v>
      </c>
      <c r="Q2332" t="s">
        <v>31</v>
      </c>
      <c r="R2332" s="3">
        <v>5377.6779999999999</v>
      </c>
    </row>
    <row r="2333" spans="1:18" x14ac:dyDescent="0.3">
      <c r="A2333" t="s">
        <v>12111</v>
      </c>
      <c r="B2333" t="str">
        <f>TEXT(Raw_Data[[#This Row],[Order Date]],"mmm")</f>
        <v>Jun</v>
      </c>
      <c r="C2333" t="s">
        <v>1342</v>
      </c>
      <c r="D2333" t="s">
        <v>12112</v>
      </c>
      <c r="E2333" t="s">
        <v>48</v>
      </c>
      <c r="F2333" t="s">
        <v>58</v>
      </c>
      <c r="G2333" t="s">
        <v>59</v>
      </c>
      <c r="H2333" t="s">
        <v>23</v>
      </c>
      <c r="I2333" t="s">
        <v>49</v>
      </c>
      <c r="J2333" t="s">
        <v>25</v>
      </c>
      <c r="K2333" t="s">
        <v>12113</v>
      </c>
      <c r="L2333">
        <v>0.1</v>
      </c>
      <c r="M2333" t="s">
        <v>12114</v>
      </c>
      <c r="N2333" t="s">
        <v>12115</v>
      </c>
      <c r="O2333" t="s">
        <v>54</v>
      </c>
      <c r="P2333" t="s">
        <v>30</v>
      </c>
      <c r="Q2333" t="s">
        <v>44</v>
      </c>
      <c r="R2333" s="3">
        <v>5035.95</v>
      </c>
    </row>
    <row r="2334" spans="1:18" x14ac:dyDescent="0.3">
      <c r="A2334" t="s">
        <v>12116</v>
      </c>
      <c r="B2334" t="str">
        <f>TEXT(Raw_Data[[#This Row],[Order Date]],"mmm")</f>
        <v>Feb</v>
      </c>
      <c r="C2334" t="s">
        <v>201</v>
      </c>
      <c r="D2334" t="s">
        <v>12117</v>
      </c>
      <c r="E2334" t="s">
        <v>48</v>
      </c>
      <c r="F2334" t="s">
        <v>21</v>
      </c>
      <c r="G2334" t="s">
        <v>130</v>
      </c>
      <c r="H2334" t="s">
        <v>80</v>
      </c>
      <c r="I2334" t="s">
        <v>81</v>
      </c>
      <c r="J2334" t="s">
        <v>25</v>
      </c>
      <c r="K2334" t="s">
        <v>12118</v>
      </c>
      <c r="L2334">
        <v>0.1</v>
      </c>
      <c r="M2334" t="s">
        <v>12119</v>
      </c>
      <c r="N2334" t="s">
        <v>12120</v>
      </c>
      <c r="O2334" t="s">
        <v>54</v>
      </c>
      <c r="P2334" t="s">
        <v>112</v>
      </c>
      <c r="Q2334" t="s">
        <v>65</v>
      </c>
      <c r="R2334" s="3">
        <v>3293.5770000000002</v>
      </c>
    </row>
    <row r="2335" spans="1:18" x14ac:dyDescent="0.3">
      <c r="A2335" t="s">
        <v>12121</v>
      </c>
      <c r="B2335" t="str">
        <f>TEXT(Raw_Data[[#This Row],[Order Date]],"mmm")</f>
        <v>May</v>
      </c>
      <c r="C2335" t="s">
        <v>3348</v>
      </c>
      <c r="D2335" t="s">
        <v>12122</v>
      </c>
      <c r="E2335" t="s">
        <v>35</v>
      </c>
      <c r="F2335" t="s">
        <v>89</v>
      </c>
      <c r="G2335" t="s">
        <v>90</v>
      </c>
      <c r="H2335" t="s">
        <v>154</v>
      </c>
      <c r="I2335" t="s">
        <v>237</v>
      </c>
      <c r="J2335" t="s">
        <v>25</v>
      </c>
      <c r="K2335" t="s">
        <v>12123</v>
      </c>
      <c r="L2335">
        <v>0</v>
      </c>
      <c r="M2335" t="s">
        <v>12124</v>
      </c>
      <c r="N2335" t="s">
        <v>12125</v>
      </c>
      <c r="O2335" t="s">
        <v>54</v>
      </c>
      <c r="P2335" t="s">
        <v>30</v>
      </c>
      <c r="Q2335" t="s">
        <v>44</v>
      </c>
      <c r="R2335" s="3">
        <v>10335.11</v>
      </c>
    </row>
    <row r="2336" spans="1:18" x14ac:dyDescent="0.3">
      <c r="A2336" t="s">
        <v>12126</v>
      </c>
      <c r="B2336" t="str">
        <f>TEXT(Raw_Data[[#This Row],[Order Date]],"mmm")</f>
        <v>Jun</v>
      </c>
      <c r="C2336" t="s">
        <v>181</v>
      </c>
      <c r="D2336" t="s">
        <v>12127</v>
      </c>
      <c r="E2336" t="s">
        <v>35</v>
      </c>
      <c r="F2336" t="s">
        <v>69</v>
      </c>
      <c r="G2336" t="s">
        <v>328</v>
      </c>
      <c r="H2336" t="s">
        <v>154</v>
      </c>
      <c r="I2336" t="s">
        <v>1061</v>
      </c>
      <c r="J2336" t="s">
        <v>100</v>
      </c>
      <c r="K2336" t="s">
        <v>12128</v>
      </c>
      <c r="L2336">
        <v>0.15</v>
      </c>
      <c r="M2336" t="s">
        <v>12129</v>
      </c>
      <c r="N2336" t="s">
        <v>12130</v>
      </c>
      <c r="O2336" t="s">
        <v>43</v>
      </c>
      <c r="P2336" t="s">
        <v>30</v>
      </c>
      <c r="Q2336" t="s">
        <v>44</v>
      </c>
      <c r="R2336" s="3">
        <v>22901.728499999899</v>
      </c>
    </row>
    <row r="2337" spans="1:18" x14ac:dyDescent="0.3">
      <c r="A2337" t="s">
        <v>12131</v>
      </c>
      <c r="B2337" t="str">
        <f>TEXT(Raw_Data[[#This Row],[Order Date]],"mmm")</f>
        <v>Mar</v>
      </c>
      <c r="C2337" t="s">
        <v>3981</v>
      </c>
      <c r="D2337" t="s">
        <v>12132</v>
      </c>
      <c r="E2337" t="s">
        <v>48</v>
      </c>
      <c r="F2337" t="s">
        <v>215</v>
      </c>
      <c r="G2337" t="s">
        <v>276</v>
      </c>
      <c r="H2337" t="s">
        <v>23</v>
      </c>
      <c r="I2337" t="s">
        <v>341</v>
      </c>
      <c r="J2337" t="s">
        <v>50</v>
      </c>
      <c r="K2337" t="s">
        <v>12133</v>
      </c>
      <c r="L2337">
        <v>0.15</v>
      </c>
      <c r="M2337" t="s">
        <v>12134</v>
      </c>
      <c r="N2337" t="s">
        <v>12135</v>
      </c>
      <c r="O2337" t="s">
        <v>64</v>
      </c>
      <c r="P2337" t="s">
        <v>30</v>
      </c>
      <c r="Q2337" t="s">
        <v>44</v>
      </c>
      <c r="R2337" s="3">
        <v>89375.017999999996</v>
      </c>
    </row>
    <row r="2338" spans="1:18" x14ac:dyDescent="0.3">
      <c r="A2338" t="s">
        <v>12136</v>
      </c>
      <c r="B2338" t="str">
        <f>TEXT(Raw_Data[[#This Row],[Order Date]],"mmm")</f>
        <v>Jun</v>
      </c>
      <c r="C2338" t="s">
        <v>213</v>
      </c>
      <c r="D2338" t="s">
        <v>12137</v>
      </c>
      <c r="E2338" t="s">
        <v>35</v>
      </c>
      <c r="F2338" t="s">
        <v>106</v>
      </c>
      <c r="G2338" t="s">
        <v>106</v>
      </c>
      <c r="H2338" t="s">
        <v>107</v>
      </c>
      <c r="I2338" t="s">
        <v>378</v>
      </c>
      <c r="J2338" t="s">
        <v>50</v>
      </c>
      <c r="K2338" t="s">
        <v>12138</v>
      </c>
      <c r="L2338">
        <v>0.15</v>
      </c>
      <c r="M2338" t="s">
        <v>12139</v>
      </c>
      <c r="N2338" t="s">
        <v>12140</v>
      </c>
      <c r="O2338" t="s">
        <v>173</v>
      </c>
      <c r="P2338" t="s">
        <v>30</v>
      </c>
      <c r="Q2338" t="s">
        <v>44</v>
      </c>
      <c r="R2338" s="3">
        <v>19747.489000000001</v>
      </c>
    </row>
    <row r="2339" spans="1:18" x14ac:dyDescent="0.3">
      <c r="A2339" t="s">
        <v>12141</v>
      </c>
      <c r="B2339" t="str">
        <f>TEXT(Raw_Data[[#This Row],[Order Date]],"mmm")</f>
        <v>May</v>
      </c>
      <c r="C2339" t="s">
        <v>2693</v>
      </c>
      <c r="D2339" t="s">
        <v>12142</v>
      </c>
      <c r="E2339" t="s">
        <v>35</v>
      </c>
      <c r="F2339" t="s">
        <v>58</v>
      </c>
      <c r="G2339" t="s">
        <v>59</v>
      </c>
      <c r="H2339" t="s">
        <v>107</v>
      </c>
      <c r="I2339" t="s">
        <v>378</v>
      </c>
      <c r="J2339" t="s">
        <v>50</v>
      </c>
      <c r="K2339" t="s">
        <v>5546</v>
      </c>
      <c r="L2339">
        <v>0.15</v>
      </c>
      <c r="M2339" t="s">
        <v>12143</v>
      </c>
      <c r="N2339" t="s">
        <v>12144</v>
      </c>
      <c r="O2339" t="s">
        <v>29</v>
      </c>
      <c r="P2339" t="s">
        <v>30</v>
      </c>
      <c r="Q2339" t="s">
        <v>31</v>
      </c>
      <c r="R2339" s="3">
        <v>2828.4769999999999</v>
      </c>
    </row>
    <row r="2340" spans="1:18" x14ac:dyDescent="0.3">
      <c r="A2340" t="s">
        <v>12145</v>
      </c>
      <c r="B2340" t="str">
        <f>TEXT(Raw_Data[[#This Row],[Order Date]],"mmm")</f>
        <v>Mar</v>
      </c>
      <c r="C2340" t="s">
        <v>713</v>
      </c>
      <c r="D2340" t="s">
        <v>12146</v>
      </c>
      <c r="E2340" t="s">
        <v>48</v>
      </c>
      <c r="F2340" t="s">
        <v>78</v>
      </c>
      <c r="G2340" t="s">
        <v>731</v>
      </c>
      <c r="H2340" t="s">
        <v>80</v>
      </c>
      <c r="I2340" t="s">
        <v>116</v>
      </c>
      <c r="J2340" t="s">
        <v>25</v>
      </c>
      <c r="K2340" t="s">
        <v>12147</v>
      </c>
      <c r="L2340">
        <v>0.05</v>
      </c>
      <c r="M2340" t="s">
        <v>12148</v>
      </c>
      <c r="N2340" t="s">
        <v>12149</v>
      </c>
      <c r="O2340" t="s">
        <v>173</v>
      </c>
      <c r="P2340" t="s">
        <v>30</v>
      </c>
      <c r="Q2340" t="s">
        <v>65</v>
      </c>
      <c r="R2340" s="3">
        <v>1585.2745</v>
      </c>
    </row>
    <row r="2341" spans="1:18" x14ac:dyDescent="0.3">
      <c r="A2341" t="s">
        <v>12150</v>
      </c>
      <c r="B2341" t="str">
        <f>TEXT(Raw_Data[[#This Row],[Order Date]],"mmm")</f>
        <v>Sep</v>
      </c>
      <c r="C2341" t="s">
        <v>1539</v>
      </c>
      <c r="D2341" t="s">
        <v>12151</v>
      </c>
      <c r="E2341" t="s">
        <v>35</v>
      </c>
      <c r="F2341" t="s">
        <v>69</v>
      </c>
      <c r="G2341" t="s">
        <v>70</v>
      </c>
      <c r="H2341" t="s">
        <v>38</v>
      </c>
      <c r="I2341" t="s">
        <v>256</v>
      </c>
      <c r="J2341" t="s">
        <v>25</v>
      </c>
      <c r="K2341" t="s">
        <v>12152</v>
      </c>
      <c r="L2341">
        <v>0.15</v>
      </c>
      <c r="M2341" t="s">
        <v>12153</v>
      </c>
      <c r="N2341" t="s">
        <v>7480</v>
      </c>
      <c r="O2341" t="s">
        <v>43</v>
      </c>
      <c r="P2341" t="s">
        <v>30</v>
      </c>
      <c r="Q2341" t="s">
        <v>31</v>
      </c>
      <c r="R2341" s="3">
        <v>4554.0874999999996</v>
      </c>
    </row>
    <row r="2342" spans="1:18" x14ac:dyDescent="0.3">
      <c r="A2342" t="s">
        <v>12154</v>
      </c>
      <c r="B2342" t="str">
        <f>TEXT(Raw_Data[[#This Row],[Order Date]],"mmm")</f>
        <v>Jul</v>
      </c>
      <c r="C2342" t="s">
        <v>87</v>
      </c>
      <c r="D2342" t="s">
        <v>12155</v>
      </c>
      <c r="E2342" t="s">
        <v>48</v>
      </c>
      <c r="F2342" t="s">
        <v>21</v>
      </c>
      <c r="G2342" t="s">
        <v>130</v>
      </c>
      <c r="H2342" t="s">
        <v>23</v>
      </c>
      <c r="I2342" t="s">
        <v>183</v>
      </c>
      <c r="J2342" t="s">
        <v>82</v>
      </c>
      <c r="K2342" t="s">
        <v>12156</v>
      </c>
      <c r="L2342">
        <v>0.1</v>
      </c>
      <c r="M2342" t="s">
        <v>12157</v>
      </c>
      <c r="N2342" t="s">
        <v>12158</v>
      </c>
      <c r="O2342" t="s">
        <v>173</v>
      </c>
      <c r="P2342" t="s">
        <v>30</v>
      </c>
      <c r="Q2342" t="s">
        <v>65</v>
      </c>
      <c r="R2342" s="3">
        <v>216156.31200000001</v>
      </c>
    </row>
    <row r="2343" spans="1:18" x14ac:dyDescent="0.3">
      <c r="A2343" t="s">
        <v>12159</v>
      </c>
      <c r="B2343" t="str">
        <f>TEXT(Raw_Data[[#This Row],[Order Date]],"mmm")</f>
        <v>Nov</v>
      </c>
      <c r="C2343" t="s">
        <v>1009</v>
      </c>
      <c r="D2343" t="s">
        <v>12160</v>
      </c>
      <c r="E2343" t="s">
        <v>35</v>
      </c>
      <c r="F2343" t="s">
        <v>58</v>
      </c>
      <c r="G2343" t="s">
        <v>59</v>
      </c>
      <c r="H2343" t="s">
        <v>107</v>
      </c>
      <c r="I2343" t="s">
        <v>277</v>
      </c>
      <c r="J2343" t="s">
        <v>25</v>
      </c>
      <c r="K2343" t="s">
        <v>12161</v>
      </c>
      <c r="L2343">
        <v>0.1</v>
      </c>
      <c r="M2343" t="s">
        <v>12162</v>
      </c>
      <c r="N2343" t="s">
        <v>12163</v>
      </c>
      <c r="O2343" t="s">
        <v>173</v>
      </c>
      <c r="P2343" t="s">
        <v>30</v>
      </c>
      <c r="Q2343" t="s">
        <v>65</v>
      </c>
      <c r="R2343" s="3">
        <v>11695.248</v>
      </c>
    </row>
    <row r="2344" spans="1:18" x14ac:dyDescent="0.3">
      <c r="A2344" t="s">
        <v>12164</v>
      </c>
      <c r="B2344" t="str">
        <f>TEXT(Raw_Data[[#This Row],[Order Date]],"mmm")</f>
        <v>Mar</v>
      </c>
      <c r="C2344" t="s">
        <v>504</v>
      </c>
      <c r="D2344" t="s">
        <v>12165</v>
      </c>
      <c r="E2344" t="s">
        <v>48</v>
      </c>
      <c r="F2344" t="s">
        <v>106</v>
      </c>
      <c r="G2344" t="s">
        <v>163</v>
      </c>
      <c r="H2344" t="s">
        <v>107</v>
      </c>
      <c r="I2344" t="s">
        <v>591</v>
      </c>
      <c r="J2344" t="s">
        <v>25</v>
      </c>
      <c r="K2344" t="s">
        <v>12166</v>
      </c>
      <c r="L2344">
        <v>0.1</v>
      </c>
      <c r="M2344" t="s">
        <v>12167</v>
      </c>
      <c r="N2344" t="s">
        <v>12168</v>
      </c>
      <c r="O2344" t="s">
        <v>64</v>
      </c>
      <c r="P2344" t="s">
        <v>30</v>
      </c>
      <c r="Q2344" t="s">
        <v>44</v>
      </c>
      <c r="R2344" s="3">
        <v>15086.025</v>
      </c>
    </row>
    <row r="2345" spans="1:18" x14ac:dyDescent="0.3">
      <c r="A2345" t="s">
        <v>12169</v>
      </c>
      <c r="B2345" t="str">
        <f>TEXT(Raw_Data[[#This Row],[Order Date]],"mmm")</f>
        <v>Aug</v>
      </c>
      <c r="C2345" t="s">
        <v>1403</v>
      </c>
      <c r="D2345" t="s">
        <v>12170</v>
      </c>
      <c r="E2345" t="s">
        <v>48</v>
      </c>
      <c r="F2345" t="s">
        <v>78</v>
      </c>
      <c r="G2345" t="s">
        <v>731</v>
      </c>
      <c r="H2345" t="s">
        <v>154</v>
      </c>
      <c r="I2345" t="s">
        <v>365</v>
      </c>
      <c r="J2345" t="s">
        <v>25</v>
      </c>
      <c r="K2345" t="s">
        <v>12171</v>
      </c>
      <c r="L2345">
        <v>0.05</v>
      </c>
      <c r="M2345" t="s">
        <v>12172</v>
      </c>
      <c r="N2345" t="s">
        <v>12173</v>
      </c>
      <c r="O2345" t="s">
        <v>173</v>
      </c>
      <c r="P2345" t="s">
        <v>112</v>
      </c>
      <c r="Q2345" t="s">
        <v>65</v>
      </c>
      <c r="R2345" s="3">
        <v>7844.3494999999903</v>
      </c>
    </row>
    <row r="2346" spans="1:18" x14ac:dyDescent="0.3">
      <c r="A2346" t="s">
        <v>12174</v>
      </c>
      <c r="B2346" t="str">
        <f>TEXT(Raw_Data[[#This Row],[Order Date]],"mmm")</f>
        <v>Jan</v>
      </c>
      <c r="C2346" t="s">
        <v>1878</v>
      </c>
      <c r="D2346" t="s">
        <v>12175</v>
      </c>
      <c r="E2346" t="s">
        <v>48</v>
      </c>
      <c r="F2346" t="s">
        <v>78</v>
      </c>
      <c r="G2346" t="s">
        <v>468</v>
      </c>
      <c r="H2346" t="s">
        <v>107</v>
      </c>
      <c r="I2346" t="s">
        <v>108</v>
      </c>
      <c r="J2346" t="s">
        <v>50</v>
      </c>
      <c r="K2346" t="s">
        <v>12176</v>
      </c>
      <c r="L2346">
        <v>0.15</v>
      </c>
      <c r="M2346" t="s">
        <v>12177</v>
      </c>
      <c r="N2346" t="s">
        <v>12178</v>
      </c>
      <c r="O2346" t="s">
        <v>3684</v>
      </c>
      <c r="P2346" t="s">
        <v>30</v>
      </c>
      <c r="Q2346" t="s">
        <v>44</v>
      </c>
      <c r="R2346" s="3">
        <v>17435.777999999998</v>
      </c>
    </row>
    <row r="2347" spans="1:18" x14ac:dyDescent="0.3">
      <c r="A2347" t="s">
        <v>12179</v>
      </c>
      <c r="B2347" t="str">
        <f>TEXT(Raw_Data[[#This Row],[Order Date]],"mmm")</f>
        <v>Dec</v>
      </c>
      <c r="C2347" t="s">
        <v>1769</v>
      </c>
      <c r="D2347" t="s">
        <v>12180</v>
      </c>
      <c r="E2347" t="s">
        <v>35</v>
      </c>
      <c r="F2347" t="s">
        <v>215</v>
      </c>
      <c r="G2347" t="s">
        <v>216</v>
      </c>
      <c r="H2347" t="s">
        <v>107</v>
      </c>
      <c r="I2347" t="s">
        <v>378</v>
      </c>
      <c r="J2347" t="s">
        <v>82</v>
      </c>
      <c r="K2347" t="s">
        <v>12181</v>
      </c>
      <c r="L2347">
        <v>0</v>
      </c>
      <c r="M2347" t="s">
        <v>12182</v>
      </c>
      <c r="N2347" t="s">
        <v>12183</v>
      </c>
      <c r="O2347" t="s">
        <v>173</v>
      </c>
      <c r="P2347" t="s">
        <v>95</v>
      </c>
      <c r="Q2347" t="s">
        <v>44</v>
      </c>
      <c r="R2347" s="3">
        <v>3685.72</v>
      </c>
    </row>
    <row r="2348" spans="1:18" x14ac:dyDescent="0.3">
      <c r="A2348" t="s">
        <v>12184</v>
      </c>
      <c r="B2348" t="str">
        <f>TEXT(Raw_Data[[#This Row],[Order Date]],"mmm")</f>
        <v>Oct</v>
      </c>
      <c r="C2348" t="s">
        <v>1846</v>
      </c>
      <c r="D2348" t="s">
        <v>12185</v>
      </c>
      <c r="E2348" t="s">
        <v>20</v>
      </c>
      <c r="F2348" t="s">
        <v>69</v>
      </c>
      <c r="G2348" t="s">
        <v>328</v>
      </c>
      <c r="H2348" t="s">
        <v>107</v>
      </c>
      <c r="I2348" t="s">
        <v>108</v>
      </c>
      <c r="J2348" t="s">
        <v>25</v>
      </c>
      <c r="K2348" t="s">
        <v>12186</v>
      </c>
      <c r="L2348">
        <v>0.05</v>
      </c>
      <c r="M2348" t="s">
        <v>12187</v>
      </c>
      <c r="N2348" t="s">
        <v>12188</v>
      </c>
      <c r="O2348" t="s">
        <v>54</v>
      </c>
      <c r="P2348" t="s">
        <v>30</v>
      </c>
      <c r="Q2348" t="s">
        <v>44</v>
      </c>
      <c r="R2348" s="3">
        <v>16545.238000000001</v>
      </c>
    </row>
    <row r="2349" spans="1:18" x14ac:dyDescent="0.3">
      <c r="A2349" t="s">
        <v>12189</v>
      </c>
      <c r="B2349" t="str">
        <f>TEXT(Raw_Data[[#This Row],[Order Date]],"mmm")</f>
        <v>Oct</v>
      </c>
      <c r="C2349" t="s">
        <v>1991</v>
      </c>
      <c r="D2349" t="s">
        <v>12190</v>
      </c>
      <c r="E2349" t="s">
        <v>35</v>
      </c>
      <c r="F2349" t="s">
        <v>106</v>
      </c>
      <c r="G2349" t="s">
        <v>163</v>
      </c>
      <c r="H2349" t="s">
        <v>23</v>
      </c>
      <c r="I2349" t="s">
        <v>183</v>
      </c>
      <c r="J2349" t="s">
        <v>50</v>
      </c>
      <c r="K2349" t="s">
        <v>12191</v>
      </c>
      <c r="L2349">
        <v>0.15</v>
      </c>
      <c r="M2349" t="s">
        <v>12192</v>
      </c>
      <c r="N2349" t="s">
        <v>12193</v>
      </c>
      <c r="O2349" t="s">
        <v>29</v>
      </c>
      <c r="P2349" t="s">
        <v>30</v>
      </c>
      <c r="Q2349" t="s">
        <v>65</v>
      </c>
      <c r="R2349" s="3">
        <v>21707.3</v>
      </c>
    </row>
    <row r="2350" spans="1:18" x14ac:dyDescent="0.3">
      <c r="A2350" t="s">
        <v>12194</v>
      </c>
      <c r="B2350" t="str">
        <f>TEXT(Raw_Data[[#This Row],[Order Date]],"mmm")</f>
        <v>Apr</v>
      </c>
      <c r="C2350" t="s">
        <v>121</v>
      </c>
      <c r="D2350" t="s">
        <v>12195</v>
      </c>
      <c r="E2350" t="s">
        <v>48</v>
      </c>
      <c r="F2350" t="s">
        <v>21</v>
      </c>
      <c r="G2350" t="s">
        <v>130</v>
      </c>
      <c r="H2350" t="s">
        <v>80</v>
      </c>
      <c r="I2350" t="s">
        <v>146</v>
      </c>
      <c r="J2350" t="s">
        <v>25</v>
      </c>
      <c r="K2350" t="s">
        <v>12196</v>
      </c>
      <c r="L2350">
        <v>0</v>
      </c>
      <c r="M2350" t="s">
        <v>12197</v>
      </c>
      <c r="N2350" t="s">
        <v>12198</v>
      </c>
      <c r="O2350" t="s">
        <v>64</v>
      </c>
      <c r="P2350" t="s">
        <v>159</v>
      </c>
      <c r="Q2350" t="s">
        <v>65</v>
      </c>
      <c r="R2350" s="3">
        <v>5544.65</v>
      </c>
    </row>
    <row r="2351" spans="1:18" x14ac:dyDescent="0.3">
      <c r="A2351" t="s">
        <v>12199</v>
      </c>
      <c r="B2351" t="str">
        <f>TEXT(Raw_Data[[#This Row],[Order Date]],"mmm")</f>
        <v>Apr</v>
      </c>
      <c r="C2351" t="s">
        <v>97</v>
      </c>
      <c r="D2351" t="s">
        <v>12200</v>
      </c>
      <c r="E2351" t="s">
        <v>35</v>
      </c>
      <c r="F2351" t="s">
        <v>36</v>
      </c>
      <c r="G2351" t="s">
        <v>153</v>
      </c>
      <c r="H2351" t="s">
        <v>80</v>
      </c>
      <c r="I2351" t="s">
        <v>91</v>
      </c>
      <c r="J2351" t="s">
        <v>100</v>
      </c>
      <c r="K2351" t="s">
        <v>12201</v>
      </c>
      <c r="L2351">
        <v>0.15</v>
      </c>
      <c r="M2351" t="s">
        <v>12202</v>
      </c>
      <c r="N2351" t="s">
        <v>12203</v>
      </c>
      <c r="O2351" t="s">
        <v>64</v>
      </c>
      <c r="P2351" t="s">
        <v>30</v>
      </c>
      <c r="Q2351" t="s">
        <v>44</v>
      </c>
      <c r="R2351" s="3">
        <v>10437.15</v>
      </c>
    </row>
    <row r="2352" spans="1:18" x14ac:dyDescent="0.3">
      <c r="A2352" t="s">
        <v>12204</v>
      </c>
      <c r="B2352" t="str">
        <f>TEXT(Raw_Data[[#This Row],[Order Date]],"mmm")</f>
        <v>Jan</v>
      </c>
      <c r="C2352" t="s">
        <v>1296</v>
      </c>
      <c r="D2352" t="s">
        <v>12205</v>
      </c>
      <c r="E2352" t="s">
        <v>48</v>
      </c>
      <c r="F2352" t="s">
        <v>36</v>
      </c>
      <c r="G2352" t="s">
        <v>123</v>
      </c>
      <c r="H2352" t="s">
        <v>23</v>
      </c>
      <c r="I2352" t="s">
        <v>263</v>
      </c>
      <c r="J2352" t="s">
        <v>25</v>
      </c>
      <c r="K2352" t="s">
        <v>12206</v>
      </c>
      <c r="L2352">
        <v>0.1</v>
      </c>
      <c r="M2352" t="s">
        <v>12207</v>
      </c>
      <c r="N2352" t="s">
        <v>12208</v>
      </c>
      <c r="O2352" t="s">
        <v>64</v>
      </c>
      <c r="P2352" t="s">
        <v>30</v>
      </c>
      <c r="Q2352" t="s">
        <v>31</v>
      </c>
      <c r="R2352" s="3">
        <v>43661.502</v>
      </c>
    </row>
    <row r="2353" spans="1:18" x14ac:dyDescent="0.3">
      <c r="A2353" t="s">
        <v>12209</v>
      </c>
      <c r="B2353" t="str">
        <f>TEXT(Raw_Data[[#This Row],[Order Date]],"mmm")</f>
        <v>Sep</v>
      </c>
      <c r="C2353" t="s">
        <v>1280</v>
      </c>
      <c r="D2353" t="s">
        <v>12210</v>
      </c>
      <c r="E2353" t="s">
        <v>48</v>
      </c>
      <c r="F2353" t="s">
        <v>69</v>
      </c>
      <c r="G2353" t="s">
        <v>70</v>
      </c>
      <c r="H2353" t="s">
        <v>154</v>
      </c>
      <c r="I2353" t="s">
        <v>1061</v>
      </c>
      <c r="J2353" t="s">
        <v>25</v>
      </c>
      <c r="K2353" t="s">
        <v>12211</v>
      </c>
      <c r="L2353">
        <v>0.1</v>
      </c>
      <c r="M2353" t="s">
        <v>12212</v>
      </c>
      <c r="N2353" t="s">
        <v>12213</v>
      </c>
      <c r="O2353" t="s">
        <v>43</v>
      </c>
      <c r="P2353" t="s">
        <v>30</v>
      </c>
      <c r="Q2353" t="s">
        <v>31</v>
      </c>
      <c r="R2353" s="3">
        <v>10294.191000000001</v>
      </c>
    </row>
    <row r="2354" spans="1:18" x14ac:dyDescent="0.3">
      <c r="A2354" t="s">
        <v>12214</v>
      </c>
      <c r="B2354" t="str">
        <f>TEXT(Raw_Data[[#This Row],[Order Date]],"mmm")</f>
        <v>Apr</v>
      </c>
      <c r="C2354" t="s">
        <v>67</v>
      </c>
      <c r="D2354" t="s">
        <v>12215</v>
      </c>
      <c r="E2354" t="s">
        <v>20</v>
      </c>
      <c r="F2354" t="s">
        <v>21</v>
      </c>
      <c r="G2354" t="s">
        <v>22</v>
      </c>
      <c r="H2354" t="s">
        <v>23</v>
      </c>
      <c r="I2354" t="s">
        <v>341</v>
      </c>
      <c r="J2354" t="s">
        <v>25</v>
      </c>
      <c r="K2354" t="s">
        <v>12216</v>
      </c>
      <c r="L2354">
        <v>0.1</v>
      </c>
      <c r="M2354" t="s">
        <v>12217</v>
      </c>
      <c r="N2354" t="s">
        <v>12218</v>
      </c>
      <c r="O2354" t="s">
        <v>29</v>
      </c>
      <c r="P2354" t="s">
        <v>30</v>
      </c>
      <c r="Q2354" t="s">
        <v>65</v>
      </c>
      <c r="R2354" s="3">
        <v>25929.702000000001</v>
      </c>
    </row>
    <row r="2355" spans="1:18" x14ac:dyDescent="0.3">
      <c r="A2355" t="s">
        <v>12219</v>
      </c>
      <c r="B2355" t="str">
        <f>TEXT(Raw_Data[[#This Row],[Order Date]],"mmm")</f>
        <v>Aug</v>
      </c>
      <c r="C2355" t="s">
        <v>1104</v>
      </c>
      <c r="D2355" t="s">
        <v>12220</v>
      </c>
      <c r="E2355" t="s">
        <v>35</v>
      </c>
      <c r="F2355" t="s">
        <v>58</v>
      </c>
      <c r="G2355" t="s">
        <v>59</v>
      </c>
      <c r="H2355" t="s">
        <v>154</v>
      </c>
      <c r="I2355" t="s">
        <v>237</v>
      </c>
      <c r="J2355" t="s">
        <v>25</v>
      </c>
      <c r="K2355" t="s">
        <v>12221</v>
      </c>
      <c r="L2355">
        <v>0.1</v>
      </c>
      <c r="M2355" t="s">
        <v>12222</v>
      </c>
      <c r="N2355" t="s">
        <v>12223</v>
      </c>
      <c r="O2355" t="s">
        <v>29</v>
      </c>
      <c r="P2355" t="s">
        <v>30</v>
      </c>
      <c r="Q2355" t="s">
        <v>44</v>
      </c>
      <c r="R2355" s="3">
        <v>4577.3459999999995</v>
      </c>
    </row>
    <row r="2356" spans="1:18" x14ac:dyDescent="0.3">
      <c r="A2356" t="s">
        <v>12224</v>
      </c>
      <c r="B2356" t="str">
        <f>TEXT(Raw_Data[[#This Row],[Order Date]],"mmm")</f>
        <v>Feb</v>
      </c>
      <c r="C2356" t="s">
        <v>2399</v>
      </c>
      <c r="D2356" t="s">
        <v>12225</v>
      </c>
      <c r="E2356" t="s">
        <v>20</v>
      </c>
      <c r="F2356" t="s">
        <v>215</v>
      </c>
      <c r="G2356" t="s">
        <v>216</v>
      </c>
      <c r="H2356" t="s">
        <v>80</v>
      </c>
      <c r="I2356" t="s">
        <v>81</v>
      </c>
      <c r="J2356" t="s">
        <v>25</v>
      </c>
      <c r="K2356" t="s">
        <v>12226</v>
      </c>
      <c r="L2356">
        <v>0.05</v>
      </c>
      <c r="M2356" t="s">
        <v>12227</v>
      </c>
      <c r="N2356" t="s">
        <v>12228</v>
      </c>
      <c r="O2356" t="s">
        <v>64</v>
      </c>
      <c r="P2356" t="s">
        <v>30</v>
      </c>
      <c r="Q2356" t="s">
        <v>65</v>
      </c>
      <c r="R2356" s="3">
        <v>1232.23549999999</v>
      </c>
    </row>
    <row r="2357" spans="1:18" x14ac:dyDescent="0.3">
      <c r="A2357" t="s">
        <v>12229</v>
      </c>
      <c r="B2357" t="str">
        <f>TEXT(Raw_Data[[#This Row],[Order Date]],"mmm")</f>
        <v>Dec</v>
      </c>
      <c r="C2357" t="s">
        <v>2332</v>
      </c>
      <c r="D2357" t="s">
        <v>12230</v>
      </c>
      <c r="E2357" t="s">
        <v>48</v>
      </c>
      <c r="F2357" t="s">
        <v>215</v>
      </c>
      <c r="G2357" t="s">
        <v>216</v>
      </c>
      <c r="H2357" t="s">
        <v>38</v>
      </c>
      <c r="I2357" t="s">
        <v>39</v>
      </c>
      <c r="J2357" t="s">
        <v>25</v>
      </c>
      <c r="K2357" t="s">
        <v>12231</v>
      </c>
      <c r="L2357">
        <v>0.05</v>
      </c>
      <c r="M2357" t="s">
        <v>12232</v>
      </c>
      <c r="N2357" t="s">
        <v>12233</v>
      </c>
      <c r="O2357" t="s">
        <v>43</v>
      </c>
      <c r="P2357" t="s">
        <v>30</v>
      </c>
      <c r="Q2357" t="s">
        <v>65</v>
      </c>
      <c r="R2357" s="3">
        <v>4535.1764999999996</v>
      </c>
    </row>
    <row r="2358" spans="1:18" x14ac:dyDescent="0.3">
      <c r="A2358" t="s">
        <v>12234</v>
      </c>
      <c r="B2358" t="str">
        <f>TEXT(Raw_Data[[#This Row],[Order Date]],"mmm")</f>
        <v>Feb</v>
      </c>
      <c r="C2358" t="s">
        <v>4592</v>
      </c>
      <c r="D2358" t="s">
        <v>12235</v>
      </c>
      <c r="E2358" t="s">
        <v>48</v>
      </c>
      <c r="F2358" t="s">
        <v>106</v>
      </c>
      <c r="G2358" t="s">
        <v>163</v>
      </c>
      <c r="H2358" t="s">
        <v>107</v>
      </c>
      <c r="I2358" t="s">
        <v>469</v>
      </c>
      <c r="J2358" t="s">
        <v>25</v>
      </c>
      <c r="K2358" t="s">
        <v>12236</v>
      </c>
      <c r="L2358">
        <v>0.1</v>
      </c>
      <c r="M2358" t="s">
        <v>12237</v>
      </c>
      <c r="N2358" t="s">
        <v>12238</v>
      </c>
      <c r="O2358" t="s">
        <v>54</v>
      </c>
      <c r="P2358" t="s">
        <v>30</v>
      </c>
      <c r="Q2358" t="s">
        <v>65</v>
      </c>
      <c r="R2358" s="3">
        <v>10006.731</v>
      </c>
    </row>
    <row r="2359" spans="1:18" x14ac:dyDescent="0.3">
      <c r="A2359" t="s">
        <v>12239</v>
      </c>
      <c r="B2359" t="str">
        <f>TEXT(Raw_Data[[#This Row],[Order Date]],"mmm")</f>
        <v>Jan</v>
      </c>
      <c r="C2359" t="s">
        <v>2752</v>
      </c>
      <c r="D2359" t="s">
        <v>12240</v>
      </c>
      <c r="E2359" t="s">
        <v>20</v>
      </c>
      <c r="F2359" t="s">
        <v>78</v>
      </c>
      <c r="G2359" t="s">
        <v>79</v>
      </c>
      <c r="H2359" t="s">
        <v>23</v>
      </c>
      <c r="I2359" t="s">
        <v>341</v>
      </c>
      <c r="J2359" t="s">
        <v>50</v>
      </c>
      <c r="K2359" t="s">
        <v>12241</v>
      </c>
      <c r="L2359">
        <v>0.15</v>
      </c>
      <c r="M2359" t="s">
        <v>12242</v>
      </c>
      <c r="N2359" t="s">
        <v>12243</v>
      </c>
      <c r="O2359" t="s">
        <v>54</v>
      </c>
      <c r="P2359" t="s">
        <v>30</v>
      </c>
      <c r="Q2359" t="s">
        <v>65</v>
      </c>
      <c r="R2359" s="3">
        <v>22409.468000000001</v>
      </c>
    </row>
    <row r="2360" spans="1:18" x14ac:dyDescent="0.3">
      <c r="A2360" t="s">
        <v>12244</v>
      </c>
      <c r="B2360" t="str">
        <f>TEXT(Raw_Data[[#This Row],[Order Date]],"mmm")</f>
        <v>Feb</v>
      </c>
      <c r="C2360" t="s">
        <v>845</v>
      </c>
      <c r="D2360" t="s">
        <v>12245</v>
      </c>
      <c r="E2360" t="s">
        <v>20</v>
      </c>
      <c r="F2360" t="s">
        <v>89</v>
      </c>
      <c r="G2360" t="s">
        <v>99</v>
      </c>
      <c r="H2360" t="s">
        <v>23</v>
      </c>
      <c r="I2360" t="s">
        <v>183</v>
      </c>
      <c r="J2360" t="s">
        <v>50</v>
      </c>
      <c r="K2360" t="s">
        <v>12246</v>
      </c>
      <c r="L2360">
        <v>0.1</v>
      </c>
      <c r="M2360" t="s">
        <v>12247</v>
      </c>
      <c r="N2360" t="s">
        <v>12248</v>
      </c>
      <c r="O2360" t="s">
        <v>43</v>
      </c>
      <c r="P2360" t="s">
        <v>30</v>
      </c>
      <c r="Q2360" t="s">
        <v>31</v>
      </c>
      <c r="R2360" s="3">
        <v>28161.9</v>
      </c>
    </row>
    <row r="2361" spans="1:18" x14ac:dyDescent="0.3">
      <c r="A2361" t="s">
        <v>12249</v>
      </c>
      <c r="B2361" t="str">
        <f>TEXT(Raw_Data[[#This Row],[Order Date]],"mmm")</f>
        <v>May</v>
      </c>
      <c r="C2361" t="s">
        <v>3348</v>
      </c>
      <c r="D2361" t="s">
        <v>12250</v>
      </c>
      <c r="E2361" t="s">
        <v>48</v>
      </c>
      <c r="F2361" t="s">
        <v>21</v>
      </c>
      <c r="G2361" t="s">
        <v>130</v>
      </c>
      <c r="H2361" t="s">
        <v>107</v>
      </c>
      <c r="I2361" t="s">
        <v>469</v>
      </c>
      <c r="J2361" t="s">
        <v>50</v>
      </c>
      <c r="K2361" t="s">
        <v>12251</v>
      </c>
      <c r="L2361">
        <v>0.15</v>
      </c>
      <c r="M2361" t="s">
        <v>12252</v>
      </c>
      <c r="N2361" t="s">
        <v>12253</v>
      </c>
      <c r="O2361" t="s">
        <v>173</v>
      </c>
      <c r="P2361" t="s">
        <v>30</v>
      </c>
      <c r="Q2361" t="s">
        <v>44</v>
      </c>
      <c r="R2361" s="3">
        <v>11704.347</v>
      </c>
    </row>
    <row r="2362" spans="1:18" x14ac:dyDescent="0.3">
      <c r="A2362" t="s">
        <v>12254</v>
      </c>
      <c r="B2362" t="str">
        <f>TEXT(Raw_Data[[#This Row],[Order Date]],"mmm")</f>
        <v>Jul</v>
      </c>
      <c r="C2362" t="s">
        <v>358</v>
      </c>
      <c r="D2362" t="s">
        <v>12255</v>
      </c>
      <c r="E2362" t="s">
        <v>20</v>
      </c>
      <c r="F2362" t="s">
        <v>21</v>
      </c>
      <c r="G2362" t="s">
        <v>130</v>
      </c>
      <c r="H2362" t="s">
        <v>38</v>
      </c>
      <c r="I2362" t="s">
        <v>60</v>
      </c>
      <c r="J2362" t="s">
        <v>25</v>
      </c>
      <c r="K2362" t="s">
        <v>12256</v>
      </c>
      <c r="L2362">
        <v>0.15</v>
      </c>
      <c r="M2362" t="s">
        <v>12257</v>
      </c>
      <c r="N2362" t="s">
        <v>12258</v>
      </c>
      <c r="O2362" t="s">
        <v>43</v>
      </c>
      <c r="P2362" t="s">
        <v>30</v>
      </c>
      <c r="Q2362" t="s">
        <v>31</v>
      </c>
      <c r="R2362" s="3">
        <v>1129.1144999999999</v>
      </c>
    </row>
    <row r="2363" spans="1:18" x14ac:dyDescent="0.3">
      <c r="A2363" t="s">
        <v>12259</v>
      </c>
      <c r="B2363" t="str">
        <f>TEXT(Raw_Data[[#This Row],[Order Date]],"mmm")</f>
        <v>Mar</v>
      </c>
      <c r="C2363" t="s">
        <v>2731</v>
      </c>
      <c r="D2363" t="s">
        <v>12260</v>
      </c>
      <c r="E2363" t="s">
        <v>35</v>
      </c>
      <c r="F2363" t="s">
        <v>58</v>
      </c>
      <c r="G2363" t="s">
        <v>290</v>
      </c>
      <c r="H2363" t="s">
        <v>38</v>
      </c>
      <c r="I2363" t="s">
        <v>223</v>
      </c>
      <c r="J2363" t="s">
        <v>25</v>
      </c>
      <c r="K2363" t="s">
        <v>12261</v>
      </c>
      <c r="L2363">
        <v>0</v>
      </c>
      <c r="M2363" t="s">
        <v>12262</v>
      </c>
      <c r="N2363" t="s">
        <v>12263</v>
      </c>
      <c r="O2363" t="s">
        <v>173</v>
      </c>
      <c r="P2363" t="s">
        <v>30</v>
      </c>
      <c r="Q2363" t="s">
        <v>65</v>
      </c>
      <c r="R2363" s="3">
        <v>4257.63</v>
      </c>
    </row>
    <row r="2364" spans="1:18" x14ac:dyDescent="0.3">
      <c r="A2364" t="s">
        <v>12264</v>
      </c>
      <c r="B2364" t="str">
        <f>TEXT(Raw_Data[[#This Row],[Order Date]],"mmm")</f>
        <v>Mar</v>
      </c>
      <c r="C2364" t="s">
        <v>1527</v>
      </c>
      <c r="D2364" t="s">
        <v>12265</v>
      </c>
      <c r="E2364" t="s">
        <v>20</v>
      </c>
      <c r="F2364" t="s">
        <v>58</v>
      </c>
      <c r="G2364" t="s">
        <v>812</v>
      </c>
      <c r="H2364" t="s">
        <v>23</v>
      </c>
      <c r="I2364" t="s">
        <v>24</v>
      </c>
      <c r="J2364" t="s">
        <v>25</v>
      </c>
      <c r="K2364" t="s">
        <v>12266</v>
      </c>
      <c r="L2364">
        <v>0.1</v>
      </c>
      <c r="M2364" t="s">
        <v>12267</v>
      </c>
      <c r="N2364" t="s">
        <v>12268</v>
      </c>
      <c r="O2364" t="s">
        <v>173</v>
      </c>
      <c r="P2364" t="s">
        <v>30</v>
      </c>
      <c r="Q2364" t="s">
        <v>31</v>
      </c>
      <c r="R2364" s="3">
        <v>40854.815999999999</v>
      </c>
    </row>
    <row r="2365" spans="1:18" x14ac:dyDescent="0.3">
      <c r="A2365" t="s">
        <v>12269</v>
      </c>
      <c r="B2365" t="str">
        <f>TEXT(Raw_Data[[#This Row],[Order Date]],"mmm")</f>
        <v>Jan</v>
      </c>
      <c r="C2365" t="s">
        <v>1878</v>
      </c>
      <c r="D2365" t="s">
        <v>12270</v>
      </c>
      <c r="E2365" t="s">
        <v>35</v>
      </c>
      <c r="F2365" t="s">
        <v>215</v>
      </c>
      <c r="G2365" t="s">
        <v>276</v>
      </c>
      <c r="H2365" t="s">
        <v>107</v>
      </c>
      <c r="I2365" t="s">
        <v>108</v>
      </c>
      <c r="J2365" t="s">
        <v>25</v>
      </c>
      <c r="K2365" t="s">
        <v>12271</v>
      </c>
      <c r="L2365">
        <v>0.05</v>
      </c>
      <c r="M2365" t="s">
        <v>12272</v>
      </c>
      <c r="N2365" t="s">
        <v>12273</v>
      </c>
      <c r="O2365" t="s">
        <v>29</v>
      </c>
      <c r="P2365" t="s">
        <v>112</v>
      </c>
      <c r="Q2365" t="s">
        <v>65</v>
      </c>
      <c r="R2365" s="3">
        <v>14824.702499999999</v>
      </c>
    </row>
    <row r="2366" spans="1:18" x14ac:dyDescent="0.3">
      <c r="A2366" t="s">
        <v>12274</v>
      </c>
      <c r="B2366" t="str">
        <f>TEXT(Raw_Data[[#This Row],[Order Date]],"mmm")</f>
        <v>Aug</v>
      </c>
      <c r="C2366" t="s">
        <v>1680</v>
      </c>
      <c r="D2366" t="s">
        <v>12275</v>
      </c>
      <c r="E2366" t="s">
        <v>48</v>
      </c>
      <c r="F2366" t="s">
        <v>21</v>
      </c>
      <c r="G2366" t="s">
        <v>130</v>
      </c>
      <c r="H2366" t="s">
        <v>23</v>
      </c>
      <c r="I2366" t="s">
        <v>49</v>
      </c>
      <c r="J2366" t="s">
        <v>25</v>
      </c>
      <c r="K2366" t="s">
        <v>12276</v>
      </c>
      <c r="L2366">
        <v>0.05</v>
      </c>
      <c r="M2366" t="s">
        <v>12277</v>
      </c>
      <c r="N2366" t="s">
        <v>12278</v>
      </c>
      <c r="O2366" t="s">
        <v>173</v>
      </c>
      <c r="P2366" t="s">
        <v>30</v>
      </c>
      <c r="Q2366" t="s">
        <v>65</v>
      </c>
      <c r="R2366" s="3">
        <v>45614.392500000002</v>
      </c>
    </row>
    <row r="2367" spans="1:18" x14ac:dyDescent="0.3">
      <c r="A2367" t="s">
        <v>12279</v>
      </c>
      <c r="B2367" t="str">
        <f>TEXT(Raw_Data[[#This Row],[Order Date]],"mmm")</f>
        <v>Oct</v>
      </c>
      <c r="C2367" t="s">
        <v>2438</v>
      </c>
      <c r="D2367" t="s">
        <v>12280</v>
      </c>
      <c r="E2367" t="s">
        <v>35</v>
      </c>
      <c r="F2367" t="s">
        <v>58</v>
      </c>
      <c r="G2367" t="s">
        <v>290</v>
      </c>
      <c r="H2367" t="s">
        <v>23</v>
      </c>
      <c r="I2367" t="s">
        <v>183</v>
      </c>
      <c r="J2367" t="s">
        <v>50</v>
      </c>
      <c r="K2367" t="s">
        <v>12281</v>
      </c>
      <c r="L2367">
        <v>0.15</v>
      </c>
      <c r="M2367" t="s">
        <v>12282</v>
      </c>
      <c r="N2367" t="s">
        <v>12283</v>
      </c>
      <c r="O2367" t="s">
        <v>29</v>
      </c>
      <c r="P2367" t="s">
        <v>159</v>
      </c>
      <c r="Q2367" t="s">
        <v>65</v>
      </c>
      <c r="R2367" s="3">
        <v>56008.828999999998</v>
      </c>
    </row>
    <row r="2368" spans="1:18" x14ac:dyDescent="0.3">
      <c r="A2368" t="s">
        <v>12284</v>
      </c>
      <c r="B2368" t="str">
        <f>TEXT(Raw_Data[[#This Row],[Order Date]],"mmm")</f>
        <v>Jul</v>
      </c>
      <c r="C2368" t="s">
        <v>9717</v>
      </c>
      <c r="D2368" t="s">
        <v>12285</v>
      </c>
      <c r="E2368" t="s">
        <v>20</v>
      </c>
      <c r="F2368" t="s">
        <v>69</v>
      </c>
      <c r="G2368" t="s">
        <v>328</v>
      </c>
      <c r="H2368" t="s">
        <v>80</v>
      </c>
      <c r="I2368" t="s">
        <v>81</v>
      </c>
      <c r="J2368" t="s">
        <v>25</v>
      </c>
      <c r="K2368" t="s">
        <v>12286</v>
      </c>
      <c r="L2368">
        <v>0.1</v>
      </c>
      <c r="M2368" t="s">
        <v>12287</v>
      </c>
      <c r="N2368" t="s">
        <v>12288</v>
      </c>
      <c r="O2368" t="s">
        <v>54</v>
      </c>
      <c r="P2368" t="s">
        <v>30</v>
      </c>
      <c r="Q2368" t="s">
        <v>31</v>
      </c>
      <c r="R2368" s="3">
        <v>5822.7929999999997</v>
      </c>
    </row>
    <row r="2369" spans="1:18" x14ac:dyDescent="0.3">
      <c r="A2369" t="s">
        <v>12289</v>
      </c>
      <c r="B2369" t="str">
        <f>TEXT(Raw_Data[[#This Row],[Order Date]],"mmm")</f>
        <v>Nov</v>
      </c>
      <c r="C2369" t="s">
        <v>221</v>
      </c>
      <c r="D2369" t="s">
        <v>12290</v>
      </c>
      <c r="E2369" t="s">
        <v>20</v>
      </c>
      <c r="F2369" t="s">
        <v>21</v>
      </c>
      <c r="G2369" t="s">
        <v>22</v>
      </c>
      <c r="H2369" t="s">
        <v>80</v>
      </c>
      <c r="I2369" t="s">
        <v>91</v>
      </c>
      <c r="J2369" t="s">
        <v>25</v>
      </c>
      <c r="K2369" t="s">
        <v>12291</v>
      </c>
      <c r="L2369">
        <v>0.15</v>
      </c>
      <c r="M2369" t="s">
        <v>12292</v>
      </c>
      <c r="N2369" t="s">
        <v>12293</v>
      </c>
      <c r="O2369" t="s">
        <v>54</v>
      </c>
      <c r="P2369" t="s">
        <v>112</v>
      </c>
      <c r="Q2369" t="s">
        <v>31</v>
      </c>
      <c r="R2369" s="3">
        <v>2397.4164999999998</v>
      </c>
    </row>
    <row r="2370" spans="1:18" x14ac:dyDescent="0.3">
      <c r="A2370" t="s">
        <v>12294</v>
      </c>
      <c r="B2370" t="str">
        <f>TEXT(Raw_Data[[#This Row],[Order Date]],"mmm")</f>
        <v>Aug</v>
      </c>
      <c r="C2370" t="s">
        <v>971</v>
      </c>
      <c r="D2370" t="s">
        <v>12295</v>
      </c>
      <c r="E2370" t="s">
        <v>20</v>
      </c>
      <c r="F2370" t="s">
        <v>106</v>
      </c>
      <c r="G2370" t="s">
        <v>163</v>
      </c>
      <c r="H2370" t="s">
        <v>38</v>
      </c>
      <c r="I2370" t="s">
        <v>223</v>
      </c>
      <c r="J2370" t="s">
        <v>25</v>
      </c>
      <c r="K2370" t="s">
        <v>12296</v>
      </c>
      <c r="L2370">
        <v>0.05</v>
      </c>
      <c r="M2370" t="s">
        <v>12297</v>
      </c>
      <c r="N2370" t="s">
        <v>12298</v>
      </c>
      <c r="O2370" t="s">
        <v>64</v>
      </c>
      <c r="P2370" t="s">
        <v>30</v>
      </c>
      <c r="Q2370" t="s">
        <v>44</v>
      </c>
      <c r="R2370" s="3">
        <v>4638.8975</v>
      </c>
    </row>
    <row r="2371" spans="1:18" x14ac:dyDescent="0.3">
      <c r="A2371" t="s">
        <v>12299</v>
      </c>
      <c r="B2371" t="str">
        <f>TEXT(Raw_Data[[#This Row],[Order Date]],"mmm")</f>
        <v>Aug</v>
      </c>
      <c r="C2371" t="s">
        <v>151</v>
      </c>
      <c r="D2371" t="s">
        <v>12300</v>
      </c>
      <c r="E2371" t="s">
        <v>20</v>
      </c>
      <c r="F2371" t="s">
        <v>21</v>
      </c>
      <c r="G2371" t="s">
        <v>22</v>
      </c>
      <c r="H2371" t="s">
        <v>80</v>
      </c>
      <c r="I2371" t="s">
        <v>81</v>
      </c>
      <c r="J2371" t="s">
        <v>100</v>
      </c>
      <c r="K2371" t="s">
        <v>12301</v>
      </c>
      <c r="L2371">
        <v>0.1</v>
      </c>
      <c r="M2371" t="s">
        <v>12302</v>
      </c>
      <c r="N2371" t="s">
        <v>12303</v>
      </c>
      <c r="O2371" t="s">
        <v>43</v>
      </c>
      <c r="P2371" t="s">
        <v>30</v>
      </c>
      <c r="Q2371" t="s">
        <v>31</v>
      </c>
      <c r="R2371" s="3">
        <v>4661.1989999999996</v>
      </c>
    </row>
    <row r="2372" spans="1:18" x14ac:dyDescent="0.3">
      <c r="A2372" t="s">
        <v>12304</v>
      </c>
      <c r="B2372" t="str">
        <f>TEXT(Raw_Data[[#This Row],[Order Date]],"mmm")</f>
        <v>May</v>
      </c>
      <c r="C2372" t="s">
        <v>2693</v>
      </c>
      <c r="D2372" t="s">
        <v>12305</v>
      </c>
      <c r="E2372" t="s">
        <v>48</v>
      </c>
      <c r="F2372" t="s">
        <v>21</v>
      </c>
      <c r="G2372" t="s">
        <v>22</v>
      </c>
      <c r="H2372" t="s">
        <v>107</v>
      </c>
      <c r="I2372" t="s">
        <v>591</v>
      </c>
      <c r="J2372" t="s">
        <v>50</v>
      </c>
      <c r="K2372" t="s">
        <v>12306</v>
      </c>
      <c r="L2372">
        <v>0.1</v>
      </c>
      <c r="M2372" t="s">
        <v>12307</v>
      </c>
      <c r="N2372" t="s">
        <v>12308</v>
      </c>
      <c r="O2372" t="s">
        <v>29</v>
      </c>
      <c r="P2372" t="s">
        <v>30</v>
      </c>
      <c r="Q2372" t="s">
        <v>65</v>
      </c>
      <c r="R2372" s="3">
        <v>15095.574000000001</v>
      </c>
    </row>
    <row r="2373" spans="1:18" x14ac:dyDescent="0.3">
      <c r="A2373" t="s">
        <v>12309</v>
      </c>
      <c r="B2373" t="str">
        <f>TEXT(Raw_Data[[#This Row],[Order Date]],"mmm")</f>
        <v>Nov</v>
      </c>
      <c r="C2373" t="s">
        <v>1122</v>
      </c>
      <c r="D2373" t="s">
        <v>12310</v>
      </c>
      <c r="E2373" t="s">
        <v>20</v>
      </c>
      <c r="F2373" t="s">
        <v>21</v>
      </c>
      <c r="G2373" t="s">
        <v>22</v>
      </c>
      <c r="H2373" t="s">
        <v>107</v>
      </c>
      <c r="I2373" t="s">
        <v>108</v>
      </c>
      <c r="J2373" t="s">
        <v>25</v>
      </c>
      <c r="K2373" t="s">
        <v>12311</v>
      </c>
      <c r="L2373">
        <v>0.1</v>
      </c>
      <c r="M2373" t="s">
        <v>12312</v>
      </c>
      <c r="N2373" t="s">
        <v>12313</v>
      </c>
      <c r="O2373" t="s">
        <v>3684</v>
      </c>
      <c r="P2373" t="s">
        <v>159</v>
      </c>
      <c r="Q2373" t="s">
        <v>31</v>
      </c>
      <c r="R2373" s="3">
        <v>11937.582</v>
      </c>
    </row>
    <row r="2374" spans="1:18" x14ac:dyDescent="0.3">
      <c r="A2374" t="s">
        <v>12314</v>
      </c>
      <c r="B2374" t="str">
        <f>TEXT(Raw_Data[[#This Row],[Order Date]],"mmm")</f>
        <v>Sep</v>
      </c>
      <c r="C2374" t="s">
        <v>401</v>
      </c>
      <c r="D2374" t="s">
        <v>12315</v>
      </c>
      <c r="E2374" t="s">
        <v>35</v>
      </c>
      <c r="F2374" t="s">
        <v>69</v>
      </c>
      <c r="G2374" t="s">
        <v>139</v>
      </c>
      <c r="H2374" t="s">
        <v>154</v>
      </c>
      <c r="I2374" t="s">
        <v>309</v>
      </c>
      <c r="J2374" t="s">
        <v>25</v>
      </c>
      <c r="K2374" t="s">
        <v>12316</v>
      </c>
      <c r="L2374">
        <v>0</v>
      </c>
      <c r="M2374" t="s">
        <v>12317</v>
      </c>
      <c r="N2374" t="s">
        <v>12318</v>
      </c>
      <c r="O2374" t="s">
        <v>173</v>
      </c>
      <c r="P2374" t="s">
        <v>30</v>
      </c>
      <c r="Q2374" t="s">
        <v>31</v>
      </c>
      <c r="R2374" s="3">
        <v>7451.24</v>
      </c>
    </row>
    <row r="2375" spans="1:18" x14ac:dyDescent="0.3">
      <c r="A2375" t="s">
        <v>12319</v>
      </c>
      <c r="B2375" t="str">
        <f>TEXT(Raw_Data[[#This Row],[Order Date]],"mmm")</f>
        <v>Mar</v>
      </c>
      <c r="C2375" t="s">
        <v>1527</v>
      </c>
      <c r="D2375" t="s">
        <v>12320</v>
      </c>
      <c r="E2375" t="s">
        <v>48</v>
      </c>
      <c r="F2375" t="s">
        <v>78</v>
      </c>
      <c r="G2375" t="s">
        <v>79</v>
      </c>
      <c r="H2375" t="s">
        <v>23</v>
      </c>
      <c r="I2375" t="s">
        <v>263</v>
      </c>
      <c r="J2375" t="s">
        <v>100</v>
      </c>
      <c r="K2375" t="s">
        <v>12321</v>
      </c>
      <c r="L2375">
        <v>0.05</v>
      </c>
      <c r="M2375" t="s">
        <v>12322</v>
      </c>
      <c r="N2375" t="s">
        <v>12323</v>
      </c>
      <c r="O2375" t="s">
        <v>173</v>
      </c>
      <c r="P2375" t="s">
        <v>30</v>
      </c>
      <c r="Q2375" t="s">
        <v>65</v>
      </c>
      <c r="R2375" s="3">
        <v>95569.876499999897</v>
      </c>
    </row>
    <row r="2376" spans="1:18" x14ac:dyDescent="0.3">
      <c r="A2376" t="s">
        <v>12324</v>
      </c>
      <c r="B2376" t="str">
        <f>TEXT(Raw_Data[[#This Row],[Order Date]],"mmm")</f>
        <v>Jun</v>
      </c>
      <c r="C2376" t="s">
        <v>1725</v>
      </c>
      <c r="D2376" t="s">
        <v>12325</v>
      </c>
      <c r="E2376" t="s">
        <v>48</v>
      </c>
      <c r="F2376" t="s">
        <v>58</v>
      </c>
      <c r="G2376" t="s">
        <v>812</v>
      </c>
      <c r="H2376" t="s">
        <v>38</v>
      </c>
      <c r="I2376" t="s">
        <v>223</v>
      </c>
      <c r="J2376" t="s">
        <v>25</v>
      </c>
      <c r="K2376" t="s">
        <v>12326</v>
      </c>
      <c r="L2376">
        <v>0.1</v>
      </c>
      <c r="M2376" t="s">
        <v>12327</v>
      </c>
      <c r="N2376" t="s">
        <v>12328</v>
      </c>
      <c r="O2376" t="s">
        <v>29</v>
      </c>
      <c r="P2376" t="s">
        <v>112</v>
      </c>
      <c r="Q2376" t="s">
        <v>31</v>
      </c>
      <c r="R2376" s="3">
        <v>743.86800000000005</v>
      </c>
    </row>
    <row r="2377" spans="1:18" x14ac:dyDescent="0.3">
      <c r="A2377" t="s">
        <v>12329</v>
      </c>
      <c r="B2377" t="str">
        <f>TEXT(Raw_Data[[#This Row],[Order Date]],"mmm")</f>
        <v>Feb</v>
      </c>
      <c r="C2377" t="s">
        <v>2361</v>
      </c>
      <c r="D2377" t="s">
        <v>12330</v>
      </c>
      <c r="E2377" t="s">
        <v>20</v>
      </c>
      <c r="F2377" t="s">
        <v>36</v>
      </c>
      <c r="G2377" t="s">
        <v>153</v>
      </c>
      <c r="H2377" t="s">
        <v>80</v>
      </c>
      <c r="I2377" t="s">
        <v>116</v>
      </c>
      <c r="J2377" t="s">
        <v>25</v>
      </c>
      <c r="K2377" t="s">
        <v>12331</v>
      </c>
      <c r="L2377">
        <v>0</v>
      </c>
      <c r="M2377" t="s">
        <v>12332</v>
      </c>
      <c r="N2377" t="s">
        <v>12333</v>
      </c>
      <c r="O2377" t="s">
        <v>29</v>
      </c>
      <c r="P2377" t="s">
        <v>30</v>
      </c>
      <c r="Q2377" t="s">
        <v>44</v>
      </c>
      <c r="R2377" s="3">
        <v>5161.67</v>
      </c>
    </row>
    <row r="2378" spans="1:18" x14ac:dyDescent="0.3">
      <c r="A2378" t="s">
        <v>12334</v>
      </c>
      <c r="B2378" t="str">
        <f>TEXT(Raw_Data[[#This Row],[Order Date]],"mmm")</f>
        <v>Dec</v>
      </c>
      <c r="C2378" t="s">
        <v>268</v>
      </c>
      <c r="D2378" t="s">
        <v>12335</v>
      </c>
      <c r="E2378" t="s">
        <v>20</v>
      </c>
      <c r="F2378" t="s">
        <v>58</v>
      </c>
      <c r="G2378" t="s">
        <v>812</v>
      </c>
      <c r="H2378" t="s">
        <v>38</v>
      </c>
      <c r="I2378" t="s">
        <v>39</v>
      </c>
      <c r="J2378" t="s">
        <v>25</v>
      </c>
      <c r="K2378" t="s">
        <v>12336</v>
      </c>
      <c r="L2378">
        <v>0.1</v>
      </c>
      <c r="M2378" t="s">
        <v>12337</v>
      </c>
      <c r="N2378" t="s">
        <v>12338</v>
      </c>
      <c r="O2378" t="s">
        <v>54</v>
      </c>
      <c r="P2378" t="s">
        <v>30</v>
      </c>
      <c r="Q2378" t="s">
        <v>31</v>
      </c>
      <c r="R2378" s="3">
        <v>5105.0249999999996</v>
      </c>
    </row>
    <row r="2379" spans="1:18" x14ac:dyDescent="0.3">
      <c r="A2379" t="s">
        <v>12339</v>
      </c>
      <c r="B2379" t="str">
        <f>TEXT(Raw_Data[[#This Row],[Order Date]],"mmm")</f>
        <v>Apr</v>
      </c>
      <c r="C2379" t="s">
        <v>121</v>
      </c>
      <c r="D2379" t="s">
        <v>12340</v>
      </c>
      <c r="E2379" t="s">
        <v>20</v>
      </c>
      <c r="F2379" t="s">
        <v>69</v>
      </c>
      <c r="G2379" t="s">
        <v>70</v>
      </c>
      <c r="H2379" t="s">
        <v>38</v>
      </c>
      <c r="I2379" t="s">
        <v>39</v>
      </c>
      <c r="J2379" t="s">
        <v>50</v>
      </c>
      <c r="K2379" t="s">
        <v>12341</v>
      </c>
      <c r="L2379">
        <v>0.05</v>
      </c>
      <c r="M2379" t="s">
        <v>12342</v>
      </c>
      <c r="N2379" t="s">
        <v>12343</v>
      </c>
      <c r="O2379" t="s">
        <v>29</v>
      </c>
      <c r="P2379" t="s">
        <v>30</v>
      </c>
      <c r="Q2379" t="s">
        <v>44</v>
      </c>
      <c r="R2379" s="3">
        <v>6657.4859999999999</v>
      </c>
    </row>
    <row r="2380" spans="1:18" x14ac:dyDescent="0.3">
      <c r="A2380" t="s">
        <v>12344</v>
      </c>
      <c r="B2380" t="str">
        <f>TEXT(Raw_Data[[#This Row],[Order Date]],"mmm")</f>
        <v>Feb</v>
      </c>
      <c r="C2380" t="s">
        <v>2676</v>
      </c>
      <c r="D2380" t="s">
        <v>12345</v>
      </c>
      <c r="E2380" t="s">
        <v>48</v>
      </c>
      <c r="F2380" t="s">
        <v>58</v>
      </c>
      <c r="G2380" t="s">
        <v>812</v>
      </c>
      <c r="H2380" t="s">
        <v>80</v>
      </c>
      <c r="I2380" t="s">
        <v>91</v>
      </c>
      <c r="J2380" t="s">
        <v>50</v>
      </c>
      <c r="K2380" t="s">
        <v>12346</v>
      </c>
      <c r="L2380">
        <v>0.05</v>
      </c>
      <c r="M2380" t="s">
        <v>12347</v>
      </c>
      <c r="N2380" t="s">
        <v>12348</v>
      </c>
      <c r="O2380" t="s">
        <v>64</v>
      </c>
      <c r="P2380" t="s">
        <v>95</v>
      </c>
      <c r="Q2380" t="s">
        <v>31</v>
      </c>
      <c r="R2380" s="3">
        <v>9557.4559999999892</v>
      </c>
    </row>
    <row r="2381" spans="1:18" x14ac:dyDescent="0.3">
      <c r="A2381" t="s">
        <v>12349</v>
      </c>
      <c r="B2381" t="str">
        <f>TEXT(Raw_Data[[#This Row],[Order Date]],"mmm")</f>
        <v>Jun</v>
      </c>
      <c r="C2381" t="s">
        <v>1251</v>
      </c>
      <c r="D2381" t="s">
        <v>12350</v>
      </c>
      <c r="E2381" t="s">
        <v>20</v>
      </c>
      <c r="F2381" t="s">
        <v>215</v>
      </c>
      <c r="G2381" t="s">
        <v>216</v>
      </c>
      <c r="H2381" t="s">
        <v>23</v>
      </c>
      <c r="I2381" t="s">
        <v>183</v>
      </c>
      <c r="J2381" t="s">
        <v>25</v>
      </c>
      <c r="K2381" t="s">
        <v>12351</v>
      </c>
      <c r="L2381">
        <v>0.05</v>
      </c>
      <c r="M2381" t="s">
        <v>12352</v>
      </c>
      <c r="N2381" t="s">
        <v>12353</v>
      </c>
      <c r="O2381" t="s">
        <v>29</v>
      </c>
      <c r="P2381" t="s">
        <v>30</v>
      </c>
      <c r="Q2381" t="s">
        <v>44</v>
      </c>
      <c r="R2381" s="3">
        <v>39594.879000000001</v>
      </c>
    </row>
    <row r="2382" spans="1:18" x14ac:dyDescent="0.3">
      <c r="A2382" t="s">
        <v>12354</v>
      </c>
      <c r="B2382" t="str">
        <f>TEXT(Raw_Data[[#This Row],[Order Date]],"mmm")</f>
        <v>Apr</v>
      </c>
      <c r="C2382" t="s">
        <v>2552</v>
      </c>
      <c r="D2382" t="s">
        <v>12355</v>
      </c>
      <c r="E2382" t="s">
        <v>35</v>
      </c>
      <c r="F2382" t="s">
        <v>215</v>
      </c>
      <c r="G2382" t="s">
        <v>276</v>
      </c>
      <c r="H2382" t="s">
        <v>107</v>
      </c>
      <c r="I2382" t="s">
        <v>277</v>
      </c>
      <c r="J2382" t="s">
        <v>82</v>
      </c>
      <c r="K2382" t="s">
        <v>12356</v>
      </c>
      <c r="L2382">
        <v>0.15</v>
      </c>
      <c r="M2382" t="s">
        <v>12357</v>
      </c>
      <c r="N2382" t="s">
        <v>12358</v>
      </c>
      <c r="O2382" t="s">
        <v>43</v>
      </c>
      <c r="P2382" t="s">
        <v>30</v>
      </c>
      <c r="Q2382" t="s">
        <v>44</v>
      </c>
      <c r="R2382" s="3">
        <v>48904.477999999901</v>
      </c>
    </row>
    <row r="2383" spans="1:18" x14ac:dyDescent="0.3">
      <c r="A2383" t="s">
        <v>12359</v>
      </c>
      <c r="B2383" t="str">
        <f>TEXT(Raw_Data[[#This Row],[Order Date]],"mmm")</f>
        <v>Apr</v>
      </c>
      <c r="C2383" t="s">
        <v>3622</v>
      </c>
      <c r="D2383" t="s">
        <v>12360</v>
      </c>
      <c r="E2383" t="s">
        <v>20</v>
      </c>
      <c r="F2383" t="s">
        <v>58</v>
      </c>
      <c r="G2383" t="s">
        <v>812</v>
      </c>
      <c r="H2383" t="s">
        <v>154</v>
      </c>
      <c r="I2383" t="s">
        <v>1061</v>
      </c>
      <c r="J2383" t="s">
        <v>50</v>
      </c>
      <c r="K2383" t="s">
        <v>12361</v>
      </c>
      <c r="L2383">
        <v>0.05</v>
      </c>
      <c r="M2383" t="s">
        <v>12362</v>
      </c>
      <c r="N2383" t="s">
        <v>12363</v>
      </c>
      <c r="O2383" t="s">
        <v>64</v>
      </c>
      <c r="P2383" t="s">
        <v>30</v>
      </c>
      <c r="Q2383" t="s">
        <v>31</v>
      </c>
      <c r="R2383" s="3">
        <v>12918.2329999999</v>
      </c>
    </row>
    <row r="2384" spans="1:18" x14ac:dyDescent="0.3">
      <c r="A2384" t="s">
        <v>12364</v>
      </c>
      <c r="B2384" t="str">
        <f>TEXT(Raw_Data[[#This Row],[Order Date]],"mmm")</f>
        <v>Jun</v>
      </c>
      <c r="C2384" t="s">
        <v>370</v>
      </c>
      <c r="D2384" t="s">
        <v>12365</v>
      </c>
      <c r="E2384" t="s">
        <v>35</v>
      </c>
      <c r="F2384" t="s">
        <v>89</v>
      </c>
      <c r="G2384" t="s">
        <v>230</v>
      </c>
      <c r="H2384" t="s">
        <v>80</v>
      </c>
      <c r="I2384" t="s">
        <v>116</v>
      </c>
      <c r="J2384" t="s">
        <v>25</v>
      </c>
      <c r="K2384" t="s">
        <v>12366</v>
      </c>
      <c r="L2384">
        <v>0.1</v>
      </c>
      <c r="M2384" t="s">
        <v>12367</v>
      </c>
      <c r="N2384" t="s">
        <v>12368</v>
      </c>
      <c r="O2384" t="s">
        <v>43</v>
      </c>
      <c r="P2384" t="s">
        <v>30</v>
      </c>
      <c r="Q2384" t="s">
        <v>65</v>
      </c>
      <c r="R2384" s="3">
        <v>5679.9359999999997</v>
      </c>
    </row>
    <row r="2385" spans="1:18" x14ac:dyDescent="0.3">
      <c r="A2385" t="s">
        <v>12369</v>
      </c>
      <c r="B2385" t="str">
        <f>TEXT(Raw_Data[[#This Row],[Order Date]],"mmm")</f>
        <v>Jun</v>
      </c>
      <c r="C2385" t="s">
        <v>3514</v>
      </c>
      <c r="D2385" t="s">
        <v>12370</v>
      </c>
      <c r="E2385" t="s">
        <v>35</v>
      </c>
      <c r="F2385" t="s">
        <v>69</v>
      </c>
      <c r="G2385" t="s">
        <v>139</v>
      </c>
      <c r="H2385" t="s">
        <v>23</v>
      </c>
      <c r="I2385" t="s">
        <v>49</v>
      </c>
      <c r="J2385" t="s">
        <v>25</v>
      </c>
      <c r="K2385" t="s">
        <v>12371</v>
      </c>
      <c r="L2385">
        <v>0.1</v>
      </c>
      <c r="M2385" t="s">
        <v>12372</v>
      </c>
      <c r="N2385" t="s">
        <v>12373</v>
      </c>
      <c r="O2385" t="s">
        <v>29</v>
      </c>
      <c r="P2385" t="s">
        <v>30</v>
      </c>
      <c r="Q2385" t="s">
        <v>65</v>
      </c>
      <c r="R2385" s="3">
        <v>61303.599000000002</v>
      </c>
    </row>
    <row r="2386" spans="1:18" x14ac:dyDescent="0.3">
      <c r="A2386" t="s">
        <v>12374</v>
      </c>
      <c r="B2386" t="str">
        <f>TEXT(Raw_Data[[#This Row],[Order Date]],"mmm")</f>
        <v>Jul</v>
      </c>
      <c r="C2386" t="s">
        <v>2305</v>
      </c>
      <c r="D2386" t="s">
        <v>12375</v>
      </c>
      <c r="E2386" t="s">
        <v>48</v>
      </c>
      <c r="F2386" t="s">
        <v>106</v>
      </c>
      <c r="G2386" t="s">
        <v>106</v>
      </c>
      <c r="H2386" t="s">
        <v>107</v>
      </c>
      <c r="I2386" t="s">
        <v>469</v>
      </c>
      <c r="J2386" t="s">
        <v>25</v>
      </c>
      <c r="K2386" t="s">
        <v>12376</v>
      </c>
      <c r="L2386">
        <v>0</v>
      </c>
      <c r="M2386" t="s">
        <v>12377</v>
      </c>
      <c r="N2386" t="s">
        <v>12378</v>
      </c>
      <c r="O2386" t="s">
        <v>64</v>
      </c>
      <c r="P2386" t="s">
        <v>30</v>
      </c>
      <c r="Q2386" t="s">
        <v>31</v>
      </c>
      <c r="R2386" s="3">
        <v>4229.2</v>
      </c>
    </row>
    <row r="2387" spans="1:18" x14ac:dyDescent="0.3">
      <c r="A2387" t="s">
        <v>12379</v>
      </c>
      <c r="B2387" t="str">
        <f>TEXT(Raw_Data[[#This Row],[Order Date]],"mmm")</f>
        <v>Mar</v>
      </c>
      <c r="C2387" t="s">
        <v>3893</v>
      </c>
      <c r="D2387" t="s">
        <v>12380</v>
      </c>
      <c r="E2387" t="s">
        <v>20</v>
      </c>
      <c r="F2387" t="s">
        <v>21</v>
      </c>
      <c r="G2387" t="s">
        <v>130</v>
      </c>
      <c r="H2387" t="s">
        <v>154</v>
      </c>
      <c r="I2387" t="s">
        <v>237</v>
      </c>
      <c r="J2387" t="s">
        <v>50</v>
      </c>
      <c r="K2387" t="s">
        <v>12381</v>
      </c>
      <c r="L2387">
        <v>0</v>
      </c>
      <c r="M2387" t="s">
        <v>12382</v>
      </c>
      <c r="N2387" t="s">
        <v>12383</v>
      </c>
      <c r="O2387" t="s">
        <v>173</v>
      </c>
      <c r="P2387" t="s">
        <v>30</v>
      </c>
      <c r="Q2387" t="s">
        <v>65</v>
      </c>
      <c r="R2387" s="3">
        <v>8592.84</v>
      </c>
    </row>
    <row r="2388" spans="1:18" x14ac:dyDescent="0.3">
      <c r="A2388" t="s">
        <v>12384</v>
      </c>
      <c r="B2388" t="str">
        <f>TEXT(Raw_Data[[#This Row],[Order Date]],"mmm")</f>
        <v>Mar</v>
      </c>
      <c r="C2388" t="s">
        <v>602</v>
      </c>
      <c r="D2388" t="s">
        <v>12385</v>
      </c>
      <c r="E2388" t="s">
        <v>20</v>
      </c>
      <c r="F2388" t="s">
        <v>21</v>
      </c>
      <c r="G2388" t="s">
        <v>130</v>
      </c>
      <c r="H2388" t="s">
        <v>107</v>
      </c>
      <c r="I2388" t="s">
        <v>108</v>
      </c>
      <c r="J2388" t="s">
        <v>25</v>
      </c>
      <c r="K2388" t="s">
        <v>12386</v>
      </c>
      <c r="L2388">
        <v>0.1</v>
      </c>
      <c r="M2388" t="s">
        <v>12387</v>
      </c>
      <c r="N2388" t="s">
        <v>12388</v>
      </c>
      <c r="O2388" t="s">
        <v>173</v>
      </c>
      <c r="P2388" t="s">
        <v>112</v>
      </c>
      <c r="Q2388" t="s">
        <v>44</v>
      </c>
      <c r="R2388" s="3">
        <v>15773.517</v>
      </c>
    </row>
    <row r="2389" spans="1:18" x14ac:dyDescent="0.3">
      <c r="A2389" t="s">
        <v>12389</v>
      </c>
      <c r="B2389" t="str">
        <f>TEXT(Raw_Data[[#This Row],[Order Date]],"mmm")</f>
        <v>Sep</v>
      </c>
      <c r="C2389" t="s">
        <v>1280</v>
      </c>
      <c r="D2389" t="s">
        <v>12390</v>
      </c>
      <c r="E2389" t="s">
        <v>20</v>
      </c>
      <c r="F2389" t="s">
        <v>215</v>
      </c>
      <c r="G2389" t="s">
        <v>216</v>
      </c>
      <c r="H2389" t="s">
        <v>38</v>
      </c>
      <c r="I2389" t="s">
        <v>60</v>
      </c>
      <c r="J2389" t="s">
        <v>50</v>
      </c>
      <c r="K2389" t="s">
        <v>12391</v>
      </c>
      <c r="L2389">
        <v>0.2</v>
      </c>
      <c r="M2389" t="s">
        <v>12392</v>
      </c>
      <c r="N2389" t="s">
        <v>12393</v>
      </c>
      <c r="O2389" t="s">
        <v>64</v>
      </c>
      <c r="P2389" t="s">
        <v>112</v>
      </c>
      <c r="Q2389" t="s">
        <v>44</v>
      </c>
      <c r="R2389" s="3">
        <v>7165.0079999999998</v>
      </c>
    </row>
    <row r="2390" spans="1:18" x14ac:dyDescent="0.3">
      <c r="A2390" t="s">
        <v>12394</v>
      </c>
      <c r="B2390" t="str">
        <f>TEXT(Raw_Data[[#This Row],[Order Date]],"mmm")</f>
        <v>Nov</v>
      </c>
      <c r="C2390" t="s">
        <v>918</v>
      </c>
      <c r="D2390" t="s">
        <v>12395</v>
      </c>
      <c r="E2390" t="s">
        <v>35</v>
      </c>
      <c r="F2390" t="s">
        <v>36</v>
      </c>
      <c r="G2390" t="s">
        <v>414</v>
      </c>
      <c r="H2390" t="s">
        <v>80</v>
      </c>
      <c r="I2390" t="s">
        <v>91</v>
      </c>
      <c r="J2390" t="s">
        <v>50</v>
      </c>
      <c r="K2390" t="s">
        <v>12396</v>
      </c>
      <c r="L2390">
        <v>0.1</v>
      </c>
      <c r="M2390" t="s">
        <v>12397</v>
      </c>
      <c r="N2390" t="s">
        <v>12398</v>
      </c>
      <c r="O2390" t="s">
        <v>43</v>
      </c>
      <c r="P2390" t="s">
        <v>30</v>
      </c>
      <c r="Q2390" t="s">
        <v>31</v>
      </c>
      <c r="R2390" s="3">
        <v>6917.3459999999995</v>
      </c>
    </row>
    <row r="2391" spans="1:18" x14ac:dyDescent="0.3">
      <c r="A2391" t="s">
        <v>12399</v>
      </c>
      <c r="B2391" t="str">
        <f>TEXT(Raw_Data[[#This Row],[Order Date]],"mmm")</f>
        <v>Jan</v>
      </c>
      <c r="C2391" t="s">
        <v>2464</v>
      </c>
      <c r="D2391" t="s">
        <v>12400</v>
      </c>
      <c r="E2391" t="s">
        <v>20</v>
      </c>
      <c r="F2391" t="s">
        <v>58</v>
      </c>
      <c r="G2391" t="s">
        <v>290</v>
      </c>
      <c r="H2391" t="s">
        <v>80</v>
      </c>
      <c r="I2391" t="s">
        <v>131</v>
      </c>
      <c r="J2391" t="s">
        <v>50</v>
      </c>
      <c r="K2391" t="s">
        <v>12401</v>
      </c>
      <c r="L2391">
        <v>0.05</v>
      </c>
      <c r="M2391" t="s">
        <v>12402</v>
      </c>
      <c r="N2391" t="s">
        <v>12403</v>
      </c>
      <c r="O2391" t="s">
        <v>173</v>
      </c>
      <c r="P2391" t="s">
        <v>112</v>
      </c>
      <c r="Q2391" t="s">
        <v>65</v>
      </c>
      <c r="R2391" s="3">
        <v>8936.65</v>
      </c>
    </row>
    <row r="2392" spans="1:18" x14ac:dyDescent="0.3">
      <c r="A2392" t="s">
        <v>12404</v>
      </c>
      <c r="B2392" t="str">
        <f>TEXT(Raw_Data[[#This Row],[Order Date]],"mmm")</f>
        <v>Mar</v>
      </c>
      <c r="C2392" t="s">
        <v>326</v>
      </c>
      <c r="D2392" t="s">
        <v>12405</v>
      </c>
      <c r="E2392" t="s">
        <v>48</v>
      </c>
      <c r="F2392" t="s">
        <v>69</v>
      </c>
      <c r="G2392" t="s">
        <v>328</v>
      </c>
      <c r="H2392" t="s">
        <v>80</v>
      </c>
      <c r="I2392" t="s">
        <v>91</v>
      </c>
      <c r="J2392" t="s">
        <v>50</v>
      </c>
      <c r="K2392" t="s">
        <v>12406</v>
      </c>
      <c r="L2392">
        <v>0.05</v>
      </c>
      <c r="M2392" t="s">
        <v>12407</v>
      </c>
      <c r="N2392" t="s">
        <v>12408</v>
      </c>
      <c r="O2392" t="s">
        <v>43</v>
      </c>
      <c r="P2392" t="s">
        <v>30</v>
      </c>
      <c r="Q2392" t="s">
        <v>44</v>
      </c>
      <c r="R2392" s="3">
        <v>9242.6640000000007</v>
      </c>
    </row>
    <row r="2393" spans="1:18" x14ac:dyDescent="0.3">
      <c r="A2393" t="s">
        <v>12409</v>
      </c>
      <c r="B2393" t="str">
        <f>TEXT(Raw_Data[[#This Row],[Order Date]],"mmm")</f>
        <v>Mar</v>
      </c>
      <c r="C2393" t="s">
        <v>282</v>
      </c>
      <c r="D2393" t="s">
        <v>12410</v>
      </c>
      <c r="E2393" t="s">
        <v>20</v>
      </c>
      <c r="F2393" t="s">
        <v>78</v>
      </c>
      <c r="G2393" t="s">
        <v>731</v>
      </c>
      <c r="H2393" t="s">
        <v>23</v>
      </c>
      <c r="I2393" t="s">
        <v>341</v>
      </c>
      <c r="J2393" t="s">
        <v>82</v>
      </c>
      <c r="K2393" t="s">
        <v>12411</v>
      </c>
      <c r="L2393">
        <v>0.15</v>
      </c>
      <c r="M2393" t="s">
        <v>12412</v>
      </c>
      <c r="N2393" t="s">
        <v>12413</v>
      </c>
      <c r="O2393" t="s">
        <v>54</v>
      </c>
      <c r="P2393" t="s">
        <v>30</v>
      </c>
      <c r="Q2393" t="s">
        <v>65</v>
      </c>
      <c r="R2393" s="3">
        <v>27298.022000000001</v>
      </c>
    </row>
    <row r="2394" spans="1:18" x14ac:dyDescent="0.3">
      <c r="A2394" t="s">
        <v>12414</v>
      </c>
      <c r="B2394" t="str">
        <f>TEXT(Raw_Data[[#This Row],[Order Date]],"mmm")</f>
        <v>Nov</v>
      </c>
      <c r="C2394" t="s">
        <v>1359</v>
      </c>
      <c r="D2394" t="s">
        <v>12415</v>
      </c>
      <c r="E2394" t="s">
        <v>48</v>
      </c>
      <c r="F2394" t="s">
        <v>69</v>
      </c>
      <c r="G2394" t="s">
        <v>328</v>
      </c>
      <c r="H2394" t="s">
        <v>107</v>
      </c>
      <c r="I2394" t="s">
        <v>591</v>
      </c>
      <c r="J2394" t="s">
        <v>25</v>
      </c>
      <c r="K2394" t="s">
        <v>12416</v>
      </c>
      <c r="L2394">
        <v>0.15</v>
      </c>
      <c r="M2394" t="s">
        <v>12417</v>
      </c>
      <c r="N2394" t="s">
        <v>12418</v>
      </c>
      <c r="O2394" t="s">
        <v>43</v>
      </c>
      <c r="P2394" t="s">
        <v>30</v>
      </c>
      <c r="Q2394" t="s">
        <v>65</v>
      </c>
      <c r="R2394" s="3">
        <v>3194.1469999999999</v>
      </c>
    </row>
    <row r="2395" spans="1:18" x14ac:dyDescent="0.3">
      <c r="A2395" t="s">
        <v>12419</v>
      </c>
      <c r="B2395" t="str">
        <f>TEXT(Raw_Data[[#This Row],[Order Date]],"mmm")</f>
        <v>Oct</v>
      </c>
      <c r="C2395" t="s">
        <v>314</v>
      </c>
      <c r="D2395" t="s">
        <v>12420</v>
      </c>
      <c r="E2395" t="s">
        <v>35</v>
      </c>
      <c r="F2395" t="s">
        <v>58</v>
      </c>
      <c r="G2395" t="s">
        <v>290</v>
      </c>
      <c r="H2395" t="s">
        <v>107</v>
      </c>
      <c r="I2395" t="s">
        <v>378</v>
      </c>
      <c r="J2395" t="s">
        <v>25</v>
      </c>
      <c r="K2395" t="s">
        <v>12421</v>
      </c>
      <c r="L2395">
        <v>0.15</v>
      </c>
      <c r="M2395" t="s">
        <v>12422</v>
      </c>
      <c r="N2395" t="s">
        <v>12423</v>
      </c>
      <c r="O2395" t="s">
        <v>173</v>
      </c>
      <c r="P2395" t="s">
        <v>1762</v>
      </c>
      <c r="Q2395" t="s">
        <v>44</v>
      </c>
      <c r="R2395" s="3">
        <v>13883.883</v>
      </c>
    </row>
    <row r="2396" spans="1:18" x14ac:dyDescent="0.3">
      <c r="A2396" t="s">
        <v>12424</v>
      </c>
      <c r="B2396" t="str">
        <f>TEXT(Raw_Data[[#This Row],[Order Date]],"mmm")</f>
        <v>Mar</v>
      </c>
      <c r="C2396" t="s">
        <v>3981</v>
      </c>
      <c r="D2396" t="s">
        <v>12425</v>
      </c>
      <c r="E2396" t="s">
        <v>35</v>
      </c>
      <c r="F2396" t="s">
        <v>36</v>
      </c>
      <c r="G2396" t="s">
        <v>123</v>
      </c>
      <c r="H2396" t="s">
        <v>23</v>
      </c>
      <c r="I2396" t="s">
        <v>24</v>
      </c>
      <c r="J2396" t="s">
        <v>25</v>
      </c>
      <c r="K2396" t="s">
        <v>12426</v>
      </c>
      <c r="L2396">
        <v>0.1</v>
      </c>
      <c r="M2396" t="s">
        <v>12427</v>
      </c>
      <c r="N2396" t="s">
        <v>12428</v>
      </c>
      <c r="O2396" t="s">
        <v>29</v>
      </c>
      <c r="P2396" t="s">
        <v>30</v>
      </c>
      <c r="Q2396" t="s">
        <v>65</v>
      </c>
      <c r="R2396" s="3">
        <v>41764.733999999997</v>
      </c>
    </row>
    <row r="2397" spans="1:18" x14ac:dyDescent="0.3">
      <c r="A2397" t="s">
        <v>12429</v>
      </c>
      <c r="B2397" t="str">
        <f>TEXT(Raw_Data[[#This Row],[Order Date]],"mmm")</f>
        <v>Jan</v>
      </c>
      <c r="C2397" t="s">
        <v>2970</v>
      </c>
      <c r="D2397" t="s">
        <v>12430</v>
      </c>
      <c r="E2397" t="s">
        <v>48</v>
      </c>
      <c r="F2397" t="s">
        <v>21</v>
      </c>
      <c r="G2397" t="s">
        <v>130</v>
      </c>
      <c r="H2397" t="s">
        <v>80</v>
      </c>
      <c r="I2397" t="s">
        <v>116</v>
      </c>
      <c r="J2397" t="s">
        <v>50</v>
      </c>
      <c r="K2397" t="s">
        <v>12431</v>
      </c>
      <c r="L2397">
        <v>0.1</v>
      </c>
      <c r="M2397" t="s">
        <v>12432</v>
      </c>
      <c r="N2397" t="s">
        <v>12433</v>
      </c>
      <c r="O2397" t="s">
        <v>173</v>
      </c>
      <c r="P2397" t="s">
        <v>30</v>
      </c>
      <c r="Q2397" t="s">
        <v>31</v>
      </c>
      <c r="R2397" s="3">
        <v>4687.9740000000002</v>
      </c>
    </row>
    <row r="2398" spans="1:18" x14ac:dyDescent="0.3">
      <c r="A2398" t="s">
        <v>12434</v>
      </c>
      <c r="B2398" t="str">
        <f>TEXT(Raw_Data[[#This Row],[Order Date]],"mmm")</f>
        <v>Sep</v>
      </c>
      <c r="C2398" t="s">
        <v>1280</v>
      </c>
      <c r="D2398" t="s">
        <v>12435</v>
      </c>
      <c r="E2398" t="s">
        <v>48</v>
      </c>
      <c r="F2398" t="s">
        <v>215</v>
      </c>
      <c r="G2398" t="s">
        <v>276</v>
      </c>
      <c r="H2398" t="s">
        <v>107</v>
      </c>
      <c r="I2398" t="s">
        <v>108</v>
      </c>
      <c r="J2398" t="s">
        <v>50</v>
      </c>
      <c r="K2398" t="s">
        <v>12436</v>
      </c>
      <c r="L2398">
        <v>0.1</v>
      </c>
      <c r="M2398" t="s">
        <v>12437</v>
      </c>
      <c r="N2398" t="s">
        <v>12438</v>
      </c>
      <c r="O2398" t="s">
        <v>64</v>
      </c>
      <c r="P2398" t="s">
        <v>30</v>
      </c>
      <c r="Q2398" t="s">
        <v>65</v>
      </c>
      <c r="R2398" s="3">
        <v>6831.7380000000003</v>
      </c>
    </row>
    <row r="2399" spans="1:18" x14ac:dyDescent="0.3">
      <c r="A2399" t="s">
        <v>12439</v>
      </c>
      <c r="B2399" t="str">
        <f>TEXT(Raw_Data[[#This Row],[Order Date]],"mmm")</f>
        <v>Feb</v>
      </c>
      <c r="C2399" t="s">
        <v>228</v>
      </c>
      <c r="D2399" t="s">
        <v>12440</v>
      </c>
      <c r="E2399" t="s">
        <v>35</v>
      </c>
      <c r="F2399" t="s">
        <v>89</v>
      </c>
      <c r="G2399" t="s">
        <v>90</v>
      </c>
      <c r="H2399" t="s">
        <v>80</v>
      </c>
      <c r="I2399" t="s">
        <v>116</v>
      </c>
      <c r="J2399" t="s">
        <v>50</v>
      </c>
      <c r="K2399" t="s">
        <v>12441</v>
      </c>
      <c r="L2399">
        <v>0.2</v>
      </c>
      <c r="M2399" t="s">
        <v>12442</v>
      </c>
      <c r="N2399" t="s">
        <v>12443</v>
      </c>
      <c r="O2399" t="s">
        <v>54</v>
      </c>
      <c r="P2399" t="s">
        <v>112</v>
      </c>
      <c r="Q2399" t="s">
        <v>65</v>
      </c>
      <c r="R2399" s="3">
        <v>9796</v>
      </c>
    </row>
    <row r="2400" spans="1:18" x14ac:dyDescent="0.3">
      <c r="A2400" t="s">
        <v>12444</v>
      </c>
      <c r="B2400" t="str">
        <f>TEXT(Raw_Data[[#This Row],[Order Date]],"mmm")</f>
        <v>Jun</v>
      </c>
      <c r="C2400" t="s">
        <v>2546</v>
      </c>
      <c r="D2400" t="s">
        <v>12445</v>
      </c>
      <c r="E2400" t="s">
        <v>35</v>
      </c>
      <c r="F2400" t="s">
        <v>21</v>
      </c>
      <c r="G2400" t="s">
        <v>22</v>
      </c>
      <c r="H2400" t="s">
        <v>23</v>
      </c>
      <c r="I2400" t="s">
        <v>49</v>
      </c>
      <c r="J2400" t="s">
        <v>25</v>
      </c>
      <c r="K2400" t="s">
        <v>12446</v>
      </c>
      <c r="L2400">
        <v>0.1</v>
      </c>
      <c r="M2400" t="s">
        <v>12447</v>
      </c>
      <c r="N2400" t="s">
        <v>12448</v>
      </c>
      <c r="O2400" t="s">
        <v>54</v>
      </c>
      <c r="P2400" t="s">
        <v>30</v>
      </c>
      <c r="Q2400" t="s">
        <v>44</v>
      </c>
      <c r="R2400" s="3">
        <v>37168.406999999999</v>
      </c>
    </row>
    <row r="2401" spans="1:18" x14ac:dyDescent="0.3">
      <c r="A2401" t="s">
        <v>12449</v>
      </c>
      <c r="B2401" t="str">
        <f>TEXT(Raw_Data[[#This Row],[Order Date]],"mmm")</f>
        <v>May</v>
      </c>
      <c r="C2401" t="s">
        <v>1985</v>
      </c>
      <c r="D2401" t="s">
        <v>12450</v>
      </c>
      <c r="E2401" t="s">
        <v>48</v>
      </c>
      <c r="F2401" t="s">
        <v>69</v>
      </c>
      <c r="G2401" t="s">
        <v>70</v>
      </c>
      <c r="H2401" t="s">
        <v>23</v>
      </c>
      <c r="I2401" t="s">
        <v>24</v>
      </c>
      <c r="J2401" t="s">
        <v>50</v>
      </c>
      <c r="K2401" t="s">
        <v>12451</v>
      </c>
      <c r="L2401">
        <v>0.15</v>
      </c>
      <c r="M2401" t="s">
        <v>12452</v>
      </c>
      <c r="N2401" t="s">
        <v>12453</v>
      </c>
      <c r="O2401" t="s">
        <v>29</v>
      </c>
      <c r="P2401" t="s">
        <v>30</v>
      </c>
      <c r="Q2401" t="s">
        <v>65</v>
      </c>
      <c r="R2401" s="3">
        <v>10246.817999999999</v>
      </c>
    </row>
    <row r="2402" spans="1:18" x14ac:dyDescent="0.3">
      <c r="A2402" t="s">
        <v>12454</v>
      </c>
      <c r="B2402" t="str">
        <f>TEXT(Raw_Data[[#This Row],[Order Date]],"mmm")</f>
        <v>Apr</v>
      </c>
      <c r="C2402" t="s">
        <v>1904</v>
      </c>
      <c r="D2402" t="s">
        <v>12455</v>
      </c>
      <c r="E2402" t="s">
        <v>48</v>
      </c>
      <c r="F2402" t="s">
        <v>21</v>
      </c>
      <c r="G2402" t="s">
        <v>130</v>
      </c>
      <c r="H2402" t="s">
        <v>80</v>
      </c>
      <c r="I2402" t="s">
        <v>81</v>
      </c>
      <c r="J2402" t="s">
        <v>100</v>
      </c>
      <c r="K2402" t="s">
        <v>12456</v>
      </c>
      <c r="L2402">
        <v>0.15</v>
      </c>
      <c r="M2402" t="s">
        <v>12457</v>
      </c>
      <c r="N2402" t="s">
        <v>12458</v>
      </c>
      <c r="O2402" t="s">
        <v>64</v>
      </c>
      <c r="P2402" t="s">
        <v>30</v>
      </c>
      <c r="Q2402" t="s">
        <v>44</v>
      </c>
      <c r="R2402" s="3">
        <v>14540.9925</v>
      </c>
    </row>
    <row r="2403" spans="1:18" x14ac:dyDescent="0.3">
      <c r="A2403" t="s">
        <v>12459</v>
      </c>
      <c r="B2403" t="str">
        <f>TEXT(Raw_Data[[#This Row],[Order Date]],"mmm")</f>
        <v>Nov</v>
      </c>
      <c r="C2403" t="s">
        <v>510</v>
      </c>
      <c r="D2403" t="s">
        <v>12460</v>
      </c>
      <c r="E2403" t="s">
        <v>35</v>
      </c>
      <c r="F2403" t="s">
        <v>78</v>
      </c>
      <c r="G2403" t="s">
        <v>468</v>
      </c>
      <c r="H2403" t="s">
        <v>23</v>
      </c>
      <c r="I2403" t="s">
        <v>183</v>
      </c>
      <c r="J2403" t="s">
        <v>25</v>
      </c>
      <c r="K2403" t="s">
        <v>12461</v>
      </c>
      <c r="L2403">
        <v>0.15</v>
      </c>
      <c r="M2403" t="s">
        <v>12462</v>
      </c>
      <c r="N2403" t="s">
        <v>12463</v>
      </c>
      <c r="O2403" t="s">
        <v>64</v>
      </c>
      <c r="P2403" t="s">
        <v>112</v>
      </c>
      <c r="Q2403" t="s">
        <v>44</v>
      </c>
      <c r="R2403" s="3">
        <v>13092.227000000001</v>
      </c>
    </row>
    <row r="2404" spans="1:18" x14ac:dyDescent="0.3">
      <c r="A2404" t="s">
        <v>12464</v>
      </c>
      <c r="B2404" t="str">
        <f>TEXT(Raw_Data[[#This Row],[Order Date]],"mmm")</f>
        <v>Oct</v>
      </c>
      <c r="C2404" t="s">
        <v>1059</v>
      </c>
      <c r="D2404" t="s">
        <v>12465</v>
      </c>
      <c r="E2404" t="s">
        <v>35</v>
      </c>
      <c r="F2404" t="s">
        <v>89</v>
      </c>
      <c r="G2404" t="s">
        <v>99</v>
      </c>
      <c r="H2404" t="s">
        <v>23</v>
      </c>
      <c r="I2404" t="s">
        <v>24</v>
      </c>
      <c r="J2404" t="s">
        <v>100</v>
      </c>
      <c r="K2404" t="s">
        <v>12466</v>
      </c>
      <c r="L2404">
        <v>0.1</v>
      </c>
      <c r="M2404" t="s">
        <v>12467</v>
      </c>
      <c r="N2404" t="s">
        <v>12468</v>
      </c>
      <c r="O2404" t="s">
        <v>29</v>
      </c>
      <c r="P2404" t="s">
        <v>30</v>
      </c>
      <c r="Q2404" t="s">
        <v>31</v>
      </c>
      <c r="R2404" s="3">
        <v>148680.549</v>
      </c>
    </row>
    <row r="2405" spans="1:18" x14ac:dyDescent="0.3">
      <c r="A2405" t="s">
        <v>12469</v>
      </c>
      <c r="B2405" t="str">
        <f>TEXT(Raw_Data[[#This Row],[Order Date]],"mmm")</f>
        <v>May</v>
      </c>
      <c r="C2405" t="s">
        <v>1533</v>
      </c>
      <c r="D2405" t="s">
        <v>12470</v>
      </c>
      <c r="E2405" t="s">
        <v>48</v>
      </c>
      <c r="F2405" t="s">
        <v>106</v>
      </c>
      <c r="G2405" t="s">
        <v>163</v>
      </c>
      <c r="H2405" t="s">
        <v>80</v>
      </c>
      <c r="I2405" t="s">
        <v>116</v>
      </c>
      <c r="J2405" t="s">
        <v>25</v>
      </c>
      <c r="K2405" t="s">
        <v>12471</v>
      </c>
      <c r="L2405">
        <v>0.1</v>
      </c>
      <c r="M2405" t="s">
        <v>12472</v>
      </c>
      <c r="N2405" t="s">
        <v>12473</v>
      </c>
      <c r="O2405" t="s">
        <v>64</v>
      </c>
      <c r="P2405" t="s">
        <v>30</v>
      </c>
      <c r="Q2405" t="s">
        <v>44</v>
      </c>
      <c r="R2405" s="3">
        <v>1819.521</v>
      </c>
    </row>
    <row r="2406" spans="1:18" x14ac:dyDescent="0.3">
      <c r="A2406" t="s">
        <v>12474</v>
      </c>
      <c r="B2406" t="str">
        <f>TEXT(Raw_Data[[#This Row],[Order Date]],"mmm")</f>
        <v>Aug</v>
      </c>
      <c r="C2406" t="s">
        <v>1943</v>
      </c>
      <c r="D2406" t="s">
        <v>12475</v>
      </c>
      <c r="E2406" t="s">
        <v>48</v>
      </c>
      <c r="F2406" t="s">
        <v>215</v>
      </c>
      <c r="G2406" t="s">
        <v>216</v>
      </c>
      <c r="H2406" t="s">
        <v>23</v>
      </c>
      <c r="I2406" t="s">
        <v>263</v>
      </c>
      <c r="J2406" t="s">
        <v>25</v>
      </c>
      <c r="K2406" t="s">
        <v>12476</v>
      </c>
      <c r="L2406">
        <v>0.05</v>
      </c>
      <c r="M2406" t="s">
        <v>12477</v>
      </c>
      <c r="N2406" t="s">
        <v>12478</v>
      </c>
      <c r="O2406" t="s">
        <v>43</v>
      </c>
      <c r="P2406" t="s">
        <v>30</v>
      </c>
      <c r="Q2406" t="s">
        <v>65</v>
      </c>
      <c r="R2406" s="3">
        <v>33762.9905</v>
      </c>
    </row>
    <row r="2407" spans="1:18" x14ac:dyDescent="0.3">
      <c r="A2407" t="s">
        <v>12479</v>
      </c>
      <c r="B2407" t="str">
        <f>TEXT(Raw_Data[[#This Row],[Order Date]],"mmm")</f>
        <v>Jun</v>
      </c>
      <c r="C2407" t="s">
        <v>1274</v>
      </c>
      <c r="D2407" t="s">
        <v>12480</v>
      </c>
      <c r="E2407" t="s">
        <v>35</v>
      </c>
      <c r="F2407" t="s">
        <v>78</v>
      </c>
      <c r="G2407" t="s">
        <v>468</v>
      </c>
      <c r="H2407" t="s">
        <v>80</v>
      </c>
      <c r="I2407" t="s">
        <v>146</v>
      </c>
      <c r="J2407" t="s">
        <v>50</v>
      </c>
      <c r="K2407" t="s">
        <v>12481</v>
      </c>
      <c r="L2407">
        <v>0.15</v>
      </c>
      <c r="M2407" t="s">
        <v>12482</v>
      </c>
      <c r="N2407" t="s">
        <v>12483</v>
      </c>
      <c r="O2407" t="s">
        <v>2763</v>
      </c>
      <c r="P2407" t="s">
        <v>30</v>
      </c>
      <c r="Q2407" t="s">
        <v>44</v>
      </c>
      <c r="R2407" s="3">
        <v>5550.9589999999998</v>
      </c>
    </row>
    <row r="2408" spans="1:18" x14ac:dyDescent="0.3">
      <c r="A2408" t="s">
        <v>12484</v>
      </c>
      <c r="B2408" t="str">
        <f>TEXT(Raw_Data[[#This Row],[Order Date]],"mmm")</f>
        <v>Sep</v>
      </c>
      <c r="C2408" t="s">
        <v>76</v>
      </c>
      <c r="D2408" t="s">
        <v>12485</v>
      </c>
      <c r="E2408" t="s">
        <v>48</v>
      </c>
      <c r="F2408" t="s">
        <v>106</v>
      </c>
      <c r="G2408" t="s">
        <v>163</v>
      </c>
      <c r="H2408" t="s">
        <v>80</v>
      </c>
      <c r="I2408" t="s">
        <v>146</v>
      </c>
      <c r="J2408" t="s">
        <v>25</v>
      </c>
      <c r="K2408" t="s">
        <v>12486</v>
      </c>
      <c r="L2408">
        <v>0.15</v>
      </c>
      <c r="M2408" t="s">
        <v>12487</v>
      </c>
      <c r="N2408" t="s">
        <v>12488</v>
      </c>
      <c r="O2408" t="s">
        <v>43</v>
      </c>
      <c r="P2408" t="s">
        <v>159</v>
      </c>
      <c r="Q2408" t="s">
        <v>31</v>
      </c>
      <c r="R2408" s="3">
        <v>1266.4915000000001</v>
      </c>
    </row>
    <row r="2409" spans="1:18" x14ac:dyDescent="0.3">
      <c r="A2409" t="s">
        <v>12489</v>
      </c>
      <c r="B2409" t="str">
        <f>TEXT(Raw_Data[[#This Row],[Order Date]],"mmm")</f>
        <v>Aug</v>
      </c>
      <c r="C2409" t="s">
        <v>1155</v>
      </c>
      <c r="D2409" t="s">
        <v>12490</v>
      </c>
      <c r="E2409" t="s">
        <v>35</v>
      </c>
      <c r="F2409" t="s">
        <v>106</v>
      </c>
      <c r="G2409" t="s">
        <v>163</v>
      </c>
      <c r="H2409" t="s">
        <v>107</v>
      </c>
      <c r="I2409" t="s">
        <v>378</v>
      </c>
      <c r="J2409" t="s">
        <v>25</v>
      </c>
      <c r="K2409" t="s">
        <v>12491</v>
      </c>
      <c r="L2409">
        <v>0.05</v>
      </c>
      <c r="M2409" t="s">
        <v>12492</v>
      </c>
      <c r="N2409" t="s">
        <v>12493</v>
      </c>
      <c r="O2409" t="s">
        <v>54</v>
      </c>
      <c r="P2409" t="s">
        <v>112</v>
      </c>
      <c r="Q2409" t="s">
        <v>31</v>
      </c>
      <c r="R2409" s="3">
        <v>6037.8389999999999</v>
      </c>
    </row>
    <row r="2410" spans="1:18" x14ac:dyDescent="0.3">
      <c r="A2410" t="s">
        <v>12494</v>
      </c>
      <c r="B2410" t="str">
        <f>TEXT(Raw_Data[[#This Row],[Order Date]],"mmm")</f>
        <v>Aug</v>
      </c>
      <c r="C2410" t="s">
        <v>151</v>
      </c>
      <c r="D2410" t="s">
        <v>12495</v>
      </c>
      <c r="E2410" t="s">
        <v>48</v>
      </c>
      <c r="F2410" t="s">
        <v>69</v>
      </c>
      <c r="G2410" t="s">
        <v>139</v>
      </c>
      <c r="H2410" t="s">
        <v>23</v>
      </c>
      <c r="I2410" t="s">
        <v>263</v>
      </c>
      <c r="J2410" t="s">
        <v>25</v>
      </c>
      <c r="K2410" t="s">
        <v>12496</v>
      </c>
      <c r="L2410">
        <v>0.05</v>
      </c>
      <c r="M2410" t="s">
        <v>12497</v>
      </c>
      <c r="N2410" t="s">
        <v>12498</v>
      </c>
      <c r="O2410" t="s">
        <v>54</v>
      </c>
      <c r="P2410" t="s">
        <v>95</v>
      </c>
      <c r="Q2410" t="s">
        <v>44</v>
      </c>
      <c r="R2410" s="3">
        <v>39035.025000000001</v>
      </c>
    </row>
    <row r="2411" spans="1:18" x14ac:dyDescent="0.3">
      <c r="A2411" t="s">
        <v>12499</v>
      </c>
      <c r="B2411" t="str">
        <f>TEXT(Raw_Data[[#This Row],[Order Date]],"mmm")</f>
        <v>Jun</v>
      </c>
      <c r="C2411" t="s">
        <v>3993</v>
      </c>
      <c r="D2411" t="s">
        <v>12500</v>
      </c>
      <c r="E2411" t="s">
        <v>20</v>
      </c>
      <c r="F2411" t="s">
        <v>89</v>
      </c>
      <c r="G2411" t="s">
        <v>90</v>
      </c>
      <c r="H2411" t="s">
        <v>80</v>
      </c>
      <c r="I2411" t="s">
        <v>116</v>
      </c>
      <c r="J2411" t="s">
        <v>50</v>
      </c>
      <c r="K2411" t="s">
        <v>12501</v>
      </c>
      <c r="L2411">
        <v>0.05</v>
      </c>
      <c r="M2411" t="s">
        <v>12502</v>
      </c>
      <c r="N2411" t="s">
        <v>12503</v>
      </c>
      <c r="O2411" t="s">
        <v>173</v>
      </c>
      <c r="P2411" t="s">
        <v>30</v>
      </c>
      <c r="Q2411" t="s">
        <v>31</v>
      </c>
      <c r="R2411" s="3">
        <v>4599.8429999999998</v>
      </c>
    </row>
    <row r="2412" spans="1:18" x14ac:dyDescent="0.3">
      <c r="A2412" t="s">
        <v>12504</v>
      </c>
      <c r="B2412" t="str">
        <f>TEXT(Raw_Data[[#This Row],[Order Date]],"mmm")</f>
        <v>May</v>
      </c>
      <c r="C2412" t="s">
        <v>498</v>
      </c>
      <c r="D2412" t="s">
        <v>12505</v>
      </c>
      <c r="E2412" t="s">
        <v>35</v>
      </c>
      <c r="F2412" t="s">
        <v>36</v>
      </c>
      <c r="G2412" t="s">
        <v>153</v>
      </c>
      <c r="H2412" t="s">
        <v>107</v>
      </c>
      <c r="I2412" t="s">
        <v>378</v>
      </c>
      <c r="J2412" t="s">
        <v>25</v>
      </c>
      <c r="K2412" t="s">
        <v>12506</v>
      </c>
      <c r="L2412">
        <v>0</v>
      </c>
      <c r="M2412" t="s">
        <v>12507</v>
      </c>
      <c r="N2412" t="s">
        <v>12508</v>
      </c>
      <c r="O2412" t="s">
        <v>29</v>
      </c>
      <c r="P2412" t="s">
        <v>95</v>
      </c>
      <c r="Q2412" t="s">
        <v>65</v>
      </c>
      <c r="R2412" s="3">
        <v>8153.34</v>
      </c>
    </row>
    <row r="2413" spans="1:18" x14ac:dyDescent="0.3">
      <c r="A2413" t="s">
        <v>12509</v>
      </c>
      <c r="B2413" t="str">
        <f>TEXT(Raw_Data[[#This Row],[Order Date]],"mmm")</f>
        <v>Apr</v>
      </c>
      <c r="C2413" t="s">
        <v>596</v>
      </c>
      <c r="D2413" t="s">
        <v>12510</v>
      </c>
      <c r="E2413" t="s">
        <v>35</v>
      </c>
      <c r="F2413" t="s">
        <v>69</v>
      </c>
      <c r="G2413" t="s">
        <v>139</v>
      </c>
      <c r="H2413" t="s">
        <v>154</v>
      </c>
      <c r="I2413" t="s">
        <v>309</v>
      </c>
      <c r="J2413" t="s">
        <v>50</v>
      </c>
      <c r="K2413" t="s">
        <v>12511</v>
      </c>
      <c r="L2413">
        <v>0.05</v>
      </c>
      <c r="M2413" t="s">
        <v>12512</v>
      </c>
      <c r="N2413" t="s">
        <v>12513</v>
      </c>
      <c r="O2413" t="s">
        <v>173</v>
      </c>
      <c r="P2413" t="s">
        <v>30</v>
      </c>
      <c r="Q2413" t="s">
        <v>65</v>
      </c>
      <c r="R2413" s="3">
        <v>12206.664000000001</v>
      </c>
    </row>
    <row r="2414" spans="1:18" x14ac:dyDescent="0.3">
      <c r="A2414" t="s">
        <v>12514</v>
      </c>
      <c r="B2414" t="str">
        <f>TEXT(Raw_Data[[#This Row],[Order Date]],"mmm")</f>
        <v>Apr</v>
      </c>
      <c r="C2414" t="s">
        <v>137</v>
      </c>
      <c r="D2414" t="s">
        <v>12515</v>
      </c>
      <c r="E2414" t="s">
        <v>48</v>
      </c>
      <c r="F2414" t="s">
        <v>89</v>
      </c>
      <c r="G2414" t="s">
        <v>99</v>
      </c>
      <c r="H2414" t="s">
        <v>107</v>
      </c>
      <c r="I2414" t="s">
        <v>469</v>
      </c>
      <c r="J2414" t="s">
        <v>50</v>
      </c>
      <c r="K2414" t="s">
        <v>12516</v>
      </c>
      <c r="L2414">
        <v>0.05</v>
      </c>
      <c r="M2414" t="s">
        <v>12517</v>
      </c>
      <c r="N2414" t="s">
        <v>12518</v>
      </c>
      <c r="O2414" t="s">
        <v>29</v>
      </c>
      <c r="P2414" t="s">
        <v>30</v>
      </c>
      <c r="Q2414" t="s">
        <v>31</v>
      </c>
      <c r="R2414" s="3">
        <v>5241.8720000000003</v>
      </c>
    </row>
    <row r="2415" spans="1:18" x14ac:dyDescent="0.3">
      <c r="A2415" t="s">
        <v>12519</v>
      </c>
      <c r="B2415" t="str">
        <f>TEXT(Raw_Data[[#This Row],[Order Date]],"mmm")</f>
        <v>Nov</v>
      </c>
      <c r="C2415" t="s">
        <v>1697</v>
      </c>
      <c r="D2415" t="s">
        <v>12520</v>
      </c>
      <c r="E2415" t="s">
        <v>48</v>
      </c>
      <c r="F2415" t="s">
        <v>78</v>
      </c>
      <c r="G2415" t="s">
        <v>79</v>
      </c>
      <c r="H2415" t="s">
        <v>80</v>
      </c>
      <c r="I2415" t="s">
        <v>146</v>
      </c>
      <c r="J2415" t="s">
        <v>25</v>
      </c>
      <c r="K2415" t="s">
        <v>12521</v>
      </c>
      <c r="L2415">
        <v>0</v>
      </c>
      <c r="M2415" t="s">
        <v>12522</v>
      </c>
      <c r="N2415" t="s">
        <v>12523</v>
      </c>
      <c r="O2415" t="s">
        <v>173</v>
      </c>
      <c r="P2415" t="s">
        <v>30</v>
      </c>
      <c r="Q2415" t="s">
        <v>44</v>
      </c>
      <c r="R2415" s="3">
        <v>2216.4</v>
      </c>
    </row>
    <row r="2416" spans="1:18" x14ac:dyDescent="0.3">
      <c r="A2416" t="s">
        <v>12524</v>
      </c>
      <c r="B2416" t="str">
        <f>TEXT(Raw_Data[[#This Row],[Order Date]],"mmm")</f>
        <v>Nov</v>
      </c>
      <c r="C2416" t="s">
        <v>1116</v>
      </c>
      <c r="D2416" t="s">
        <v>12525</v>
      </c>
      <c r="E2416" t="s">
        <v>20</v>
      </c>
      <c r="F2416" t="s">
        <v>215</v>
      </c>
      <c r="G2416" t="s">
        <v>216</v>
      </c>
      <c r="H2416" t="s">
        <v>23</v>
      </c>
      <c r="I2416" t="s">
        <v>183</v>
      </c>
      <c r="J2416" t="s">
        <v>25</v>
      </c>
      <c r="K2416" t="s">
        <v>12526</v>
      </c>
      <c r="L2416">
        <v>0.1</v>
      </c>
      <c r="M2416" t="s">
        <v>12527</v>
      </c>
      <c r="N2416" t="s">
        <v>12528</v>
      </c>
      <c r="O2416" t="s">
        <v>173</v>
      </c>
      <c r="P2416" t="s">
        <v>30</v>
      </c>
      <c r="Q2416" t="s">
        <v>31</v>
      </c>
      <c r="R2416" s="3">
        <v>34424.720999999998</v>
      </c>
    </row>
    <row r="2417" spans="1:18" x14ac:dyDescent="0.3">
      <c r="A2417" t="s">
        <v>12529</v>
      </c>
      <c r="B2417" t="str">
        <f>TEXT(Raw_Data[[#This Row],[Order Date]],"mmm")</f>
        <v>Jan</v>
      </c>
      <c r="C2417" t="s">
        <v>669</v>
      </c>
      <c r="D2417" t="s">
        <v>12530</v>
      </c>
      <c r="E2417" t="s">
        <v>35</v>
      </c>
      <c r="F2417" t="s">
        <v>89</v>
      </c>
      <c r="G2417" t="s">
        <v>230</v>
      </c>
      <c r="H2417" t="s">
        <v>80</v>
      </c>
      <c r="I2417" t="s">
        <v>131</v>
      </c>
      <c r="J2417" t="s">
        <v>25</v>
      </c>
      <c r="K2417" t="s">
        <v>12531</v>
      </c>
      <c r="L2417">
        <v>0</v>
      </c>
      <c r="M2417" t="s">
        <v>12532</v>
      </c>
      <c r="N2417" t="s">
        <v>12533</v>
      </c>
      <c r="O2417" t="s">
        <v>54</v>
      </c>
      <c r="P2417" t="s">
        <v>30</v>
      </c>
      <c r="Q2417" t="s">
        <v>31</v>
      </c>
      <c r="R2417" s="3">
        <v>856.84</v>
      </c>
    </row>
    <row r="2418" spans="1:18" x14ac:dyDescent="0.3">
      <c r="A2418" t="s">
        <v>12534</v>
      </c>
      <c r="B2418" t="str">
        <f>TEXT(Raw_Data[[#This Row],[Order Date]],"mmm")</f>
        <v>Jul</v>
      </c>
      <c r="C2418" t="s">
        <v>7058</v>
      </c>
      <c r="D2418" t="s">
        <v>12535</v>
      </c>
      <c r="E2418" t="s">
        <v>48</v>
      </c>
      <c r="F2418" t="s">
        <v>58</v>
      </c>
      <c r="G2418" t="s">
        <v>59</v>
      </c>
      <c r="H2418" t="s">
        <v>107</v>
      </c>
      <c r="I2418" t="s">
        <v>469</v>
      </c>
      <c r="J2418" t="s">
        <v>25</v>
      </c>
      <c r="K2418" t="s">
        <v>12536</v>
      </c>
      <c r="L2418">
        <v>0</v>
      </c>
      <c r="M2418" t="s">
        <v>12537</v>
      </c>
      <c r="N2418" t="s">
        <v>6506</v>
      </c>
      <c r="O2418" t="s">
        <v>29</v>
      </c>
      <c r="P2418" t="s">
        <v>30</v>
      </c>
      <c r="Q2418" t="s">
        <v>65</v>
      </c>
      <c r="R2418" s="3">
        <v>3215.67</v>
      </c>
    </row>
    <row r="2419" spans="1:18" x14ac:dyDescent="0.3">
      <c r="A2419" t="s">
        <v>12538</v>
      </c>
      <c r="B2419" t="str">
        <f>TEXT(Raw_Data[[#This Row],[Order Date]],"mmm")</f>
        <v>Jun</v>
      </c>
      <c r="C2419" t="s">
        <v>2798</v>
      </c>
      <c r="D2419" t="s">
        <v>12539</v>
      </c>
      <c r="E2419" t="s">
        <v>48</v>
      </c>
      <c r="F2419" t="s">
        <v>78</v>
      </c>
      <c r="G2419" t="s">
        <v>79</v>
      </c>
      <c r="H2419" t="s">
        <v>23</v>
      </c>
      <c r="I2419" t="s">
        <v>183</v>
      </c>
      <c r="J2419" t="s">
        <v>25</v>
      </c>
      <c r="K2419" t="s">
        <v>12540</v>
      </c>
      <c r="L2419">
        <v>0</v>
      </c>
      <c r="M2419" t="s">
        <v>12541</v>
      </c>
      <c r="N2419" t="s">
        <v>12542</v>
      </c>
      <c r="O2419" t="s">
        <v>43</v>
      </c>
      <c r="P2419" t="s">
        <v>30</v>
      </c>
      <c r="Q2419" t="s">
        <v>65</v>
      </c>
      <c r="R2419" s="3">
        <v>2377.6</v>
      </c>
    </row>
    <row r="2420" spans="1:18" x14ac:dyDescent="0.3">
      <c r="A2420" t="s">
        <v>12543</v>
      </c>
      <c r="B2420" t="str">
        <f>TEXT(Raw_Data[[#This Row],[Order Date]],"mmm")</f>
        <v>Jul</v>
      </c>
      <c r="C2420" t="s">
        <v>87</v>
      </c>
      <c r="D2420" t="s">
        <v>12544</v>
      </c>
      <c r="E2420" t="s">
        <v>20</v>
      </c>
      <c r="F2420" t="s">
        <v>69</v>
      </c>
      <c r="G2420" t="s">
        <v>328</v>
      </c>
      <c r="H2420" t="s">
        <v>80</v>
      </c>
      <c r="I2420" t="s">
        <v>131</v>
      </c>
      <c r="J2420" t="s">
        <v>50</v>
      </c>
      <c r="K2420" t="s">
        <v>12545</v>
      </c>
      <c r="L2420">
        <v>0.1</v>
      </c>
      <c r="M2420" t="s">
        <v>12546</v>
      </c>
      <c r="N2420" t="s">
        <v>12547</v>
      </c>
      <c r="O2420" t="s">
        <v>43</v>
      </c>
      <c r="P2420" t="s">
        <v>30</v>
      </c>
      <c r="Q2420" t="s">
        <v>65</v>
      </c>
      <c r="R2420" s="3">
        <v>3026.52</v>
      </c>
    </row>
    <row r="2421" spans="1:18" x14ac:dyDescent="0.3">
      <c r="A2421" t="s">
        <v>12548</v>
      </c>
      <c r="B2421" t="str">
        <f>TEXT(Raw_Data[[#This Row],[Order Date]],"mmm")</f>
        <v>Feb</v>
      </c>
      <c r="C2421" t="s">
        <v>2410</v>
      </c>
      <c r="D2421" t="s">
        <v>12549</v>
      </c>
      <c r="E2421" t="s">
        <v>35</v>
      </c>
      <c r="F2421" t="s">
        <v>89</v>
      </c>
      <c r="G2421" t="s">
        <v>99</v>
      </c>
      <c r="H2421" t="s">
        <v>80</v>
      </c>
      <c r="I2421" t="s">
        <v>131</v>
      </c>
      <c r="J2421" t="s">
        <v>50</v>
      </c>
      <c r="K2421" t="s">
        <v>12550</v>
      </c>
      <c r="L2421">
        <v>0.05</v>
      </c>
      <c r="M2421" t="s">
        <v>12551</v>
      </c>
      <c r="N2421" t="s">
        <v>12552</v>
      </c>
      <c r="O2421" t="s">
        <v>64</v>
      </c>
      <c r="P2421" t="s">
        <v>30</v>
      </c>
      <c r="Q2421" t="s">
        <v>44</v>
      </c>
      <c r="R2421" s="3">
        <v>4232.0600000000004</v>
      </c>
    </row>
    <row r="2422" spans="1:18" x14ac:dyDescent="0.3">
      <c r="A2422" t="s">
        <v>12553</v>
      </c>
      <c r="B2422" t="str">
        <f>TEXT(Raw_Data[[#This Row],[Order Date]],"mmm")</f>
        <v>Mar</v>
      </c>
      <c r="C2422" t="s">
        <v>425</v>
      </c>
      <c r="D2422" t="s">
        <v>12554</v>
      </c>
      <c r="E2422" t="s">
        <v>20</v>
      </c>
      <c r="F2422" t="s">
        <v>58</v>
      </c>
      <c r="G2422" t="s">
        <v>59</v>
      </c>
      <c r="H2422" t="s">
        <v>38</v>
      </c>
      <c r="I2422" t="s">
        <v>71</v>
      </c>
      <c r="J2422" t="s">
        <v>25</v>
      </c>
      <c r="K2422" t="s">
        <v>12555</v>
      </c>
      <c r="L2422">
        <v>0.05</v>
      </c>
      <c r="M2422" t="s">
        <v>12556</v>
      </c>
      <c r="N2422" t="s">
        <v>12557</v>
      </c>
      <c r="O2422" t="s">
        <v>29</v>
      </c>
      <c r="P2422" t="s">
        <v>30</v>
      </c>
      <c r="Q2422" t="s">
        <v>44</v>
      </c>
      <c r="R2422" s="3">
        <v>1164.491</v>
      </c>
    </row>
    <row r="2423" spans="1:18" x14ac:dyDescent="0.3">
      <c r="A2423" t="s">
        <v>12558</v>
      </c>
      <c r="B2423" t="str">
        <f>TEXT(Raw_Data[[#This Row],[Order Date]],"mmm")</f>
        <v>Mar</v>
      </c>
      <c r="C2423" t="s">
        <v>326</v>
      </c>
      <c r="D2423" t="s">
        <v>12559</v>
      </c>
      <c r="E2423" t="s">
        <v>48</v>
      </c>
      <c r="F2423" t="s">
        <v>21</v>
      </c>
      <c r="G2423" t="s">
        <v>22</v>
      </c>
      <c r="H2423" t="s">
        <v>23</v>
      </c>
      <c r="I2423" t="s">
        <v>49</v>
      </c>
      <c r="J2423" t="s">
        <v>25</v>
      </c>
      <c r="K2423" t="s">
        <v>12560</v>
      </c>
      <c r="L2423">
        <v>0.1</v>
      </c>
      <c r="M2423" t="s">
        <v>12561</v>
      </c>
      <c r="N2423" t="s">
        <v>12562</v>
      </c>
      <c r="O2423" t="s">
        <v>64</v>
      </c>
      <c r="P2423" t="s">
        <v>30</v>
      </c>
      <c r="Q2423" t="s">
        <v>65</v>
      </c>
      <c r="R2423" s="3">
        <v>13958.919</v>
      </c>
    </row>
    <row r="2424" spans="1:18" x14ac:dyDescent="0.3">
      <c r="A2424" t="s">
        <v>12563</v>
      </c>
      <c r="B2424" t="str">
        <f>TEXT(Raw_Data[[#This Row],[Order Date]],"mmm")</f>
        <v>Jul</v>
      </c>
      <c r="C2424" t="s">
        <v>2372</v>
      </c>
      <c r="D2424" t="s">
        <v>12564</v>
      </c>
      <c r="E2424" t="s">
        <v>35</v>
      </c>
      <c r="F2424" t="s">
        <v>215</v>
      </c>
      <c r="G2424" t="s">
        <v>216</v>
      </c>
      <c r="H2424" t="s">
        <v>107</v>
      </c>
      <c r="I2424" t="s">
        <v>591</v>
      </c>
      <c r="J2424" t="s">
        <v>25</v>
      </c>
      <c r="K2424" t="s">
        <v>12565</v>
      </c>
      <c r="L2424">
        <v>0.05</v>
      </c>
      <c r="M2424" t="s">
        <v>12566</v>
      </c>
      <c r="N2424" t="s">
        <v>12567</v>
      </c>
      <c r="O2424" t="s">
        <v>173</v>
      </c>
      <c r="P2424" t="s">
        <v>30</v>
      </c>
      <c r="Q2424" t="s">
        <v>44</v>
      </c>
      <c r="R2424" s="3">
        <v>3869.4639999999999</v>
      </c>
    </row>
    <row r="2425" spans="1:18" x14ac:dyDescent="0.3">
      <c r="A2425" t="s">
        <v>12568</v>
      </c>
      <c r="B2425" t="str">
        <f>TEXT(Raw_Data[[#This Row],[Order Date]],"mmm")</f>
        <v>Jan</v>
      </c>
      <c r="C2425" t="s">
        <v>261</v>
      </c>
      <c r="D2425" t="s">
        <v>12569</v>
      </c>
      <c r="E2425" t="s">
        <v>35</v>
      </c>
      <c r="F2425" t="s">
        <v>58</v>
      </c>
      <c r="G2425" t="s">
        <v>290</v>
      </c>
      <c r="H2425" t="s">
        <v>23</v>
      </c>
      <c r="I2425" t="s">
        <v>24</v>
      </c>
      <c r="J2425" t="s">
        <v>50</v>
      </c>
      <c r="K2425" t="s">
        <v>12570</v>
      </c>
      <c r="L2425">
        <v>0</v>
      </c>
      <c r="M2425" t="s">
        <v>12571</v>
      </c>
      <c r="N2425" t="s">
        <v>12572</v>
      </c>
      <c r="O2425" t="s">
        <v>173</v>
      </c>
      <c r="P2425" t="s">
        <v>95</v>
      </c>
      <c r="Q2425" t="s">
        <v>65</v>
      </c>
      <c r="R2425" s="3">
        <v>19333.46</v>
      </c>
    </row>
    <row r="2426" spans="1:18" x14ac:dyDescent="0.3">
      <c r="A2426" t="s">
        <v>12573</v>
      </c>
      <c r="B2426" t="str">
        <f>TEXT(Raw_Data[[#This Row],[Order Date]],"mmm")</f>
        <v>Mar</v>
      </c>
      <c r="C2426" t="s">
        <v>3669</v>
      </c>
      <c r="D2426" t="s">
        <v>12574</v>
      </c>
      <c r="E2426" t="s">
        <v>35</v>
      </c>
      <c r="F2426" t="s">
        <v>58</v>
      </c>
      <c r="G2426" t="s">
        <v>812</v>
      </c>
      <c r="H2426" t="s">
        <v>107</v>
      </c>
      <c r="I2426" t="s">
        <v>378</v>
      </c>
      <c r="J2426" t="s">
        <v>25</v>
      </c>
      <c r="K2426" t="s">
        <v>12575</v>
      </c>
      <c r="L2426">
        <v>0.1</v>
      </c>
      <c r="M2426" t="s">
        <v>12576</v>
      </c>
      <c r="N2426" t="s">
        <v>12577</v>
      </c>
      <c r="O2426" t="s">
        <v>43</v>
      </c>
      <c r="P2426" t="s">
        <v>30</v>
      </c>
      <c r="Q2426" t="s">
        <v>44</v>
      </c>
      <c r="R2426" s="3">
        <v>1724.8679999999999</v>
      </c>
    </row>
    <row r="2427" spans="1:18" x14ac:dyDescent="0.3">
      <c r="A2427" t="s">
        <v>12578</v>
      </c>
      <c r="B2427" t="str">
        <f>TEXT(Raw_Data[[#This Row],[Order Date]],"mmm")</f>
        <v>Apr</v>
      </c>
      <c r="C2427" t="s">
        <v>454</v>
      </c>
      <c r="D2427" t="s">
        <v>12579</v>
      </c>
      <c r="E2427" t="s">
        <v>48</v>
      </c>
      <c r="F2427" t="s">
        <v>58</v>
      </c>
      <c r="G2427" t="s">
        <v>290</v>
      </c>
      <c r="H2427" t="s">
        <v>80</v>
      </c>
      <c r="I2427" t="s">
        <v>116</v>
      </c>
      <c r="J2427" t="s">
        <v>50</v>
      </c>
      <c r="K2427" t="s">
        <v>12580</v>
      </c>
      <c r="L2427">
        <v>0.05</v>
      </c>
      <c r="M2427" t="s">
        <v>12581</v>
      </c>
      <c r="N2427" t="s">
        <v>12582</v>
      </c>
      <c r="O2427" t="s">
        <v>173</v>
      </c>
      <c r="P2427" t="s">
        <v>30</v>
      </c>
      <c r="Q2427" t="s">
        <v>44</v>
      </c>
      <c r="R2427" s="3">
        <v>13230.611999999999</v>
      </c>
    </row>
    <row r="2428" spans="1:18" x14ac:dyDescent="0.3">
      <c r="A2428" t="s">
        <v>12583</v>
      </c>
      <c r="B2428" t="str">
        <f>TEXT(Raw_Data[[#This Row],[Order Date]],"mmm")</f>
        <v>May</v>
      </c>
      <c r="C2428" t="s">
        <v>1472</v>
      </c>
      <c r="D2428" t="s">
        <v>12584</v>
      </c>
      <c r="E2428" t="s">
        <v>48</v>
      </c>
      <c r="F2428" t="s">
        <v>106</v>
      </c>
      <c r="G2428" t="s">
        <v>106</v>
      </c>
      <c r="H2428" t="s">
        <v>107</v>
      </c>
      <c r="I2428" t="s">
        <v>378</v>
      </c>
      <c r="J2428" t="s">
        <v>25</v>
      </c>
      <c r="K2428" t="s">
        <v>12585</v>
      </c>
      <c r="L2428">
        <v>0.1</v>
      </c>
      <c r="M2428" t="s">
        <v>12586</v>
      </c>
      <c r="N2428" t="s">
        <v>12587</v>
      </c>
      <c r="O2428" t="s">
        <v>173</v>
      </c>
      <c r="P2428" t="s">
        <v>30</v>
      </c>
      <c r="Q2428" t="s">
        <v>65</v>
      </c>
      <c r="R2428" s="3">
        <v>10605.204</v>
      </c>
    </row>
    <row r="2429" spans="1:18" x14ac:dyDescent="0.3">
      <c r="A2429" t="s">
        <v>12588</v>
      </c>
      <c r="B2429" t="str">
        <f>TEXT(Raw_Data[[#This Row],[Order Date]],"mmm")</f>
        <v>Apr</v>
      </c>
      <c r="C2429" t="s">
        <v>675</v>
      </c>
      <c r="D2429" t="s">
        <v>12589</v>
      </c>
      <c r="E2429" t="s">
        <v>35</v>
      </c>
      <c r="F2429" t="s">
        <v>21</v>
      </c>
      <c r="G2429" t="s">
        <v>130</v>
      </c>
      <c r="H2429" t="s">
        <v>23</v>
      </c>
      <c r="I2429" t="s">
        <v>263</v>
      </c>
      <c r="J2429" t="s">
        <v>50</v>
      </c>
      <c r="K2429" t="s">
        <v>12590</v>
      </c>
      <c r="L2429">
        <v>0.1</v>
      </c>
      <c r="M2429" t="s">
        <v>12591</v>
      </c>
      <c r="N2429" t="s">
        <v>12592</v>
      </c>
      <c r="O2429" t="s">
        <v>54</v>
      </c>
      <c r="P2429" t="s">
        <v>30</v>
      </c>
      <c r="Q2429" t="s">
        <v>31</v>
      </c>
      <c r="R2429" s="3">
        <v>18684.756000000001</v>
      </c>
    </row>
    <row r="2430" spans="1:18" x14ac:dyDescent="0.3">
      <c r="A2430" t="s">
        <v>12593</v>
      </c>
      <c r="B2430" t="str">
        <f>TEXT(Raw_Data[[#This Row],[Order Date]],"mmm")</f>
        <v>May</v>
      </c>
      <c r="C2430" t="s">
        <v>948</v>
      </c>
      <c r="D2430" t="s">
        <v>12594</v>
      </c>
      <c r="E2430" t="s">
        <v>35</v>
      </c>
      <c r="F2430" t="s">
        <v>69</v>
      </c>
      <c r="G2430" t="s">
        <v>70</v>
      </c>
      <c r="H2430" t="s">
        <v>154</v>
      </c>
      <c r="I2430" t="s">
        <v>155</v>
      </c>
      <c r="J2430" t="s">
        <v>100</v>
      </c>
      <c r="K2430" t="s">
        <v>12595</v>
      </c>
      <c r="L2430">
        <v>0.05</v>
      </c>
      <c r="M2430" t="s">
        <v>12596</v>
      </c>
      <c r="N2430" t="s">
        <v>12597</v>
      </c>
      <c r="O2430" t="s">
        <v>173</v>
      </c>
      <c r="P2430" t="s">
        <v>30</v>
      </c>
      <c r="Q2430" t="s">
        <v>44</v>
      </c>
      <c r="R2430" s="3">
        <v>5016.7694999999903</v>
      </c>
    </row>
    <row r="2431" spans="1:18" x14ac:dyDescent="0.3">
      <c r="A2431" t="s">
        <v>12598</v>
      </c>
      <c r="B2431" t="str">
        <f>TEXT(Raw_Data[[#This Row],[Order Date]],"mmm")</f>
        <v>Aug</v>
      </c>
      <c r="C2431" t="s">
        <v>4227</v>
      </c>
      <c r="D2431" t="s">
        <v>12599</v>
      </c>
      <c r="E2431" t="s">
        <v>35</v>
      </c>
      <c r="F2431" t="s">
        <v>78</v>
      </c>
      <c r="G2431" t="s">
        <v>468</v>
      </c>
      <c r="H2431" t="s">
        <v>80</v>
      </c>
      <c r="I2431" t="s">
        <v>131</v>
      </c>
      <c r="J2431" t="s">
        <v>25</v>
      </c>
      <c r="K2431" t="s">
        <v>12600</v>
      </c>
      <c r="L2431">
        <v>0.1</v>
      </c>
      <c r="M2431" t="s">
        <v>12601</v>
      </c>
      <c r="N2431" t="s">
        <v>12602</v>
      </c>
      <c r="O2431" t="s">
        <v>29</v>
      </c>
      <c r="P2431" t="s">
        <v>30</v>
      </c>
      <c r="Q2431" t="s">
        <v>31</v>
      </c>
      <c r="R2431" s="3">
        <v>6290.8379999999997</v>
      </c>
    </row>
    <row r="2432" spans="1:18" x14ac:dyDescent="0.3">
      <c r="A2432" t="s">
        <v>12603</v>
      </c>
      <c r="B2432" t="str">
        <f>TEXT(Raw_Data[[#This Row],[Order Date]],"mmm")</f>
        <v>Sep</v>
      </c>
      <c r="C2432" t="s">
        <v>2608</v>
      </c>
      <c r="D2432" t="s">
        <v>12604</v>
      </c>
      <c r="E2432" t="s">
        <v>35</v>
      </c>
      <c r="F2432" t="s">
        <v>69</v>
      </c>
      <c r="G2432" t="s">
        <v>328</v>
      </c>
      <c r="H2432" t="s">
        <v>38</v>
      </c>
      <c r="I2432" t="s">
        <v>256</v>
      </c>
      <c r="J2432" t="s">
        <v>100</v>
      </c>
      <c r="K2432" t="s">
        <v>12605</v>
      </c>
      <c r="L2432">
        <v>0.15</v>
      </c>
      <c r="M2432" t="s">
        <v>12606</v>
      </c>
      <c r="N2432" t="s">
        <v>12607</v>
      </c>
      <c r="O2432" t="s">
        <v>64</v>
      </c>
      <c r="P2432" t="s">
        <v>30</v>
      </c>
      <c r="Q2432" t="s">
        <v>44</v>
      </c>
      <c r="R2432" s="3">
        <v>2940.0479999999998</v>
      </c>
    </row>
    <row r="2433" spans="1:18" x14ac:dyDescent="0.3">
      <c r="A2433" t="s">
        <v>12608</v>
      </c>
      <c r="B2433" t="str">
        <f>TEXT(Raw_Data[[#This Row],[Order Date]],"mmm")</f>
        <v>Jan</v>
      </c>
      <c r="C2433" t="s">
        <v>1015</v>
      </c>
      <c r="D2433" t="s">
        <v>12609</v>
      </c>
      <c r="E2433" t="s">
        <v>20</v>
      </c>
      <c r="F2433" t="s">
        <v>58</v>
      </c>
      <c r="G2433" t="s">
        <v>812</v>
      </c>
      <c r="H2433" t="s">
        <v>80</v>
      </c>
      <c r="I2433" t="s">
        <v>116</v>
      </c>
      <c r="J2433" t="s">
        <v>50</v>
      </c>
      <c r="K2433" t="s">
        <v>12610</v>
      </c>
      <c r="L2433">
        <v>0</v>
      </c>
      <c r="M2433" t="s">
        <v>12611</v>
      </c>
      <c r="N2433" t="s">
        <v>12612</v>
      </c>
      <c r="O2433" t="s">
        <v>64</v>
      </c>
      <c r="P2433" t="s">
        <v>30</v>
      </c>
      <c r="Q2433" t="s">
        <v>65</v>
      </c>
      <c r="R2433" s="3">
        <v>9932.56</v>
      </c>
    </row>
    <row r="2434" spans="1:18" x14ac:dyDescent="0.3">
      <c r="A2434" t="s">
        <v>12613</v>
      </c>
      <c r="B2434" t="str">
        <f>TEXT(Raw_Data[[#This Row],[Order Date]],"mmm")</f>
        <v>Aug</v>
      </c>
      <c r="C2434" t="s">
        <v>3933</v>
      </c>
      <c r="D2434" t="s">
        <v>12614</v>
      </c>
      <c r="E2434" t="s">
        <v>20</v>
      </c>
      <c r="F2434" t="s">
        <v>36</v>
      </c>
      <c r="G2434" t="s">
        <v>414</v>
      </c>
      <c r="H2434" t="s">
        <v>38</v>
      </c>
      <c r="I2434" t="s">
        <v>39</v>
      </c>
      <c r="J2434" t="s">
        <v>100</v>
      </c>
      <c r="K2434" t="s">
        <v>12615</v>
      </c>
      <c r="L2434">
        <v>0.05</v>
      </c>
      <c r="M2434" t="s">
        <v>12616</v>
      </c>
      <c r="N2434" t="s">
        <v>12617</v>
      </c>
      <c r="O2434" t="s">
        <v>64</v>
      </c>
      <c r="P2434" t="s">
        <v>95</v>
      </c>
      <c r="Q2434" t="s">
        <v>65</v>
      </c>
      <c r="R2434" s="3">
        <v>2045.3309999999999</v>
      </c>
    </row>
    <row r="2435" spans="1:18" x14ac:dyDescent="0.3">
      <c r="A2435" t="s">
        <v>12618</v>
      </c>
      <c r="B2435" t="str">
        <f>TEXT(Raw_Data[[#This Row],[Order Date]],"mmm")</f>
        <v>Jun</v>
      </c>
      <c r="C2435" t="s">
        <v>1047</v>
      </c>
      <c r="D2435" t="s">
        <v>12619</v>
      </c>
      <c r="E2435" t="s">
        <v>35</v>
      </c>
      <c r="F2435" t="s">
        <v>106</v>
      </c>
      <c r="G2435" t="s">
        <v>106</v>
      </c>
      <c r="H2435" t="s">
        <v>80</v>
      </c>
      <c r="I2435" t="s">
        <v>81</v>
      </c>
      <c r="J2435" t="s">
        <v>100</v>
      </c>
      <c r="K2435" t="s">
        <v>12620</v>
      </c>
      <c r="L2435">
        <v>0.2</v>
      </c>
      <c r="M2435" t="s">
        <v>12621</v>
      </c>
      <c r="N2435" t="s">
        <v>12622</v>
      </c>
      <c r="O2435" t="s">
        <v>64</v>
      </c>
      <c r="P2435" t="s">
        <v>30</v>
      </c>
      <c r="Q2435" t="s">
        <v>44</v>
      </c>
      <c r="R2435" s="3">
        <v>11485.152</v>
      </c>
    </row>
    <row r="2436" spans="1:18" x14ac:dyDescent="0.3">
      <c r="A2436" t="s">
        <v>12623</v>
      </c>
      <c r="B2436" t="str">
        <f>TEXT(Raw_Data[[#This Row],[Order Date]],"mmm")</f>
        <v>Dec</v>
      </c>
      <c r="C2436" t="s">
        <v>1319</v>
      </c>
      <c r="D2436" t="s">
        <v>12624</v>
      </c>
      <c r="E2436" t="s">
        <v>20</v>
      </c>
      <c r="F2436" t="s">
        <v>78</v>
      </c>
      <c r="G2436" t="s">
        <v>468</v>
      </c>
      <c r="H2436" t="s">
        <v>80</v>
      </c>
      <c r="I2436" t="s">
        <v>116</v>
      </c>
      <c r="J2436" t="s">
        <v>25</v>
      </c>
      <c r="K2436" t="s">
        <v>12625</v>
      </c>
      <c r="L2436">
        <v>0.1</v>
      </c>
      <c r="M2436" t="s">
        <v>12626</v>
      </c>
      <c r="N2436" t="s">
        <v>12627</v>
      </c>
      <c r="O2436" t="s">
        <v>64</v>
      </c>
      <c r="P2436" t="s">
        <v>30</v>
      </c>
      <c r="Q2436" t="s">
        <v>65</v>
      </c>
      <c r="R2436" s="3">
        <v>2884.0680000000002</v>
      </c>
    </row>
    <row r="2437" spans="1:18" x14ac:dyDescent="0.3">
      <c r="A2437" t="s">
        <v>12628</v>
      </c>
      <c r="B2437" t="str">
        <f>TEXT(Raw_Data[[#This Row],[Order Date]],"mmm")</f>
        <v>Jun</v>
      </c>
      <c r="C2437" t="s">
        <v>2546</v>
      </c>
      <c r="D2437" t="s">
        <v>12629</v>
      </c>
      <c r="E2437" t="s">
        <v>35</v>
      </c>
      <c r="F2437" t="s">
        <v>58</v>
      </c>
      <c r="G2437" t="s">
        <v>59</v>
      </c>
      <c r="H2437" t="s">
        <v>23</v>
      </c>
      <c r="I2437" t="s">
        <v>183</v>
      </c>
      <c r="J2437" t="s">
        <v>25</v>
      </c>
      <c r="K2437" t="s">
        <v>12630</v>
      </c>
      <c r="L2437">
        <v>0.1</v>
      </c>
      <c r="M2437" t="s">
        <v>12631</v>
      </c>
      <c r="N2437" t="s">
        <v>12632</v>
      </c>
      <c r="O2437" t="s">
        <v>43</v>
      </c>
      <c r="P2437" t="s">
        <v>30</v>
      </c>
      <c r="Q2437" t="s">
        <v>31</v>
      </c>
      <c r="R2437" s="3">
        <v>42732.593999999997</v>
      </c>
    </row>
    <row r="2438" spans="1:18" x14ac:dyDescent="0.3">
      <c r="A2438" t="s">
        <v>12633</v>
      </c>
      <c r="B2438" t="str">
        <f>TEXT(Raw_Data[[#This Row],[Order Date]],"mmm")</f>
        <v>May</v>
      </c>
      <c r="C2438" t="s">
        <v>2840</v>
      </c>
      <c r="D2438" t="s">
        <v>12634</v>
      </c>
      <c r="E2438" t="s">
        <v>48</v>
      </c>
      <c r="F2438" t="s">
        <v>89</v>
      </c>
      <c r="G2438" t="s">
        <v>90</v>
      </c>
      <c r="H2438" t="s">
        <v>4794</v>
      </c>
      <c r="I2438" t="s">
        <v>341</v>
      </c>
      <c r="J2438" t="s">
        <v>25</v>
      </c>
      <c r="K2438" t="s">
        <v>12635</v>
      </c>
      <c r="L2438">
        <v>0.15</v>
      </c>
      <c r="M2438" t="s">
        <v>12636</v>
      </c>
      <c r="N2438" t="s">
        <v>12637</v>
      </c>
      <c r="O2438" t="s">
        <v>43</v>
      </c>
      <c r="P2438" t="s">
        <v>30</v>
      </c>
      <c r="Q2438" t="s">
        <v>65</v>
      </c>
      <c r="R2438" s="3">
        <v>1642.1745000000001</v>
      </c>
    </row>
    <row r="2439" spans="1:18" x14ac:dyDescent="0.3">
      <c r="A2439" t="s">
        <v>12638</v>
      </c>
      <c r="B2439" t="str">
        <f>TEXT(Raw_Data[[#This Row],[Order Date]],"mmm")</f>
        <v>May</v>
      </c>
      <c r="C2439" t="s">
        <v>2089</v>
      </c>
      <c r="D2439" t="s">
        <v>12639</v>
      </c>
      <c r="E2439" t="s">
        <v>35</v>
      </c>
      <c r="F2439" t="s">
        <v>36</v>
      </c>
      <c r="G2439" t="s">
        <v>414</v>
      </c>
      <c r="H2439" t="s">
        <v>107</v>
      </c>
      <c r="I2439" t="s">
        <v>277</v>
      </c>
      <c r="J2439" t="s">
        <v>50</v>
      </c>
      <c r="K2439" t="s">
        <v>12640</v>
      </c>
      <c r="L2439">
        <v>0.1</v>
      </c>
      <c r="M2439" t="s">
        <v>12641</v>
      </c>
      <c r="N2439" t="s">
        <v>12642</v>
      </c>
      <c r="O2439" t="s">
        <v>29</v>
      </c>
      <c r="P2439" t="s">
        <v>30</v>
      </c>
      <c r="Q2439" t="s">
        <v>65</v>
      </c>
      <c r="R2439" s="3">
        <v>29869.362000000001</v>
      </c>
    </row>
    <row r="2440" spans="1:18" x14ac:dyDescent="0.3">
      <c r="A2440" t="s">
        <v>12643</v>
      </c>
      <c r="B2440" t="str">
        <f>TEXT(Raw_Data[[#This Row],[Order Date]],"mmm")</f>
        <v>May</v>
      </c>
      <c r="C2440" t="s">
        <v>2299</v>
      </c>
      <c r="D2440" t="s">
        <v>12644</v>
      </c>
      <c r="E2440" t="s">
        <v>48</v>
      </c>
      <c r="F2440" t="s">
        <v>21</v>
      </c>
      <c r="G2440" t="s">
        <v>22</v>
      </c>
      <c r="H2440" t="s">
        <v>107</v>
      </c>
      <c r="I2440" t="s">
        <v>277</v>
      </c>
      <c r="J2440" t="s">
        <v>25</v>
      </c>
      <c r="K2440" t="s">
        <v>12645</v>
      </c>
      <c r="L2440">
        <v>0.1</v>
      </c>
      <c r="M2440" t="s">
        <v>12646</v>
      </c>
      <c r="N2440" t="s">
        <v>12647</v>
      </c>
      <c r="O2440" t="s">
        <v>64</v>
      </c>
      <c r="P2440" t="s">
        <v>30</v>
      </c>
      <c r="Q2440" t="s">
        <v>44</v>
      </c>
      <c r="R2440" s="3">
        <v>9976.2839999999997</v>
      </c>
    </row>
    <row r="2441" spans="1:18" x14ac:dyDescent="0.3">
      <c r="A2441" t="s">
        <v>12648</v>
      </c>
      <c r="B2441" t="str">
        <f>TEXT(Raw_Data[[#This Row],[Order Date]],"mmm")</f>
        <v>Jan</v>
      </c>
      <c r="C2441" t="s">
        <v>924</v>
      </c>
      <c r="D2441" t="s">
        <v>12649</v>
      </c>
      <c r="E2441" t="s">
        <v>20</v>
      </c>
      <c r="F2441" t="s">
        <v>69</v>
      </c>
      <c r="G2441" t="s">
        <v>139</v>
      </c>
      <c r="H2441" t="s">
        <v>80</v>
      </c>
      <c r="I2441" t="s">
        <v>116</v>
      </c>
      <c r="J2441" t="s">
        <v>25</v>
      </c>
      <c r="K2441" t="s">
        <v>12650</v>
      </c>
      <c r="L2441">
        <v>0</v>
      </c>
      <c r="M2441" t="s">
        <v>12651</v>
      </c>
      <c r="N2441" t="s">
        <v>12652</v>
      </c>
      <c r="O2441" t="s">
        <v>29</v>
      </c>
      <c r="P2441" t="s">
        <v>30</v>
      </c>
      <c r="Q2441" t="s">
        <v>44</v>
      </c>
      <c r="R2441" s="3">
        <v>5561.51</v>
      </c>
    </row>
    <row r="2442" spans="1:18" x14ac:dyDescent="0.3">
      <c r="A2442" t="s">
        <v>12653</v>
      </c>
      <c r="B2442" t="str">
        <f>TEXT(Raw_Data[[#This Row],[Order Date]],"mmm")</f>
        <v>Apr</v>
      </c>
      <c r="C2442" t="s">
        <v>1448</v>
      </c>
      <c r="D2442" t="s">
        <v>12654</v>
      </c>
      <c r="E2442" t="s">
        <v>35</v>
      </c>
      <c r="F2442" t="s">
        <v>106</v>
      </c>
      <c r="G2442" t="s">
        <v>106</v>
      </c>
      <c r="H2442" t="s">
        <v>23</v>
      </c>
      <c r="I2442" t="s">
        <v>263</v>
      </c>
      <c r="J2442" t="s">
        <v>100</v>
      </c>
      <c r="K2442" t="s">
        <v>12655</v>
      </c>
      <c r="L2442">
        <v>0</v>
      </c>
      <c r="M2442" t="s">
        <v>12656</v>
      </c>
      <c r="N2442" t="s">
        <v>12657</v>
      </c>
      <c r="O2442" t="s">
        <v>54</v>
      </c>
      <c r="P2442" t="s">
        <v>30</v>
      </c>
      <c r="Q2442" t="s">
        <v>31</v>
      </c>
      <c r="R2442" s="3">
        <v>155836.62</v>
      </c>
    </row>
    <row r="2443" spans="1:18" x14ac:dyDescent="0.3">
      <c r="A2443" t="s">
        <v>12658</v>
      </c>
      <c r="B2443" t="str">
        <f>TEXT(Raw_Data[[#This Row],[Order Date]],"mmm")</f>
        <v>Feb</v>
      </c>
      <c r="C2443" t="s">
        <v>4592</v>
      </c>
      <c r="D2443" t="s">
        <v>12659</v>
      </c>
      <c r="E2443" t="s">
        <v>48</v>
      </c>
      <c r="F2443" t="s">
        <v>69</v>
      </c>
      <c r="G2443" t="s">
        <v>328</v>
      </c>
      <c r="H2443" t="s">
        <v>80</v>
      </c>
      <c r="I2443" t="s">
        <v>146</v>
      </c>
      <c r="J2443" t="s">
        <v>50</v>
      </c>
      <c r="K2443" t="s">
        <v>12660</v>
      </c>
      <c r="L2443">
        <v>0</v>
      </c>
      <c r="M2443" t="s">
        <v>12661</v>
      </c>
      <c r="N2443" t="s">
        <v>12662</v>
      </c>
      <c r="O2443" t="s">
        <v>43</v>
      </c>
      <c r="P2443" t="s">
        <v>30</v>
      </c>
      <c r="Q2443" t="s">
        <v>65</v>
      </c>
      <c r="R2443" s="3">
        <v>7776.28</v>
      </c>
    </row>
    <row r="2444" spans="1:18" x14ac:dyDescent="0.3">
      <c r="A2444" t="s">
        <v>12663</v>
      </c>
      <c r="B2444" t="str">
        <f>TEXT(Raw_Data[[#This Row],[Order Date]],"mmm")</f>
        <v>Apr</v>
      </c>
      <c r="C2444" t="s">
        <v>675</v>
      </c>
      <c r="D2444" t="s">
        <v>12664</v>
      </c>
      <c r="E2444" t="s">
        <v>48</v>
      </c>
      <c r="F2444" t="s">
        <v>69</v>
      </c>
      <c r="G2444" t="s">
        <v>139</v>
      </c>
      <c r="H2444" t="s">
        <v>23</v>
      </c>
      <c r="I2444" t="s">
        <v>183</v>
      </c>
      <c r="J2444" t="s">
        <v>25</v>
      </c>
      <c r="K2444" t="s">
        <v>12665</v>
      </c>
      <c r="L2444">
        <v>0.05</v>
      </c>
      <c r="M2444" t="s">
        <v>12666</v>
      </c>
      <c r="N2444" t="s">
        <v>12667</v>
      </c>
      <c r="O2444" t="s">
        <v>173</v>
      </c>
      <c r="P2444" t="s">
        <v>30</v>
      </c>
      <c r="Q2444" t="s">
        <v>44</v>
      </c>
      <c r="R2444" s="3">
        <v>11290.1989999999</v>
      </c>
    </row>
    <row r="2445" spans="1:18" x14ac:dyDescent="0.3">
      <c r="A2445" t="s">
        <v>12668</v>
      </c>
      <c r="B2445" t="str">
        <f>TEXT(Raw_Data[[#This Row],[Order Date]],"mmm")</f>
        <v>May</v>
      </c>
      <c r="C2445" t="s">
        <v>5447</v>
      </c>
      <c r="D2445" t="s">
        <v>12669</v>
      </c>
      <c r="E2445" t="s">
        <v>20</v>
      </c>
      <c r="F2445" t="s">
        <v>69</v>
      </c>
      <c r="G2445" t="s">
        <v>139</v>
      </c>
      <c r="H2445" t="s">
        <v>80</v>
      </c>
      <c r="I2445" t="s">
        <v>146</v>
      </c>
      <c r="J2445" t="s">
        <v>50</v>
      </c>
      <c r="K2445" t="s">
        <v>12670</v>
      </c>
      <c r="L2445">
        <v>0</v>
      </c>
      <c r="M2445" t="s">
        <v>12671</v>
      </c>
      <c r="N2445" t="s">
        <v>12672</v>
      </c>
      <c r="O2445" t="s">
        <v>173</v>
      </c>
      <c r="P2445" t="s">
        <v>30</v>
      </c>
      <c r="Q2445" t="s">
        <v>31</v>
      </c>
      <c r="R2445" s="3">
        <v>4725.54</v>
      </c>
    </row>
    <row r="2446" spans="1:18" x14ac:dyDescent="0.3">
      <c r="A2446" t="s">
        <v>12673</v>
      </c>
      <c r="B2446" t="str">
        <f>TEXT(Raw_Data[[#This Row],[Order Date]],"mmm")</f>
        <v>Dec</v>
      </c>
      <c r="C2446" t="s">
        <v>2558</v>
      </c>
      <c r="D2446" t="s">
        <v>12674</v>
      </c>
      <c r="E2446" t="s">
        <v>48</v>
      </c>
      <c r="F2446" t="s">
        <v>106</v>
      </c>
      <c r="G2446" t="s">
        <v>106</v>
      </c>
      <c r="H2446" t="s">
        <v>38</v>
      </c>
      <c r="I2446" t="s">
        <v>223</v>
      </c>
      <c r="J2446" t="s">
        <v>25</v>
      </c>
      <c r="K2446" t="s">
        <v>12675</v>
      </c>
      <c r="L2446">
        <v>0</v>
      </c>
      <c r="M2446" t="s">
        <v>12676</v>
      </c>
      <c r="N2446" t="s">
        <v>12677</v>
      </c>
      <c r="O2446" t="s">
        <v>54</v>
      </c>
      <c r="P2446" t="s">
        <v>159</v>
      </c>
      <c r="Q2446" t="s">
        <v>31</v>
      </c>
      <c r="R2446" s="3">
        <v>1714.65</v>
      </c>
    </row>
    <row r="2447" spans="1:18" x14ac:dyDescent="0.3">
      <c r="A2447" t="s">
        <v>12678</v>
      </c>
      <c r="B2447" t="str">
        <f>TEXT(Raw_Data[[#This Row],[Order Date]],"mmm")</f>
        <v>Apr</v>
      </c>
      <c r="C2447" t="s">
        <v>902</v>
      </c>
      <c r="D2447" t="s">
        <v>12679</v>
      </c>
      <c r="E2447" t="s">
        <v>20</v>
      </c>
      <c r="F2447" t="s">
        <v>36</v>
      </c>
      <c r="G2447" t="s">
        <v>153</v>
      </c>
      <c r="H2447" t="s">
        <v>80</v>
      </c>
      <c r="I2447" t="s">
        <v>91</v>
      </c>
      <c r="J2447" t="s">
        <v>25</v>
      </c>
      <c r="K2447" t="s">
        <v>12680</v>
      </c>
      <c r="L2447">
        <v>0</v>
      </c>
      <c r="M2447" t="s">
        <v>12681</v>
      </c>
      <c r="N2447" t="s">
        <v>12682</v>
      </c>
      <c r="O2447" t="s">
        <v>29</v>
      </c>
      <c r="P2447" t="s">
        <v>30</v>
      </c>
      <c r="Q2447" t="s">
        <v>31</v>
      </c>
      <c r="R2447" s="3">
        <v>2987.74</v>
      </c>
    </row>
    <row r="2448" spans="1:18" x14ac:dyDescent="0.3">
      <c r="A2448" t="s">
        <v>12683</v>
      </c>
      <c r="B2448" t="str">
        <f>TEXT(Raw_Data[[#This Row],[Order Date]],"mmm")</f>
        <v>May</v>
      </c>
      <c r="C2448" t="s">
        <v>2693</v>
      </c>
      <c r="D2448" t="s">
        <v>12684</v>
      </c>
      <c r="E2448" t="s">
        <v>20</v>
      </c>
      <c r="F2448" t="s">
        <v>69</v>
      </c>
      <c r="G2448" t="s">
        <v>70</v>
      </c>
      <c r="H2448" t="s">
        <v>80</v>
      </c>
      <c r="I2448" t="s">
        <v>91</v>
      </c>
      <c r="J2448" t="s">
        <v>25</v>
      </c>
      <c r="K2448" t="s">
        <v>12685</v>
      </c>
      <c r="L2448">
        <v>0.05</v>
      </c>
      <c r="M2448" t="s">
        <v>12686</v>
      </c>
      <c r="N2448" t="s">
        <v>12687</v>
      </c>
      <c r="O2448" t="s">
        <v>173</v>
      </c>
      <c r="P2448" t="s">
        <v>30</v>
      </c>
      <c r="Q2448" t="s">
        <v>44</v>
      </c>
      <c r="R2448" s="3">
        <v>6079.6485000000002</v>
      </c>
    </row>
    <row r="2449" spans="1:18" x14ac:dyDescent="0.3">
      <c r="A2449" t="s">
        <v>12688</v>
      </c>
      <c r="B2449" t="str">
        <f>TEXT(Raw_Data[[#This Row],[Order Date]],"mmm")</f>
        <v>Jun</v>
      </c>
      <c r="C2449" t="s">
        <v>1725</v>
      </c>
      <c r="D2449" t="s">
        <v>12689</v>
      </c>
      <c r="E2449" t="s">
        <v>35</v>
      </c>
      <c r="F2449" t="s">
        <v>89</v>
      </c>
      <c r="G2449" t="s">
        <v>90</v>
      </c>
      <c r="H2449" t="s">
        <v>23</v>
      </c>
      <c r="I2449" t="s">
        <v>183</v>
      </c>
      <c r="J2449" t="s">
        <v>50</v>
      </c>
      <c r="K2449" t="s">
        <v>12690</v>
      </c>
      <c r="L2449">
        <v>0.15</v>
      </c>
      <c r="M2449" t="s">
        <v>12691</v>
      </c>
      <c r="N2449" t="s">
        <v>12692</v>
      </c>
      <c r="O2449" t="s">
        <v>29</v>
      </c>
      <c r="P2449" t="s">
        <v>30</v>
      </c>
      <c r="Q2449" t="s">
        <v>65</v>
      </c>
      <c r="R2449" s="3">
        <v>17612.645999999899</v>
      </c>
    </row>
    <row r="2450" spans="1:18" x14ac:dyDescent="0.3">
      <c r="A2450" t="s">
        <v>12693</v>
      </c>
      <c r="B2450" t="str">
        <f>TEXT(Raw_Data[[#This Row],[Order Date]],"mmm")</f>
        <v>Mar</v>
      </c>
      <c r="C2450" t="s">
        <v>2180</v>
      </c>
      <c r="D2450" t="s">
        <v>12694</v>
      </c>
      <c r="E2450" t="s">
        <v>20</v>
      </c>
      <c r="F2450" t="s">
        <v>36</v>
      </c>
      <c r="G2450" t="s">
        <v>153</v>
      </c>
      <c r="H2450" t="s">
        <v>23</v>
      </c>
      <c r="I2450" t="s">
        <v>341</v>
      </c>
      <c r="J2450" t="s">
        <v>25</v>
      </c>
      <c r="K2450" t="s">
        <v>12695</v>
      </c>
      <c r="L2450">
        <v>0.2</v>
      </c>
      <c r="M2450" t="s">
        <v>12696</v>
      </c>
      <c r="N2450" t="s">
        <v>12697</v>
      </c>
      <c r="O2450" t="s">
        <v>29</v>
      </c>
      <c r="P2450" t="s">
        <v>112</v>
      </c>
      <c r="Q2450" t="s">
        <v>31</v>
      </c>
      <c r="R2450" s="3">
        <v>58497.904000000002</v>
      </c>
    </row>
    <row r="2451" spans="1:18" x14ac:dyDescent="0.3">
      <c r="A2451" t="s">
        <v>12698</v>
      </c>
      <c r="B2451" t="str">
        <f>TEXT(Raw_Data[[#This Row],[Order Date]],"mmm")</f>
        <v>Dec</v>
      </c>
      <c r="C2451" t="s">
        <v>965</v>
      </c>
      <c r="D2451" t="s">
        <v>12699</v>
      </c>
      <c r="E2451" t="s">
        <v>35</v>
      </c>
      <c r="F2451" t="s">
        <v>89</v>
      </c>
      <c r="G2451" t="s">
        <v>99</v>
      </c>
      <c r="H2451" t="s">
        <v>80</v>
      </c>
      <c r="I2451" t="s">
        <v>146</v>
      </c>
      <c r="J2451" t="s">
        <v>25</v>
      </c>
      <c r="K2451" t="s">
        <v>12700</v>
      </c>
      <c r="L2451">
        <v>0</v>
      </c>
      <c r="M2451" t="s">
        <v>12701</v>
      </c>
      <c r="N2451" t="s">
        <v>12702</v>
      </c>
      <c r="O2451" t="s">
        <v>29</v>
      </c>
      <c r="P2451" t="s">
        <v>30</v>
      </c>
      <c r="Q2451" t="s">
        <v>31</v>
      </c>
      <c r="R2451" s="3">
        <v>808.31</v>
      </c>
    </row>
    <row r="2452" spans="1:18" x14ac:dyDescent="0.3">
      <c r="A2452" t="s">
        <v>12703</v>
      </c>
      <c r="B2452" t="str">
        <f>TEXT(Raw_Data[[#This Row],[Order Date]],"mmm")</f>
        <v>Nov</v>
      </c>
      <c r="C2452" t="s">
        <v>4206</v>
      </c>
      <c r="D2452" t="s">
        <v>12704</v>
      </c>
      <c r="E2452" t="s">
        <v>48</v>
      </c>
      <c r="F2452" t="s">
        <v>106</v>
      </c>
      <c r="G2452" t="s">
        <v>106</v>
      </c>
      <c r="H2452" t="s">
        <v>80</v>
      </c>
      <c r="I2452" t="s">
        <v>146</v>
      </c>
      <c r="J2452" t="s">
        <v>25</v>
      </c>
      <c r="K2452" t="s">
        <v>12705</v>
      </c>
      <c r="L2452">
        <v>0.15</v>
      </c>
      <c r="M2452" t="s">
        <v>12706</v>
      </c>
      <c r="N2452" t="s">
        <v>12707</v>
      </c>
      <c r="O2452" t="s">
        <v>173</v>
      </c>
      <c r="P2452" t="s">
        <v>159</v>
      </c>
      <c r="Q2452" t="s">
        <v>31</v>
      </c>
      <c r="R2452" s="3">
        <v>3470.6009999999901</v>
      </c>
    </row>
    <row r="2453" spans="1:18" x14ac:dyDescent="0.3">
      <c r="A2453" t="s">
        <v>12708</v>
      </c>
      <c r="B2453" t="str">
        <f>TEXT(Raw_Data[[#This Row],[Order Date]],"mmm")</f>
        <v>Sep</v>
      </c>
      <c r="C2453" t="s">
        <v>1539</v>
      </c>
      <c r="D2453" t="s">
        <v>12709</v>
      </c>
      <c r="E2453" t="s">
        <v>20</v>
      </c>
      <c r="F2453" t="s">
        <v>106</v>
      </c>
      <c r="G2453" t="s">
        <v>106</v>
      </c>
      <c r="H2453" t="s">
        <v>23</v>
      </c>
      <c r="I2453" t="s">
        <v>24</v>
      </c>
      <c r="J2453" t="s">
        <v>25</v>
      </c>
      <c r="K2453" t="s">
        <v>12710</v>
      </c>
      <c r="L2453">
        <v>0</v>
      </c>
      <c r="M2453" t="s">
        <v>12711</v>
      </c>
      <c r="N2453" t="s">
        <v>12712</v>
      </c>
      <c r="O2453" t="s">
        <v>173</v>
      </c>
      <c r="P2453" t="s">
        <v>95</v>
      </c>
      <c r="Q2453" t="s">
        <v>65</v>
      </c>
      <c r="R2453" s="3">
        <v>21682.5</v>
      </c>
    </row>
    <row r="2454" spans="1:18" x14ac:dyDescent="0.3">
      <c r="A2454" t="s">
        <v>12713</v>
      </c>
      <c r="B2454" t="str">
        <f>TEXT(Raw_Data[[#This Row],[Order Date]],"mmm")</f>
        <v>Jun</v>
      </c>
      <c r="C2454" t="s">
        <v>2586</v>
      </c>
      <c r="D2454" t="s">
        <v>12714</v>
      </c>
      <c r="E2454" t="s">
        <v>35</v>
      </c>
      <c r="F2454" t="s">
        <v>78</v>
      </c>
      <c r="G2454" t="s">
        <v>731</v>
      </c>
      <c r="H2454" t="s">
        <v>23</v>
      </c>
      <c r="I2454" t="s">
        <v>49</v>
      </c>
      <c r="J2454" t="s">
        <v>25</v>
      </c>
      <c r="K2454" t="s">
        <v>12715</v>
      </c>
      <c r="L2454">
        <v>0</v>
      </c>
      <c r="M2454" t="s">
        <v>12716</v>
      </c>
      <c r="N2454" t="s">
        <v>12717</v>
      </c>
      <c r="O2454" t="s">
        <v>64</v>
      </c>
      <c r="P2454" t="s">
        <v>30</v>
      </c>
      <c r="Q2454" t="s">
        <v>31</v>
      </c>
      <c r="R2454" s="3">
        <v>18854.38</v>
      </c>
    </row>
    <row r="2455" spans="1:18" x14ac:dyDescent="0.3">
      <c r="A2455" t="s">
        <v>12718</v>
      </c>
      <c r="B2455" t="str">
        <f>TEXT(Raw_Data[[#This Row],[Order Date]],"mmm")</f>
        <v>Jun</v>
      </c>
      <c r="C2455" t="s">
        <v>3993</v>
      </c>
      <c r="D2455" t="s">
        <v>12719</v>
      </c>
      <c r="E2455" t="s">
        <v>48</v>
      </c>
      <c r="F2455" t="s">
        <v>106</v>
      </c>
      <c r="G2455" t="s">
        <v>106</v>
      </c>
      <c r="H2455" t="s">
        <v>80</v>
      </c>
      <c r="I2455" t="s">
        <v>131</v>
      </c>
      <c r="J2455" t="s">
        <v>25</v>
      </c>
      <c r="K2455" t="s">
        <v>12720</v>
      </c>
      <c r="L2455">
        <v>0.2</v>
      </c>
      <c r="M2455" t="s">
        <v>12721</v>
      </c>
      <c r="N2455" t="s">
        <v>12722</v>
      </c>
      <c r="O2455" t="s">
        <v>43</v>
      </c>
      <c r="P2455" t="s">
        <v>30</v>
      </c>
      <c r="Q2455" t="s">
        <v>31</v>
      </c>
      <c r="R2455" s="3">
        <v>1004.92</v>
      </c>
    </row>
    <row r="2456" spans="1:18" x14ac:dyDescent="0.3">
      <c r="A2456" t="s">
        <v>12723</v>
      </c>
      <c r="B2456" t="str">
        <f>TEXT(Raw_Data[[#This Row],[Order Date]],"mmm")</f>
        <v>Mar</v>
      </c>
      <c r="C2456" t="s">
        <v>425</v>
      </c>
      <c r="D2456" t="s">
        <v>12724</v>
      </c>
      <c r="E2456" t="s">
        <v>35</v>
      </c>
      <c r="F2456" t="s">
        <v>21</v>
      </c>
      <c r="G2456" t="s">
        <v>130</v>
      </c>
      <c r="H2456" t="s">
        <v>80</v>
      </c>
      <c r="I2456" t="s">
        <v>146</v>
      </c>
      <c r="J2456" t="s">
        <v>50</v>
      </c>
      <c r="K2456" t="s">
        <v>12725</v>
      </c>
      <c r="L2456">
        <v>0.15</v>
      </c>
      <c r="M2456" t="s">
        <v>12726</v>
      </c>
      <c r="N2456" t="s">
        <v>12727</v>
      </c>
      <c r="O2456" t="s">
        <v>29</v>
      </c>
      <c r="P2456" t="s">
        <v>30</v>
      </c>
      <c r="Q2456" t="s">
        <v>31</v>
      </c>
      <c r="R2456" s="3">
        <v>3898.04899999999</v>
      </c>
    </row>
    <row r="2457" spans="1:18" x14ac:dyDescent="0.3">
      <c r="A2457" t="s">
        <v>12728</v>
      </c>
      <c r="B2457" t="str">
        <f>TEXT(Raw_Data[[#This Row],[Order Date]],"mmm")</f>
        <v>Aug</v>
      </c>
      <c r="C2457" t="s">
        <v>1454</v>
      </c>
      <c r="D2457" t="s">
        <v>12729</v>
      </c>
      <c r="E2457" t="s">
        <v>20</v>
      </c>
      <c r="F2457" t="s">
        <v>21</v>
      </c>
      <c r="G2457" t="s">
        <v>22</v>
      </c>
      <c r="H2457" t="s">
        <v>154</v>
      </c>
      <c r="I2457" t="s">
        <v>1061</v>
      </c>
      <c r="J2457" t="s">
        <v>25</v>
      </c>
      <c r="K2457" t="s">
        <v>12730</v>
      </c>
      <c r="L2457">
        <v>0</v>
      </c>
      <c r="M2457" t="s">
        <v>12731</v>
      </c>
      <c r="N2457" t="s">
        <v>12732</v>
      </c>
      <c r="O2457" t="s">
        <v>43</v>
      </c>
      <c r="P2457" t="s">
        <v>30</v>
      </c>
      <c r="Q2457" t="s">
        <v>31</v>
      </c>
      <c r="R2457" s="3">
        <v>9509.34</v>
      </c>
    </row>
    <row r="2458" spans="1:18" x14ac:dyDescent="0.3">
      <c r="A2458" t="s">
        <v>12733</v>
      </c>
      <c r="B2458" t="str">
        <f>TEXT(Raw_Data[[#This Row],[Order Date]],"mmm")</f>
        <v>Nov</v>
      </c>
      <c r="C2458" t="s">
        <v>4206</v>
      </c>
      <c r="D2458" t="s">
        <v>12734</v>
      </c>
      <c r="E2458" t="s">
        <v>35</v>
      </c>
      <c r="F2458" t="s">
        <v>36</v>
      </c>
      <c r="G2458" t="s">
        <v>123</v>
      </c>
      <c r="H2458" t="s">
        <v>38</v>
      </c>
      <c r="I2458" t="s">
        <v>223</v>
      </c>
      <c r="J2458" t="s">
        <v>100</v>
      </c>
      <c r="K2458" t="s">
        <v>12735</v>
      </c>
      <c r="L2458">
        <v>0.05</v>
      </c>
      <c r="M2458" t="s">
        <v>12736</v>
      </c>
      <c r="N2458" t="s">
        <v>12737</v>
      </c>
      <c r="O2458" t="s">
        <v>43</v>
      </c>
      <c r="P2458" t="s">
        <v>30</v>
      </c>
      <c r="Q2458" t="s">
        <v>65</v>
      </c>
      <c r="R2458" s="3">
        <v>13605.3585</v>
      </c>
    </row>
    <row r="2459" spans="1:18" x14ac:dyDescent="0.3">
      <c r="A2459" t="s">
        <v>12738</v>
      </c>
      <c r="B2459" t="str">
        <f>TEXT(Raw_Data[[#This Row],[Order Date]],"mmm")</f>
        <v>Mar</v>
      </c>
      <c r="C2459" t="s">
        <v>2959</v>
      </c>
      <c r="D2459" t="s">
        <v>12739</v>
      </c>
      <c r="E2459" t="s">
        <v>35</v>
      </c>
      <c r="F2459" t="s">
        <v>215</v>
      </c>
      <c r="G2459" t="s">
        <v>276</v>
      </c>
      <c r="H2459" t="s">
        <v>23</v>
      </c>
      <c r="I2459" t="s">
        <v>24</v>
      </c>
      <c r="J2459" t="s">
        <v>50</v>
      </c>
      <c r="K2459" t="s">
        <v>12740</v>
      </c>
      <c r="L2459">
        <v>0.1</v>
      </c>
      <c r="M2459" t="s">
        <v>12741</v>
      </c>
      <c r="N2459" t="s">
        <v>12742</v>
      </c>
      <c r="O2459" t="s">
        <v>173</v>
      </c>
      <c r="P2459" t="s">
        <v>30</v>
      </c>
      <c r="Q2459" t="s">
        <v>31</v>
      </c>
      <c r="R2459" s="3">
        <v>79741.331999999995</v>
      </c>
    </row>
    <row r="2460" spans="1:18" x14ac:dyDescent="0.3">
      <c r="A2460" t="s">
        <v>12743</v>
      </c>
      <c r="B2460" t="str">
        <f>TEXT(Raw_Data[[#This Row],[Order Date]],"mmm")</f>
        <v>May</v>
      </c>
      <c r="C2460" t="s">
        <v>1257</v>
      </c>
      <c r="D2460" t="s">
        <v>12744</v>
      </c>
      <c r="E2460" t="s">
        <v>35</v>
      </c>
      <c r="F2460" t="s">
        <v>215</v>
      </c>
      <c r="G2460" t="s">
        <v>276</v>
      </c>
      <c r="H2460" t="s">
        <v>154</v>
      </c>
      <c r="I2460" t="s">
        <v>309</v>
      </c>
      <c r="J2460" t="s">
        <v>100</v>
      </c>
      <c r="K2460" t="s">
        <v>12745</v>
      </c>
      <c r="L2460">
        <v>0.1</v>
      </c>
      <c r="M2460" t="s">
        <v>12746</v>
      </c>
      <c r="N2460" t="s">
        <v>12747</v>
      </c>
      <c r="O2460" t="s">
        <v>64</v>
      </c>
      <c r="P2460" t="s">
        <v>30</v>
      </c>
      <c r="Q2460" t="s">
        <v>31</v>
      </c>
      <c r="R2460" s="3">
        <v>31954.688999999998</v>
      </c>
    </row>
    <row r="2461" spans="1:18" x14ac:dyDescent="0.3">
      <c r="A2461" t="s">
        <v>12748</v>
      </c>
      <c r="B2461" t="str">
        <f>TEXT(Raw_Data[[#This Row],[Order Date]],"mmm")</f>
        <v>May</v>
      </c>
      <c r="C2461" t="s">
        <v>948</v>
      </c>
      <c r="D2461" t="s">
        <v>12749</v>
      </c>
      <c r="E2461" t="s">
        <v>35</v>
      </c>
      <c r="F2461" t="s">
        <v>106</v>
      </c>
      <c r="G2461" t="s">
        <v>163</v>
      </c>
      <c r="H2461" t="s">
        <v>23</v>
      </c>
      <c r="I2461" t="s">
        <v>49</v>
      </c>
      <c r="J2461" t="s">
        <v>100</v>
      </c>
      <c r="K2461" t="s">
        <v>12750</v>
      </c>
      <c r="L2461">
        <v>0</v>
      </c>
      <c r="M2461" t="s">
        <v>12751</v>
      </c>
      <c r="N2461" t="s">
        <v>12752</v>
      </c>
      <c r="O2461" t="s">
        <v>29</v>
      </c>
      <c r="P2461" t="s">
        <v>95</v>
      </c>
      <c r="Q2461" t="s">
        <v>44</v>
      </c>
      <c r="R2461" s="3">
        <v>161049.18</v>
      </c>
    </row>
    <row r="2462" spans="1:18" x14ac:dyDescent="0.3">
      <c r="A2462" t="s">
        <v>12753</v>
      </c>
      <c r="B2462" t="str">
        <f>TEXT(Raw_Data[[#This Row],[Order Date]],"mmm")</f>
        <v>Oct</v>
      </c>
      <c r="C2462" t="s">
        <v>3724</v>
      </c>
      <c r="D2462" t="s">
        <v>12754</v>
      </c>
      <c r="E2462" t="s">
        <v>35</v>
      </c>
      <c r="F2462" t="s">
        <v>78</v>
      </c>
      <c r="G2462" t="s">
        <v>731</v>
      </c>
      <c r="H2462" t="s">
        <v>107</v>
      </c>
      <c r="I2462" t="s">
        <v>108</v>
      </c>
      <c r="J2462" t="s">
        <v>50</v>
      </c>
      <c r="K2462" t="s">
        <v>12755</v>
      </c>
      <c r="L2462">
        <v>0.1</v>
      </c>
      <c r="M2462" t="s">
        <v>12756</v>
      </c>
      <c r="N2462" t="s">
        <v>12757</v>
      </c>
      <c r="O2462" t="s">
        <v>43</v>
      </c>
      <c r="P2462" t="s">
        <v>95</v>
      </c>
      <c r="Q2462" t="s">
        <v>31</v>
      </c>
      <c r="R2462" s="3">
        <v>21101.705999999998</v>
      </c>
    </row>
    <row r="2463" spans="1:18" x14ac:dyDescent="0.3">
      <c r="A2463" t="s">
        <v>12758</v>
      </c>
      <c r="B2463" t="str">
        <f>TEXT(Raw_Data[[#This Row],[Order Date]],"mmm")</f>
        <v>Apr</v>
      </c>
      <c r="C2463" t="s">
        <v>97</v>
      </c>
      <c r="D2463" t="s">
        <v>12759</v>
      </c>
      <c r="E2463" t="s">
        <v>35</v>
      </c>
      <c r="F2463" t="s">
        <v>89</v>
      </c>
      <c r="G2463" t="s">
        <v>99</v>
      </c>
      <c r="H2463" t="s">
        <v>80</v>
      </c>
      <c r="I2463" t="s">
        <v>146</v>
      </c>
      <c r="J2463" t="s">
        <v>25</v>
      </c>
      <c r="K2463" t="s">
        <v>12760</v>
      </c>
      <c r="L2463">
        <v>0</v>
      </c>
      <c r="M2463" t="s">
        <v>12761</v>
      </c>
      <c r="N2463" t="s">
        <v>12762</v>
      </c>
      <c r="O2463" t="s">
        <v>43</v>
      </c>
      <c r="P2463" t="s">
        <v>30</v>
      </c>
      <c r="Q2463" t="s">
        <v>65</v>
      </c>
      <c r="R2463" s="3">
        <v>1133.73</v>
      </c>
    </row>
    <row r="2464" spans="1:18" x14ac:dyDescent="0.3">
      <c r="A2464" t="s">
        <v>12763</v>
      </c>
      <c r="B2464" t="str">
        <f>TEXT(Raw_Data[[#This Row],[Order Date]],"mmm")</f>
        <v>Sep</v>
      </c>
      <c r="C2464" t="s">
        <v>288</v>
      </c>
      <c r="D2464" t="s">
        <v>12764</v>
      </c>
      <c r="E2464" t="s">
        <v>20</v>
      </c>
      <c r="F2464" t="s">
        <v>215</v>
      </c>
      <c r="G2464" t="s">
        <v>216</v>
      </c>
      <c r="H2464" t="s">
        <v>23</v>
      </c>
      <c r="I2464" t="s">
        <v>263</v>
      </c>
      <c r="J2464" t="s">
        <v>25</v>
      </c>
      <c r="K2464" t="s">
        <v>12765</v>
      </c>
      <c r="L2464">
        <v>0.05</v>
      </c>
      <c r="M2464" t="s">
        <v>12766</v>
      </c>
      <c r="N2464" t="s">
        <v>12767</v>
      </c>
      <c r="O2464" t="s">
        <v>173</v>
      </c>
      <c r="P2464" t="s">
        <v>95</v>
      </c>
      <c r="Q2464" t="s">
        <v>31</v>
      </c>
      <c r="R2464" s="3">
        <v>54818.097000000002</v>
      </c>
    </row>
    <row r="2465" spans="1:18" x14ac:dyDescent="0.3">
      <c r="A2465" t="s">
        <v>12768</v>
      </c>
      <c r="B2465" t="str">
        <f>TEXT(Raw_Data[[#This Row],[Order Date]],"mmm")</f>
        <v>May</v>
      </c>
      <c r="C2465" t="s">
        <v>2355</v>
      </c>
      <c r="D2465" t="s">
        <v>12769</v>
      </c>
      <c r="E2465" t="s">
        <v>20</v>
      </c>
      <c r="F2465" t="s">
        <v>106</v>
      </c>
      <c r="G2465" t="s">
        <v>106</v>
      </c>
      <c r="H2465" t="s">
        <v>23</v>
      </c>
      <c r="I2465" t="s">
        <v>183</v>
      </c>
      <c r="J2465" t="s">
        <v>50</v>
      </c>
      <c r="K2465" t="s">
        <v>12770</v>
      </c>
      <c r="L2465">
        <v>0.15</v>
      </c>
      <c r="M2465" t="s">
        <v>12771</v>
      </c>
      <c r="N2465" t="s">
        <v>12772</v>
      </c>
      <c r="O2465" t="s">
        <v>29</v>
      </c>
      <c r="P2465" t="s">
        <v>30</v>
      </c>
      <c r="Q2465" t="s">
        <v>31</v>
      </c>
      <c r="R2465" s="3">
        <v>93078.485000000001</v>
      </c>
    </row>
    <row r="2466" spans="1:18" x14ac:dyDescent="0.3">
      <c r="A2466" t="s">
        <v>12773</v>
      </c>
      <c r="B2466" t="str">
        <f>TEXT(Raw_Data[[#This Row],[Order Date]],"mmm")</f>
        <v>Apr</v>
      </c>
      <c r="C2466" t="s">
        <v>4751</v>
      </c>
      <c r="D2466" t="s">
        <v>12774</v>
      </c>
      <c r="E2466" t="s">
        <v>48</v>
      </c>
      <c r="F2466" t="s">
        <v>69</v>
      </c>
      <c r="G2466" t="s">
        <v>70</v>
      </c>
      <c r="H2466" t="s">
        <v>23</v>
      </c>
      <c r="I2466" t="s">
        <v>341</v>
      </c>
      <c r="J2466" t="s">
        <v>25</v>
      </c>
      <c r="K2466" t="s">
        <v>12775</v>
      </c>
      <c r="L2466">
        <v>0.1</v>
      </c>
      <c r="M2466" t="s">
        <v>12776</v>
      </c>
      <c r="N2466" t="s">
        <v>12777</v>
      </c>
      <c r="O2466" t="s">
        <v>54</v>
      </c>
      <c r="P2466" t="s">
        <v>30</v>
      </c>
      <c r="Q2466" t="s">
        <v>44</v>
      </c>
      <c r="R2466" s="3">
        <v>11284.83</v>
      </c>
    </row>
    <row r="2467" spans="1:18" x14ac:dyDescent="0.3">
      <c r="A2467" t="s">
        <v>12778</v>
      </c>
      <c r="B2467" t="str">
        <f>TEXT(Raw_Data[[#This Row],[Order Date]],"mmm")</f>
        <v>Aug</v>
      </c>
      <c r="C2467" t="s">
        <v>3841</v>
      </c>
      <c r="D2467" t="s">
        <v>12779</v>
      </c>
      <c r="E2467" t="s">
        <v>20</v>
      </c>
      <c r="F2467" t="s">
        <v>89</v>
      </c>
      <c r="G2467" t="s">
        <v>99</v>
      </c>
      <c r="H2467" t="s">
        <v>23</v>
      </c>
      <c r="I2467" t="s">
        <v>183</v>
      </c>
      <c r="J2467" t="s">
        <v>50</v>
      </c>
      <c r="K2467" t="s">
        <v>12780</v>
      </c>
      <c r="L2467">
        <v>0.05</v>
      </c>
      <c r="M2467" t="s">
        <v>12781</v>
      </c>
      <c r="N2467" t="s">
        <v>12782</v>
      </c>
      <c r="O2467" t="s">
        <v>54</v>
      </c>
      <c r="P2467" t="s">
        <v>30</v>
      </c>
      <c r="Q2467" t="s">
        <v>44</v>
      </c>
      <c r="R2467" s="3">
        <v>88174.154999999897</v>
      </c>
    </row>
    <row r="2468" spans="1:18" x14ac:dyDescent="0.3">
      <c r="A2468" t="s">
        <v>12783</v>
      </c>
      <c r="B2468" t="str">
        <f>TEXT(Raw_Data[[#This Row],[Order Date]],"mmm")</f>
        <v>Feb</v>
      </c>
      <c r="C2468" t="s">
        <v>2410</v>
      </c>
      <c r="D2468" t="s">
        <v>12784</v>
      </c>
      <c r="E2468" t="s">
        <v>35</v>
      </c>
      <c r="F2468" t="s">
        <v>215</v>
      </c>
      <c r="G2468" t="s">
        <v>276</v>
      </c>
      <c r="H2468" t="s">
        <v>23</v>
      </c>
      <c r="I2468" t="s">
        <v>183</v>
      </c>
      <c r="J2468" t="s">
        <v>25</v>
      </c>
      <c r="K2468" t="s">
        <v>12785</v>
      </c>
      <c r="L2468">
        <v>0.15</v>
      </c>
      <c r="M2468" t="s">
        <v>12786</v>
      </c>
      <c r="N2468" t="s">
        <v>12787</v>
      </c>
      <c r="O2468" t="s">
        <v>43</v>
      </c>
      <c r="P2468" t="s">
        <v>30</v>
      </c>
      <c r="Q2468" t="s">
        <v>65</v>
      </c>
      <c r="R2468" s="3">
        <v>48773.467499999999</v>
      </c>
    </row>
    <row r="2469" spans="1:18" x14ac:dyDescent="0.3">
      <c r="A2469" t="s">
        <v>12788</v>
      </c>
      <c r="B2469" t="str">
        <f>TEXT(Raw_Data[[#This Row],[Order Date]],"mmm")</f>
        <v>Oct</v>
      </c>
      <c r="C2469" t="s">
        <v>2217</v>
      </c>
      <c r="D2469" t="s">
        <v>12789</v>
      </c>
      <c r="E2469" t="s">
        <v>20</v>
      </c>
      <c r="F2469" t="s">
        <v>78</v>
      </c>
      <c r="G2469" t="s">
        <v>468</v>
      </c>
      <c r="H2469" t="s">
        <v>80</v>
      </c>
      <c r="I2469" t="s">
        <v>131</v>
      </c>
      <c r="J2469" t="s">
        <v>25</v>
      </c>
      <c r="K2469" t="s">
        <v>12790</v>
      </c>
      <c r="L2469">
        <v>0.1</v>
      </c>
      <c r="M2469" t="s">
        <v>12791</v>
      </c>
      <c r="N2469" t="s">
        <v>12792</v>
      </c>
      <c r="O2469" t="s">
        <v>64</v>
      </c>
      <c r="P2469" t="s">
        <v>30</v>
      </c>
      <c r="Q2469" t="s">
        <v>31</v>
      </c>
      <c r="R2469" s="3">
        <v>5192.2169999999996</v>
      </c>
    </row>
    <row r="2470" spans="1:18" x14ac:dyDescent="0.3">
      <c r="A2470" t="s">
        <v>12793</v>
      </c>
      <c r="B2470" t="str">
        <f>TEXT(Raw_Data[[#This Row],[Order Date]],"mmm")</f>
        <v>Jan</v>
      </c>
      <c r="C2470" t="s">
        <v>6081</v>
      </c>
      <c r="D2470" t="s">
        <v>12794</v>
      </c>
      <c r="E2470" t="s">
        <v>35</v>
      </c>
      <c r="F2470" t="s">
        <v>69</v>
      </c>
      <c r="G2470" t="s">
        <v>139</v>
      </c>
      <c r="H2470" t="s">
        <v>23</v>
      </c>
      <c r="I2470" t="s">
        <v>183</v>
      </c>
      <c r="J2470" t="s">
        <v>25</v>
      </c>
      <c r="K2470" t="s">
        <v>12795</v>
      </c>
      <c r="L2470">
        <v>0.1</v>
      </c>
      <c r="M2470" t="s">
        <v>12796</v>
      </c>
      <c r="N2470" t="s">
        <v>12797</v>
      </c>
      <c r="O2470" t="s">
        <v>29</v>
      </c>
      <c r="P2470" t="s">
        <v>30</v>
      </c>
      <c r="Q2470" t="s">
        <v>44</v>
      </c>
      <c r="R2470" s="3">
        <v>9542.7539999999899</v>
      </c>
    </row>
    <row r="2471" spans="1:18" x14ac:dyDescent="0.3">
      <c r="A2471" t="s">
        <v>12798</v>
      </c>
      <c r="B2471" t="str">
        <f>TEXT(Raw_Data[[#This Row],[Order Date]],"mmm")</f>
        <v>Nov</v>
      </c>
      <c r="C2471" t="s">
        <v>1204</v>
      </c>
      <c r="D2471" t="s">
        <v>12799</v>
      </c>
      <c r="E2471" t="s">
        <v>35</v>
      </c>
      <c r="F2471" t="s">
        <v>21</v>
      </c>
      <c r="G2471" t="s">
        <v>22</v>
      </c>
      <c r="H2471" t="s">
        <v>80</v>
      </c>
      <c r="I2471" t="s">
        <v>91</v>
      </c>
      <c r="J2471" t="s">
        <v>25</v>
      </c>
      <c r="K2471" t="s">
        <v>12800</v>
      </c>
      <c r="L2471">
        <v>0.1</v>
      </c>
      <c r="M2471" t="s">
        <v>12801</v>
      </c>
      <c r="N2471" t="s">
        <v>12802</v>
      </c>
      <c r="O2471" t="s">
        <v>173</v>
      </c>
      <c r="P2471" t="s">
        <v>30</v>
      </c>
      <c r="Q2471" t="s">
        <v>31</v>
      </c>
      <c r="R2471" s="3">
        <v>335.178</v>
      </c>
    </row>
    <row r="2472" spans="1:18" x14ac:dyDescent="0.3">
      <c r="A2472" t="s">
        <v>12803</v>
      </c>
      <c r="B2472" t="str">
        <f>TEXT(Raw_Data[[#This Row],[Order Date]],"mmm")</f>
        <v>Feb</v>
      </c>
      <c r="C2472" t="s">
        <v>7114</v>
      </c>
      <c r="D2472" t="s">
        <v>12804</v>
      </c>
      <c r="E2472" t="s">
        <v>48</v>
      </c>
      <c r="F2472" t="s">
        <v>36</v>
      </c>
      <c r="G2472" t="s">
        <v>153</v>
      </c>
      <c r="H2472" t="s">
        <v>23</v>
      </c>
      <c r="I2472" t="s">
        <v>24</v>
      </c>
      <c r="J2472" t="s">
        <v>50</v>
      </c>
      <c r="K2472" t="s">
        <v>12805</v>
      </c>
      <c r="L2472">
        <v>0.1</v>
      </c>
      <c r="M2472" t="s">
        <v>12806</v>
      </c>
      <c r="N2472" t="s">
        <v>12807</v>
      </c>
      <c r="O2472" t="s">
        <v>54</v>
      </c>
      <c r="P2472" t="s">
        <v>112</v>
      </c>
      <c r="Q2472" t="s">
        <v>44</v>
      </c>
      <c r="R2472" s="3">
        <v>99642.69</v>
      </c>
    </row>
    <row r="2473" spans="1:18" x14ac:dyDescent="0.3">
      <c r="A2473" t="s">
        <v>12808</v>
      </c>
      <c r="B2473" t="str">
        <f>TEXT(Raw_Data[[#This Row],[Order Date]],"mmm")</f>
        <v>Mar</v>
      </c>
      <c r="C2473" t="s">
        <v>3893</v>
      </c>
      <c r="D2473" t="s">
        <v>12809</v>
      </c>
      <c r="E2473" t="s">
        <v>35</v>
      </c>
      <c r="F2473" t="s">
        <v>215</v>
      </c>
      <c r="G2473" t="s">
        <v>216</v>
      </c>
      <c r="H2473" t="s">
        <v>23</v>
      </c>
      <c r="I2473" t="s">
        <v>49</v>
      </c>
      <c r="J2473" t="s">
        <v>25</v>
      </c>
      <c r="K2473" t="s">
        <v>12810</v>
      </c>
      <c r="L2473">
        <v>0.15</v>
      </c>
      <c r="M2473" t="s">
        <v>12811</v>
      </c>
      <c r="N2473" t="s">
        <v>12812</v>
      </c>
      <c r="O2473" t="s">
        <v>43</v>
      </c>
      <c r="P2473" t="s">
        <v>30</v>
      </c>
      <c r="Q2473" t="s">
        <v>31</v>
      </c>
      <c r="R2473" s="3">
        <v>7586.1479999999901</v>
      </c>
    </row>
    <row r="2474" spans="1:18" x14ac:dyDescent="0.3">
      <c r="A2474" t="s">
        <v>12813</v>
      </c>
      <c r="B2474" t="str">
        <f>TEXT(Raw_Data[[#This Row],[Order Date]],"mmm")</f>
        <v>Jul</v>
      </c>
      <c r="C2474" t="s">
        <v>9717</v>
      </c>
      <c r="D2474" t="s">
        <v>12814</v>
      </c>
      <c r="E2474" t="s">
        <v>48</v>
      </c>
      <c r="F2474" t="s">
        <v>89</v>
      </c>
      <c r="G2474" t="s">
        <v>230</v>
      </c>
      <c r="H2474" t="s">
        <v>23</v>
      </c>
      <c r="I2474" t="s">
        <v>183</v>
      </c>
      <c r="J2474" t="s">
        <v>100</v>
      </c>
      <c r="K2474" t="s">
        <v>12815</v>
      </c>
      <c r="L2474">
        <v>0.05</v>
      </c>
      <c r="M2474" t="s">
        <v>12816</v>
      </c>
      <c r="N2474" t="s">
        <v>12817</v>
      </c>
      <c r="O2474" t="s">
        <v>43</v>
      </c>
      <c r="P2474" t="s">
        <v>30</v>
      </c>
      <c r="Q2474" t="s">
        <v>44</v>
      </c>
      <c r="R2474" s="3">
        <v>120168.112499999</v>
      </c>
    </row>
    <row r="2475" spans="1:18" x14ac:dyDescent="0.3">
      <c r="A2475" t="s">
        <v>12818</v>
      </c>
      <c r="B2475" t="str">
        <f>TEXT(Raw_Data[[#This Row],[Order Date]],"mmm")</f>
        <v>May</v>
      </c>
      <c r="C2475" t="s">
        <v>1472</v>
      </c>
      <c r="D2475" t="s">
        <v>12819</v>
      </c>
      <c r="E2475" t="s">
        <v>35</v>
      </c>
      <c r="F2475" t="s">
        <v>78</v>
      </c>
      <c r="G2475" t="s">
        <v>731</v>
      </c>
      <c r="H2475" t="s">
        <v>80</v>
      </c>
      <c r="I2475" t="s">
        <v>131</v>
      </c>
      <c r="J2475" t="s">
        <v>25</v>
      </c>
      <c r="K2475" t="s">
        <v>12820</v>
      </c>
      <c r="L2475">
        <v>0.1</v>
      </c>
      <c r="M2475" t="s">
        <v>12821</v>
      </c>
      <c r="N2475" t="s">
        <v>12822</v>
      </c>
      <c r="O2475" t="s">
        <v>54</v>
      </c>
      <c r="P2475" t="s">
        <v>30</v>
      </c>
      <c r="Q2475" t="s">
        <v>65</v>
      </c>
      <c r="R2475" s="3">
        <v>1803.933</v>
      </c>
    </row>
    <row r="2476" spans="1:18" x14ac:dyDescent="0.3">
      <c r="A2476" t="s">
        <v>12823</v>
      </c>
      <c r="B2476" t="str">
        <f>TEXT(Raw_Data[[#This Row],[Order Date]],"mmm")</f>
        <v>Aug</v>
      </c>
      <c r="C2476" t="s">
        <v>1943</v>
      </c>
      <c r="D2476" t="s">
        <v>12824</v>
      </c>
      <c r="E2476" t="s">
        <v>35</v>
      </c>
      <c r="F2476" t="s">
        <v>89</v>
      </c>
      <c r="G2476" t="s">
        <v>230</v>
      </c>
      <c r="H2476" t="s">
        <v>107</v>
      </c>
      <c r="I2476" t="s">
        <v>378</v>
      </c>
      <c r="J2476" t="s">
        <v>100</v>
      </c>
      <c r="K2476" t="s">
        <v>12825</v>
      </c>
      <c r="L2476">
        <v>0</v>
      </c>
      <c r="M2476" t="s">
        <v>12826</v>
      </c>
      <c r="N2476" t="s">
        <v>12827</v>
      </c>
      <c r="O2476" t="s">
        <v>173</v>
      </c>
      <c r="P2476" t="s">
        <v>30</v>
      </c>
      <c r="Q2476" t="s">
        <v>31</v>
      </c>
      <c r="R2476" s="3">
        <v>18208.439999999999</v>
      </c>
    </row>
    <row r="2477" spans="1:18" x14ac:dyDescent="0.3">
      <c r="A2477" t="s">
        <v>12828</v>
      </c>
      <c r="B2477" t="str">
        <f>TEXT(Raw_Data[[#This Row],[Order Date]],"mmm")</f>
        <v>Jan</v>
      </c>
      <c r="C2477" t="s">
        <v>780</v>
      </c>
      <c r="D2477" t="s">
        <v>12829</v>
      </c>
      <c r="E2477" t="s">
        <v>35</v>
      </c>
      <c r="F2477" t="s">
        <v>36</v>
      </c>
      <c r="G2477" t="s">
        <v>123</v>
      </c>
      <c r="H2477" t="s">
        <v>80</v>
      </c>
      <c r="I2477" t="s">
        <v>116</v>
      </c>
      <c r="J2477" t="s">
        <v>25</v>
      </c>
      <c r="K2477" t="s">
        <v>12830</v>
      </c>
      <c r="L2477">
        <v>0.05</v>
      </c>
      <c r="M2477" t="s">
        <v>12831</v>
      </c>
      <c r="N2477" t="s">
        <v>12832</v>
      </c>
      <c r="O2477" t="s">
        <v>54</v>
      </c>
      <c r="P2477" t="s">
        <v>30</v>
      </c>
      <c r="Q2477" t="s">
        <v>65</v>
      </c>
      <c r="R2477" s="3">
        <v>2096.2889999999902</v>
      </c>
    </row>
    <row r="2478" spans="1:18" x14ac:dyDescent="0.3">
      <c r="A2478" t="s">
        <v>12833</v>
      </c>
      <c r="B2478" t="str">
        <f>TEXT(Raw_Data[[#This Row],[Order Date]],"mmm")</f>
        <v>Oct</v>
      </c>
      <c r="C2478" t="s">
        <v>3724</v>
      </c>
      <c r="D2478" t="s">
        <v>12834</v>
      </c>
      <c r="E2478" t="s">
        <v>48</v>
      </c>
      <c r="F2478" t="s">
        <v>215</v>
      </c>
      <c r="G2478" t="s">
        <v>216</v>
      </c>
      <c r="H2478" t="s">
        <v>107</v>
      </c>
      <c r="I2478" t="s">
        <v>469</v>
      </c>
      <c r="J2478" t="s">
        <v>25</v>
      </c>
      <c r="K2478" t="s">
        <v>12835</v>
      </c>
      <c r="L2478">
        <v>0.2</v>
      </c>
      <c r="M2478" t="s">
        <v>12836</v>
      </c>
      <c r="N2478" t="s">
        <v>12837</v>
      </c>
      <c r="O2478" t="s">
        <v>173</v>
      </c>
      <c r="P2478" t="s">
        <v>1762</v>
      </c>
      <c r="Q2478" t="s">
        <v>44</v>
      </c>
      <c r="R2478" s="3">
        <v>14099.608</v>
      </c>
    </row>
    <row r="2479" spans="1:18" x14ac:dyDescent="0.3">
      <c r="A2479" t="s">
        <v>12838</v>
      </c>
      <c r="B2479" t="str">
        <f>TEXT(Raw_Data[[#This Row],[Order Date]],"mmm")</f>
        <v>Nov</v>
      </c>
      <c r="C2479" t="s">
        <v>1198</v>
      </c>
      <c r="D2479" t="s">
        <v>12839</v>
      </c>
      <c r="E2479" t="s">
        <v>35</v>
      </c>
      <c r="F2479" t="s">
        <v>78</v>
      </c>
      <c r="G2479" t="s">
        <v>731</v>
      </c>
      <c r="H2479" t="s">
        <v>80</v>
      </c>
      <c r="I2479" t="s">
        <v>116</v>
      </c>
      <c r="J2479" t="s">
        <v>25</v>
      </c>
      <c r="K2479" t="s">
        <v>12840</v>
      </c>
      <c r="L2479">
        <v>0</v>
      </c>
      <c r="M2479" t="s">
        <v>12841</v>
      </c>
      <c r="N2479" t="s">
        <v>12842</v>
      </c>
      <c r="O2479" t="s">
        <v>43</v>
      </c>
      <c r="P2479" t="s">
        <v>30</v>
      </c>
      <c r="Q2479" t="s">
        <v>65</v>
      </c>
      <c r="R2479" s="3">
        <v>6849.15</v>
      </c>
    </row>
    <row r="2480" spans="1:18" x14ac:dyDescent="0.3">
      <c r="A2480" t="s">
        <v>12843</v>
      </c>
      <c r="B2480" t="str">
        <f>TEXT(Raw_Data[[#This Row],[Order Date]],"mmm")</f>
        <v>Sep</v>
      </c>
      <c r="C2480" t="s">
        <v>663</v>
      </c>
      <c r="D2480" t="s">
        <v>12844</v>
      </c>
      <c r="E2480" t="s">
        <v>48</v>
      </c>
      <c r="F2480" t="s">
        <v>69</v>
      </c>
      <c r="G2480" t="s">
        <v>328</v>
      </c>
      <c r="H2480" t="s">
        <v>154</v>
      </c>
      <c r="I2480" t="s">
        <v>237</v>
      </c>
      <c r="J2480" t="s">
        <v>25</v>
      </c>
      <c r="K2480" t="s">
        <v>12845</v>
      </c>
      <c r="L2480">
        <v>0.05</v>
      </c>
      <c r="M2480" t="s">
        <v>12846</v>
      </c>
      <c r="N2480" t="s">
        <v>12847</v>
      </c>
      <c r="O2480" t="s">
        <v>54</v>
      </c>
      <c r="P2480" t="s">
        <v>30</v>
      </c>
      <c r="Q2480" t="s">
        <v>65</v>
      </c>
      <c r="R2480" s="3">
        <v>2737.2730000000001</v>
      </c>
    </row>
    <row r="2481" spans="1:18" x14ac:dyDescent="0.3">
      <c r="A2481" t="s">
        <v>12848</v>
      </c>
      <c r="B2481" t="str">
        <f>TEXT(Raw_Data[[#This Row],[Order Date]],"mmm")</f>
        <v>Aug</v>
      </c>
      <c r="C2481" t="s">
        <v>1313</v>
      </c>
      <c r="D2481" t="s">
        <v>12849</v>
      </c>
      <c r="E2481" t="s">
        <v>35</v>
      </c>
      <c r="F2481" t="s">
        <v>215</v>
      </c>
      <c r="G2481" t="s">
        <v>216</v>
      </c>
      <c r="H2481" t="s">
        <v>154</v>
      </c>
      <c r="I2481" t="s">
        <v>237</v>
      </c>
      <c r="J2481" t="s">
        <v>25</v>
      </c>
      <c r="K2481" t="s">
        <v>12850</v>
      </c>
      <c r="L2481">
        <v>0.1</v>
      </c>
      <c r="M2481" t="s">
        <v>12851</v>
      </c>
      <c r="N2481" t="s">
        <v>12852</v>
      </c>
      <c r="O2481" t="s">
        <v>54</v>
      </c>
      <c r="P2481" t="s">
        <v>30</v>
      </c>
      <c r="Q2481" t="s">
        <v>65</v>
      </c>
      <c r="R2481" s="3">
        <v>2126.3310000000001</v>
      </c>
    </row>
    <row r="2482" spans="1:18" x14ac:dyDescent="0.3">
      <c r="A2482" t="s">
        <v>12853</v>
      </c>
      <c r="B2482" t="str">
        <f>TEXT(Raw_Data[[#This Row],[Order Date]],"mmm")</f>
        <v>Aug</v>
      </c>
      <c r="C2482" t="s">
        <v>1053</v>
      </c>
      <c r="D2482" t="s">
        <v>12854</v>
      </c>
      <c r="E2482" t="s">
        <v>35</v>
      </c>
      <c r="F2482" t="s">
        <v>78</v>
      </c>
      <c r="G2482" t="s">
        <v>731</v>
      </c>
      <c r="H2482" t="s">
        <v>23</v>
      </c>
      <c r="I2482" t="s">
        <v>263</v>
      </c>
      <c r="J2482" t="s">
        <v>25</v>
      </c>
      <c r="K2482" t="s">
        <v>12855</v>
      </c>
      <c r="L2482">
        <v>0.1</v>
      </c>
      <c r="M2482" t="s">
        <v>12856</v>
      </c>
      <c r="N2482" t="s">
        <v>12857</v>
      </c>
      <c r="O2482" t="s">
        <v>43</v>
      </c>
      <c r="P2482" t="s">
        <v>30</v>
      </c>
      <c r="Q2482" t="s">
        <v>65</v>
      </c>
      <c r="R2482" s="3">
        <v>55360.305</v>
      </c>
    </row>
    <row r="2483" spans="1:18" x14ac:dyDescent="0.3">
      <c r="A2483" t="s">
        <v>12858</v>
      </c>
      <c r="B2483" t="str">
        <f>TEXT(Raw_Data[[#This Row],[Order Date]],"mmm")</f>
        <v>Nov</v>
      </c>
      <c r="C2483" t="s">
        <v>1330</v>
      </c>
      <c r="D2483" t="s">
        <v>12859</v>
      </c>
      <c r="E2483" t="s">
        <v>20</v>
      </c>
      <c r="F2483" t="s">
        <v>36</v>
      </c>
      <c r="G2483" t="s">
        <v>37</v>
      </c>
      <c r="H2483" t="s">
        <v>107</v>
      </c>
      <c r="I2483" t="s">
        <v>378</v>
      </c>
      <c r="J2483" t="s">
        <v>100</v>
      </c>
      <c r="K2483" t="s">
        <v>12860</v>
      </c>
      <c r="L2483">
        <v>0</v>
      </c>
      <c r="M2483" t="s">
        <v>12861</v>
      </c>
      <c r="N2483" t="s">
        <v>12862</v>
      </c>
      <c r="O2483" t="s">
        <v>54</v>
      </c>
      <c r="P2483" t="s">
        <v>30</v>
      </c>
      <c r="Q2483" t="s">
        <v>65</v>
      </c>
      <c r="R2483" s="3">
        <v>49789.41</v>
      </c>
    </row>
    <row r="2484" spans="1:18" x14ac:dyDescent="0.3">
      <c r="A2484" t="s">
        <v>12863</v>
      </c>
      <c r="B2484" t="str">
        <f>TEXT(Raw_Data[[#This Row],[Order Date]],"mmm")</f>
        <v>Apr</v>
      </c>
      <c r="C2484" t="s">
        <v>3090</v>
      </c>
      <c r="D2484" t="s">
        <v>12864</v>
      </c>
      <c r="E2484" t="s">
        <v>20</v>
      </c>
      <c r="F2484" t="s">
        <v>215</v>
      </c>
      <c r="G2484" t="s">
        <v>276</v>
      </c>
      <c r="H2484" t="s">
        <v>107</v>
      </c>
      <c r="I2484" t="s">
        <v>108</v>
      </c>
      <c r="J2484" t="s">
        <v>25</v>
      </c>
      <c r="K2484" t="s">
        <v>12865</v>
      </c>
      <c r="L2484">
        <v>0.15</v>
      </c>
      <c r="M2484" t="s">
        <v>12866</v>
      </c>
      <c r="N2484" t="s">
        <v>12867</v>
      </c>
      <c r="O2484" t="s">
        <v>29</v>
      </c>
      <c r="P2484" t="s">
        <v>30</v>
      </c>
      <c r="Q2484" t="s">
        <v>44</v>
      </c>
      <c r="R2484" s="3">
        <v>4378.0524999999998</v>
      </c>
    </row>
    <row r="2485" spans="1:18" x14ac:dyDescent="0.3">
      <c r="A2485" t="s">
        <v>12868</v>
      </c>
      <c r="B2485" t="str">
        <f>TEXT(Raw_Data[[#This Row],[Order Date]],"mmm")</f>
        <v>Mar</v>
      </c>
      <c r="C2485" t="s">
        <v>1021</v>
      </c>
      <c r="D2485" t="s">
        <v>12869</v>
      </c>
      <c r="E2485" t="s">
        <v>20</v>
      </c>
      <c r="F2485" t="s">
        <v>89</v>
      </c>
      <c r="G2485" t="s">
        <v>90</v>
      </c>
      <c r="H2485" t="s">
        <v>80</v>
      </c>
      <c r="I2485" t="s">
        <v>91</v>
      </c>
      <c r="J2485" t="s">
        <v>25</v>
      </c>
      <c r="K2485" t="s">
        <v>12870</v>
      </c>
      <c r="L2485">
        <v>0.05</v>
      </c>
      <c r="M2485" t="s">
        <v>12871</v>
      </c>
      <c r="N2485" t="s">
        <v>12872</v>
      </c>
      <c r="O2485" t="s">
        <v>29</v>
      </c>
      <c r="P2485" t="s">
        <v>30</v>
      </c>
      <c r="Q2485" t="s">
        <v>31</v>
      </c>
      <c r="R2485" s="3">
        <v>5007.6399999999903</v>
      </c>
    </row>
    <row r="2486" spans="1:18" x14ac:dyDescent="0.3">
      <c r="A2486" t="s">
        <v>12873</v>
      </c>
      <c r="B2486" t="str">
        <f>TEXT(Raw_Data[[#This Row],[Order Date]],"mmm")</f>
        <v>May</v>
      </c>
      <c r="C2486" t="s">
        <v>1937</v>
      </c>
      <c r="D2486" t="s">
        <v>12874</v>
      </c>
      <c r="E2486" t="s">
        <v>48</v>
      </c>
      <c r="F2486" t="s">
        <v>58</v>
      </c>
      <c r="G2486" t="s">
        <v>59</v>
      </c>
      <c r="H2486" t="s">
        <v>23</v>
      </c>
      <c r="I2486" t="s">
        <v>24</v>
      </c>
      <c r="J2486" t="s">
        <v>50</v>
      </c>
      <c r="K2486" t="s">
        <v>12875</v>
      </c>
      <c r="L2486">
        <v>0.05</v>
      </c>
      <c r="M2486" t="s">
        <v>12876</v>
      </c>
      <c r="N2486" t="s">
        <v>12877</v>
      </c>
      <c r="O2486" t="s">
        <v>43</v>
      </c>
      <c r="P2486" t="s">
        <v>30</v>
      </c>
      <c r="Q2486" t="s">
        <v>31</v>
      </c>
      <c r="R2486" s="3">
        <v>90620.728000000003</v>
      </c>
    </row>
    <row r="2487" spans="1:18" x14ac:dyDescent="0.3">
      <c r="A2487" t="s">
        <v>12878</v>
      </c>
      <c r="B2487" t="str">
        <f>TEXT(Raw_Data[[#This Row],[Order Date]],"mmm")</f>
        <v>Nov</v>
      </c>
      <c r="C2487" t="s">
        <v>1330</v>
      </c>
      <c r="D2487" t="s">
        <v>12879</v>
      </c>
      <c r="E2487" t="s">
        <v>35</v>
      </c>
      <c r="F2487" t="s">
        <v>89</v>
      </c>
      <c r="G2487" t="s">
        <v>90</v>
      </c>
      <c r="H2487" t="s">
        <v>154</v>
      </c>
      <c r="I2487" t="s">
        <v>237</v>
      </c>
      <c r="J2487" t="s">
        <v>25</v>
      </c>
      <c r="K2487" t="s">
        <v>12880</v>
      </c>
      <c r="L2487">
        <v>0.15</v>
      </c>
      <c r="M2487" t="s">
        <v>12881</v>
      </c>
      <c r="N2487" t="s">
        <v>12882</v>
      </c>
      <c r="O2487" t="s">
        <v>3684</v>
      </c>
      <c r="P2487" t="s">
        <v>30</v>
      </c>
      <c r="Q2487" t="s">
        <v>31</v>
      </c>
      <c r="R2487" s="3">
        <v>4646.3635000000004</v>
      </c>
    </row>
    <row r="2488" spans="1:18" x14ac:dyDescent="0.3">
      <c r="A2488" t="s">
        <v>12883</v>
      </c>
      <c r="B2488" t="str">
        <f>TEXT(Raw_Data[[#This Row],[Order Date]],"mmm")</f>
        <v>Jun</v>
      </c>
      <c r="C2488" t="s">
        <v>3993</v>
      </c>
      <c r="D2488" t="s">
        <v>12884</v>
      </c>
      <c r="E2488" t="s">
        <v>48</v>
      </c>
      <c r="F2488" t="s">
        <v>78</v>
      </c>
      <c r="G2488" t="s">
        <v>79</v>
      </c>
      <c r="H2488" t="s">
        <v>23</v>
      </c>
      <c r="I2488" t="s">
        <v>341</v>
      </c>
      <c r="J2488" t="s">
        <v>25</v>
      </c>
      <c r="K2488" t="s">
        <v>12885</v>
      </c>
      <c r="L2488">
        <v>0</v>
      </c>
      <c r="M2488" t="s">
        <v>12886</v>
      </c>
      <c r="N2488" t="s">
        <v>12887</v>
      </c>
      <c r="O2488" t="s">
        <v>43</v>
      </c>
      <c r="P2488" t="s">
        <v>30</v>
      </c>
      <c r="Q2488" t="s">
        <v>31</v>
      </c>
      <c r="R2488" s="3">
        <v>19285.27</v>
      </c>
    </row>
    <row r="2489" spans="1:18" x14ac:dyDescent="0.3">
      <c r="A2489" t="s">
        <v>12888</v>
      </c>
      <c r="B2489" t="str">
        <f>TEXT(Raw_Data[[#This Row],[Order Date]],"mmm")</f>
        <v>Jan</v>
      </c>
      <c r="C2489" t="s">
        <v>6081</v>
      </c>
      <c r="D2489" t="s">
        <v>12889</v>
      </c>
      <c r="E2489" t="s">
        <v>48</v>
      </c>
      <c r="F2489" t="s">
        <v>106</v>
      </c>
      <c r="G2489" t="s">
        <v>163</v>
      </c>
      <c r="H2489" t="s">
        <v>23</v>
      </c>
      <c r="I2489" t="s">
        <v>49</v>
      </c>
      <c r="J2489" t="s">
        <v>25</v>
      </c>
      <c r="K2489" t="s">
        <v>12890</v>
      </c>
      <c r="L2489">
        <v>0.2</v>
      </c>
      <c r="M2489" t="s">
        <v>12891</v>
      </c>
      <c r="N2489" t="s">
        <v>12892</v>
      </c>
      <c r="O2489" t="s">
        <v>64</v>
      </c>
      <c r="P2489" t="s">
        <v>30</v>
      </c>
      <c r="Q2489" t="s">
        <v>31</v>
      </c>
      <c r="R2489" s="3">
        <v>52734.807999999997</v>
      </c>
    </row>
    <row r="2490" spans="1:18" x14ac:dyDescent="0.3">
      <c r="A2490" t="s">
        <v>12893</v>
      </c>
      <c r="B2490" t="str">
        <f>TEXT(Raw_Data[[#This Row],[Order Date]],"mmm")</f>
        <v>Jan</v>
      </c>
      <c r="C2490" t="s">
        <v>891</v>
      </c>
      <c r="D2490" t="s">
        <v>12894</v>
      </c>
      <c r="E2490" t="s">
        <v>20</v>
      </c>
      <c r="F2490" t="s">
        <v>78</v>
      </c>
      <c r="G2490" t="s">
        <v>731</v>
      </c>
      <c r="H2490" t="s">
        <v>38</v>
      </c>
      <c r="I2490" t="s">
        <v>223</v>
      </c>
      <c r="J2490" t="s">
        <v>25</v>
      </c>
      <c r="K2490" t="s">
        <v>12895</v>
      </c>
      <c r="L2490">
        <v>0.15</v>
      </c>
      <c r="M2490" t="s">
        <v>12896</v>
      </c>
      <c r="N2490" t="s">
        <v>12897</v>
      </c>
      <c r="O2490" t="s">
        <v>64</v>
      </c>
      <c r="P2490" t="s">
        <v>30</v>
      </c>
      <c r="Q2490" t="s">
        <v>44</v>
      </c>
      <c r="R2490" s="3">
        <v>4841.6594999999998</v>
      </c>
    </row>
    <row r="2491" spans="1:18" x14ac:dyDescent="0.3">
      <c r="A2491" t="s">
        <v>12898</v>
      </c>
      <c r="B2491" t="str">
        <f>TEXT(Raw_Data[[#This Row],[Order Date]],"mmm")</f>
        <v>May</v>
      </c>
      <c r="C2491" t="s">
        <v>2089</v>
      </c>
      <c r="D2491" t="s">
        <v>12899</v>
      </c>
      <c r="E2491" t="s">
        <v>48</v>
      </c>
      <c r="F2491" t="s">
        <v>89</v>
      </c>
      <c r="G2491" t="s">
        <v>230</v>
      </c>
      <c r="H2491" t="s">
        <v>23</v>
      </c>
      <c r="I2491" t="s">
        <v>263</v>
      </c>
      <c r="J2491" t="s">
        <v>25</v>
      </c>
      <c r="K2491" t="s">
        <v>12900</v>
      </c>
      <c r="L2491">
        <v>0.2</v>
      </c>
      <c r="M2491" t="s">
        <v>12901</v>
      </c>
      <c r="N2491" t="s">
        <v>12902</v>
      </c>
      <c r="O2491" t="s">
        <v>135</v>
      </c>
      <c r="P2491" t="s">
        <v>30</v>
      </c>
      <c r="Q2491" t="s">
        <v>31</v>
      </c>
      <c r="R2491" s="3">
        <v>44385.944000000003</v>
      </c>
    </row>
    <row r="2492" spans="1:18" x14ac:dyDescent="0.3">
      <c r="A2492" t="s">
        <v>12903</v>
      </c>
      <c r="B2492" t="str">
        <f>TEXT(Raw_Data[[#This Row],[Order Date]],"mmm")</f>
        <v>Mar</v>
      </c>
      <c r="C2492" t="s">
        <v>2731</v>
      </c>
      <c r="D2492" t="s">
        <v>12904</v>
      </c>
      <c r="E2492" t="s">
        <v>35</v>
      </c>
      <c r="F2492" t="s">
        <v>215</v>
      </c>
      <c r="G2492" t="s">
        <v>276</v>
      </c>
      <c r="H2492" t="s">
        <v>23</v>
      </c>
      <c r="I2492" t="s">
        <v>49</v>
      </c>
      <c r="J2492" t="s">
        <v>50</v>
      </c>
      <c r="K2492" t="s">
        <v>12905</v>
      </c>
      <c r="L2492">
        <v>0.05</v>
      </c>
      <c r="M2492" t="s">
        <v>12906</v>
      </c>
      <c r="N2492" t="s">
        <v>12907</v>
      </c>
      <c r="O2492" t="s">
        <v>54</v>
      </c>
      <c r="P2492" t="s">
        <v>30</v>
      </c>
      <c r="Q2492" t="s">
        <v>31</v>
      </c>
      <c r="R2492" s="3">
        <v>106273.973</v>
      </c>
    </row>
    <row r="2493" spans="1:18" x14ac:dyDescent="0.3">
      <c r="A2493" t="s">
        <v>12908</v>
      </c>
      <c r="B2493" t="str">
        <f>TEXT(Raw_Data[[#This Row],[Order Date]],"mmm")</f>
        <v>Dec</v>
      </c>
      <c r="C2493" t="s">
        <v>540</v>
      </c>
      <c r="D2493" t="s">
        <v>12909</v>
      </c>
      <c r="E2493" t="s">
        <v>20</v>
      </c>
      <c r="F2493" t="s">
        <v>78</v>
      </c>
      <c r="G2493" t="s">
        <v>79</v>
      </c>
      <c r="H2493" t="s">
        <v>80</v>
      </c>
      <c r="I2493" t="s">
        <v>131</v>
      </c>
      <c r="J2493" t="s">
        <v>25</v>
      </c>
      <c r="K2493" t="s">
        <v>12910</v>
      </c>
      <c r="L2493">
        <v>0.15</v>
      </c>
      <c r="M2493" t="s">
        <v>12911</v>
      </c>
      <c r="N2493" t="s">
        <v>12912</v>
      </c>
      <c r="O2493" t="s">
        <v>29</v>
      </c>
      <c r="P2493" t="s">
        <v>95</v>
      </c>
      <c r="Q2493" t="s">
        <v>44</v>
      </c>
      <c r="R2493" s="3">
        <v>1673.4289999999901</v>
      </c>
    </row>
    <row r="2494" spans="1:18" x14ac:dyDescent="0.3">
      <c r="A2494" t="s">
        <v>12913</v>
      </c>
      <c r="B2494" t="str">
        <f>TEXT(Raw_Data[[#This Row],[Order Date]],"mmm")</f>
        <v>Aug</v>
      </c>
      <c r="C2494" t="s">
        <v>1454</v>
      </c>
      <c r="D2494" t="s">
        <v>12914</v>
      </c>
      <c r="E2494" t="s">
        <v>35</v>
      </c>
      <c r="F2494" t="s">
        <v>215</v>
      </c>
      <c r="G2494" t="s">
        <v>276</v>
      </c>
      <c r="H2494" t="s">
        <v>23</v>
      </c>
      <c r="I2494" t="s">
        <v>24</v>
      </c>
      <c r="J2494" t="s">
        <v>25</v>
      </c>
      <c r="K2494" t="s">
        <v>12915</v>
      </c>
      <c r="L2494">
        <v>0.05</v>
      </c>
      <c r="M2494" t="s">
        <v>12916</v>
      </c>
      <c r="N2494" t="s">
        <v>12917</v>
      </c>
      <c r="O2494" t="s">
        <v>64</v>
      </c>
      <c r="P2494" t="s">
        <v>30</v>
      </c>
      <c r="Q2494" t="s">
        <v>65</v>
      </c>
      <c r="R2494" s="3">
        <v>2227.90199999999</v>
      </c>
    </row>
    <row r="2495" spans="1:18" x14ac:dyDescent="0.3">
      <c r="A2495" t="s">
        <v>12918</v>
      </c>
      <c r="B2495" t="str">
        <f>TEXT(Raw_Data[[#This Row],[Order Date]],"mmm")</f>
        <v>Apr</v>
      </c>
      <c r="C2495" t="s">
        <v>1448</v>
      </c>
      <c r="D2495" t="s">
        <v>12919</v>
      </c>
      <c r="E2495" t="s">
        <v>35</v>
      </c>
      <c r="F2495" t="s">
        <v>21</v>
      </c>
      <c r="G2495" t="s">
        <v>130</v>
      </c>
      <c r="H2495" t="s">
        <v>107</v>
      </c>
      <c r="I2495" t="s">
        <v>108</v>
      </c>
      <c r="J2495" t="s">
        <v>25</v>
      </c>
      <c r="K2495" t="s">
        <v>12920</v>
      </c>
      <c r="L2495">
        <v>0.1</v>
      </c>
      <c r="M2495" t="s">
        <v>12921</v>
      </c>
      <c r="N2495" t="s">
        <v>12922</v>
      </c>
      <c r="O2495" t="s">
        <v>43</v>
      </c>
      <c r="P2495" t="s">
        <v>30</v>
      </c>
      <c r="Q2495" t="s">
        <v>65</v>
      </c>
      <c r="R2495" s="3">
        <v>14231.268</v>
      </c>
    </row>
    <row r="2496" spans="1:18" x14ac:dyDescent="0.3">
      <c r="A2496" t="s">
        <v>12923</v>
      </c>
      <c r="B2496" t="str">
        <f>TEXT(Raw_Data[[#This Row],[Order Date]],"mmm")</f>
        <v>Nov</v>
      </c>
      <c r="C2496" t="s">
        <v>1775</v>
      </c>
      <c r="D2496" t="s">
        <v>12924</v>
      </c>
      <c r="E2496" t="s">
        <v>35</v>
      </c>
      <c r="F2496" t="s">
        <v>89</v>
      </c>
      <c r="G2496" t="s">
        <v>230</v>
      </c>
      <c r="H2496" t="s">
        <v>23</v>
      </c>
      <c r="I2496" t="s">
        <v>49</v>
      </c>
      <c r="J2496" t="s">
        <v>25</v>
      </c>
      <c r="K2496" t="s">
        <v>12925</v>
      </c>
      <c r="L2496">
        <v>0.05</v>
      </c>
      <c r="M2496" t="s">
        <v>12926</v>
      </c>
      <c r="N2496" t="s">
        <v>12927</v>
      </c>
      <c r="O2496" t="s">
        <v>173</v>
      </c>
      <c r="P2496" t="s">
        <v>30</v>
      </c>
      <c r="Q2496" t="s">
        <v>44</v>
      </c>
      <c r="R2496" s="3">
        <v>19354.701499999999</v>
      </c>
    </row>
    <row r="2497" spans="1:18" x14ac:dyDescent="0.3">
      <c r="A2497" t="s">
        <v>12928</v>
      </c>
      <c r="B2497" t="str">
        <f>TEXT(Raw_Data[[#This Row],[Order Date]],"mmm")</f>
        <v>Feb</v>
      </c>
      <c r="C2497" t="s">
        <v>3331</v>
      </c>
      <c r="D2497" t="s">
        <v>12929</v>
      </c>
      <c r="E2497" t="s">
        <v>35</v>
      </c>
      <c r="F2497" t="s">
        <v>36</v>
      </c>
      <c r="G2497" t="s">
        <v>123</v>
      </c>
      <c r="H2497" t="s">
        <v>154</v>
      </c>
      <c r="I2497" t="s">
        <v>1061</v>
      </c>
      <c r="J2497" t="s">
        <v>25</v>
      </c>
      <c r="K2497" t="s">
        <v>12930</v>
      </c>
      <c r="L2497">
        <v>0.05</v>
      </c>
      <c r="M2497" t="s">
        <v>12931</v>
      </c>
      <c r="N2497" t="s">
        <v>12932</v>
      </c>
      <c r="O2497" t="s">
        <v>29</v>
      </c>
      <c r="P2497" t="s">
        <v>159</v>
      </c>
      <c r="Q2497" t="s">
        <v>31</v>
      </c>
      <c r="R2497" s="3">
        <v>1771.0374999999999</v>
      </c>
    </row>
    <row r="2498" spans="1:18" x14ac:dyDescent="0.3">
      <c r="A2498" t="s">
        <v>12933</v>
      </c>
      <c r="B2498" t="str">
        <f>TEXT(Raw_Data[[#This Row],[Order Date]],"mmm")</f>
        <v>Jan</v>
      </c>
      <c r="C2498" t="s">
        <v>274</v>
      </c>
      <c r="D2498" t="s">
        <v>12934</v>
      </c>
      <c r="E2498" t="s">
        <v>48</v>
      </c>
      <c r="F2498" t="s">
        <v>106</v>
      </c>
      <c r="G2498" t="s">
        <v>106</v>
      </c>
      <c r="H2498" t="s">
        <v>80</v>
      </c>
      <c r="I2498" t="s">
        <v>91</v>
      </c>
      <c r="J2498" t="s">
        <v>50</v>
      </c>
      <c r="K2498" t="s">
        <v>12935</v>
      </c>
      <c r="L2498">
        <v>0.1</v>
      </c>
      <c r="M2498" t="s">
        <v>12936</v>
      </c>
      <c r="N2498" t="s">
        <v>12937</v>
      </c>
      <c r="O2498" t="s">
        <v>64</v>
      </c>
      <c r="P2498" t="s">
        <v>112</v>
      </c>
      <c r="Q2498" t="s">
        <v>65</v>
      </c>
      <c r="R2498" s="3">
        <v>10943.046</v>
      </c>
    </row>
    <row r="2499" spans="1:18" x14ac:dyDescent="0.3">
      <c r="A2499" t="s">
        <v>12938</v>
      </c>
      <c r="B2499" t="str">
        <f>TEXT(Raw_Data[[#This Row],[Order Date]],"mmm")</f>
        <v>Apr</v>
      </c>
      <c r="C2499" t="s">
        <v>804</v>
      </c>
      <c r="D2499" t="s">
        <v>12939</v>
      </c>
      <c r="E2499" t="s">
        <v>20</v>
      </c>
      <c r="F2499" t="s">
        <v>106</v>
      </c>
      <c r="G2499" t="s">
        <v>106</v>
      </c>
      <c r="H2499" t="s">
        <v>23</v>
      </c>
      <c r="I2499" t="s">
        <v>49</v>
      </c>
      <c r="J2499" t="s">
        <v>25</v>
      </c>
      <c r="K2499" t="s">
        <v>12940</v>
      </c>
      <c r="L2499">
        <v>0.1</v>
      </c>
      <c r="M2499" t="s">
        <v>12941</v>
      </c>
      <c r="N2499" t="s">
        <v>12942</v>
      </c>
      <c r="O2499" t="s">
        <v>29</v>
      </c>
      <c r="P2499" t="s">
        <v>30</v>
      </c>
      <c r="Q2499" t="s">
        <v>31</v>
      </c>
      <c r="R2499" s="3">
        <v>52807.446000000004</v>
      </c>
    </row>
    <row r="2500" spans="1:18" x14ac:dyDescent="0.3">
      <c r="A2500" t="s">
        <v>12943</v>
      </c>
      <c r="B2500" t="str">
        <f>TEXT(Raw_Data[[#This Row],[Order Date]],"mmm")</f>
        <v>Jul</v>
      </c>
      <c r="C2500" t="s">
        <v>3049</v>
      </c>
      <c r="D2500" t="s">
        <v>12944</v>
      </c>
      <c r="E2500" t="s">
        <v>35</v>
      </c>
      <c r="F2500" t="s">
        <v>78</v>
      </c>
      <c r="G2500" t="s">
        <v>79</v>
      </c>
      <c r="H2500" t="s">
        <v>23</v>
      </c>
      <c r="I2500" t="s">
        <v>183</v>
      </c>
      <c r="J2500" t="s">
        <v>50</v>
      </c>
      <c r="K2500" t="s">
        <v>12945</v>
      </c>
      <c r="L2500">
        <v>0.15</v>
      </c>
      <c r="M2500" t="s">
        <v>12946</v>
      </c>
      <c r="N2500" t="s">
        <v>12947</v>
      </c>
      <c r="O2500" t="s">
        <v>29</v>
      </c>
      <c r="P2500" t="s">
        <v>30</v>
      </c>
      <c r="Q2500" t="s">
        <v>65</v>
      </c>
      <c r="R2500" s="3">
        <v>111727.128</v>
      </c>
    </row>
    <row r="2501" spans="1:18" x14ac:dyDescent="0.3">
      <c r="A2501" t="s">
        <v>12948</v>
      </c>
      <c r="B2501" t="str">
        <f>TEXT(Raw_Data[[#This Row],[Order Date]],"mmm")</f>
        <v>Apr</v>
      </c>
      <c r="C2501" t="s">
        <v>4751</v>
      </c>
      <c r="D2501" t="s">
        <v>12949</v>
      </c>
      <c r="E2501" t="s">
        <v>35</v>
      </c>
      <c r="F2501" t="s">
        <v>215</v>
      </c>
      <c r="G2501" t="s">
        <v>276</v>
      </c>
      <c r="H2501" t="s">
        <v>154</v>
      </c>
      <c r="I2501" t="s">
        <v>1061</v>
      </c>
      <c r="J2501" t="s">
        <v>25</v>
      </c>
      <c r="K2501" t="s">
        <v>12950</v>
      </c>
      <c r="L2501">
        <v>0.1</v>
      </c>
      <c r="M2501" t="s">
        <v>12951</v>
      </c>
      <c r="N2501" t="s">
        <v>12952</v>
      </c>
      <c r="O2501" t="s">
        <v>54</v>
      </c>
      <c r="P2501" t="s">
        <v>30</v>
      </c>
      <c r="Q2501" t="s">
        <v>44</v>
      </c>
      <c r="R2501" s="3">
        <v>7787.6189999999997</v>
      </c>
    </row>
    <row r="2502" spans="1:18" x14ac:dyDescent="0.3">
      <c r="A2502" t="s">
        <v>12953</v>
      </c>
      <c r="B2502" t="str">
        <f>TEXT(Raw_Data[[#This Row],[Order Date]],"mmm")</f>
        <v>Mar</v>
      </c>
      <c r="C2502" t="s">
        <v>602</v>
      </c>
      <c r="D2502" t="s">
        <v>12954</v>
      </c>
      <c r="E2502" t="s">
        <v>48</v>
      </c>
      <c r="F2502" t="s">
        <v>21</v>
      </c>
      <c r="G2502" t="s">
        <v>130</v>
      </c>
      <c r="H2502" t="s">
        <v>80</v>
      </c>
      <c r="I2502" t="s">
        <v>81</v>
      </c>
      <c r="J2502" t="s">
        <v>25</v>
      </c>
      <c r="K2502" t="s">
        <v>12955</v>
      </c>
      <c r="L2502">
        <v>0.15</v>
      </c>
      <c r="M2502" t="s">
        <v>12956</v>
      </c>
      <c r="N2502" t="s">
        <v>12957</v>
      </c>
      <c r="O2502" t="s">
        <v>29</v>
      </c>
      <c r="P2502" t="s">
        <v>30</v>
      </c>
      <c r="Q2502" t="s">
        <v>65</v>
      </c>
      <c r="R2502" s="3">
        <v>2864.9675000000002</v>
      </c>
    </row>
    <row r="2503" spans="1:18" x14ac:dyDescent="0.3">
      <c r="A2503" t="s">
        <v>12958</v>
      </c>
      <c r="B2503" t="str">
        <f>TEXT(Raw_Data[[#This Row],[Order Date]],"mmm")</f>
        <v>Aug</v>
      </c>
      <c r="C2503" t="s">
        <v>971</v>
      </c>
      <c r="D2503" t="s">
        <v>12959</v>
      </c>
      <c r="E2503" t="s">
        <v>35</v>
      </c>
      <c r="F2503" t="s">
        <v>69</v>
      </c>
      <c r="G2503" t="s">
        <v>139</v>
      </c>
      <c r="H2503" t="s">
        <v>23</v>
      </c>
      <c r="I2503" t="s">
        <v>49</v>
      </c>
      <c r="J2503" t="s">
        <v>25</v>
      </c>
      <c r="K2503" t="s">
        <v>12960</v>
      </c>
      <c r="L2503">
        <v>0.1</v>
      </c>
      <c r="M2503" t="s">
        <v>12961</v>
      </c>
      <c r="N2503" t="s">
        <v>12962</v>
      </c>
      <c r="O2503" t="s">
        <v>135</v>
      </c>
      <c r="P2503" t="s">
        <v>30</v>
      </c>
      <c r="Q2503" t="s">
        <v>44</v>
      </c>
      <c r="R2503" s="3">
        <v>38129.237999999998</v>
      </c>
    </row>
    <row r="2504" spans="1:18" x14ac:dyDescent="0.3">
      <c r="A2504" t="s">
        <v>12963</v>
      </c>
      <c r="B2504" t="str">
        <f>TEXT(Raw_Data[[#This Row],[Order Date]],"mmm")</f>
        <v>Jan</v>
      </c>
      <c r="C2504" t="s">
        <v>18</v>
      </c>
      <c r="D2504" t="s">
        <v>12964</v>
      </c>
      <c r="E2504" t="s">
        <v>35</v>
      </c>
      <c r="F2504" t="s">
        <v>106</v>
      </c>
      <c r="G2504" t="s">
        <v>163</v>
      </c>
      <c r="H2504" t="s">
        <v>23</v>
      </c>
      <c r="I2504" t="s">
        <v>263</v>
      </c>
      <c r="J2504" t="s">
        <v>25</v>
      </c>
      <c r="K2504" t="s">
        <v>12965</v>
      </c>
      <c r="L2504">
        <v>0.15</v>
      </c>
      <c r="M2504" t="s">
        <v>12966</v>
      </c>
      <c r="N2504" t="s">
        <v>12967</v>
      </c>
      <c r="O2504" t="s">
        <v>64</v>
      </c>
      <c r="P2504" t="s">
        <v>95</v>
      </c>
      <c r="Q2504" t="s">
        <v>65</v>
      </c>
      <c r="R2504" s="3">
        <v>37060.586499999998</v>
      </c>
    </row>
    <row r="2505" spans="1:18" x14ac:dyDescent="0.3">
      <c r="A2505" t="s">
        <v>12968</v>
      </c>
      <c r="B2505" t="str">
        <f>TEXT(Raw_Data[[#This Row],[Order Date]],"mmm")</f>
        <v>Nov</v>
      </c>
      <c r="C2505" t="s">
        <v>1697</v>
      </c>
      <c r="D2505" t="s">
        <v>12969</v>
      </c>
      <c r="E2505" t="s">
        <v>48</v>
      </c>
      <c r="F2505" t="s">
        <v>58</v>
      </c>
      <c r="G2505" t="s">
        <v>812</v>
      </c>
      <c r="H2505" t="s">
        <v>154</v>
      </c>
      <c r="I2505" t="s">
        <v>365</v>
      </c>
      <c r="J2505" t="s">
        <v>25</v>
      </c>
      <c r="K2505" t="s">
        <v>12970</v>
      </c>
      <c r="L2505">
        <v>0.2</v>
      </c>
      <c r="M2505" t="s">
        <v>12971</v>
      </c>
      <c r="N2505" t="s">
        <v>12972</v>
      </c>
      <c r="O2505" t="s">
        <v>64</v>
      </c>
      <c r="P2505" t="s">
        <v>30</v>
      </c>
      <c r="Q2505" t="s">
        <v>31</v>
      </c>
      <c r="R2505" s="3">
        <v>4304.1760000000004</v>
      </c>
    </row>
    <row r="2506" spans="1:18" x14ac:dyDescent="0.3">
      <c r="A2506" t="s">
        <v>12973</v>
      </c>
      <c r="B2506" t="str">
        <f>TEXT(Raw_Data[[#This Row],[Order Date]],"mmm")</f>
        <v>May</v>
      </c>
      <c r="C2506" t="s">
        <v>2299</v>
      </c>
      <c r="D2506" t="s">
        <v>12974</v>
      </c>
      <c r="E2506" t="s">
        <v>35</v>
      </c>
      <c r="F2506" t="s">
        <v>36</v>
      </c>
      <c r="G2506" t="s">
        <v>153</v>
      </c>
      <c r="H2506" t="s">
        <v>154</v>
      </c>
      <c r="I2506" t="s">
        <v>1061</v>
      </c>
      <c r="J2506" t="s">
        <v>50</v>
      </c>
      <c r="K2506" t="s">
        <v>12975</v>
      </c>
      <c r="L2506">
        <v>0.1</v>
      </c>
      <c r="M2506" t="s">
        <v>12976</v>
      </c>
      <c r="N2506" t="s">
        <v>12977</v>
      </c>
      <c r="O2506" t="s">
        <v>173</v>
      </c>
      <c r="P2506" t="s">
        <v>112</v>
      </c>
      <c r="Q2506" t="s">
        <v>44</v>
      </c>
      <c r="R2506" s="3">
        <v>14052.023999999999</v>
      </c>
    </row>
    <row r="2507" spans="1:18" x14ac:dyDescent="0.3">
      <c r="A2507" t="s">
        <v>12978</v>
      </c>
      <c r="B2507" t="str">
        <f>TEXT(Raw_Data[[#This Row],[Order Date]],"mmm")</f>
        <v>Jul</v>
      </c>
      <c r="C2507" t="s">
        <v>333</v>
      </c>
      <c r="D2507" t="s">
        <v>12979</v>
      </c>
      <c r="E2507" t="s">
        <v>48</v>
      </c>
      <c r="F2507" t="s">
        <v>78</v>
      </c>
      <c r="G2507" t="s">
        <v>468</v>
      </c>
      <c r="H2507" t="s">
        <v>23</v>
      </c>
      <c r="I2507" t="s">
        <v>49</v>
      </c>
      <c r="J2507" t="s">
        <v>25</v>
      </c>
      <c r="K2507" t="s">
        <v>12980</v>
      </c>
      <c r="L2507">
        <v>0</v>
      </c>
      <c r="M2507" t="s">
        <v>12981</v>
      </c>
      <c r="N2507" t="s">
        <v>12982</v>
      </c>
      <c r="O2507" t="s">
        <v>54</v>
      </c>
      <c r="P2507" t="s">
        <v>112</v>
      </c>
      <c r="Q2507" t="s">
        <v>65</v>
      </c>
      <c r="R2507" s="3">
        <v>14618.1</v>
      </c>
    </row>
    <row r="2508" spans="1:18" x14ac:dyDescent="0.3">
      <c r="A2508" t="s">
        <v>12983</v>
      </c>
      <c r="B2508" t="str">
        <f>TEXT(Raw_Data[[#This Row],[Order Date]],"mmm")</f>
        <v>Nov</v>
      </c>
      <c r="C2508" t="s">
        <v>657</v>
      </c>
      <c r="D2508" t="s">
        <v>12984</v>
      </c>
      <c r="E2508" t="s">
        <v>20</v>
      </c>
      <c r="F2508" t="s">
        <v>58</v>
      </c>
      <c r="G2508" t="s">
        <v>59</v>
      </c>
      <c r="H2508" t="s">
        <v>154</v>
      </c>
      <c r="I2508" t="s">
        <v>155</v>
      </c>
      <c r="J2508" t="s">
        <v>25</v>
      </c>
      <c r="K2508" t="s">
        <v>12985</v>
      </c>
      <c r="L2508">
        <v>0.15</v>
      </c>
      <c r="M2508" t="s">
        <v>12986</v>
      </c>
      <c r="N2508" t="s">
        <v>12987</v>
      </c>
      <c r="O2508" t="s">
        <v>43</v>
      </c>
      <c r="P2508" t="s">
        <v>30</v>
      </c>
      <c r="Q2508" t="s">
        <v>65</v>
      </c>
      <c r="R2508" s="3">
        <v>3756.7959999999998</v>
      </c>
    </row>
    <row r="2509" spans="1:18" x14ac:dyDescent="0.3">
      <c r="A2509" t="s">
        <v>12988</v>
      </c>
      <c r="B2509" t="str">
        <f>TEXT(Raw_Data[[#This Row],[Order Date]],"mmm")</f>
        <v>Feb</v>
      </c>
      <c r="C2509" t="s">
        <v>942</v>
      </c>
      <c r="D2509" t="s">
        <v>12989</v>
      </c>
      <c r="E2509" t="s">
        <v>48</v>
      </c>
      <c r="F2509" t="s">
        <v>78</v>
      </c>
      <c r="G2509" t="s">
        <v>468</v>
      </c>
      <c r="H2509" t="s">
        <v>23</v>
      </c>
      <c r="I2509" t="s">
        <v>24</v>
      </c>
      <c r="J2509" t="s">
        <v>25</v>
      </c>
      <c r="K2509" t="s">
        <v>12990</v>
      </c>
      <c r="L2509">
        <v>0.15</v>
      </c>
      <c r="M2509" t="s">
        <v>12991</v>
      </c>
      <c r="N2509" t="s">
        <v>12992</v>
      </c>
      <c r="O2509" t="s">
        <v>54</v>
      </c>
      <c r="P2509" t="s">
        <v>159</v>
      </c>
      <c r="Q2509" t="s">
        <v>65</v>
      </c>
      <c r="R2509" s="3">
        <v>40729.084499999997</v>
      </c>
    </row>
    <row r="2510" spans="1:18" x14ac:dyDescent="0.3">
      <c r="A2510" t="s">
        <v>12993</v>
      </c>
      <c r="B2510" t="str">
        <f>TEXT(Raw_Data[[#This Row],[Order Date]],"mmm")</f>
        <v>Oct</v>
      </c>
      <c r="C2510" t="s">
        <v>828</v>
      </c>
      <c r="D2510" t="s">
        <v>12994</v>
      </c>
      <c r="E2510" t="s">
        <v>35</v>
      </c>
      <c r="F2510" t="s">
        <v>58</v>
      </c>
      <c r="G2510" t="s">
        <v>290</v>
      </c>
      <c r="H2510" t="s">
        <v>23</v>
      </c>
      <c r="I2510" t="s">
        <v>263</v>
      </c>
      <c r="J2510" t="s">
        <v>25</v>
      </c>
      <c r="K2510" t="s">
        <v>12995</v>
      </c>
      <c r="L2510">
        <v>0.05</v>
      </c>
      <c r="M2510" t="s">
        <v>12996</v>
      </c>
      <c r="N2510" t="s">
        <v>12997</v>
      </c>
      <c r="O2510" t="s">
        <v>54</v>
      </c>
      <c r="P2510" t="s">
        <v>30</v>
      </c>
      <c r="Q2510" t="s">
        <v>31</v>
      </c>
      <c r="R2510" s="3">
        <v>5493.3179999999902</v>
      </c>
    </row>
    <row r="2511" spans="1:18" x14ac:dyDescent="0.3">
      <c r="A2511" t="s">
        <v>12998</v>
      </c>
      <c r="B2511" t="str">
        <f>TEXT(Raw_Data[[#This Row],[Order Date]],"mmm")</f>
        <v>Oct</v>
      </c>
      <c r="C2511" t="s">
        <v>474</v>
      </c>
      <c r="D2511" t="s">
        <v>12999</v>
      </c>
      <c r="E2511" t="s">
        <v>20</v>
      </c>
      <c r="F2511" t="s">
        <v>106</v>
      </c>
      <c r="G2511" t="s">
        <v>106</v>
      </c>
      <c r="H2511" t="s">
        <v>107</v>
      </c>
      <c r="I2511" t="s">
        <v>469</v>
      </c>
      <c r="J2511" t="s">
        <v>82</v>
      </c>
      <c r="K2511" t="s">
        <v>13000</v>
      </c>
      <c r="L2511">
        <v>0.05</v>
      </c>
      <c r="M2511" t="s">
        <v>13001</v>
      </c>
      <c r="N2511" t="s">
        <v>13002</v>
      </c>
      <c r="O2511" t="s">
        <v>54</v>
      </c>
      <c r="P2511" t="s">
        <v>30</v>
      </c>
      <c r="Q2511" t="s">
        <v>44</v>
      </c>
      <c r="R2511" s="3">
        <v>60231.823999999899</v>
      </c>
    </row>
    <row r="2512" spans="1:18" x14ac:dyDescent="0.3">
      <c r="A2512" t="s">
        <v>13003</v>
      </c>
      <c r="B2512" t="str">
        <f>TEXT(Raw_Data[[#This Row],[Order Date]],"mmm")</f>
        <v>Nov</v>
      </c>
      <c r="C2512" t="s">
        <v>1198</v>
      </c>
      <c r="D2512" t="s">
        <v>13004</v>
      </c>
      <c r="E2512" t="s">
        <v>48</v>
      </c>
      <c r="F2512" t="s">
        <v>58</v>
      </c>
      <c r="G2512" t="s">
        <v>59</v>
      </c>
      <c r="H2512" t="s">
        <v>23</v>
      </c>
      <c r="I2512" t="s">
        <v>183</v>
      </c>
      <c r="J2512" t="s">
        <v>25</v>
      </c>
      <c r="K2512" t="s">
        <v>13005</v>
      </c>
      <c r="L2512">
        <v>0.05</v>
      </c>
      <c r="M2512" t="s">
        <v>13006</v>
      </c>
      <c r="N2512" t="s">
        <v>13007</v>
      </c>
      <c r="O2512" t="s">
        <v>54</v>
      </c>
      <c r="P2512" t="s">
        <v>112</v>
      </c>
      <c r="Q2512" t="s">
        <v>31</v>
      </c>
      <c r="R2512" s="3">
        <v>38838.004499999901</v>
      </c>
    </row>
    <row r="2513" spans="1:18" x14ac:dyDescent="0.3">
      <c r="A2513" t="s">
        <v>13008</v>
      </c>
      <c r="B2513" t="str">
        <f>TEXT(Raw_Data[[#This Row],[Order Date]],"mmm")</f>
        <v>Sep</v>
      </c>
      <c r="C2513" t="s">
        <v>4639</v>
      </c>
      <c r="D2513" t="s">
        <v>13009</v>
      </c>
      <c r="E2513" t="s">
        <v>20</v>
      </c>
      <c r="F2513" t="s">
        <v>21</v>
      </c>
      <c r="G2513" t="s">
        <v>22</v>
      </c>
      <c r="H2513" t="s">
        <v>23</v>
      </c>
      <c r="I2513" t="s">
        <v>183</v>
      </c>
      <c r="J2513" t="s">
        <v>100</v>
      </c>
      <c r="K2513" t="s">
        <v>13010</v>
      </c>
      <c r="L2513">
        <v>0.2</v>
      </c>
      <c r="M2513" t="s">
        <v>13011</v>
      </c>
      <c r="N2513" t="s">
        <v>13012</v>
      </c>
      <c r="O2513" t="s">
        <v>173</v>
      </c>
      <c r="P2513" t="s">
        <v>30</v>
      </c>
      <c r="Q2513" t="s">
        <v>31</v>
      </c>
      <c r="R2513" s="3">
        <v>34675.608</v>
      </c>
    </row>
    <row r="2514" spans="1:18" x14ac:dyDescent="0.3">
      <c r="A2514" t="s">
        <v>13013</v>
      </c>
      <c r="B2514" t="str">
        <f>TEXT(Raw_Data[[#This Row],[Order Date]],"mmm")</f>
        <v>Dec</v>
      </c>
      <c r="C2514" t="s">
        <v>9203</v>
      </c>
      <c r="D2514" t="s">
        <v>13014</v>
      </c>
      <c r="E2514" t="s">
        <v>48</v>
      </c>
      <c r="F2514" t="s">
        <v>21</v>
      </c>
      <c r="G2514" t="s">
        <v>22</v>
      </c>
      <c r="H2514" t="s">
        <v>80</v>
      </c>
      <c r="I2514" t="s">
        <v>81</v>
      </c>
      <c r="J2514" t="s">
        <v>100</v>
      </c>
      <c r="K2514" t="s">
        <v>13015</v>
      </c>
      <c r="L2514">
        <v>0.05</v>
      </c>
      <c r="M2514" t="s">
        <v>13016</v>
      </c>
      <c r="N2514" t="s">
        <v>13017</v>
      </c>
      <c r="O2514" t="s">
        <v>173</v>
      </c>
      <c r="P2514" t="s">
        <v>30</v>
      </c>
      <c r="Q2514" t="s">
        <v>31</v>
      </c>
      <c r="R2514" s="3">
        <v>10058.8754999999</v>
      </c>
    </row>
    <row r="2515" spans="1:18" x14ac:dyDescent="0.3">
      <c r="A2515" t="s">
        <v>13018</v>
      </c>
      <c r="B2515" t="str">
        <f>TEXT(Raw_Data[[#This Row],[Order Date]],"mmm")</f>
        <v>Aug</v>
      </c>
      <c r="C2515" t="s">
        <v>1454</v>
      </c>
      <c r="D2515" t="s">
        <v>13019</v>
      </c>
      <c r="E2515" t="s">
        <v>48</v>
      </c>
      <c r="F2515" t="s">
        <v>106</v>
      </c>
      <c r="G2515" t="s">
        <v>106</v>
      </c>
      <c r="H2515" t="s">
        <v>23</v>
      </c>
      <c r="I2515" t="s">
        <v>49</v>
      </c>
      <c r="J2515" t="s">
        <v>25</v>
      </c>
      <c r="K2515" t="s">
        <v>13020</v>
      </c>
      <c r="L2515">
        <v>0.1</v>
      </c>
      <c r="M2515" t="s">
        <v>13021</v>
      </c>
      <c r="N2515" t="s">
        <v>13022</v>
      </c>
      <c r="O2515" t="s">
        <v>43</v>
      </c>
      <c r="P2515" t="s">
        <v>159</v>
      </c>
      <c r="Q2515" t="s">
        <v>31</v>
      </c>
      <c r="R2515" s="3">
        <v>1196.6759999999999</v>
      </c>
    </row>
    <row r="2516" spans="1:18" x14ac:dyDescent="0.3">
      <c r="A2516" t="s">
        <v>13023</v>
      </c>
      <c r="B2516" t="str">
        <f>TEXT(Raw_Data[[#This Row],[Order Date]],"mmm")</f>
        <v>Nov</v>
      </c>
      <c r="C2516" t="s">
        <v>4633</v>
      </c>
      <c r="D2516" t="s">
        <v>13024</v>
      </c>
      <c r="E2516" t="s">
        <v>20</v>
      </c>
      <c r="F2516" t="s">
        <v>21</v>
      </c>
      <c r="G2516" t="s">
        <v>130</v>
      </c>
      <c r="H2516" t="s">
        <v>80</v>
      </c>
      <c r="I2516" t="s">
        <v>91</v>
      </c>
      <c r="J2516" t="s">
        <v>25</v>
      </c>
      <c r="K2516" t="s">
        <v>13025</v>
      </c>
      <c r="L2516">
        <v>0.1</v>
      </c>
      <c r="M2516" t="s">
        <v>13026</v>
      </c>
      <c r="N2516" t="s">
        <v>13027</v>
      </c>
      <c r="O2516" t="s">
        <v>135</v>
      </c>
      <c r="P2516" t="s">
        <v>159</v>
      </c>
      <c r="Q2516" t="s">
        <v>44</v>
      </c>
      <c r="R2516" s="3">
        <v>4036.239</v>
      </c>
    </row>
    <row r="2517" spans="1:18" x14ac:dyDescent="0.3">
      <c r="A2517" t="s">
        <v>13028</v>
      </c>
      <c r="B2517" t="str">
        <f>TEXT(Raw_Data[[#This Row],[Order Date]],"mmm")</f>
        <v>Jul</v>
      </c>
      <c r="C2517" t="s">
        <v>9717</v>
      </c>
      <c r="D2517" t="s">
        <v>13029</v>
      </c>
      <c r="E2517" t="s">
        <v>48</v>
      </c>
      <c r="F2517" t="s">
        <v>58</v>
      </c>
      <c r="G2517" t="s">
        <v>812</v>
      </c>
      <c r="H2517" t="s">
        <v>154</v>
      </c>
      <c r="I2517" t="s">
        <v>1061</v>
      </c>
      <c r="J2517" t="s">
        <v>25</v>
      </c>
      <c r="K2517" t="s">
        <v>13030</v>
      </c>
      <c r="L2517">
        <v>0.05</v>
      </c>
      <c r="M2517" t="s">
        <v>13031</v>
      </c>
      <c r="N2517" t="s">
        <v>13032</v>
      </c>
      <c r="O2517" t="s">
        <v>173</v>
      </c>
      <c r="P2517" t="s">
        <v>159</v>
      </c>
      <c r="Q2517" t="s">
        <v>31</v>
      </c>
      <c r="R2517" s="3">
        <v>1090.3815</v>
      </c>
    </row>
    <row r="2518" spans="1:18" x14ac:dyDescent="0.3">
      <c r="A2518" t="s">
        <v>13033</v>
      </c>
      <c r="B2518" t="str">
        <f>TEXT(Raw_Data[[#This Row],[Order Date]],"mmm")</f>
        <v>May</v>
      </c>
      <c r="C2518" t="s">
        <v>874</v>
      </c>
      <c r="D2518" t="s">
        <v>13034</v>
      </c>
      <c r="E2518" t="s">
        <v>20</v>
      </c>
      <c r="F2518" t="s">
        <v>215</v>
      </c>
      <c r="G2518" t="s">
        <v>216</v>
      </c>
      <c r="H2518" t="s">
        <v>154</v>
      </c>
      <c r="I2518" t="s">
        <v>1061</v>
      </c>
      <c r="J2518" t="s">
        <v>100</v>
      </c>
      <c r="K2518" t="s">
        <v>13035</v>
      </c>
      <c r="L2518">
        <v>0.15</v>
      </c>
      <c r="M2518" t="s">
        <v>13036</v>
      </c>
      <c r="N2518" t="s">
        <v>13037</v>
      </c>
      <c r="O2518" t="s">
        <v>173</v>
      </c>
      <c r="P2518" t="s">
        <v>112</v>
      </c>
      <c r="Q2518" t="s">
        <v>44</v>
      </c>
      <c r="R2518" s="3">
        <v>21449.299500000001</v>
      </c>
    </row>
    <row r="2519" spans="1:18" x14ac:dyDescent="0.3">
      <c r="A2519" t="s">
        <v>13038</v>
      </c>
      <c r="B2519" t="str">
        <f>TEXT(Raw_Data[[#This Row],[Order Date]],"mmm")</f>
        <v>Feb</v>
      </c>
      <c r="C2519" t="s">
        <v>4592</v>
      </c>
      <c r="D2519" t="s">
        <v>13039</v>
      </c>
      <c r="E2519" t="s">
        <v>35</v>
      </c>
      <c r="F2519" t="s">
        <v>78</v>
      </c>
      <c r="G2519" t="s">
        <v>731</v>
      </c>
      <c r="H2519" t="s">
        <v>107</v>
      </c>
      <c r="I2519" t="s">
        <v>108</v>
      </c>
      <c r="J2519" t="s">
        <v>25</v>
      </c>
      <c r="K2519" t="s">
        <v>13040</v>
      </c>
      <c r="L2519">
        <v>0.15</v>
      </c>
      <c r="M2519" t="s">
        <v>13041</v>
      </c>
      <c r="N2519" t="s">
        <v>13042</v>
      </c>
      <c r="O2519" t="s">
        <v>43</v>
      </c>
      <c r="P2519" t="s">
        <v>30</v>
      </c>
      <c r="Q2519" t="s">
        <v>65</v>
      </c>
      <c r="R2519" s="3">
        <v>14608.014999999999</v>
      </c>
    </row>
    <row r="2520" spans="1:18" x14ac:dyDescent="0.3">
      <c r="A2520" t="s">
        <v>13043</v>
      </c>
      <c r="B2520" t="str">
        <f>TEXT(Raw_Data[[#This Row],[Order Date]],"mmm")</f>
        <v>Jul</v>
      </c>
      <c r="C2520" t="s">
        <v>2305</v>
      </c>
      <c r="D2520" t="s">
        <v>13044</v>
      </c>
      <c r="E2520" t="s">
        <v>20</v>
      </c>
      <c r="F2520" t="s">
        <v>106</v>
      </c>
      <c r="G2520" t="s">
        <v>106</v>
      </c>
      <c r="H2520" t="s">
        <v>80</v>
      </c>
      <c r="I2520" t="s">
        <v>91</v>
      </c>
      <c r="J2520" t="s">
        <v>50</v>
      </c>
      <c r="K2520" t="s">
        <v>13045</v>
      </c>
      <c r="L2520">
        <v>0.1</v>
      </c>
      <c r="M2520" t="s">
        <v>13046</v>
      </c>
      <c r="N2520" t="s">
        <v>13047</v>
      </c>
      <c r="O2520" t="s">
        <v>29</v>
      </c>
      <c r="P2520" t="s">
        <v>30</v>
      </c>
      <c r="Q2520" t="s">
        <v>44</v>
      </c>
      <c r="R2520" s="3">
        <v>829.69200000000001</v>
      </c>
    </row>
    <row r="2521" spans="1:18" x14ac:dyDescent="0.3">
      <c r="A2521" t="s">
        <v>13048</v>
      </c>
      <c r="B2521" t="str">
        <f>TEXT(Raw_Data[[#This Row],[Order Date]],"mmm")</f>
        <v>Aug</v>
      </c>
      <c r="C2521" t="s">
        <v>4422</v>
      </c>
      <c r="D2521" t="s">
        <v>13049</v>
      </c>
      <c r="E2521" t="s">
        <v>20</v>
      </c>
      <c r="F2521" t="s">
        <v>69</v>
      </c>
      <c r="G2521" t="s">
        <v>70</v>
      </c>
      <c r="H2521" t="s">
        <v>80</v>
      </c>
      <c r="I2521" t="s">
        <v>91</v>
      </c>
      <c r="J2521" t="s">
        <v>50</v>
      </c>
      <c r="K2521" t="s">
        <v>13050</v>
      </c>
      <c r="L2521">
        <v>0.05</v>
      </c>
      <c r="M2521" t="s">
        <v>13051</v>
      </c>
      <c r="N2521" t="s">
        <v>13052</v>
      </c>
      <c r="O2521" t="s">
        <v>29</v>
      </c>
      <c r="P2521" t="s">
        <v>30</v>
      </c>
      <c r="Q2521" t="s">
        <v>31</v>
      </c>
      <c r="R2521" s="3">
        <v>8394.7129999999997</v>
      </c>
    </row>
    <row r="2522" spans="1:18" x14ac:dyDescent="0.3">
      <c r="A2522" t="s">
        <v>13053</v>
      </c>
      <c r="B2522" t="str">
        <f>TEXT(Raw_Data[[#This Row],[Order Date]],"mmm")</f>
        <v>Dec</v>
      </c>
      <c r="C2522" t="s">
        <v>3003</v>
      </c>
      <c r="D2522" t="s">
        <v>13054</v>
      </c>
      <c r="E2522" t="s">
        <v>48</v>
      </c>
      <c r="F2522" t="s">
        <v>106</v>
      </c>
      <c r="G2522" t="s">
        <v>163</v>
      </c>
      <c r="H2522" t="s">
        <v>107</v>
      </c>
      <c r="I2522" t="s">
        <v>277</v>
      </c>
      <c r="J2522" t="s">
        <v>50</v>
      </c>
      <c r="K2522" t="s">
        <v>13055</v>
      </c>
      <c r="L2522">
        <v>0.1</v>
      </c>
      <c r="M2522" t="s">
        <v>13056</v>
      </c>
      <c r="N2522" t="s">
        <v>13057</v>
      </c>
      <c r="O2522" t="s">
        <v>64</v>
      </c>
      <c r="P2522" t="s">
        <v>30</v>
      </c>
      <c r="Q2522" t="s">
        <v>44</v>
      </c>
      <c r="R2522" s="3">
        <v>19413.288</v>
      </c>
    </row>
    <row r="2523" spans="1:18" x14ac:dyDescent="0.3">
      <c r="A2523" t="s">
        <v>13058</v>
      </c>
      <c r="B2523" t="str">
        <f>TEXT(Raw_Data[[#This Row],[Order Date]],"mmm")</f>
        <v>Sep</v>
      </c>
      <c r="C2523" t="s">
        <v>1539</v>
      </c>
      <c r="D2523" t="s">
        <v>13059</v>
      </c>
      <c r="E2523" t="s">
        <v>35</v>
      </c>
      <c r="F2523" t="s">
        <v>89</v>
      </c>
      <c r="G2523" t="s">
        <v>230</v>
      </c>
      <c r="H2523" t="s">
        <v>23</v>
      </c>
      <c r="I2523" t="s">
        <v>341</v>
      </c>
      <c r="J2523" t="s">
        <v>25</v>
      </c>
      <c r="K2523" t="s">
        <v>13060</v>
      </c>
      <c r="L2523">
        <v>0.1</v>
      </c>
      <c r="M2523" t="s">
        <v>13061</v>
      </c>
      <c r="N2523" t="s">
        <v>13062</v>
      </c>
      <c r="O2523" t="s">
        <v>54</v>
      </c>
      <c r="P2523" t="s">
        <v>30</v>
      </c>
      <c r="Q2523" t="s">
        <v>65</v>
      </c>
      <c r="R2523" s="3">
        <v>54206.703000000001</v>
      </c>
    </row>
    <row r="2524" spans="1:18" x14ac:dyDescent="0.3">
      <c r="A2524" t="s">
        <v>13063</v>
      </c>
      <c r="B2524" t="str">
        <f>TEXT(Raw_Data[[#This Row],[Order Date]],"mmm")</f>
        <v>Apr</v>
      </c>
      <c r="C2524" t="s">
        <v>902</v>
      </c>
      <c r="D2524" t="s">
        <v>13064</v>
      </c>
      <c r="E2524" t="s">
        <v>35</v>
      </c>
      <c r="F2524" t="s">
        <v>215</v>
      </c>
      <c r="G2524" t="s">
        <v>276</v>
      </c>
      <c r="H2524" t="s">
        <v>38</v>
      </c>
      <c r="I2524" t="s">
        <v>256</v>
      </c>
      <c r="J2524" t="s">
        <v>82</v>
      </c>
      <c r="K2524" t="s">
        <v>13065</v>
      </c>
      <c r="L2524">
        <v>0.1</v>
      </c>
      <c r="M2524" t="s">
        <v>13066</v>
      </c>
      <c r="N2524" t="s">
        <v>13067</v>
      </c>
      <c r="O2524" t="s">
        <v>173</v>
      </c>
      <c r="P2524" t="s">
        <v>30</v>
      </c>
      <c r="Q2524" t="s">
        <v>44</v>
      </c>
      <c r="R2524" s="3">
        <v>15125.039999999901</v>
      </c>
    </row>
    <row r="2525" spans="1:18" x14ac:dyDescent="0.3">
      <c r="A2525" t="s">
        <v>13068</v>
      </c>
      <c r="B2525" t="str">
        <f>TEXT(Raw_Data[[#This Row],[Order Date]],"mmm")</f>
        <v>Jul</v>
      </c>
      <c r="C2525" t="s">
        <v>3354</v>
      </c>
      <c r="D2525" t="s">
        <v>13069</v>
      </c>
      <c r="E2525" t="s">
        <v>48</v>
      </c>
      <c r="F2525" t="s">
        <v>89</v>
      </c>
      <c r="G2525" t="s">
        <v>99</v>
      </c>
      <c r="H2525" t="s">
        <v>107</v>
      </c>
      <c r="I2525" t="s">
        <v>591</v>
      </c>
      <c r="J2525" t="s">
        <v>25</v>
      </c>
      <c r="K2525" t="s">
        <v>13070</v>
      </c>
      <c r="L2525">
        <v>0.05</v>
      </c>
      <c r="M2525" t="s">
        <v>13071</v>
      </c>
      <c r="N2525" t="s">
        <v>13072</v>
      </c>
      <c r="O2525" t="s">
        <v>64</v>
      </c>
      <c r="P2525" t="s">
        <v>30</v>
      </c>
      <c r="Q2525" t="s">
        <v>31</v>
      </c>
      <c r="R2525" s="3">
        <v>14677.9559999999</v>
      </c>
    </row>
    <row r="2526" spans="1:18" x14ac:dyDescent="0.3">
      <c r="A2526" t="s">
        <v>13073</v>
      </c>
      <c r="B2526" t="str">
        <f>TEXT(Raw_Data[[#This Row],[Order Date]],"mmm")</f>
        <v>Apr</v>
      </c>
      <c r="C2526" t="s">
        <v>902</v>
      </c>
      <c r="D2526" t="s">
        <v>13074</v>
      </c>
      <c r="E2526" t="s">
        <v>20</v>
      </c>
      <c r="F2526" t="s">
        <v>89</v>
      </c>
      <c r="G2526" t="s">
        <v>99</v>
      </c>
      <c r="H2526" t="s">
        <v>107</v>
      </c>
      <c r="I2526" t="s">
        <v>469</v>
      </c>
      <c r="J2526" t="s">
        <v>25</v>
      </c>
      <c r="K2526" t="s">
        <v>13075</v>
      </c>
      <c r="L2526">
        <v>0</v>
      </c>
      <c r="M2526" t="s">
        <v>13076</v>
      </c>
      <c r="N2526" t="s">
        <v>13077</v>
      </c>
      <c r="O2526" t="s">
        <v>54</v>
      </c>
      <c r="P2526" t="s">
        <v>30</v>
      </c>
      <c r="Q2526" t="s">
        <v>31</v>
      </c>
      <c r="R2526" s="3">
        <v>10356.790000000001</v>
      </c>
    </row>
    <row r="2527" spans="1:18" x14ac:dyDescent="0.3">
      <c r="A2527" t="s">
        <v>13078</v>
      </c>
      <c r="B2527" t="str">
        <f>TEXT(Raw_Data[[#This Row],[Order Date]],"mmm")</f>
        <v>Sep</v>
      </c>
      <c r="C2527" t="s">
        <v>4782</v>
      </c>
      <c r="D2527" t="s">
        <v>13079</v>
      </c>
      <c r="E2527" t="s">
        <v>48</v>
      </c>
      <c r="F2527" t="s">
        <v>58</v>
      </c>
      <c r="G2527" t="s">
        <v>59</v>
      </c>
      <c r="H2527" t="s">
        <v>80</v>
      </c>
      <c r="I2527" t="s">
        <v>91</v>
      </c>
      <c r="J2527" t="s">
        <v>25</v>
      </c>
      <c r="K2527" t="s">
        <v>13080</v>
      </c>
      <c r="L2527">
        <v>0.1</v>
      </c>
      <c r="M2527" t="s">
        <v>13081</v>
      </c>
      <c r="N2527" t="s">
        <v>13082</v>
      </c>
      <c r="O2527" t="s">
        <v>64</v>
      </c>
      <c r="P2527" t="s">
        <v>30</v>
      </c>
      <c r="Q2527" t="s">
        <v>44</v>
      </c>
      <c r="R2527" s="3">
        <v>2111.913</v>
      </c>
    </row>
    <row r="2528" spans="1:18" x14ac:dyDescent="0.3">
      <c r="A2528" t="s">
        <v>13083</v>
      </c>
      <c r="B2528" t="str">
        <f>TEXT(Raw_Data[[#This Row],[Order Date]],"mmm")</f>
        <v>Jun</v>
      </c>
      <c r="C2528" t="s">
        <v>370</v>
      </c>
      <c r="D2528" t="s">
        <v>13084</v>
      </c>
      <c r="E2528" t="s">
        <v>35</v>
      </c>
      <c r="F2528" t="s">
        <v>215</v>
      </c>
      <c r="G2528" t="s">
        <v>216</v>
      </c>
      <c r="H2528" t="s">
        <v>107</v>
      </c>
      <c r="I2528" t="s">
        <v>378</v>
      </c>
      <c r="J2528" t="s">
        <v>25</v>
      </c>
      <c r="K2528" t="s">
        <v>13085</v>
      </c>
      <c r="L2528">
        <v>0.05</v>
      </c>
      <c r="M2528" t="s">
        <v>13086</v>
      </c>
      <c r="N2528" t="s">
        <v>13087</v>
      </c>
      <c r="O2528" t="s">
        <v>54</v>
      </c>
      <c r="P2528" t="s">
        <v>1762</v>
      </c>
      <c r="Q2528" t="s">
        <v>44</v>
      </c>
      <c r="R2528" s="3">
        <v>16530.978499999899</v>
      </c>
    </row>
    <row r="2529" spans="1:18" x14ac:dyDescent="0.3">
      <c r="A2529" t="s">
        <v>13088</v>
      </c>
      <c r="B2529" t="str">
        <f>TEXT(Raw_Data[[#This Row],[Order Date]],"mmm")</f>
        <v>Apr</v>
      </c>
      <c r="C2529" t="s">
        <v>2101</v>
      </c>
      <c r="D2529" t="s">
        <v>13089</v>
      </c>
      <c r="E2529" t="s">
        <v>20</v>
      </c>
      <c r="F2529" t="s">
        <v>36</v>
      </c>
      <c r="G2529" t="s">
        <v>123</v>
      </c>
      <c r="H2529" t="s">
        <v>23</v>
      </c>
      <c r="I2529" t="s">
        <v>263</v>
      </c>
      <c r="J2529" t="s">
        <v>25</v>
      </c>
      <c r="K2529" t="s">
        <v>13090</v>
      </c>
      <c r="L2529">
        <v>0.05</v>
      </c>
      <c r="M2529" t="s">
        <v>13091</v>
      </c>
      <c r="N2529" t="s">
        <v>13092</v>
      </c>
      <c r="O2529" t="s">
        <v>43</v>
      </c>
      <c r="P2529" t="s">
        <v>30</v>
      </c>
      <c r="Q2529" t="s">
        <v>44</v>
      </c>
      <c r="R2529" s="3">
        <v>17644.368999999999</v>
      </c>
    </row>
    <row r="2530" spans="1:18" x14ac:dyDescent="0.3">
      <c r="A2530" t="s">
        <v>13093</v>
      </c>
      <c r="B2530" t="str">
        <f>TEXT(Raw_Data[[#This Row],[Order Date]],"mmm")</f>
        <v>Jun</v>
      </c>
      <c r="C2530" t="s">
        <v>2758</v>
      </c>
      <c r="D2530" t="s">
        <v>13094</v>
      </c>
      <c r="E2530" t="s">
        <v>48</v>
      </c>
      <c r="F2530" t="s">
        <v>215</v>
      </c>
      <c r="G2530" t="s">
        <v>216</v>
      </c>
      <c r="H2530" t="s">
        <v>80</v>
      </c>
      <c r="I2530" t="s">
        <v>81</v>
      </c>
      <c r="J2530" t="s">
        <v>25</v>
      </c>
      <c r="K2530" t="s">
        <v>13095</v>
      </c>
      <c r="L2530">
        <v>0.05</v>
      </c>
      <c r="M2530" t="s">
        <v>13096</v>
      </c>
      <c r="N2530" t="s">
        <v>13097</v>
      </c>
      <c r="O2530" t="s">
        <v>64</v>
      </c>
      <c r="P2530" t="s">
        <v>30</v>
      </c>
      <c r="Q2530" t="s">
        <v>65</v>
      </c>
      <c r="R2530" s="3">
        <v>4218.2279999999901</v>
      </c>
    </row>
    <row r="2531" spans="1:18" x14ac:dyDescent="0.3">
      <c r="A2531" t="s">
        <v>13098</v>
      </c>
      <c r="B2531" t="str">
        <f>TEXT(Raw_Data[[#This Row],[Order Date]],"mmm")</f>
        <v>Mar</v>
      </c>
      <c r="C2531" t="s">
        <v>1128</v>
      </c>
      <c r="D2531" t="s">
        <v>13099</v>
      </c>
      <c r="E2531" t="s">
        <v>35</v>
      </c>
      <c r="F2531" t="s">
        <v>89</v>
      </c>
      <c r="G2531" t="s">
        <v>90</v>
      </c>
      <c r="H2531" t="s">
        <v>38</v>
      </c>
      <c r="I2531" t="s">
        <v>71</v>
      </c>
      <c r="J2531" t="s">
        <v>25</v>
      </c>
      <c r="K2531" t="s">
        <v>13100</v>
      </c>
      <c r="L2531">
        <v>0.2</v>
      </c>
      <c r="M2531" t="s">
        <v>13101</v>
      </c>
      <c r="N2531" t="s">
        <v>13102</v>
      </c>
      <c r="O2531" t="s">
        <v>43</v>
      </c>
      <c r="P2531" t="s">
        <v>30</v>
      </c>
      <c r="Q2531" t="s">
        <v>65</v>
      </c>
      <c r="R2531" s="3">
        <v>2953.4720000000002</v>
      </c>
    </row>
    <row r="2532" spans="1:18" x14ac:dyDescent="0.3">
      <c r="A2532" t="s">
        <v>13103</v>
      </c>
      <c r="B2532" t="str">
        <f>TEXT(Raw_Data[[#This Row],[Order Date]],"mmm")</f>
        <v>Nov</v>
      </c>
      <c r="C2532" t="s">
        <v>5647</v>
      </c>
      <c r="D2532" t="s">
        <v>13104</v>
      </c>
      <c r="E2532" t="s">
        <v>48</v>
      </c>
      <c r="F2532" t="s">
        <v>89</v>
      </c>
      <c r="G2532" t="s">
        <v>230</v>
      </c>
      <c r="H2532" t="s">
        <v>38</v>
      </c>
      <c r="I2532" t="s">
        <v>60</v>
      </c>
      <c r="J2532" t="s">
        <v>25</v>
      </c>
      <c r="K2532" t="s">
        <v>13105</v>
      </c>
      <c r="L2532">
        <v>0</v>
      </c>
      <c r="M2532" t="s">
        <v>13106</v>
      </c>
      <c r="N2532" t="s">
        <v>13107</v>
      </c>
      <c r="O2532" t="s">
        <v>29</v>
      </c>
      <c r="P2532" t="s">
        <v>30</v>
      </c>
      <c r="Q2532" t="s">
        <v>44</v>
      </c>
      <c r="R2532" s="3">
        <v>5487.03</v>
      </c>
    </row>
    <row r="2533" spans="1:18" x14ac:dyDescent="0.3">
      <c r="A2533" t="s">
        <v>13108</v>
      </c>
      <c r="B2533" t="str">
        <f>TEXT(Raw_Data[[#This Row],[Order Date]],"mmm")</f>
        <v>Apr</v>
      </c>
      <c r="C2533" t="s">
        <v>4059</v>
      </c>
      <c r="D2533" t="s">
        <v>13109</v>
      </c>
      <c r="E2533" t="s">
        <v>35</v>
      </c>
      <c r="F2533" t="s">
        <v>89</v>
      </c>
      <c r="G2533" t="s">
        <v>90</v>
      </c>
      <c r="H2533" t="s">
        <v>107</v>
      </c>
      <c r="I2533" t="s">
        <v>378</v>
      </c>
      <c r="J2533" t="s">
        <v>82</v>
      </c>
      <c r="K2533" t="s">
        <v>13110</v>
      </c>
      <c r="L2533">
        <v>0</v>
      </c>
      <c r="M2533" t="s">
        <v>13111</v>
      </c>
      <c r="N2533" t="s">
        <v>13112</v>
      </c>
      <c r="O2533" t="s">
        <v>64</v>
      </c>
      <c r="P2533" t="s">
        <v>30</v>
      </c>
      <c r="Q2533" t="s">
        <v>65</v>
      </c>
      <c r="R2533" s="3">
        <v>35377.24</v>
      </c>
    </row>
    <row r="2534" spans="1:18" x14ac:dyDescent="0.3">
      <c r="A2534" t="s">
        <v>13113</v>
      </c>
      <c r="B2534" t="str">
        <f>TEXT(Raw_Data[[#This Row],[Order Date]],"mmm")</f>
        <v>Dec</v>
      </c>
      <c r="C2534" t="s">
        <v>242</v>
      </c>
      <c r="D2534" t="s">
        <v>13114</v>
      </c>
      <c r="E2534" t="s">
        <v>48</v>
      </c>
      <c r="F2534" t="s">
        <v>78</v>
      </c>
      <c r="G2534" t="s">
        <v>79</v>
      </c>
      <c r="H2534" t="s">
        <v>38</v>
      </c>
      <c r="I2534" t="s">
        <v>223</v>
      </c>
      <c r="J2534" t="s">
        <v>50</v>
      </c>
      <c r="K2534" t="s">
        <v>13115</v>
      </c>
      <c r="L2534">
        <v>0.05</v>
      </c>
      <c r="M2534" t="s">
        <v>13116</v>
      </c>
      <c r="N2534" t="s">
        <v>13117</v>
      </c>
      <c r="O2534" t="s">
        <v>43</v>
      </c>
      <c r="P2534" t="s">
        <v>30</v>
      </c>
      <c r="Q2534" t="s">
        <v>44</v>
      </c>
      <c r="R2534" s="3">
        <v>10419.5809999999</v>
      </c>
    </row>
    <row r="2535" spans="1:18" x14ac:dyDescent="0.3">
      <c r="A2535" t="s">
        <v>13118</v>
      </c>
      <c r="B2535" t="str">
        <f>TEXT(Raw_Data[[#This Row],[Order Date]],"mmm")</f>
        <v>Sep</v>
      </c>
      <c r="C2535" t="s">
        <v>742</v>
      </c>
      <c r="D2535" t="s">
        <v>13119</v>
      </c>
      <c r="E2535" t="s">
        <v>35</v>
      </c>
      <c r="F2535" t="s">
        <v>106</v>
      </c>
      <c r="G2535" t="s">
        <v>106</v>
      </c>
      <c r="H2535" t="s">
        <v>23</v>
      </c>
      <c r="I2535" t="s">
        <v>24</v>
      </c>
      <c r="J2535" t="s">
        <v>100</v>
      </c>
      <c r="K2535" t="s">
        <v>13120</v>
      </c>
      <c r="L2535">
        <v>0.1</v>
      </c>
      <c r="M2535" t="s">
        <v>13121</v>
      </c>
      <c r="N2535" t="s">
        <v>13122</v>
      </c>
      <c r="O2535" t="s">
        <v>54</v>
      </c>
      <c r="P2535" t="s">
        <v>30</v>
      </c>
      <c r="Q2535" t="s">
        <v>31</v>
      </c>
      <c r="R2535" s="3">
        <v>41815.358999999997</v>
      </c>
    </row>
    <row r="2536" spans="1:18" x14ac:dyDescent="0.3">
      <c r="A2536" t="s">
        <v>13123</v>
      </c>
      <c r="B2536" t="str">
        <f>TEXT(Raw_Data[[#This Row],[Order Date]],"mmm")</f>
        <v>Sep</v>
      </c>
      <c r="C2536" t="s">
        <v>1570</v>
      </c>
      <c r="D2536" t="s">
        <v>13124</v>
      </c>
      <c r="E2536" t="s">
        <v>35</v>
      </c>
      <c r="F2536" t="s">
        <v>69</v>
      </c>
      <c r="G2536" t="s">
        <v>70</v>
      </c>
      <c r="H2536" t="s">
        <v>107</v>
      </c>
      <c r="I2536" t="s">
        <v>469</v>
      </c>
      <c r="J2536" t="s">
        <v>25</v>
      </c>
      <c r="K2536" t="s">
        <v>13125</v>
      </c>
      <c r="L2536">
        <v>0.15</v>
      </c>
      <c r="M2536" t="s">
        <v>13126</v>
      </c>
      <c r="N2536" t="s">
        <v>13127</v>
      </c>
      <c r="O2536" t="s">
        <v>54</v>
      </c>
      <c r="P2536" t="s">
        <v>30</v>
      </c>
      <c r="Q2536" t="s">
        <v>44</v>
      </c>
      <c r="R2536" s="3">
        <v>5618.942</v>
      </c>
    </row>
    <row r="2537" spans="1:18" x14ac:dyDescent="0.3">
      <c r="A2537" t="s">
        <v>13128</v>
      </c>
      <c r="B2537" t="str">
        <f>TEXT(Raw_Data[[#This Row],[Order Date]],"mmm")</f>
        <v>Aug</v>
      </c>
      <c r="C2537" t="s">
        <v>1104</v>
      </c>
      <c r="D2537" t="s">
        <v>13129</v>
      </c>
      <c r="E2537" t="s">
        <v>35</v>
      </c>
      <c r="F2537" t="s">
        <v>89</v>
      </c>
      <c r="G2537" t="s">
        <v>99</v>
      </c>
      <c r="H2537" t="s">
        <v>107</v>
      </c>
      <c r="I2537" t="s">
        <v>591</v>
      </c>
      <c r="J2537" t="s">
        <v>50</v>
      </c>
      <c r="K2537" t="s">
        <v>13130</v>
      </c>
      <c r="L2537">
        <v>0.1</v>
      </c>
      <c r="M2537" t="s">
        <v>13131</v>
      </c>
      <c r="N2537" t="s">
        <v>13132</v>
      </c>
      <c r="O2537" t="s">
        <v>173</v>
      </c>
      <c r="P2537" t="s">
        <v>30</v>
      </c>
      <c r="Q2537" t="s">
        <v>65</v>
      </c>
      <c r="R2537" s="3">
        <v>18080.297999999999</v>
      </c>
    </row>
    <row r="2538" spans="1:18" x14ac:dyDescent="0.3">
      <c r="A2538" t="s">
        <v>13133</v>
      </c>
      <c r="B2538" t="str">
        <f>TEXT(Raw_Data[[#This Row],[Order Date]],"mmm")</f>
        <v>Jul</v>
      </c>
      <c r="C2538" t="s">
        <v>3461</v>
      </c>
      <c r="D2538" t="s">
        <v>13134</v>
      </c>
      <c r="E2538" t="s">
        <v>35</v>
      </c>
      <c r="F2538" t="s">
        <v>89</v>
      </c>
      <c r="G2538" t="s">
        <v>230</v>
      </c>
      <c r="H2538" t="s">
        <v>154</v>
      </c>
      <c r="I2538" t="s">
        <v>365</v>
      </c>
      <c r="J2538" t="s">
        <v>25</v>
      </c>
      <c r="K2538" t="s">
        <v>13135</v>
      </c>
      <c r="L2538">
        <v>0.05</v>
      </c>
      <c r="M2538" t="s">
        <v>13136</v>
      </c>
      <c r="N2538" t="s">
        <v>13137</v>
      </c>
      <c r="O2538" t="s">
        <v>64</v>
      </c>
      <c r="P2538" t="s">
        <v>30</v>
      </c>
      <c r="Q2538" t="s">
        <v>44</v>
      </c>
      <c r="R2538" s="3">
        <v>6606.6799999999903</v>
      </c>
    </row>
    <row r="2539" spans="1:18" x14ac:dyDescent="0.3">
      <c r="A2539" t="s">
        <v>13138</v>
      </c>
      <c r="B2539" t="str">
        <f>TEXT(Raw_Data[[#This Row],[Order Date]],"mmm")</f>
        <v>Oct</v>
      </c>
      <c r="C2539" t="s">
        <v>248</v>
      </c>
      <c r="D2539" t="s">
        <v>13139</v>
      </c>
      <c r="E2539" t="s">
        <v>35</v>
      </c>
      <c r="F2539" t="s">
        <v>215</v>
      </c>
      <c r="G2539" t="s">
        <v>276</v>
      </c>
      <c r="H2539" t="s">
        <v>38</v>
      </c>
      <c r="I2539" t="s">
        <v>223</v>
      </c>
      <c r="J2539" t="s">
        <v>25</v>
      </c>
      <c r="K2539" t="s">
        <v>13140</v>
      </c>
      <c r="L2539">
        <v>0</v>
      </c>
      <c r="M2539" t="s">
        <v>13141</v>
      </c>
      <c r="N2539" t="s">
        <v>13142</v>
      </c>
      <c r="O2539" t="s">
        <v>173</v>
      </c>
      <c r="P2539" t="s">
        <v>30</v>
      </c>
      <c r="Q2539" t="s">
        <v>31</v>
      </c>
      <c r="R2539" s="3">
        <v>2220.2800000000002</v>
      </c>
    </row>
    <row r="2540" spans="1:18" x14ac:dyDescent="0.3">
      <c r="A2540" t="s">
        <v>13143</v>
      </c>
      <c r="B2540" t="str">
        <f>TEXT(Raw_Data[[#This Row],[Order Date]],"mmm")</f>
        <v>Feb</v>
      </c>
      <c r="C2540" t="s">
        <v>4592</v>
      </c>
      <c r="D2540" t="s">
        <v>13144</v>
      </c>
      <c r="E2540" t="s">
        <v>48</v>
      </c>
      <c r="F2540" t="s">
        <v>78</v>
      </c>
      <c r="G2540" t="s">
        <v>731</v>
      </c>
      <c r="H2540" t="s">
        <v>107</v>
      </c>
      <c r="I2540" t="s">
        <v>378</v>
      </c>
      <c r="J2540" t="s">
        <v>25</v>
      </c>
      <c r="K2540" t="s">
        <v>13145</v>
      </c>
      <c r="L2540">
        <v>0.1</v>
      </c>
      <c r="M2540" t="s">
        <v>13146</v>
      </c>
      <c r="N2540" t="s">
        <v>13147</v>
      </c>
      <c r="O2540" t="s">
        <v>64</v>
      </c>
      <c r="P2540" t="s">
        <v>30</v>
      </c>
      <c r="Q2540" t="s">
        <v>31</v>
      </c>
      <c r="R2540" s="3">
        <v>9733.0949999999993</v>
      </c>
    </row>
    <row r="2541" spans="1:18" x14ac:dyDescent="0.3">
      <c r="A2541" t="s">
        <v>13148</v>
      </c>
      <c r="B2541" t="str">
        <f>TEXT(Raw_Data[[#This Row],[Order Date]],"mmm")</f>
        <v>Dec</v>
      </c>
      <c r="C2541" t="s">
        <v>1819</v>
      </c>
      <c r="D2541" t="s">
        <v>13149</v>
      </c>
      <c r="E2541" t="s">
        <v>48</v>
      </c>
      <c r="F2541" t="s">
        <v>36</v>
      </c>
      <c r="G2541" t="s">
        <v>196</v>
      </c>
      <c r="H2541" t="s">
        <v>154</v>
      </c>
      <c r="I2541" t="s">
        <v>1061</v>
      </c>
      <c r="J2541" t="s">
        <v>82</v>
      </c>
      <c r="K2541" t="s">
        <v>13150</v>
      </c>
      <c r="L2541">
        <v>0.05</v>
      </c>
      <c r="M2541" t="s">
        <v>13151</v>
      </c>
      <c r="N2541" t="s">
        <v>13152</v>
      </c>
      <c r="O2541" t="s">
        <v>43</v>
      </c>
      <c r="P2541" t="s">
        <v>159</v>
      </c>
      <c r="Q2541" t="s">
        <v>44</v>
      </c>
      <c r="R2541" s="3">
        <v>19629.28</v>
      </c>
    </row>
    <row r="2542" spans="1:18" x14ac:dyDescent="0.3">
      <c r="A2542" t="s">
        <v>13153</v>
      </c>
      <c r="B2542" t="str">
        <f>TEXT(Raw_Data[[#This Row],[Order Date]],"mmm")</f>
        <v>Apr</v>
      </c>
      <c r="C2542" t="s">
        <v>4751</v>
      </c>
      <c r="D2542" t="s">
        <v>13154</v>
      </c>
      <c r="E2542" t="s">
        <v>48</v>
      </c>
      <c r="F2542" t="s">
        <v>69</v>
      </c>
      <c r="G2542" t="s">
        <v>328</v>
      </c>
      <c r="H2542" t="s">
        <v>154</v>
      </c>
      <c r="I2542" t="s">
        <v>309</v>
      </c>
      <c r="J2542" t="s">
        <v>25</v>
      </c>
      <c r="K2542" t="s">
        <v>13155</v>
      </c>
      <c r="L2542">
        <v>0.15</v>
      </c>
      <c r="M2542" t="s">
        <v>13156</v>
      </c>
      <c r="N2542" t="s">
        <v>13157</v>
      </c>
      <c r="O2542" t="s">
        <v>43</v>
      </c>
      <c r="P2542" t="s">
        <v>30</v>
      </c>
      <c r="Q2542" t="s">
        <v>31</v>
      </c>
      <c r="R2542" s="3">
        <v>4476.2614999999996</v>
      </c>
    </row>
    <row r="2543" spans="1:18" x14ac:dyDescent="0.3">
      <c r="A2543" t="s">
        <v>13158</v>
      </c>
      <c r="B2543" t="str">
        <f>TEXT(Raw_Data[[#This Row],[Order Date]],"mmm")</f>
        <v>Nov</v>
      </c>
      <c r="C2543" t="s">
        <v>510</v>
      </c>
      <c r="D2543" t="s">
        <v>13159</v>
      </c>
      <c r="E2543" t="s">
        <v>20</v>
      </c>
      <c r="F2543" t="s">
        <v>106</v>
      </c>
      <c r="G2543" t="s">
        <v>106</v>
      </c>
      <c r="H2543" t="s">
        <v>107</v>
      </c>
      <c r="I2543" t="s">
        <v>378</v>
      </c>
      <c r="J2543" t="s">
        <v>25</v>
      </c>
      <c r="K2543" t="s">
        <v>13160</v>
      </c>
      <c r="L2543">
        <v>0.05</v>
      </c>
      <c r="M2543" t="s">
        <v>13161</v>
      </c>
      <c r="N2543" t="s">
        <v>13162</v>
      </c>
      <c r="O2543" t="s">
        <v>29</v>
      </c>
      <c r="P2543" t="s">
        <v>30</v>
      </c>
      <c r="Q2543" t="s">
        <v>44</v>
      </c>
      <c r="R2543" s="3">
        <v>2153.5169999999998</v>
      </c>
    </row>
    <row r="2544" spans="1:18" x14ac:dyDescent="0.3">
      <c r="A2544" t="s">
        <v>13163</v>
      </c>
      <c r="B2544" t="str">
        <f>TEXT(Raw_Data[[#This Row],[Order Date]],"mmm")</f>
        <v>Sep</v>
      </c>
      <c r="C2544" t="s">
        <v>288</v>
      </c>
      <c r="D2544" t="s">
        <v>13164</v>
      </c>
      <c r="E2544" t="s">
        <v>20</v>
      </c>
      <c r="F2544" t="s">
        <v>106</v>
      </c>
      <c r="G2544" t="s">
        <v>106</v>
      </c>
      <c r="H2544" t="s">
        <v>154</v>
      </c>
      <c r="I2544" t="s">
        <v>365</v>
      </c>
      <c r="J2544" t="s">
        <v>25</v>
      </c>
      <c r="K2544" t="s">
        <v>13165</v>
      </c>
      <c r="L2544">
        <v>0.1</v>
      </c>
      <c r="M2544" t="s">
        <v>13166</v>
      </c>
      <c r="N2544" t="s">
        <v>13167</v>
      </c>
      <c r="O2544" t="s">
        <v>29</v>
      </c>
      <c r="P2544" t="s">
        <v>30</v>
      </c>
      <c r="Q2544" t="s">
        <v>65</v>
      </c>
      <c r="R2544" s="3">
        <v>8588.9969999999994</v>
      </c>
    </row>
    <row r="2545" spans="1:18" x14ac:dyDescent="0.3">
      <c r="A2545" t="s">
        <v>13168</v>
      </c>
      <c r="B2545" t="str">
        <f>TEXT(Raw_Data[[#This Row],[Order Date]],"mmm")</f>
        <v>Aug</v>
      </c>
      <c r="C2545" t="s">
        <v>4422</v>
      </c>
      <c r="D2545" t="s">
        <v>13169</v>
      </c>
      <c r="E2545" t="s">
        <v>20</v>
      </c>
      <c r="F2545" t="s">
        <v>89</v>
      </c>
      <c r="G2545" t="s">
        <v>90</v>
      </c>
      <c r="H2545" t="s">
        <v>38</v>
      </c>
      <c r="I2545" t="s">
        <v>256</v>
      </c>
      <c r="J2545" t="s">
        <v>100</v>
      </c>
      <c r="K2545" t="s">
        <v>13170</v>
      </c>
      <c r="L2545">
        <v>0.1</v>
      </c>
      <c r="M2545" t="s">
        <v>13171</v>
      </c>
      <c r="N2545" t="s">
        <v>13172</v>
      </c>
      <c r="O2545" t="s">
        <v>64</v>
      </c>
      <c r="P2545" t="s">
        <v>30</v>
      </c>
      <c r="Q2545" t="s">
        <v>44</v>
      </c>
      <c r="R2545" s="3">
        <v>7724.4840000000004</v>
      </c>
    </row>
    <row r="2546" spans="1:18" x14ac:dyDescent="0.3">
      <c r="A2546" t="s">
        <v>13173</v>
      </c>
      <c r="B2546" t="str">
        <f>TEXT(Raw_Data[[#This Row],[Order Date]],"mmm")</f>
        <v>Apr</v>
      </c>
      <c r="C2546" t="s">
        <v>137</v>
      </c>
      <c r="D2546" t="s">
        <v>13174</v>
      </c>
      <c r="E2546" t="s">
        <v>20</v>
      </c>
      <c r="F2546" t="s">
        <v>69</v>
      </c>
      <c r="G2546" t="s">
        <v>70</v>
      </c>
      <c r="H2546" t="s">
        <v>23</v>
      </c>
      <c r="I2546" t="s">
        <v>183</v>
      </c>
      <c r="J2546" t="s">
        <v>50</v>
      </c>
      <c r="K2546" t="s">
        <v>13175</v>
      </c>
      <c r="L2546">
        <v>0.05</v>
      </c>
      <c r="M2546" t="s">
        <v>13176</v>
      </c>
      <c r="N2546" t="s">
        <v>13177</v>
      </c>
      <c r="O2546" t="s">
        <v>54</v>
      </c>
      <c r="P2546" t="s">
        <v>112</v>
      </c>
      <c r="Q2546" t="s">
        <v>44</v>
      </c>
      <c r="R2546" s="3">
        <v>45561.334999999999</v>
      </c>
    </row>
    <row r="2547" spans="1:18" x14ac:dyDescent="0.3">
      <c r="A2547" t="s">
        <v>13178</v>
      </c>
      <c r="B2547" t="str">
        <f>TEXT(Raw_Data[[#This Row],[Order Date]],"mmm")</f>
        <v>Jul</v>
      </c>
      <c r="C2547" t="s">
        <v>114</v>
      </c>
      <c r="D2547" t="s">
        <v>13179</v>
      </c>
      <c r="E2547" t="s">
        <v>48</v>
      </c>
      <c r="F2547" t="s">
        <v>21</v>
      </c>
      <c r="G2547" t="s">
        <v>22</v>
      </c>
      <c r="H2547" t="s">
        <v>23</v>
      </c>
      <c r="I2547" t="s">
        <v>183</v>
      </c>
      <c r="J2547" t="s">
        <v>25</v>
      </c>
      <c r="K2547" t="s">
        <v>13180</v>
      </c>
      <c r="L2547">
        <v>0.05</v>
      </c>
      <c r="M2547" t="s">
        <v>13181</v>
      </c>
      <c r="N2547" t="s">
        <v>13182</v>
      </c>
      <c r="O2547" t="s">
        <v>54</v>
      </c>
      <c r="P2547" t="s">
        <v>30</v>
      </c>
      <c r="Q2547" t="s">
        <v>65</v>
      </c>
      <c r="R2547" s="3">
        <v>4980.4605000000001</v>
      </c>
    </row>
    <row r="2548" spans="1:18" x14ac:dyDescent="0.3">
      <c r="A2548" t="s">
        <v>13183</v>
      </c>
      <c r="B2548" t="str">
        <f>TEXT(Raw_Data[[#This Row],[Order Date]],"mmm")</f>
        <v>Oct</v>
      </c>
      <c r="C2548" t="s">
        <v>2217</v>
      </c>
      <c r="D2548" t="s">
        <v>13184</v>
      </c>
      <c r="E2548" t="s">
        <v>20</v>
      </c>
      <c r="F2548" t="s">
        <v>21</v>
      </c>
      <c r="G2548" t="s">
        <v>130</v>
      </c>
      <c r="H2548" t="s">
        <v>154</v>
      </c>
      <c r="I2548" t="s">
        <v>309</v>
      </c>
      <c r="J2548" t="s">
        <v>82</v>
      </c>
      <c r="K2548" t="s">
        <v>13185</v>
      </c>
      <c r="L2548">
        <v>0.1</v>
      </c>
      <c r="M2548" t="s">
        <v>13186</v>
      </c>
      <c r="N2548" t="s">
        <v>13187</v>
      </c>
      <c r="O2548" t="s">
        <v>173</v>
      </c>
      <c r="P2548" t="s">
        <v>30</v>
      </c>
      <c r="Q2548" t="s">
        <v>44</v>
      </c>
      <c r="R2548" s="3">
        <v>10308.636</v>
      </c>
    </row>
    <row r="2549" spans="1:18" x14ac:dyDescent="0.3">
      <c r="A2549" t="s">
        <v>13188</v>
      </c>
      <c r="B2549" t="str">
        <f>TEXT(Raw_Data[[#This Row],[Order Date]],"mmm")</f>
        <v>Aug</v>
      </c>
      <c r="C2549" t="s">
        <v>971</v>
      </c>
      <c r="D2549" t="s">
        <v>13189</v>
      </c>
      <c r="E2549" t="s">
        <v>20</v>
      </c>
      <c r="F2549" t="s">
        <v>215</v>
      </c>
      <c r="G2549" t="s">
        <v>276</v>
      </c>
      <c r="H2549" t="s">
        <v>107</v>
      </c>
      <c r="I2549" t="s">
        <v>277</v>
      </c>
      <c r="J2549" t="s">
        <v>25</v>
      </c>
      <c r="K2549" t="s">
        <v>13190</v>
      </c>
      <c r="L2549">
        <v>0.2</v>
      </c>
      <c r="M2549" t="s">
        <v>13191</v>
      </c>
      <c r="N2549" t="s">
        <v>13192</v>
      </c>
      <c r="O2549" t="s">
        <v>173</v>
      </c>
      <c r="P2549" t="s">
        <v>30</v>
      </c>
      <c r="Q2549" t="s">
        <v>65</v>
      </c>
      <c r="R2549" s="3">
        <v>2330.5039999999999</v>
      </c>
    </row>
    <row r="2550" spans="1:18" x14ac:dyDescent="0.3">
      <c r="A2550" t="s">
        <v>13193</v>
      </c>
      <c r="B2550" t="str">
        <f>TEXT(Raw_Data[[#This Row],[Order Date]],"mmm")</f>
        <v>Nov</v>
      </c>
      <c r="C2550" t="s">
        <v>5647</v>
      </c>
      <c r="D2550" t="s">
        <v>13194</v>
      </c>
      <c r="E2550" t="s">
        <v>20</v>
      </c>
      <c r="F2550" t="s">
        <v>21</v>
      </c>
      <c r="G2550" t="s">
        <v>22</v>
      </c>
      <c r="H2550" t="s">
        <v>107</v>
      </c>
      <c r="I2550" t="s">
        <v>469</v>
      </c>
      <c r="J2550" t="s">
        <v>82</v>
      </c>
      <c r="K2550" t="s">
        <v>13195</v>
      </c>
      <c r="L2550">
        <v>0.05</v>
      </c>
      <c r="M2550" t="s">
        <v>13196</v>
      </c>
      <c r="N2550" t="s">
        <v>13197</v>
      </c>
      <c r="O2550" t="s">
        <v>43</v>
      </c>
      <c r="P2550" t="s">
        <v>30</v>
      </c>
      <c r="Q2550" t="s">
        <v>44</v>
      </c>
      <c r="R2550" s="3">
        <v>51441.055999999997</v>
      </c>
    </row>
    <row r="2551" spans="1:18" x14ac:dyDescent="0.3">
      <c r="A2551" t="s">
        <v>13198</v>
      </c>
      <c r="B2551" t="str">
        <f>TEXT(Raw_Data[[#This Row],[Order Date]],"mmm")</f>
        <v>Nov</v>
      </c>
      <c r="C2551" t="s">
        <v>3096</v>
      </c>
      <c r="D2551" t="s">
        <v>13199</v>
      </c>
      <c r="E2551" t="s">
        <v>20</v>
      </c>
      <c r="F2551" t="s">
        <v>89</v>
      </c>
      <c r="G2551" t="s">
        <v>230</v>
      </c>
      <c r="H2551" t="s">
        <v>154</v>
      </c>
      <c r="I2551" t="s">
        <v>309</v>
      </c>
      <c r="J2551" t="s">
        <v>25</v>
      </c>
      <c r="K2551" t="s">
        <v>13200</v>
      </c>
      <c r="L2551">
        <v>0</v>
      </c>
      <c r="M2551" t="s">
        <v>13201</v>
      </c>
      <c r="N2551" t="s">
        <v>13202</v>
      </c>
      <c r="O2551" t="s">
        <v>64</v>
      </c>
      <c r="P2551" t="s">
        <v>30</v>
      </c>
      <c r="Q2551" t="s">
        <v>44</v>
      </c>
      <c r="R2551" s="3">
        <v>9254.09</v>
      </c>
    </row>
    <row r="2552" spans="1:18" x14ac:dyDescent="0.3">
      <c r="A2552" t="s">
        <v>13203</v>
      </c>
      <c r="B2552" t="str">
        <f>TEXT(Raw_Data[[#This Row],[Order Date]],"mmm")</f>
        <v>Sep</v>
      </c>
      <c r="C2552" t="s">
        <v>1714</v>
      </c>
      <c r="D2552" t="s">
        <v>13204</v>
      </c>
      <c r="E2552" t="s">
        <v>48</v>
      </c>
      <c r="F2552" t="s">
        <v>78</v>
      </c>
      <c r="G2552" t="s">
        <v>731</v>
      </c>
      <c r="H2552" t="s">
        <v>154</v>
      </c>
      <c r="I2552" t="s">
        <v>1061</v>
      </c>
      <c r="J2552" t="s">
        <v>50</v>
      </c>
      <c r="K2552" t="s">
        <v>13205</v>
      </c>
      <c r="L2552">
        <v>0.15</v>
      </c>
      <c r="M2552" t="s">
        <v>13206</v>
      </c>
      <c r="N2552" t="s">
        <v>13207</v>
      </c>
      <c r="O2552" t="s">
        <v>173</v>
      </c>
      <c r="P2552" t="s">
        <v>112</v>
      </c>
      <c r="Q2552" t="s">
        <v>65</v>
      </c>
      <c r="R2552" s="3">
        <v>15039.032999999999</v>
      </c>
    </row>
    <row r="2553" spans="1:18" x14ac:dyDescent="0.3">
      <c r="A2553" t="s">
        <v>13208</v>
      </c>
      <c r="B2553" t="str">
        <f>TEXT(Raw_Data[[#This Row],[Order Date]],"mmm")</f>
        <v>Aug</v>
      </c>
      <c r="C2553" t="s">
        <v>3841</v>
      </c>
      <c r="D2553" t="s">
        <v>13209</v>
      </c>
      <c r="E2553" t="s">
        <v>20</v>
      </c>
      <c r="F2553" t="s">
        <v>215</v>
      </c>
      <c r="G2553" t="s">
        <v>216</v>
      </c>
      <c r="H2553" t="s">
        <v>38</v>
      </c>
      <c r="I2553" t="s">
        <v>39</v>
      </c>
      <c r="J2553" t="s">
        <v>82</v>
      </c>
      <c r="K2553" t="s">
        <v>13210</v>
      </c>
      <c r="L2553">
        <v>0.2</v>
      </c>
      <c r="M2553" t="s">
        <v>13211</v>
      </c>
      <c r="O2553" t="s">
        <v>64</v>
      </c>
      <c r="P2553" t="s">
        <v>30</v>
      </c>
      <c r="Q2553" t="s">
        <v>31</v>
      </c>
      <c r="R2553" s="3">
        <v>18269.088</v>
      </c>
    </row>
    <row r="2554" spans="1:18" x14ac:dyDescent="0.3">
      <c r="A2554" t="s">
        <v>13212</v>
      </c>
      <c r="B2554" t="str">
        <f>TEXT(Raw_Data[[#This Row],[Order Date]],"mmm")</f>
        <v>Aug</v>
      </c>
      <c r="C2554" t="s">
        <v>681</v>
      </c>
      <c r="D2554" t="s">
        <v>13213</v>
      </c>
      <c r="E2554" t="s">
        <v>48</v>
      </c>
      <c r="F2554" t="s">
        <v>58</v>
      </c>
      <c r="G2554" t="s">
        <v>59</v>
      </c>
      <c r="H2554" t="s">
        <v>80</v>
      </c>
      <c r="I2554" t="s">
        <v>81</v>
      </c>
      <c r="J2554" t="s">
        <v>50</v>
      </c>
      <c r="K2554" t="s">
        <v>13214</v>
      </c>
      <c r="L2554">
        <v>0</v>
      </c>
      <c r="M2554" t="s">
        <v>13215</v>
      </c>
      <c r="N2554" t="s">
        <v>13216</v>
      </c>
      <c r="O2554" t="s">
        <v>29</v>
      </c>
      <c r="P2554" t="s">
        <v>30</v>
      </c>
      <c r="Q2554" t="s">
        <v>65</v>
      </c>
      <c r="R2554" s="3">
        <v>6866.78</v>
      </c>
    </row>
    <row r="2555" spans="1:18" x14ac:dyDescent="0.3">
      <c r="A2555" t="s">
        <v>13217</v>
      </c>
      <c r="B2555" t="str">
        <f>TEXT(Raw_Data[[#This Row],[Order Date]],"mmm")</f>
        <v>Apr</v>
      </c>
      <c r="C2555" t="s">
        <v>1686</v>
      </c>
      <c r="D2555" t="s">
        <v>13218</v>
      </c>
      <c r="E2555" t="s">
        <v>20</v>
      </c>
      <c r="F2555" t="s">
        <v>36</v>
      </c>
      <c r="G2555" t="s">
        <v>196</v>
      </c>
      <c r="H2555" t="s">
        <v>23</v>
      </c>
      <c r="I2555" t="s">
        <v>183</v>
      </c>
      <c r="J2555" t="s">
        <v>100</v>
      </c>
      <c r="K2555" t="s">
        <v>13219</v>
      </c>
      <c r="L2555">
        <v>0.05</v>
      </c>
      <c r="M2555" t="s">
        <v>13220</v>
      </c>
      <c r="N2555" t="s">
        <v>13221</v>
      </c>
      <c r="O2555" t="s">
        <v>173</v>
      </c>
      <c r="P2555" t="s">
        <v>30</v>
      </c>
      <c r="Q2555" t="s">
        <v>65</v>
      </c>
      <c r="R2555" s="3">
        <v>147941.79</v>
      </c>
    </row>
    <row r="2556" spans="1:18" x14ac:dyDescent="0.3">
      <c r="A2556" t="s">
        <v>13222</v>
      </c>
      <c r="B2556" t="str">
        <f>TEXT(Raw_Data[[#This Row],[Order Date]],"mmm")</f>
        <v>Dec</v>
      </c>
      <c r="C2556" t="s">
        <v>168</v>
      </c>
      <c r="D2556" t="s">
        <v>13223</v>
      </c>
      <c r="E2556" t="s">
        <v>20</v>
      </c>
      <c r="F2556" t="s">
        <v>36</v>
      </c>
      <c r="G2556" t="s">
        <v>414</v>
      </c>
      <c r="H2556" t="s">
        <v>80</v>
      </c>
      <c r="I2556" t="s">
        <v>131</v>
      </c>
      <c r="J2556" t="s">
        <v>25</v>
      </c>
      <c r="K2556" t="s">
        <v>13224</v>
      </c>
      <c r="L2556">
        <v>0.15</v>
      </c>
      <c r="M2556" t="s">
        <v>13225</v>
      </c>
      <c r="N2556" t="s">
        <v>13226</v>
      </c>
      <c r="O2556" t="s">
        <v>54</v>
      </c>
      <c r="P2556" t="s">
        <v>30</v>
      </c>
      <c r="Q2556" t="s">
        <v>65</v>
      </c>
      <c r="R2556" s="3">
        <v>5287.0169999999998</v>
      </c>
    </row>
    <row r="2557" spans="1:18" x14ac:dyDescent="0.3">
      <c r="A2557" t="s">
        <v>13227</v>
      </c>
      <c r="B2557" t="str">
        <f>TEXT(Raw_Data[[#This Row],[Order Date]],"mmm")</f>
        <v>Nov</v>
      </c>
      <c r="C2557" t="s">
        <v>1697</v>
      </c>
      <c r="D2557" t="s">
        <v>13228</v>
      </c>
      <c r="E2557" t="s">
        <v>35</v>
      </c>
      <c r="F2557" t="s">
        <v>58</v>
      </c>
      <c r="G2557" t="s">
        <v>59</v>
      </c>
      <c r="H2557" t="s">
        <v>23</v>
      </c>
      <c r="I2557" t="s">
        <v>263</v>
      </c>
      <c r="J2557" t="s">
        <v>50</v>
      </c>
      <c r="K2557" t="s">
        <v>13229</v>
      </c>
      <c r="L2557">
        <v>0.15</v>
      </c>
      <c r="M2557" t="s">
        <v>13230</v>
      </c>
      <c r="N2557" t="s">
        <v>13231</v>
      </c>
      <c r="O2557" t="s">
        <v>43</v>
      </c>
      <c r="P2557" t="s">
        <v>30</v>
      </c>
      <c r="Q2557" t="s">
        <v>65</v>
      </c>
      <c r="R2557" s="3">
        <v>95240.782999999996</v>
      </c>
    </row>
    <row r="2558" spans="1:18" x14ac:dyDescent="0.3">
      <c r="A2558" t="s">
        <v>13232</v>
      </c>
      <c r="B2558" t="str">
        <f>TEXT(Raw_Data[[#This Row],[Order Date]],"mmm")</f>
        <v>Feb</v>
      </c>
      <c r="C2558" t="s">
        <v>2399</v>
      </c>
      <c r="D2558" t="s">
        <v>13233</v>
      </c>
      <c r="E2558" t="s">
        <v>48</v>
      </c>
      <c r="F2558" t="s">
        <v>21</v>
      </c>
      <c r="G2558" t="s">
        <v>130</v>
      </c>
      <c r="H2558" t="s">
        <v>23</v>
      </c>
      <c r="I2558" t="s">
        <v>49</v>
      </c>
      <c r="J2558" t="s">
        <v>25</v>
      </c>
      <c r="K2558" t="s">
        <v>13234</v>
      </c>
      <c r="L2558">
        <v>0.1</v>
      </c>
      <c r="M2558" t="s">
        <v>13235</v>
      </c>
      <c r="N2558" t="s">
        <v>13236</v>
      </c>
      <c r="O2558" t="s">
        <v>64</v>
      </c>
      <c r="P2558" t="s">
        <v>30</v>
      </c>
      <c r="Q2558" t="s">
        <v>65</v>
      </c>
      <c r="R2558" s="3">
        <v>44920.934999999998</v>
      </c>
    </row>
    <row r="2559" spans="1:18" x14ac:dyDescent="0.3">
      <c r="A2559" t="s">
        <v>13237</v>
      </c>
      <c r="B2559" t="str">
        <f>TEXT(Raw_Data[[#This Row],[Order Date]],"mmm")</f>
        <v>Aug</v>
      </c>
      <c r="C2559" t="s">
        <v>1840</v>
      </c>
      <c r="D2559" t="s">
        <v>13238</v>
      </c>
      <c r="E2559" t="s">
        <v>20</v>
      </c>
      <c r="F2559" t="s">
        <v>69</v>
      </c>
      <c r="G2559" t="s">
        <v>328</v>
      </c>
      <c r="H2559" t="s">
        <v>154</v>
      </c>
      <c r="I2559" t="s">
        <v>365</v>
      </c>
      <c r="J2559" t="s">
        <v>25</v>
      </c>
      <c r="K2559" t="s">
        <v>13239</v>
      </c>
      <c r="L2559">
        <v>0.05</v>
      </c>
      <c r="M2559" t="s">
        <v>13240</v>
      </c>
      <c r="N2559" t="s">
        <v>13241</v>
      </c>
      <c r="O2559" t="s">
        <v>29</v>
      </c>
      <c r="P2559" t="s">
        <v>30</v>
      </c>
      <c r="Q2559" t="s">
        <v>44</v>
      </c>
      <c r="R2559" s="3">
        <v>9940.6859999999906</v>
      </c>
    </row>
    <row r="2560" spans="1:18" x14ac:dyDescent="0.3">
      <c r="A2560" t="s">
        <v>13242</v>
      </c>
      <c r="B2560" t="str">
        <f>TEXT(Raw_Data[[#This Row],[Order Date]],"mmm")</f>
        <v>Aug</v>
      </c>
      <c r="C2560" t="s">
        <v>4422</v>
      </c>
      <c r="D2560" t="s">
        <v>13243</v>
      </c>
      <c r="E2560" t="s">
        <v>35</v>
      </c>
      <c r="F2560" t="s">
        <v>58</v>
      </c>
      <c r="G2560" t="s">
        <v>812</v>
      </c>
      <c r="H2560" t="s">
        <v>23</v>
      </c>
      <c r="I2560" t="s">
        <v>24</v>
      </c>
      <c r="J2560" t="s">
        <v>25</v>
      </c>
      <c r="K2560" t="s">
        <v>13244</v>
      </c>
      <c r="L2560">
        <v>0.1</v>
      </c>
      <c r="M2560" t="s">
        <v>13245</v>
      </c>
      <c r="N2560" t="s">
        <v>13246</v>
      </c>
      <c r="O2560" t="s">
        <v>54</v>
      </c>
      <c r="P2560" t="s">
        <v>30</v>
      </c>
      <c r="Q2560" t="s">
        <v>31</v>
      </c>
      <c r="R2560" s="3">
        <v>66309.3</v>
      </c>
    </row>
    <row r="2561" spans="1:18" x14ac:dyDescent="0.3">
      <c r="A2561" t="s">
        <v>13247</v>
      </c>
      <c r="B2561" t="str">
        <f>TEXT(Raw_Data[[#This Row],[Order Date]],"mmm")</f>
        <v>Mar</v>
      </c>
      <c r="C2561" t="s">
        <v>1128</v>
      </c>
      <c r="D2561" t="s">
        <v>13248</v>
      </c>
      <c r="E2561" t="s">
        <v>35</v>
      </c>
      <c r="F2561" t="s">
        <v>78</v>
      </c>
      <c r="G2561" t="s">
        <v>468</v>
      </c>
      <c r="H2561" t="s">
        <v>80</v>
      </c>
      <c r="I2561" t="s">
        <v>116</v>
      </c>
      <c r="J2561" t="s">
        <v>25</v>
      </c>
      <c r="K2561" t="s">
        <v>13249</v>
      </c>
      <c r="L2561">
        <v>0.1</v>
      </c>
      <c r="M2561" t="s">
        <v>13250</v>
      </c>
      <c r="N2561" t="s">
        <v>13251</v>
      </c>
      <c r="O2561" t="s">
        <v>173</v>
      </c>
      <c r="P2561" t="s">
        <v>30</v>
      </c>
      <c r="Q2561" t="s">
        <v>44</v>
      </c>
      <c r="R2561" s="3">
        <v>2902.9589999999998</v>
      </c>
    </row>
    <row r="2562" spans="1:18" x14ac:dyDescent="0.3">
      <c r="A2562" t="s">
        <v>13252</v>
      </c>
      <c r="B2562" t="str">
        <f>TEXT(Raw_Data[[#This Row],[Order Date]],"mmm")</f>
        <v>Sep</v>
      </c>
      <c r="C2562" t="s">
        <v>2151</v>
      </c>
      <c r="D2562" t="s">
        <v>13253</v>
      </c>
      <c r="E2562" t="s">
        <v>35</v>
      </c>
      <c r="F2562" t="s">
        <v>36</v>
      </c>
      <c r="G2562" t="s">
        <v>414</v>
      </c>
      <c r="H2562" t="s">
        <v>154</v>
      </c>
      <c r="I2562" t="s">
        <v>365</v>
      </c>
      <c r="J2562" t="s">
        <v>25</v>
      </c>
      <c r="K2562" t="s">
        <v>13254</v>
      </c>
      <c r="L2562">
        <v>0.05</v>
      </c>
      <c r="M2562" t="s">
        <v>13255</v>
      </c>
      <c r="N2562" t="s">
        <v>13256</v>
      </c>
      <c r="O2562" t="s">
        <v>173</v>
      </c>
      <c r="P2562" t="s">
        <v>30</v>
      </c>
      <c r="Q2562" t="s">
        <v>31</v>
      </c>
      <c r="R2562" s="3">
        <v>6624.4449999999997</v>
      </c>
    </row>
    <row r="2563" spans="1:18" x14ac:dyDescent="0.3">
      <c r="A2563" t="s">
        <v>13257</v>
      </c>
      <c r="B2563" t="str">
        <f>TEXT(Raw_Data[[#This Row],[Order Date]],"mmm")</f>
        <v>Jul</v>
      </c>
      <c r="C2563" t="s">
        <v>3575</v>
      </c>
      <c r="D2563" t="s">
        <v>13258</v>
      </c>
      <c r="E2563" t="s">
        <v>20</v>
      </c>
      <c r="F2563" t="s">
        <v>106</v>
      </c>
      <c r="G2563" t="s">
        <v>163</v>
      </c>
      <c r="H2563" t="s">
        <v>154</v>
      </c>
      <c r="I2563" t="s">
        <v>365</v>
      </c>
      <c r="J2563" t="s">
        <v>50</v>
      </c>
      <c r="K2563" t="s">
        <v>13259</v>
      </c>
      <c r="L2563">
        <v>0.1</v>
      </c>
      <c r="M2563" t="s">
        <v>13260</v>
      </c>
      <c r="N2563" t="s">
        <v>13261</v>
      </c>
      <c r="O2563" t="s">
        <v>64</v>
      </c>
      <c r="P2563" t="s">
        <v>30</v>
      </c>
      <c r="Q2563" t="s">
        <v>31</v>
      </c>
      <c r="R2563" s="3">
        <v>20214.648000000001</v>
      </c>
    </row>
    <row r="2564" spans="1:18" x14ac:dyDescent="0.3">
      <c r="A2564" t="s">
        <v>13262</v>
      </c>
      <c r="B2564" t="str">
        <f>TEXT(Raw_Data[[#This Row],[Order Date]],"mmm")</f>
        <v>Nov</v>
      </c>
      <c r="C2564" t="s">
        <v>11165</v>
      </c>
      <c r="D2564" t="s">
        <v>13263</v>
      </c>
      <c r="E2564" t="s">
        <v>48</v>
      </c>
      <c r="F2564" t="s">
        <v>89</v>
      </c>
      <c r="G2564" t="s">
        <v>99</v>
      </c>
      <c r="H2564" t="s">
        <v>80</v>
      </c>
      <c r="I2564" t="s">
        <v>131</v>
      </c>
      <c r="J2564" t="s">
        <v>25</v>
      </c>
      <c r="K2564" t="s">
        <v>13264</v>
      </c>
      <c r="L2564">
        <v>0.05</v>
      </c>
      <c r="M2564" t="s">
        <v>13265</v>
      </c>
      <c r="N2564" t="s">
        <v>13266</v>
      </c>
      <c r="O2564" t="s">
        <v>43</v>
      </c>
      <c r="P2564" t="s">
        <v>30</v>
      </c>
      <c r="Q2564" t="s">
        <v>65</v>
      </c>
      <c r="R2564" s="3">
        <v>4000.4119999999998</v>
      </c>
    </row>
    <row r="2565" spans="1:18" x14ac:dyDescent="0.3">
      <c r="A2565" t="s">
        <v>13267</v>
      </c>
      <c r="B2565" t="str">
        <f>TEXT(Raw_Data[[#This Row],[Order Date]],"mmm")</f>
        <v>Jul</v>
      </c>
      <c r="C2565" t="s">
        <v>389</v>
      </c>
      <c r="D2565" t="s">
        <v>13268</v>
      </c>
      <c r="E2565" t="s">
        <v>35</v>
      </c>
      <c r="F2565" t="s">
        <v>106</v>
      </c>
      <c r="G2565" t="s">
        <v>163</v>
      </c>
      <c r="H2565" t="s">
        <v>107</v>
      </c>
      <c r="I2565" t="s">
        <v>378</v>
      </c>
      <c r="J2565" t="s">
        <v>50</v>
      </c>
      <c r="K2565" t="s">
        <v>13269</v>
      </c>
      <c r="L2565">
        <v>0.05</v>
      </c>
      <c r="M2565" t="s">
        <v>13270</v>
      </c>
      <c r="N2565" t="s">
        <v>13271</v>
      </c>
      <c r="O2565" t="s">
        <v>43</v>
      </c>
      <c r="P2565" t="s">
        <v>112</v>
      </c>
      <c r="Q2565" t="s">
        <v>65</v>
      </c>
      <c r="R2565" s="3">
        <v>23351.227999999999</v>
      </c>
    </row>
    <row r="2566" spans="1:18" x14ac:dyDescent="0.3">
      <c r="A2566" t="s">
        <v>13272</v>
      </c>
      <c r="B2566" t="str">
        <f>TEXT(Raw_Data[[#This Row],[Order Date]],"mmm")</f>
        <v>May</v>
      </c>
      <c r="C2566" t="s">
        <v>1498</v>
      </c>
      <c r="D2566" t="s">
        <v>13273</v>
      </c>
      <c r="E2566" t="s">
        <v>48</v>
      </c>
      <c r="F2566" t="s">
        <v>58</v>
      </c>
      <c r="G2566" t="s">
        <v>812</v>
      </c>
      <c r="H2566" t="s">
        <v>23</v>
      </c>
      <c r="I2566" t="s">
        <v>49</v>
      </c>
      <c r="J2566" t="s">
        <v>25</v>
      </c>
      <c r="K2566" t="s">
        <v>13274</v>
      </c>
      <c r="L2566">
        <v>0.05</v>
      </c>
      <c r="M2566" t="s">
        <v>13275</v>
      </c>
      <c r="N2566" t="s">
        <v>13276</v>
      </c>
      <c r="O2566" t="s">
        <v>43</v>
      </c>
      <c r="P2566" t="s">
        <v>30</v>
      </c>
      <c r="Q2566" t="s">
        <v>65</v>
      </c>
      <c r="R2566" s="3">
        <v>22207.047999999999</v>
      </c>
    </row>
    <row r="2567" spans="1:18" x14ac:dyDescent="0.3">
      <c r="A2567" t="s">
        <v>13277</v>
      </c>
      <c r="B2567" t="str">
        <f>TEXT(Raw_Data[[#This Row],[Order Date]],"mmm")</f>
        <v>Mar</v>
      </c>
      <c r="C2567" t="s">
        <v>1128</v>
      </c>
      <c r="D2567" t="s">
        <v>13278</v>
      </c>
      <c r="E2567" t="s">
        <v>48</v>
      </c>
      <c r="F2567" t="s">
        <v>21</v>
      </c>
      <c r="G2567" t="s">
        <v>130</v>
      </c>
      <c r="H2567" t="s">
        <v>80</v>
      </c>
      <c r="I2567" t="s">
        <v>91</v>
      </c>
      <c r="J2567" t="s">
        <v>25</v>
      </c>
      <c r="K2567" t="s">
        <v>13279</v>
      </c>
      <c r="L2567">
        <v>0.2</v>
      </c>
      <c r="M2567" t="s">
        <v>13280</v>
      </c>
      <c r="N2567" t="s">
        <v>13281</v>
      </c>
      <c r="O2567" t="s">
        <v>173</v>
      </c>
      <c r="P2567" t="s">
        <v>30</v>
      </c>
      <c r="Q2567" t="s">
        <v>44</v>
      </c>
      <c r="R2567" s="3">
        <v>2508.424</v>
      </c>
    </row>
    <row r="2568" spans="1:18" x14ac:dyDescent="0.3">
      <c r="A2568" t="s">
        <v>13282</v>
      </c>
      <c r="B2568" t="str">
        <f>TEXT(Raw_Data[[#This Row],[Order Date]],"mmm")</f>
        <v>Mar</v>
      </c>
      <c r="C2568" t="s">
        <v>1527</v>
      </c>
      <c r="D2568" t="s">
        <v>13283</v>
      </c>
      <c r="E2568" t="s">
        <v>35</v>
      </c>
      <c r="F2568" t="s">
        <v>106</v>
      </c>
      <c r="G2568" t="s">
        <v>106</v>
      </c>
      <c r="H2568" t="s">
        <v>80</v>
      </c>
      <c r="I2568" t="s">
        <v>81</v>
      </c>
      <c r="J2568" t="s">
        <v>25</v>
      </c>
      <c r="K2568" t="s">
        <v>13284</v>
      </c>
      <c r="L2568">
        <v>0</v>
      </c>
      <c r="M2568" t="s">
        <v>13285</v>
      </c>
      <c r="N2568" t="s">
        <v>13286</v>
      </c>
      <c r="O2568" t="s">
        <v>173</v>
      </c>
      <c r="P2568" t="s">
        <v>30</v>
      </c>
      <c r="Q2568" t="s">
        <v>44</v>
      </c>
      <c r="R2568" s="3">
        <v>2771.99</v>
      </c>
    </row>
    <row r="2569" spans="1:18" x14ac:dyDescent="0.3">
      <c r="A2569" t="s">
        <v>13287</v>
      </c>
      <c r="B2569" t="str">
        <f>TEXT(Raw_Data[[#This Row],[Order Date]],"mmm")</f>
        <v>Jan</v>
      </c>
      <c r="C2569" t="s">
        <v>1414</v>
      </c>
      <c r="D2569" t="s">
        <v>13288</v>
      </c>
      <c r="E2569" t="s">
        <v>48</v>
      </c>
      <c r="F2569" t="s">
        <v>215</v>
      </c>
      <c r="G2569" t="s">
        <v>216</v>
      </c>
      <c r="H2569" t="s">
        <v>80</v>
      </c>
      <c r="I2569" t="s">
        <v>81</v>
      </c>
      <c r="J2569" t="s">
        <v>25</v>
      </c>
      <c r="K2569" t="s">
        <v>13289</v>
      </c>
      <c r="L2569">
        <v>0</v>
      </c>
      <c r="M2569" t="s">
        <v>13290</v>
      </c>
      <c r="N2569" t="s">
        <v>13291</v>
      </c>
      <c r="O2569" t="s">
        <v>29</v>
      </c>
      <c r="P2569" t="s">
        <v>30</v>
      </c>
      <c r="Q2569" t="s">
        <v>31</v>
      </c>
      <c r="R2569" s="3">
        <v>2578.62</v>
      </c>
    </row>
    <row r="2570" spans="1:18" x14ac:dyDescent="0.3">
      <c r="A2570" t="s">
        <v>13292</v>
      </c>
      <c r="B2570" t="str">
        <f>TEXT(Raw_Data[[#This Row],[Order Date]],"mmm")</f>
        <v>May</v>
      </c>
      <c r="C2570" t="s">
        <v>3102</v>
      </c>
      <c r="D2570" t="s">
        <v>13293</v>
      </c>
      <c r="E2570" t="s">
        <v>48</v>
      </c>
      <c r="F2570" t="s">
        <v>58</v>
      </c>
      <c r="G2570" t="s">
        <v>290</v>
      </c>
      <c r="H2570" t="s">
        <v>107</v>
      </c>
      <c r="I2570" t="s">
        <v>591</v>
      </c>
      <c r="J2570" t="s">
        <v>25</v>
      </c>
      <c r="K2570" t="s">
        <v>13294</v>
      </c>
      <c r="L2570">
        <v>0.15</v>
      </c>
      <c r="M2570" t="s">
        <v>13295</v>
      </c>
      <c r="N2570" t="s">
        <v>13296</v>
      </c>
      <c r="O2570" t="s">
        <v>54</v>
      </c>
      <c r="P2570" t="s">
        <v>30</v>
      </c>
      <c r="Q2570" t="s">
        <v>44</v>
      </c>
      <c r="R2570" s="3">
        <v>9857.6454999999896</v>
      </c>
    </row>
    <row r="2571" spans="1:18" x14ac:dyDescent="0.3">
      <c r="A2571" t="s">
        <v>13297</v>
      </c>
      <c r="B2571" t="str">
        <f>TEXT(Raw_Data[[#This Row],[Order Date]],"mmm")</f>
        <v>Jul</v>
      </c>
      <c r="C2571" t="s">
        <v>792</v>
      </c>
      <c r="D2571" t="s">
        <v>13298</v>
      </c>
      <c r="E2571" t="s">
        <v>20</v>
      </c>
      <c r="F2571" t="s">
        <v>106</v>
      </c>
      <c r="G2571" t="s">
        <v>163</v>
      </c>
      <c r="H2571" t="s">
        <v>107</v>
      </c>
      <c r="I2571" t="s">
        <v>108</v>
      </c>
      <c r="J2571" t="s">
        <v>25</v>
      </c>
      <c r="K2571" t="s">
        <v>13299</v>
      </c>
      <c r="L2571">
        <v>0</v>
      </c>
      <c r="M2571" t="s">
        <v>13300</v>
      </c>
      <c r="N2571" t="s">
        <v>13301</v>
      </c>
      <c r="O2571" t="s">
        <v>29</v>
      </c>
      <c r="P2571" t="s">
        <v>30</v>
      </c>
      <c r="Q2571" t="s">
        <v>31</v>
      </c>
      <c r="R2571" s="3">
        <v>15554.31</v>
      </c>
    </row>
    <row r="2572" spans="1:18" x14ac:dyDescent="0.3">
      <c r="A2572" t="s">
        <v>13302</v>
      </c>
      <c r="B2572" t="str">
        <f>TEXT(Raw_Data[[#This Row],[Order Date]],"mmm")</f>
        <v>Mar</v>
      </c>
      <c r="C2572" t="s">
        <v>602</v>
      </c>
      <c r="D2572" t="s">
        <v>13303</v>
      </c>
      <c r="E2572" t="s">
        <v>48</v>
      </c>
      <c r="F2572" t="s">
        <v>21</v>
      </c>
      <c r="G2572" t="s">
        <v>130</v>
      </c>
      <c r="H2572" t="s">
        <v>154</v>
      </c>
      <c r="I2572" t="s">
        <v>309</v>
      </c>
      <c r="J2572" t="s">
        <v>50</v>
      </c>
      <c r="K2572" t="s">
        <v>13304</v>
      </c>
      <c r="L2572">
        <v>0.05</v>
      </c>
      <c r="M2572" t="s">
        <v>13305</v>
      </c>
      <c r="N2572" t="s">
        <v>13306</v>
      </c>
      <c r="O2572" t="s">
        <v>43</v>
      </c>
      <c r="P2572" t="s">
        <v>30</v>
      </c>
      <c r="Q2572" t="s">
        <v>65</v>
      </c>
      <c r="R2572" s="3">
        <v>9938.3680000000004</v>
      </c>
    </row>
    <row r="2573" spans="1:18" x14ac:dyDescent="0.3">
      <c r="A2573" t="s">
        <v>13307</v>
      </c>
      <c r="B2573" t="str">
        <f>TEXT(Raw_Data[[#This Row],[Order Date]],"mmm")</f>
        <v>Jun</v>
      </c>
      <c r="C2573" t="s">
        <v>1274</v>
      </c>
      <c r="D2573" t="s">
        <v>13308</v>
      </c>
      <c r="E2573" t="s">
        <v>48</v>
      </c>
      <c r="F2573" t="s">
        <v>215</v>
      </c>
      <c r="G2573" t="s">
        <v>216</v>
      </c>
      <c r="H2573" t="s">
        <v>38</v>
      </c>
      <c r="I2573" t="s">
        <v>71</v>
      </c>
      <c r="J2573" t="s">
        <v>25</v>
      </c>
      <c r="K2573" t="s">
        <v>13309</v>
      </c>
      <c r="L2573">
        <v>0.1</v>
      </c>
      <c r="M2573" t="s">
        <v>13310</v>
      </c>
      <c r="N2573" t="s">
        <v>13311</v>
      </c>
      <c r="O2573" t="s">
        <v>43</v>
      </c>
      <c r="P2573" t="s">
        <v>95</v>
      </c>
      <c r="Q2573" t="s">
        <v>65</v>
      </c>
      <c r="R2573" s="3">
        <v>4499.8829999999998</v>
      </c>
    </row>
    <row r="2574" spans="1:18" x14ac:dyDescent="0.3">
      <c r="A2574" t="s">
        <v>13312</v>
      </c>
      <c r="B2574" t="str">
        <f>TEXT(Raw_Data[[#This Row],[Order Date]],"mmm")</f>
        <v>Jul</v>
      </c>
      <c r="C2574" t="s">
        <v>412</v>
      </c>
      <c r="D2574" t="s">
        <v>13313</v>
      </c>
      <c r="E2574" t="s">
        <v>48</v>
      </c>
      <c r="F2574" t="s">
        <v>58</v>
      </c>
      <c r="G2574" t="s">
        <v>59</v>
      </c>
      <c r="H2574" t="s">
        <v>154</v>
      </c>
      <c r="I2574" t="s">
        <v>1061</v>
      </c>
      <c r="J2574" t="s">
        <v>50</v>
      </c>
      <c r="K2574" t="s">
        <v>13314</v>
      </c>
      <c r="L2574">
        <v>0</v>
      </c>
      <c r="M2574" t="s">
        <v>13315</v>
      </c>
      <c r="N2574" t="s">
        <v>13316</v>
      </c>
      <c r="O2574" t="s">
        <v>173</v>
      </c>
      <c r="P2574" t="s">
        <v>112</v>
      </c>
      <c r="Q2574" t="s">
        <v>31</v>
      </c>
      <c r="R2574" s="3">
        <v>22761.599999999999</v>
      </c>
    </row>
    <row r="2575" spans="1:18" x14ac:dyDescent="0.3">
      <c r="A2575" t="s">
        <v>13317</v>
      </c>
      <c r="B2575" t="str">
        <f>TEXT(Raw_Data[[#This Row],[Order Date]],"mmm")</f>
        <v>Dec</v>
      </c>
      <c r="C2575" t="s">
        <v>1319</v>
      </c>
      <c r="D2575" t="s">
        <v>13318</v>
      </c>
      <c r="E2575" t="s">
        <v>48</v>
      </c>
      <c r="F2575" t="s">
        <v>89</v>
      </c>
      <c r="G2575" t="s">
        <v>230</v>
      </c>
      <c r="H2575" t="s">
        <v>154</v>
      </c>
      <c r="I2575" t="s">
        <v>1061</v>
      </c>
      <c r="J2575" t="s">
        <v>25</v>
      </c>
      <c r="K2575" t="s">
        <v>13319</v>
      </c>
      <c r="L2575">
        <v>0.1</v>
      </c>
      <c r="M2575" t="s">
        <v>13320</v>
      </c>
      <c r="N2575" t="s">
        <v>13321</v>
      </c>
      <c r="O2575" t="s">
        <v>64</v>
      </c>
      <c r="P2575" t="s">
        <v>30</v>
      </c>
      <c r="Q2575" t="s">
        <v>65</v>
      </c>
      <c r="R2575" s="3">
        <v>6208.8209999999999</v>
      </c>
    </row>
    <row r="2576" spans="1:18" x14ac:dyDescent="0.3">
      <c r="A2576" t="s">
        <v>13322</v>
      </c>
      <c r="B2576" t="str">
        <f>TEXT(Raw_Data[[#This Row],[Order Date]],"mmm")</f>
        <v>Jul</v>
      </c>
      <c r="C2576" t="s">
        <v>358</v>
      </c>
      <c r="D2576" t="s">
        <v>13323</v>
      </c>
      <c r="E2576" t="s">
        <v>20</v>
      </c>
      <c r="F2576" t="s">
        <v>21</v>
      </c>
      <c r="G2576" t="s">
        <v>130</v>
      </c>
      <c r="H2576" t="s">
        <v>80</v>
      </c>
      <c r="I2576" t="s">
        <v>146</v>
      </c>
      <c r="J2576" t="s">
        <v>50</v>
      </c>
      <c r="K2576" t="s">
        <v>13324</v>
      </c>
      <c r="L2576">
        <v>0.1</v>
      </c>
      <c r="M2576" t="s">
        <v>13325</v>
      </c>
      <c r="N2576" t="s">
        <v>13326</v>
      </c>
      <c r="O2576" t="s">
        <v>29</v>
      </c>
      <c r="P2576" t="s">
        <v>30</v>
      </c>
      <c r="Q2576" t="s">
        <v>31</v>
      </c>
      <c r="R2576" s="3">
        <v>8460.18</v>
      </c>
    </row>
    <row r="2577" spans="1:18" x14ac:dyDescent="0.3">
      <c r="A2577" t="s">
        <v>13327</v>
      </c>
      <c r="B2577" t="str">
        <f>TEXT(Raw_Data[[#This Row],[Order Date]],"mmm")</f>
        <v>Aug</v>
      </c>
      <c r="C2577" t="s">
        <v>6777</v>
      </c>
      <c r="D2577" t="s">
        <v>13328</v>
      </c>
      <c r="E2577" t="s">
        <v>35</v>
      </c>
      <c r="F2577" t="s">
        <v>215</v>
      </c>
      <c r="G2577" t="s">
        <v>216</v>
      </c>
      <c r="H2577" t="s">
        <v>107</v>
      </c>
      <c r="I2577" t="s">
        <v>591</v>
      </c>
      <c r="J2577" t="s">
        <v>25</v>
      </c>
      <c r="K2577" t="s">
        <v>13329</v>
      </c>
      <c r="L2577">
        <v>0.1</v>
      </c>
      <c r="M2577" t="s">
        <v>13330</v>
      </c>
      <c r="N2577" t="s">
        <v>13331</v>
      </c>
      <c r="O2577" t="s">
        <v>3684</v>
      </c>
      <c r="P2577" t="s">
        <v>30</v>
      </c>
      <c r="Q2577" t="s">
        <v>31</v>
      </c>
      <c r="R2577" s="3">
        <v>7655.0309999999999</v>
      </c>
    </row>
    <row r="2578" spans="1:18" x14ac:dyDescent="0.3">
      <c r="A2578" t="s">
        <v>13332</v>
      </c>
      <c r="B2578" t="str">
        <f>TEXT(Raw_Data[[#This Row],[Order Date]],"mmm")</f>
        <v>Feb</v>
      </c>
      <c r="C2578" t="s">
        <v>7114</v>
      </c>
      <c r="D2578" t="s">
        <v>13333</v>
      </c>
      <c r="E2578" t="s">
        <v>35</v>
      </c>
      <c r="F2578" t="s">
        <v>21</v>
      </c>
      <c r="G2578" t="s">
        <v>130</v>
      </c>
      <c r="H2578" t="s">
        <v>80</v>
      </c>
      <c r="I2578" t="s">
        <v>116</v>
      </c>
      <c r="J2578" t="s">
        <v>25</v>
      </c>
      <c r="K2578" t="s">
        <v>13334</v>
      </c>
      <c r="L2578">
        <v>0.1</v>
      </c>
      <c r="M2578" t="s">
        <v>13335</v>
      </c>
      <c r="N2578" t="s">
        <v>13336</v>
      </c>
      <c r="O2578" t="s">
        <v>43</v>
      </c>
      <c r="P2578" t="s">
        <v>112</v>
      </c>
      <c r="Q2578" t="s">
        <v>44</v>
      </c>
      <c r="R2578" s="3">
        <v>2915.2080000000001</v>
      </c>
    </row>
    <row r="2579" spans="1:18" x14ac:dyDescent="0.3">
      <c r="A2579" t="s">
        <v>13337</v>
      </c>
      <c r="B2579" t="str">
        <f>TEXT(Raw_Data[[#This Row],[Order Date]],"mmm")</f>
        <v>Aug</v>
      </c>
      <c r="C2579" t="s">
        <v>6777</v>
      </c>
      <c r="D2579" t="s">
        <v>13338</v>
      </c>
      <c r="E2579" t="s">
        <v>35</v>
      </c>
      <c r="F2579" t="s">
        <v>78</v>
      </c>
      <c r="G2579" t="s">
        <v>731</v>
      </c>
      <c r="H2579" t="s">
        <v>154</v>
      </c>
      <c r="I2579" t="s">
        <v>155</v>
      </c>
      <c r="J2579" t="s">
        <v>25</v>
      </c>
      <c r="K2579" t="s">
        <v>13339</v>
      </c>
      <c r="L2579">
        <v>0.1</v>
      </c>
      <c r="M2579" t="s">
        <v>13340</v>
      </c>
      <c r="N2579" t="s">
        <v>13341</v>
      </c>
      <c r="O2579" t="s">
        <v>43</v>
      </c>
      <c r="P2579" t="s">
        <v>30</v>
      </c>
      <c r="Q2579" t="s">
        <v>44</v>
      </c>
      <c r="R2579" s="3">
        <v>1535.8679999999999</v>
      </c>
    </row>
    <row r="2580" spans="1:18" x14ac:dyDescent="0.3">
      <c r="A2580" t="s">
        <v>13342</v>
      </c>
      <c r="B2580" t="str">
        <f>TEXT(Raw_Data[[#This Row],[Order Date]],"mmm")</f>
        <v>Jan</v>
      </c>
      <c r="C2580" t="s">
        <v>7494</v>
      </c>
      <c r="D2580" t="s">
        <v>13343</v>
      </c>
      <c r="E2580" t="s">
        <v>48</v>
      </c>
      <c r="F2580" t="s">
        <v>215</v>
      </c>
      <c r="G2580" t="s">
        <v>276</v>
      </c>
      <c r="H2580" t="s">
        <v>80</v>
      </c>
      <c r="I2580" t="s">
        <v>146</v>
      </c>
      <c r="J2580" t="s">
        <v>25</v>
      </c>
      <c r="K2580" t="s">
        <v>13344</v>
      </c>
      <c r="L2580">
        <v>0</v>
      </c>
      <c r="M2580" t="s">
        <v>13345</v>
      </c>
      <c r="N2580" t="s">
        <v>13346</v>
      </c>
      <c r="O2580" t="s">
        <v>64</v>
      </c>
      <c r="P2580" t="s">
        <v>30</v>
      </c>
      <c r="Q2580" t="s">
        <v>44</v>
      </c>
      <c r="R2580" s="3">
        <v>1239.92</v>
      </c>
    </row>
    <row r="2581" spans="1:18" x14ac:dyDescent="0.3">
      <c r="A2581" t="s">
        <v>13347</v>
      </c>
      <c r="B2581" t="str">
        <f>TEXT(Raw_Data[[#This Row],[Order Date]],"mmm")</f>
        <v>Nov</v>
      </c>
      <c r="C2581" t="s">
        <v>1009</v>
      </c>
      <c r="D2581" t="s">
        <v>13348</v>
      </c>
      <c r="E2581" t="s">
        <v>20</v>
      </c>
      <c r="F2581" t="s">
        <v>89</v>
      </c>
      <c r="G2581" t="s">
        <v>90</v>
      </c>
      <c r="H2581" t="s">
        <v>80</v>
      </c>
      <c r="I2581" t="s">
        <v>91</v>
      </c>
      <c r="J2581" t="s">
        <v>25</v>
      </c>
      <c r="K2581" t="s">
        <v>13349</v>
      </c>
      <c r="L2581">
        <v>0.1</v>
      </c>
      <c r="M2581" t="s">
        <v>13350</v>
      </c>
      <c r="N2581" t="s">
        <v>13351</v>
      </c>
      <c r="O2581" t="s">
        <v>173</v>
      </c>
      <c r="P2581" t="s">
        <v>30</v>
      </c>
      <c r="Q2581" t="s">
        <v>44</v>
      </c>
      <c r="R2581" s="3">
        <v>1980.3329999999901</v>
      </c>
    </row>
    <row r="2582" spans="1:18" x14ac:dyDescent="0.3">
      <c r="A2582" t="s">
        <v>13352</v>
      </c>
      <c r="B2582" t="str">
        <f>TEXT(Raw_Data[[#This Row],[Order Date]],"mmm")</f>
        <v>Nov</v>
      </c>
      <c r="C2582" t="s">
        <v>1775</v>
      </c>
      <c r="D2582" t="s">
        <v>13353</v>
      </c>
      <c r="E2582" t="s">
        <v>20</v>
      </c>
      <c r="F2582" t="s">
        <v>89</v>
      </c>
      <c r="G2582" t="s">
        <v>99</v>
      </c>
      <c r="H2582" t="s">
        <v>23</v>
      </c>
      <c r="I2582" t="s">
        <v>341</v>
      </c>
      <c r="J2582" t="s">
        <v>25</v>
      </c>
      <c r="K2582" t="s">
        <v>13354</v>
      </c>
      <c r="L2582">
        <v>0.05</v>
      </c>
      <c r="M2582" t="s">
        <v>13355</v>
      </c>
      <c r="N2582" t="s">
        <v>13356</v>
      </c>
      <c r="O2582" t="s">
        <v>29</v>
      </c>
      <c r="P2582" t="s">
        <v>30</v>
      </c>
      <c r="Q2582" t="s">
        <v>31</v>
      </c>
      <c r="R2582" s="3">
        <v>26378.963500000002</v>
      </c>
    </row>
    <row r="2583" spans="1:18" x14ac:dyDescent="0.3">
      <c r="A2583" t="s">
        <v>13357</v>
      </c>
      <c r="B2583" t="str">
        <f>TEXT(Raw_Data[[#This Row],[Order Date]],"mmm")</f>
        <v>Jun</v>
      </c>
      <c r="C2583" t="s">
        <v>3514</v>
      </c>
      <c r="D2583" t="s">
        <v>13358</v>
      </c>
      <c r="E2583" t="s">
        <v>48</v>
      </c>
      <c r="F2583" t="s">
        <v>106</v>
      </c>
      <c r="G2583" t="s">
        <v>163</v>
      </c>
      <c r="H2583" t="s">
        <v>80</v>
      </c>
      <c r="I2583" t="s">
        <v>116</v>
      </c>
      <c r="J2583" t="s">
        <v>25</v>
      </c>
      <c r="K2583" t="s">
        <v>13359</v>
      </c>
      <c r="L2583">
        <v>0.15</v>
      </c>
      <c r="M2583" t="s">
        <v>13360</v>
      </c>
      <c r="N2583" t="s">
        <v>13361</v>
      </c>
      <c r="O2583" t="s">
        <v>64</v>
      </c>
      <c r="P2583" t="s">
        <v>30</v>
      </c>
      <c r="Q2583" t="s">
        <v>31</v>
      </c>
      <c r="R2583" s="3">
        <v>1334.789</v>
      </c>
    </row>
    <row r="2584" spans="1:18" x14ac:dyDescent="0.3">
      <c r="A2584" t="s">
        <v>13362</v>
      </c>
      <c r="B2584" t="str">
        <f>TEXT(Raw_Data[[#This Row],[Order Date]],"mmm")</f>
        <v>Jul</v>
      </c>
      <c r="C2584" t="s">
        <v>87</v>
      </c>
      <c r="D2584" t="s">
        <v>13363</v>
      </c>
      <c r="E2584" t="s">
        <v>48</v>
      </c>
      <c r="F2584" t="s">
        <v>89</v>
      </c>
      <c r="G2584" t="s">
        <v>230</v>
      </c>
      <c r="H2584" t="s">
        <v>107</v>
      </c>
      <c r="I2584" t="s">
        <v>277</v>
      </c>
      <c r="J2584" t="s">
        <v>50</v>
      </c>
      <c r="K2584" t="s">
        <v>13364</v>
      </c>
      <c r="L2584">
        <v>0</v>
      </c>
      <c r="M2584" t="s">
        <v>13365</v>
      </c>
      <c r="N2584" t="s">
        <v>13366</v>
      </c>
      <c r="O2584" t="s">
        <v>54</v>
      </c>
      <c r="P2584" t="s">
        <v>30</v>
      </c>
      <c r="Q2584" t="s">
        <v>65</v>
      </c>
      <c r="R2584" s="3">
        <v>19141.419999999998</v>
      </c>
    </row>
    <row r="2585" spans="1:18" x14ac:dyDescent="0.3">
      <c r="A2585" t="s">
        <v>13367</v>
      </c>
      <c r="B2585" t="str">
        <f>TEXT(Raw_Data[[#This Row],[Order Date]],"mmm")</f>
        <v>Feb</v>
      </c>
      <c r="C2585" t="s">
        <v>2399</v>
      </c>
      <c r="D2585" t="s">
        <v>13368</v>
      </c>
      <c r="E2585" t="s">
        <v>35</v>
      </c>
      <c r="F2585" t="s">
        <v>21</v>
      </c>
      <c r="G2585" t="s">
        <v>130</v>
      </c>
      <c r="H2585" t="s">
        <v>80</v>
      </c>
      <c r="I2585" t="s">
        <v>146</v>
      </c>
      <c r="J2585" t="s">
        <v>25</v>
      </c>
      <c r="K2585" t="s">
        <v>13369</v>
      </c>
      <c r="L2585">
        <v>0.15</v>
      </c>
      <c r="M2585" t="s">
        <v>13370</v>
      </c>
      <c r="N2585" t="s">
        <v>13371</v>
      </c>
      <c r="O2585" t="s">
        <v>43</v>
      </c>
      <c r="P2585" t="s">
        <v>30</v>
      </c>
      <c r="Q2585" t="s">
        <v>44</v>
      </c>
      <c r="R2585" s="3">
        <v>5758.2314999999999</v>
      </c>
    </row>
    <row r="2586" spans="1:18" x14ac:dyDescent="0.3">
      <c r="A2586" t="s">
        <v>13372</v>
      </c>
      <c r="B2586" t="str">
        <f>TEXT(Raw_Data[[#This Row],[Order Date]],"mmm")</f>
        <v>Oct</v>
      </c>
      <c r="C2586" t="s">
        <v>2316</v>
      </c>
      <c r="D2586" t="s">
        <v>13373</v>
      </c>
      <c r="E2586" t="s">
        <v>48</v>
      </c>
      <c r="F2586" t="s">
        <v>21</v>
      </c>
      <c r="G2586" t="s">
        <v>22</v>
      </c>
      <c r="H2586" t="s">
        <v>80</v>
      </c>
      <c r="I2586" t="s">
        <v>81</v>
      </c>
      <c r="J2586" t="s">
        <v>50</v>
      </c>
      <c r="K2586" t="s">
        <v>13374</v>
      </c>
      <c r="L2586">
        <v>0.1</v>
      </c>
      <c r="M2586" t="s">
        <v>13375</v>
      </c>
      <c r="N2586" t="s">
        <v>13376</v>
      </c>
      <c r="O2586" t="s">
        <v>54</v>
      </c>
      <c r="P2586" t="s">
        <v>30</v>
      </c>
      <c r="Q2586" t="s">
        <v>44</v>
      </c>
      <c r="R2586" s="3">
        <v>5672.79</v>
      </c>
    </row>
    <row r="2587" spans="1:18" x14ac:dyDescent="0.3">
      <c r="A2587" t="s">
        <v>13377</v>
      </c>
      <c r="B2587" t="str">
        <f>TEXT(Raw_Data[[#This Row],[Order Date]],"mmm")</f>
        <v>Jan</v>
      </c>
      <c r="C2587" t="s">
        <v>891</v>
      </c>
      <c r="D2587" t="s">
        <v>13378</v>
      </c>
      <c r="E2587" t="s">
        <v>35</v>
      </c>
      <c r="F2587" t="s">
        <v>58</v>
      </c>
      <c r="G2587" t="s">
        <v>290</v>
      </c>
      <c r="H2587" t="s">
        <v>23</v>
      </c>
      <c r="I2587" t="s">
        <v>183</v>
      </c>
      <c r="J2587" t="s">
        <v>25</v>
      </c>
      <c r="K2587" t="s">
        <v>13379</v>
      </c>
      <c r="L2587">
        <v>0</v>
      </c>
      <c r="M2587" t="s">
        <v>13380</v>
      </c>
      <c r="N2587" t="s">
        <v>13381</v>
      </c>
      <c r="O2587" t="s">
        <v>54</v>
      </c>
      <c r="P2587" t="s">
        <v>30</v>
      </c>
      <c r="Q2587" t="s">
        <v>65</v>
      </c>
      <c r="R2587" s="3">
        <v>9021.17</v>
      </c>
    </row>
    <row r="2588" spans="1:18" x14ac:dyDescent="0.3">
      <c r="A2588" t="s">
        <v>13382</v>
      </c>
      <c r="B2588" t="str">
        <f>TEXT(Raw_Data[[#This Row],[Order Date]],"mmm")</f>
        <v>Sep</v>
      </c>
      <c r="C2588" t="s">
        <v>4639</v>
      </c>
      <c r="D2588" t="s">
        <v>13383</v>
      </c>
      <c r="E2588" t="s">
        <v>35</v>
      </c>
      <c r="F2588" t="s">
        <v>69</v>
      </c>
      <c r="G2588" t="s">
        <v>328</v>
      </c>
      <c r="H2588" t="s">
        <v>23</v>
      </c>
      <c r="I2588" t="s">
        <v>341</v>
      </c>
      <c r="J2588" t="s">
        <v>100</v>
      </c>
      <c r="K2588" t="s">
        <v>13384</v>
      </c>
      <c r="L2588">
        <v>0.05</v>
      </c>
      <c r="M2588" t="s">
        <v>13385</v>
      </c>
      <c r="N2588" t="s">
        <v>13386</v>
      </c>
      <c r="O2588" t="s">
        <v>173</v>
      </c>
      <c r="P2588" t="s">
        <v>30</v>
      </c>
      <c r="Q2588" t="s">
        <v>31</v>
      </c>
      <c r="R2588" s="3">
        <v>135587.5245</v>
      </c>
    </row>
    <row r="2589" spans="1:18" x14ac:dyDescent="0.3">
      <c r="A2589" t="s">
        <v>13387</v>
      </c>
      <c r="B2589" t="str">
        <f>TEXT(Raw_Data[[#This Row],[Order Date]],"mmm")</f>
        <v>Oct</v>
      </c>
      <c r="C2589" t="s">
        <v>629</v>
      </c>
      <c r="D2589" t="s">
        <v>13388</v>
      </c>
      <c r="E2589" t="s">
        <v>35</v>
      </c>
      <c r="F2589" t="s">
        <v>58</v>
      </c>
      <c r="G2589" t="s">
        <v>812</v>
      </c>
      <c r="H2589" t="s">
        <v>107</v>
      </c>
      <c r="I2589" t="s">
        <v>378</v>
      </c>
      <c r="J2589" t="s">
        <v>50</v>
      </c>
      <c r="K2589" t="s">
        <v>13389</v>
      </c>
      <c r="L2589">
        <v>0.1</v>
      </c>
      <c r="M2589" t="s">
        <v>13390</v>
      </c>
      <c r="N2589" t="s">
        <v>13391</v>
      </c>
      <c r="O2589" t="s">
        <v>54</v>
      </c>
      <c r="P2589" t="s">
        <v>30</v>
      </c>
      <c r="Q2589" t="s">
        <v>44</v>
      </c>
      <c r="R2589" s="3">
        <v>906.55200000000002</v>
      </c>
    </row>
    <row r="2590" spans="1:18" x14ac:dyDescent="0.3">
      <c r="A2590" t="s">
        <v>13392</v>
      </c>
      <c r="B2590" t="str">
        <f>TEXT(Raw_Data[[#This Row],[Order Date]],"mmm")</f>
        <v>Apr</v>
      </c>
      <c r="C2590" t="s">
        <v>596</v>
      </c>
      <c r="D2590" t="s">
        <v>13393</v>
      </c>
      <c r="E2590" t="s">
        <v>35</v>
      </c>
      <c r="F2590" t="s">
        <v>36</v>
      </c>
      <c r="G2590" t="s">
        <v>123</v>
      </c>
      <c r="H2590" t="s">
        <v>80</v>
      </c>
      <c r="I2590" t="s">
        <v>131</v>
      </c>
      <c r="J2590" t="s">
        <v>25</v>
      </c>
      <c r="K2590" t="s">
        <v>13394</v>
      </c>
      <c r="L2590">
        <v>0.05</v>
      </c>
      <c r="M2590" t="s">
        <v>13395</v>
      </c>
      <c r="N2590" t="s">
        <v>13396</v>
      </c>
      <c r="O2590" t="s">
        <v>29</v>
      </c>
      <c r="P2590" t="s">
        <v>112</v>
      </c>
      <c r="Q2590" t="s">
        <v>65</v>
      </c>
      <c r="R2590" s="3">
        <v>3873.7294999999999</v>
      </c>
    </row>
    <row r="2591" spans="1:18" x14ac:dyDescent="0.3">
      <c r="A2591" t="s">
        <v>13397</v>
      </c>
      <c r="B2591" t="str">
        <f>TEXT(Raw_Data[[#This Row],[Order Date]],"mmm")</f>
        <v>Apr</v>
      </c>
      <c r="C2591" t="s">
        <v>2095</v>
      </c>
      <c r="D2591" t="s">
        <v>13398</v>
      </c>
      <c r="E2591" t="s">
        <v>48</v>
      </c>
      <c r="F2591" t="s">
        <v>58</v>
      </c>
      <c r="G2591" t="s">
        <v>812</v>
      </c>
      <c r="H2591" t="s">
        <v>23</v>
      </c>
      <c r="I2591" t="s">
        <v>49</v>
      </c>
      <c r="J2591" t="s">
        <v>50</v>
      </c>
      <c r="K2591" t="s">
        <v>13399</v>
      </c>
      <c r="L2591">
        <v>0</v>
      </c>
      <c r="M2591" t="s">
        <v>13400</v>
      </c>
      <c r="N2591" t="s">
        <v>13401</v>
      </c>
      <c r="O2591" t="s">
        <v>173</v>
      </c>
      <c r="P2591" t="s">
        <v>30</v>
      </c>
      <c r="Q2591" t="s">
        <v>65</v>
      </c>
      <c r="R2591" s="3">
        <v>56413</v>
      </c>
    </row>
    <row r="2592" spans="1:18" x14ac:dyDescent="0.3">
      <c r="A2592" t="s">
        <v>13402</v>
      </c>
      <c r="B2592" t="str">
        <f>TEXT(Raw_Data[[#This Row],[Order Date]],"mmm")</f>
        <v>May</v>
      </c>
      <c r="C2592" t="s">
        <v>3899</v>
      </c>
      <c r="D2592" t="s">
        <v>13403</v>
      </c>
      <c r="E2592" t="s">
        <v>20</v>
      </c>
      <c r="F2592" t="s">
        <v>215</v>
      </c>
      <c r="G2592" t="s">
        <v>216</v>
      </c>
      <c r="H2592" t="s">
        <v>154</v>
      </c>
      <c r="I2592" t="s">
        <v>365</v>
      </c>
      <c r="J2592" t="s">
        <v>25</v>
      </c>
      <c r="K2592" t="s">
        <v>13404</v>
      </c>
      <c r="L2592">
        <v>0.15</v>
      </c>
      <c r="M2592" t="s">
        <v>13405</v>
      </c>
      <c r="N2592" t="s">
        <v>13406</v>
      </c>
      <c r="O2592" t="s">
        <v>64</v>
      </c>
      <c r="P2592" t="s">
        <v>30</v>
      </c>
      <c r="Q2592" t="s">
        <v>31</v>
      </c>
      <c r="R2592" s="3">
        <v>2076.6435000000001</v>
      </c>
    </row>
    <row r="2593" spans="1:18" x14ac:dyDescent="0.3">
      <c r="A2593" t="s">
        <v>13407</v>
      </c>
      <c r="B2593" t="str">
        <f>TEXT(Raw_Data[[#This Row],[Order Date]],"mmm")</f>
        <v>Nov</v>
      </c>
      <c r="C2593" t="s">
        <v>11165</v>
      </c>
      <c r="D2593" t="s">
        <v>13408</v>
      </c>
      <c r="E2593" t="s">
        <v>48</v>
      </c>
      <c r="F2593" t="s">
        <v>36</v>
      </c>
      <c r="G2593" t="s">
        <v>196</v>
      </c>
      <c r="H2593" t="s">
        <v>80</v>
      </c>
      <c r="I2593" t="s">
        <v>81</v>
      </c>
      <c r="J2593" t="s">
        <v>25</v>
      </c>
      <c r="K2593" t="s">
        <v>13409</v>
      </c>
      <c r="L2593">
        <v>0</v>
      </c>
      <c r="M2593" t="s">
        <v>13410</v>
      </c>
      <c r="N2593" t="s">
        <v>13411</v>
      </c>
      <c r="O2593" t="s">
        <v>43</v>
      </c>
      <c r="P2593" t="s">
        <v>30</v>
      </c>
      <c r="Q2593" t="s">
        <v>44</v>
      </c>
      <c r="R2593" s="3">
        <v>5210.8</v>
      </c>
    </row>
    <row r="2594" spans="1:18" x14ac:dyDescent="0.3">
      <c r="A2594" t="s">
        <v>13412</v>
      </c>
      <c r="B2594" t="str">
        <f>TEXT(Raw_Data[[#This Row],[Order Date]],"mmm")</f>
        <v>Nov</v>
      </c>
      <c r="C2594" t="s">
        <v>1697</v>
      </c>
      <c r="D2594" t="s">
        <v>13413</v>
      </c>
      <c r="E2594" t="s">
        <v>35</v>
      </c>
      <c r="F2594" t="s">
        <v>78</v>
      </c>
      <c r="G2594" t="s">
        <v>731</v>
      </c>
      <c r="H2594" t="s">
        <v>80</v>
      </c>
      <c r="I2594" t="s">
        <v>146</v>
      </c>
      <c r="J2594" t="s">
        <v>25</v>
      </c>
      <c r="K2594" t="s">
        <v>13414</v>
      </c>
      <c r="L2594">
        <v>0.1</v>
      </c>
      <c r="M2594" t="s">
        <v>13415</v>
      </c>
      <c r="N2594" t="s">
        <v>13416</v>
      </c>
      <c r="O2594" t="s">
        <v>43</v>
      </c>
      <c r="P2594" t="s">
        <v>3926</v>
      </c>
      <c r="Q2594" t="s">
        <v>65</v>
      </c>
      <c r="R2594" s="3">
        <v>1778.7149999999999</v>
      </c>
    </row>
    <row r="2595" spans="1:18" x14ac:dyDescent="0.3">
      <c r="A2595" t="s">
        <v>13417</v>
      </c>
      <c r="B2595" t="str">
        <f>TEXT(Raw_Data[[#This Row],[Order Date]],"mmm")</f>
        <v>Nov</v>
      </c>
      <c r="C2595" t="s">
        <v>510</v>
      </c>
      <c r="D2595" t="s">
        <v>13418</v>
      </c>
      <c r="E2595" t="s">
        <v>20</v>
      </c>
      <c r="F2595" t="s">
        <v>89</v>
      </c>
      <c r="G2595" t="s">
        <v>90</v>
      </c>
      <c r="H2595" t="s">
        <v>107</v>
      </c>
      <c r="I2595" t="s">
        <v>108</v>
      </c>
      <c r="J2595" t="s">
        <v>50</v>
      </c>
      <c r="K2595" t="s">
        <v>13419</v>
      </c>
      <c r="L2595">
        <v>0.05</v>
      </c>
      <c r="M2595" t="s">
        <v>13420</v>
      </c>
      <c r="N2595" t="s">
        <v>13421</v>
      </c>
      <c r="O2595" t="s">
        <v>64</v>
      </c>
      <c r="P2595" t="s">
        <v>30</v>
      </c>
      <c r="Q2595" t="s">
        <v>31</v>
      </c>
      <c r="R2595" s="3">
        <v>34135.095999999998</v>
      </c>
    </row>
    <row r="2596" spans="1:18" x14ac:dyDescent="0.3">
      <c r="A2596" t="s">
        <v>13422</v>
      </c>
      <c r="B2596" t="str">
        <f>TEXT(Raw_Data[[#This Row],[Order Date]],"mmm")</f>
        <v>Mar</v>
      </c>
      <c r="C2596" t="s">
        <v>3893</v>
      </c>
      <c r="D2596" t="s">
        <v>13423</v>
      </c>
      <c r="E2596" t="s">
        <v>48</v>
      </c>
      <c r="F2596" t="s">
        <v>106</v>
      </c>
      <c r="G2596" t="s">
        <v>163</v>
      </c>
      <c r="H2596" t="s">
        <v>154</v>
      </c>
      <c r="I2596" t="s">
        <v>237</v>
      </c>
      <c r="J2596" t="s">
        <v>50</v>
      </c>
      <c r="K2596" t="s">
        <v>13424</v>
      </c>
      <c r="L2596">
        <v>0</v>
      </c>
      <c r="M2596" t="s">
        <v>13425</v>
      </c>
      <c r="N2596" t="s">
        <v>13426</v>
      </c>
      <c r="O2596" t="s">
        <v>29</v>
      </c>
      <c r="P2596" t="s">
        <v>30</v>
      </c>
      <c r="Q2596" t="s">
        <v>65</v>
      </c>
      <c r="R2596" s="3">
        <v>22875.68</v>
      </c>
    </row>
    <row r="2597" spans="1:18" x14ac:dyDescent="0.3">
      <c r="A2597" t="s">
        <v>13427</v>
      </c>
      <c r="B2597" t="str">
        <f>TEXT(Raw_Data[[#This Row],[Order Date]],"mmm")</f>
        <v>Aug</v>
      </c>
      <c r="C2597" t="s">
        <v>3133</v>
      </c>
      <c r="D2597" t="s">
        <v>13428</v>
      </c>
      <c r="E2597" t="s">
        <v>35</v>
      </c>
      <c r="F2597" t="s">
        <v>58</v>
      </c>
      <c r="G2597" t="s">
        <v>290</v>
      </c>
      <c r="H2597" t="s">
        <v>23</v>
      </c>
      <c r="I2597" t="s">
        <v>49</v>
      </c>
      <c r="J2597" t="s">
        <v>25</v>
      </c>
      <c r="K2597" t="s">
        <v>13429</v>
      </c>
      <c r="L2597">
        <v>0.2</v>
      </c>
      <c r="M2597" t="s">
        <v>13430</v>
      </c>
      <c r="N2597" t="s">
        <v>13431</v>
      </c>
      <c r="O2597" t="s">
        <v>54</v>
      </c>
      <c r="P2597" t="s">
        <v>30</v>
      </c>
      <c r="Q2597" t="s">
        <v>44</v>
      </c>
      <c r="R2597" s="3">
        <v>14543.632</v>
      </c>
    </row>
    <row r="2598" spans="1:18" x14ac:dyDescent="0.3">
      <c r="A2598" t="s">
        <v>13432</v>
      </c>
      <c r="B2598" t="str">
        <f>TEXT(Raw_Data[[#This Row],[Order Date]],"mmm")</f>
        <v>Aug</v>
      </c>
      <c r="C2598" t="s">
        <v>1426</v>
      </c>
      <c r="D2598" t="s">
        <v>13433</v>
      </c>
      <c r="E2598" t="s">
        <v>48</v>
      </c>
      <c r="F2598" t="s">
        <v>106</v>
      </c>
      <c r="G2598" t="s">
        <v>163</v>
      </c>
      <c r="H2598" t="s">
        <v>23</v>
      </c>
      <c r="I2598" t="s">
        <v>24</v>
      </c>
      <c r="J2598" t="s">
        <v>25</v>
      </c>
      <c r="K2598" t="s">
        <v>13434</v>
      </c>
      <c r="L2598">
        <v>0.15</v>
      </c>
      <c r="M2598" t="s">
        <v>13435</v>
      </c>
      <c r="N2598" t="s">
        <v>13436</v>
      </c>
      <c r="O2598" t="s">
        <v>29</v>
      </c>
      <c r="P2598" t="s">
        <v>30</v>
      </c>
      <c r="Q2598" t="s">
        <v>65</v>
      </c>
      <c r="R2598" s="3">
        <v>11697.3854999999</v>
      </c>
    </row>
    <row r="2599" spans="1:18" x14ac:dyDescent="0.3">
      <c r="A2599" t="s">
        <v>13437</v>
      </c>
      <c r="B2599" t="str">
        <f>TEXT(Raw_Data[[#This Row],[Order Date]],"mmm")</f>
        <v>Oct</v>
      </c>
      <c r="C2599" t="s">
        <v>1802</v>
      </c>
      <c r="D2599" t="s">
        <v>13438</v>
      </c>
      <c r="E2599" t="s">
        <v>48</v>
      </c>
      <c r="F2599" t="s">
        <v>106</v>
      </c>
      <c r="G2599" t="s">
        <v>106</v>
      </c>
      <c r="H2599" t="s">
        <v>107</v>
      </c>
      <c r="I2599" t="s">
        <v>591</v>
      </c>
      <c r="J2599" t="s">
        <v>50</v>
      </c>
      <c r="K2599" t="s">
        <v>13439</v>
      </c>
      <c r="L2599">
        <v>0.05</v>
      </c>
      <c r="M2599" t="s">
        <v>13440</v>
      </c>
      <c r="N2599" t="s">
        <v>13441</v>
      </c>
      <c r="O2599" t="s">
        <v>173</v>
      </c>
      <c r="P2599" t="s">
        <v>30</v>
      </c>
      <c r="Q2599" t="s">
        <v>44</v>
      </c>
      <c r="R2599" s="3">
        <v>11125.849</v>
      </c>
    </row>
    <row r="2600" spans="1:18" x14ac:dyDescent="0.3">
      <c r="A2600" t="s">
        <v>13442</v>
      </c>
      <c r="B2600" t="str">
        <f>TEXT(Raw_Data[[#This Row],[Order Date]],"mmm")</f>
        <v>Feb</v>
      </c>
      <c r="C2600" t="s">
        <v>2892</v>
      </c>
      <c r="D2600" t="s">
        <v>13443</v>
      </c>
      <c r="E2600" t="s">
        <v>20</v>
      </c>
      <c r="F2600" t="s">
        <v>36</v>
      </c>
      <c r="G2600" t="s">
        <v>123</v>
      </c>
      <c r="H2600" t="s">
        <v>80</v>
      </c>
      <c r="I2600" t="s">
        <v>116</v>
      </c>
      <c r="J2600" t="s">
        <v>25</v>
      </c>
      <c r="K2600" t="s">
        <v>13444</v>
      </c>
      <c r="L2600">
        <v>0.2</v>
      </c>
      <c r="M2600" t="s">
        <v>13445</v>
      </c>
      <c r="N2600" t="s">
        <v>13446</v>
      </c>
      <c r="O2600" t="s">
        <v>173</v>
      </c>
      <c r="P2600" t="s">
        <v>30</v>
      </c>
      <c r="Q2600" t="s">
        <v>65</v>
      </c>
      <c r="R2600" s="3">
        <v>726.80799999999999</v>
      </c>
    </row>
    <row r="2601" spans="1:18" x14ac:dyDescent="0.3">
      <c r="A2601" t="s">
        <v>13447</v>
      </c>
      <c r="B2601" t="str">
        <f>TEXT(Raw_Data[[#This Row],[Order Date]],"mmm")</f>
        <v>Jan</v>
      </c>
      <c r="C2601" t="s">
        <v>2602</v>
      </c>
      <c r="D2601" t="s">
        <v>13448</v>
      </c>
      <c r="E2601" t="s">
        <v>20</v>
      </c>
      <c r="F2601" t="s">
        <v>78</v>
      </c>
      <c r="G2601" t="s">
        <v>731</v>
      </c>
      <c r="H2601" t="s">
        <v>107</v>
      </c>
      <c r="I2601" t="s">
        <v>108</v>
      </c>
      <c r="J2601" t="s">
        <v>50</v>
      </c>
      <c r="K2601" t="s">
        <v>13449</v>
      </c>
      <c r="L2601">
        <v>0.05</v>
      </c>
      <c r="M2601" t="s">
        <v>13450</v>
      </c>
      <c r="N2601" t="s">
        <v>13451</v>
      </c>
      <c r="O2601" t="s">
        <v>173</v>
      </c>
      <c r="P2601" t="s">
        <v>30</v>
      </c>
      <c r="Q2601" t="s">
        <v>44</v>
      </c>
      <c r="R2601" s="3">
        <v>23445.942999999999</v>
      </c>
    </row>
    <row r="2602" spans="1:18" x14ac:dyDescent="0.3">
      <c r="A2602" t="s">
        <v>13452</v>
      </c>
      <c r="B2602" t="str">
        <f>TEXT(Raw_Data[[#This Row],[Order Date]],"mmm")</f>
        <v>Nov</v>
      </c>
      <c r="C2602" t="s">
        <v>4206</v>
      </c>
      <c r="D2602" t="s">
        <v>13453</v>
      </c>
      <c r="E2602" t="s">
        <v>48</v>
      </c>
      <c r="F2602" t="s">
        <v>21</v>
      </c>
      <c r="G2602" t="s">
        <v>22</v>
      </c>
      <c r="H2602" t="s">
        <v>23</v>
      </c>
      <c r="I2602" t="s">
        <v>263</v>
      </c>
      <c r="J2602" t="s">
        <v>100</v>
      </c>
      <c r="K2602" t="s">
        <v>13454</v>
      </c>
      <c r="L2602">
        <v>0</v>
      </c>
      <c r="M2602" t="s">
        <v>13455</v>
      </c>
      <c r="N2602" t="s">
        <v>13456</v>
      </c>
      <c r="O2602" t="s">
        <v>173</v>
      </c>
      <c r="P2602" t="s">
        <v>30</v>
      </c>
      <c r="Q2602" t="s">
        <v>44</v>
      </c>
      <c r="R2602" s="3">
        <v>91468.47</v>
      </c>
    </row>
    <row r="2603" spans="1:18" x14ac:dyDescent="0.3">
      <c r="A2603" t="s">
        <v>13457</v>
      </c>
      <c r="B2603" t="str">
        <f>TEXT(Raw_Data[[#This Row],[Order Date]],"mmm")</f>
        <v>Oct</v>
      </c>
      <c r="C2603" t="s">
        <v>3910</v>
      </c>
      <c r="D2603" t="s">
        <v>13458</v>
      </c>
      <c r="E2603" t="s">
        <v>35</v>
      </c>
      <c r="F2603" t="s">
        <v>106</v>
      </c>
      <c r="G2603" t="s">
        <v>106</v>
      </c>
      <c r="H2603" t="s">
        <v>23</v>
      </c>
      <c r="I2603" t="s">
        <v>24</v>
      </c>
      <c r="J2603" t="s">
        <v>50</v>
      </c>
      <c r="K2603" t="s">
        <v>13459</v>
      </c>
      <c r="L2603">
        <v>0.05</v>
      </c>
      <c r="M2603" t="s">
        <v>13460</v>
      </c>
      <c r="N2603" t="s">
        <v>13461</v>
      </c>
      <c r="O2603" t="s">
        <v>29</v>
      </c>
      <c r="P2603" t="s">
        <v>30</v>
      </c>
      <c r="Q2603" t="s">
        <v>65</v>
      </c>
      <c r="R2603" s="3">
        <v>124970.409999999</v>
      </c>
    </row>
    <row r="2604" spans="1:18" x14ac:dyDescent="0.3">
      <c r="A2604" t="s">
        <v>13462</v>
      </c>
      <c r="B2604" t="str">
        <f>TEXT(Raw_Data[[#This Row],[Order Date]],"mmm")</f>
        <v>Jul</v>
      </c>
      <c r="C2604" t="s">
        <v>6808</v>
      </c>
      <c r="D2604" t="s">
        <v>13463</v>
      </c>
      <c r="E2604" t="s">
        <v>20</v>
      </c>
      <c r="F2604" t="s">
        <v>215</v>
      </c>
      <c r="G2604" t="s">
        <v>276</v>
      </c>
      <c r="H2604" t="s">
        <v>23</v>
      </c>
      <c r="I2604" t="s">
        <v>183</v>
      </c>
      <c r="J2604" t="s">
        <v>25</v>
      </c>
      <c r="K2604" t="s">
        <v>13464</v>
      </c>
      <c r="L2604">
        <v>0.05</v>
      </c>
      <c r="M2604" t="s">
        <v>13465</v>
      </c>
      <c r="N2604" t="s">
        <v>13466</v>
      </c>
      <c r="O2604" t="s">
        <v>54</v>
      </c>
      <c r="P2604" t="s">
        <v>30</v>
      </c>
      <c r="Q2604" t="s">
        <v>44</v>
      </c>
      <c r="R2604" s="3">
        <v>67085.209499999997</v>
      </c>
    </row>
    <row r="2605" spans="1:18" x14ac:dyDescent="0.3">
      <c r="A2605" t="s">
        <v>13467</v>
      </c>
      <c r="B2605" t="str">
        <f>TEXT(Raw_Data[[#This Row],[Order Date]],"mmm")</f>
        <v>Apr</v>
      </c>
      <c r="C2605" t="s">
        <v>596</v>
      </c>
      <c r="D2605" t="s">
        <v>13468</v>
      </c>
      <c r="E2605" t="s">
        <v>48</v>
      </c>
      <c r="F2605" t="s">
        <v>78</v>
      </c>
      <c r="G2605" t="s">
        <v>79</v>
      </c>
      <c r="H2605" t="s">
        <v>154</v>
      </c>
      <c r="I2605" t="s">
        <v>365</v>
      </c>
      <c r="J2605" t="s">
        <v>25</v>
      </c>
      <c r="K2605" t="s">
        <v>13469</v>
      </c>
      <c r="L2605">
        <v>0.1</v>
      </c>
      <c r="M2605" t="s">
        <v>13470</v>
      </c>
      <c r="N2605" t="s">
        <v>13471</v>
      </c>
      <c r="O2605" t="s">
        <v>54</v>
      </c>
      <c r="P2605" t="s">
        <v>30</v>
      </c>
      <c r="Q2605" t="s">
        <v>44</v>
      </c>
      <c r="R2605" s="3">
        <v>1846.701</v>
      </c>
    </row>
    <row r="2606" spans="1:18" x14ac:dyDescent="0.3">
      <c r="A2606" t="s">
        <v>13472</v>
      </c>
      <c r="B2606" t="str">
        <f>TEXT(Raw_Data[[#This Row],[Order Date]],"mmm")</f>
        <v>Jun</v>
      </c>
      <c r="C2606" t="s">
        <v>3263</v>
      </c>
      <c r="D2606" t="s">
        <v>13473</v>
      </c>
      <c r="E2606" t="s">
        <v>20</v>
      </c>
      <c r="F2606" t="s">
        <v>58</v>
      </c>
      <c r="G2606" t="s">
        <v>812</v>
      </c>
      <c r="H2606" t="s">
        <v>38</v>
      </c>
      <c r="I2606" t="s">
        <v>223</v>
      </c>
      <c r="J2606" t="s">
        <v>25</v>
      </c>
      <c r="K2606" t="s">
        <v>13474</v>
      </c>
      <c r="L2606">
        <v>0.15</v>
      </c>
      <c r="M2606" t="s">
        <v>13475</v>
      </c>
      <c r="N2606" t="s">
        <v>13476</v>
      </c>
      <c r="O2606" t="s">
        <v>43</v>
      </c>
      <c r="P2606" t="s">
        <v>30</v>
      </c>
      <c r="Q2606" t="s">
        <v>65</v>
      </c>
      <c r="R2606" s="3">
        <v>945.21699999999998</v>
      </c>
    </row>
    <row r="2607" spans="1:18" x14ac:dyDescent="0.3">
      <c r="A2607" t="s">
        <v>13477</v>
      </c>
      <c r="B2607" t="str">
        <f>TEXT(Raw_Data[[#This Row],[Order Date]],"mmm")</f>
        <v>Dec</v>
      </c>
      <c r="C2607" t="s">
        <v>1003</v>
      </c>
      <c r="D2607" t="s">
        <v>13478</v>
      </c>
      <c r="E2607" t="s">
        <v>35</v>
      </c>
      <c r="F2607" t="s">
        <v>21</v>
      </c>
      <c r="G2607" t="s">
        <v>130</v>
      </c>
      <c r="H2607" t="s">
        <v>38</v>
      </c>
      <c r="I2607" t="s">
        <v>223</v>
      </c>
      <c r="J2607" t="s">
        <v>25</v>
      </c>
      <c r="K2607" t="s">
        <v>13479</v>
      </c>
      <c r="L2607">
        <v>0.05</v>
      </c>
      <c r="M2607" t="s">
        <v>13480</v>
      </c>
      <c r="N2607" t="s">
        <v>13481</v>
      </c>
      <c r="O2607" t="s">
        <v>43</v>
      </c>
      <c r="P2607" t="s">
        <v>159</v>
      </c>
      <c r="Q2607" t="s">
        <v>65</v>
      </c>
      <c r="R2607" s="3">
        <v>4395.8969999999999</v>
      </c>
    </row>
    <row r="2608" spans="1:18" x14ac:dyDescent="0.3">
      <c r="A2608" t="s">
        <v>13482</v>
      </c>
      <c r="B2608" t="str">
        <f>TEXT(Raw_Data[[#This Row],[Order Date]],"mmm")</f>
        <v>Jul</v>
      </c>
      <c r="C2608" t="s">
        <v>2776</v>
      </c>
      <c r="D2608" t="s">
        <v>13483</v>
      </c>
      <c r="E2608" t="s">
        <v>20</v>
      </c>
      <c r="F2608" t="s">
        <v>215</v>
      </c>
      <c r="G2608" t="s">
        <v>276</v>
      </c>
      <c r="H2608" t="s">
        <v>107</v>
      </c>
      <c r="I2608" t="s">
        <v>469</v>
      </c>
      <c r="J2608" t="s">
        <v>25</v>
      </c>
      <c r="K2608" t="s">
        <v>13484</v>
      </c>
      <c r="L2608">
        <v>0.1</v>
      </c>
      <c r="M2608" t="s">
        <v>13485</v>
      </c>
      <c r="N2608" t="s">
        <v>13486</v>
      </c>
      <c r="O2608" t="s">
        <v>54</v>
      </c>
      <c r="P2608" t="s">
        <v>112</v>
      </c>
      <c r="Q2608" t="s">
        <v>31</v>
      </c>
      <c r="R2608" s="3">
        <v>11797.146000000001</v>
      </c>
    </row>
    <row r="2609" spans="1:18" x14ac:dyDescent="0.3">
      <c r="A2609" t="s">
        <v>13487</v>
      </c>
      <c r="B2609" t="str">
        <f>TEXT(Raw_Data[[#This Row],[Order Date]],"mmm")</f>
        <v>Jun</v>
      </c>
      <c r="C2609" t="s">
        <v>3263</v>
      </c>
      <c r="D2609" t="s">
        <v>13488</v>
      </c>
      <c r="E2609" t="s">
        <v>35</v>
      </c>
      <c r="F2609" t="s">
        <v>69</v>
      </c>
      <c r="G2609" t="s">
        <v>70</v>
      </c>
      <c r="H2609" t="s">
        <v>23</v>
      </c>
      <c r="I2609" t="s">
        <v>24</v>
      </c>
      <c r="J2609" t="s">
        <v>50</v>
      </c>
      <c r="K2609" t="s">
        <v>13489</v>
      </c>
      <c r="L2609">
        <v>0.1</v>
      </c>
      <c r="M2609" t="s">
        <v>13490</v>
      </c>
      <c r="N2609" t="s">
        <v>13491</v>
      </c>
      <c r="O2609" t="s">
        <v>64</v>
      </c>
      <c r="P2609" t="s">
        <v>30</v>
      </c>
      <c r="Q2609" t="s">
        <v>31</v>
      </c>
      <c r="R2609" s="3">
        <v>64991.574000000001</v>
      </c>
    </row>
    <row r="2610" spans="1:18" x14ac:dyDescent="0.3">
      <c r="A2610" t="s">
        <v>13492</v>
      </c>
      <c r="B2610" t="str">
        <f>TEXT(Raw_Data[[#This Row],[Order Date]],"mmm")</f>
        <v>Apr</v>
      </c>
      <c r="C2610" t="s">
        <v>902</v>
      </c>
      <c r="D2610" t="s">
        <v>13493</v>
      </c>
      <c r="E2610" t="s">
        <v>20</v>
      </c>
      <c r="F2610" t="s">
        <v>89</v>
      </c>
      <c r="G2610" t="s">
        <v>90</v>
      </c>
      <c r="H2610" t="s">
        <v>23</v>
      </c>
      <c r="I2610" t="s">
        <v>263</v>
      </c>
      <c r="J2610" t="s">
        <v>100</v>
      </c>
      <c r="K2610" t="s">
        <v>13494</v>
      </c>
      <c r="L2610">
        <v>0.1</v>
      </c>
      <c r="M2610" t="s">
        <v>13495</v>
      </c>
      <c r="N2610" t="s">
        <v>13496</v>
      </c>
      <c r="O2610" t="s">
        <v>173</v>
      </c>
      <c r="P2610" t="s">
        <v>30</v>
      </c>
      <c r="Q2610" t="s">
        <v>31</v>
      </c>
      <c r="R2610" s="3">
        <v>5655.8249999999998</v>
      </c>
    </row>
    <row r="2611" spans="1:18" x14ac:dyDescent="0.3">
      <c r="A2611" t="s">
        <v>13497</v>
      </c>
      <c r="B2611" t="str">
        <f>TEXT(Raw_Data[[#This Row],[Order Date]],"mmm")</f>
        <v>Dec</v>
      </c>
      <c r="C2611" t="s">
        <v>2792</v>
      </c>
      <c r="D2611" t="s">
        <v>13498</v>
      </c>
      <c r="E2611" t="s">
        <v>48</v>
      </c>
      <c r="F2611" t="s">
        <v>36</v>
      </c>
      <c r="G2611" t="s">
        <v>37</v>
      </c>
      <c r="H2611" t="s">
        <v>38</v>
      </c>
      <c r="I2611" t="s">
        <v>39</v>
      </c>
      <c r="J2611" t="s">
        <v>25</v>
      </c>
      <c r="K2611" t="s">
        <v>13499</v>
      </c>
      <c r="L2611">
        <v>0.1</v>
      </c>
      <c r="M2611" t="s">
        <v>13500</v>
      </c>
      <c r="N2611" t="s">
        <v>13501</v>
      </c>
      <c r="O2611" t="s">
        <v>173</v>
      </c>
      <c r="P2611" t="s">
        <v>112</v>
      </c>
      <c r="Q2611" t="s">
        <v>31</v>
      </c>
      <c r="R2611" s="3">
        <v>5311.8989999999903</v>
      </c>
    </row>
    <row r="2612" spans="1:18" x14ac:dyDescent="0.3">
      <c r="A2612" t="s">
        <v>13502</v>
      </c>
      <c r="B2612" t="str">
        <f>TEXT(Raw_Data[[#This Row],[Order Date]],"mmm")</f>
        <v>May</v>
      </c>
      <c r="C2612" t="s">
        <v>1985</v>
      </c>
      <c r="D2612" t="s">
        <v>13503</v>
      </c>
      <c r="E2612" t="s">
        <v>35</v>
      </c>
      <c r="F2612" t="s">
        <v>36</v>
      </c>
      <c r="G2612" t="s">
        <v>37</v>
      </c>
      <c r="H2612" t="s">
        <v>80</v>
      </c>
      <c r="I2612" t="s">
        <v>81</v>
      </c>
      <c r="J2612" t="s">
        <v>25</v>
      </c>
      <c r="K2612" t="s">
        <v>13504</v>
      </c>
      <c r="L2612">
        <v>0.15</v>
      </c>
      <c r="M2612" t="s">
        <v>13505</v>
      </c>
      <c r="N2612" t="s">
        <v>13506</v>
      </c>
      <c r="O2612" t="s">
        <v>64</v>
      </c>
      <c r="P2612" t="s">
        <v>112</v>
      </c>
      <c r="Q2612" t="s">
        <v>65</v>
      </c>
      <c r="R2612" s="3">
        <v>2349.1959999999999</v>
      </c>
    </row>
    <row r="2613" spans="1:18" x14ac:dyDescent="0.3">
      <c r="A2613" t="s">
        <v>13507</v>
      </c>
      <c r="B2613" t="str">
        <f>TEXT(Raw_Data[[#This Row],[Order Date]],"mmm")</f>
        <v>Jan</v>
      </c>
      <c r="C2613" t="s">
        <v>2886</v>
      </c>
      <c r="D2613" t="s">
        <v>13508</v>
      </c>
      <c r="E2613" t="s">
        <v>20</v>
      </c>
      <c r="F2613" t="s">
        <v>215</v>
      </c>
      <c r="G2613" t="s">
        <v>276</v>
      </c>
      <c r="H2613" t="s">
        <v>38</v>
      </c>
      <c r="I2613" t="s">
        <v>256</v>
      </c>
      <c r="J2613" t="s">
        <v>25</v>
      </c>
      <c r="K2613" t="s">
        <v>13509</v>
      </c>
      <c r="L2613">
        <v>0.05</v>
      </c>
      <c r="M2613" t="s">
        <v>13510</v>
      </c>
      <c r="N2613" t="s">
        <v>13511</v>
      </c>
      <c r="O2613" t="s">
        <v>43</v>
      </c>
      <c r="P2613" t="s">
        <v>30</v>
      </c>
      <c r="Q2613" t="s">
        <v>31</v>
      </c>
      <c r="R2613" s="3">
        <v>5601.5704999999998</v>
      </c>
    </row>
    <row r="2614" spans="1:18" x14ac:dyDescent="0.3">
      <c r="A2614" t="s">
        <v>13512</v>
      </c>
      <c r="B2614" t="str">
        <f>TEXT(Raw_Data[[#This Row],[Order Date]],"mmm")</f>
        <v>May</v>
      </c>
      <c r="C2614" t="s">
        <v>1781</v>
      </c>
      <c r="D2614" t="s">
        <v>13513</v>
      </c>
      <c r="E2614" t="s">
        <v>20</v>
      </c>
      <c r="F2614" t="s">
        <v>106</v>
      </c>
      <c r="G2614" t="s">
        <v>163</v>
      </c>
      <c r="H2614" t="s">
        <v>38</v>
      </c>
      <c r="I2614" t="s">
        <v>223</v>
      </c>
      <c r="J2614" t="s">
        <v>82</v>
      </c>
      <c r="K2614" t="s">
        <v>13514</v>
      </c>
      <c r="L2614">
        <v>0.05</v>
      </c>
      <c r="M2614" t="s">
        <v>13515</v>
      </c>
      <c r="N2614" t="s">
        <v>13516</v>
      </c>
      <c r="O2614" t="s">
        <v>54</v>
      </c>
      <c r="P2614" t="s">
        <v>30</v>
      </c>
      <c r="Q2614" t="s">
        <v>44</v>
      </c>
      <c r="R2614" s="3">
        <v>18072.419999999998</v>
      </c>
    </row>
    <row r="2615" spans="1:18" x14ac:dyDescent="0.3">
      <c r="A2615" t="s">
        <v>13517</v>
      </c>
      <c r="B2615" t="str">
        <f>TEXT(Raw_Data[[#This Row],[Order Date]],"mmm")</f>
        <v>Jan</v>
      </c>
      <c r="C2615" t="s">
        <v>320</v>
      </c>
      <c r="D2615" t="s">
        <v>13518</v>
      </c>
      <c r="E2615" t="s">
        <v>20</v>
      </c>
      <c r="F2615" t="s">
        <v>215</v>
      </c>
      <c r="G2615" t="s">
        <v>216</v>
      </c>
      <c r="H2615" t="s">
        <v>80</v>
      </c>
      <c r="I2615" t="s">
        <v>81</v>
      </c>
      <c r="J2615" t="s">
        <v>25</v>
      </c>
      <c r="K2615" t="s">
        <v>13519</v>
      </c>
      <c r="L2615">
        <v>0.15</v>
      </c>
      <c r="M2615" t="s">
        <v>13520</v>
      </c>
      <c r="N2615" t="s">
        <v>13521</v>
      </c>
      <c r="O2615" t="s">
        <v>29</v>
      </c>
      <c r="P2615" t="s">
        <v>30</v>
      </c>
      <c r="Q2615" t="s">
        <v>65</v>
      </c>
      <c r="R2615" s="3">
        <v>3522.6804999999999</v>
      </c>
    </row>
    <row r="2616" spans="1:18" x14ac:dyDescent="0.3">
      <c r="A2616" t="s">
        <v>13522</v>
      </c>
      <c r="B2616" t="str">
        <f>TEXT(Raw_Data[[#This Row],[Order Date]],"mmm")</f>
        <v>Nov</v>
      </c>
      <c r="C2616" t="s">
        <v>1198</v>
      </c>
      <c r="D2616" t="s">
        <v>13523</v>
      </c>
      <c r="E2616" t="s">
        <v>48</v>
      </c>
      <c r="F2616" t="s">
        <v>106</v>
      </c>
      <c r="G2616" t="s">
        <v>106</v>
      </c>
      <c r="H2616" t="s">
        <v>80</v>
      </c>
      <c r="I2616" t="s">
        <v>131</v>
      </c>
      <c r="J2616" t="s">
        <v>25</v>
      </c>
      <c r="K2616" t="s">
        <v>13524</v>
      </c>
      <c r="L2616">
        <v>0.2</v>
      </c>
      <c r="M2616" t="s">
        <v>13525</v>
      </c>
      <c r="N2616" t="s">
        <v>13526</v>
      </c>
      <c r="O2616" t="s">
        <v>43</v>
      </c>
      <c r="P2616" t="s">
        <v>30</v>
      </c>
      <c r="Q2616" t="s">
        <v>31</v>
      </c>
      <c r="R2616" s="3">
        <v>3792.48</v>
      </c>
    </row>
    <row r="2617" spans="1:18" x14ac:dyDescent="0.3">
      <c r="A2617" t="s">
        <v>13527</v>
      </c>
      <c r="B2617" t="str">
        <f>TEXT(Raw_Data[[#This Row],[Order Date]],"mmm")</f>
        <v>Mar</v>
      </c>
      <c r="C2617" t="s">
        <v>1915</v>
      </c>
      <c r="D2617" t="s">
        <v>13528</v>
      </c>
      <c r="E2617" t="s">
        <v>35</v>
      </c>
      <c r="F2617" t="s">
        <v>89</v>
      </c>
      <c r="G2617" t="s">
        <v>230</v>
      </c>
      <c r="H2617" t="s">
        <v>107</v>
      </c>
      <c r="I2617" t="s">
        <v>108</v>
      </c>
      <c r="J2617" t="s">
        <v>25</v>
      </c>
      <c r="K2617" t="s">
        <v>13529</v>
      </c>
      <c r="L2617">
        <v>0.05</v>
      </c>
      <c r="M2617" t="s">
        <v>13530</v>
      </c>
      <c r="N2617" t="s">
        <v>13531</v>
      </c>
      <c r="O2617" t="s">
        <v>43</v>
      </c>
      <c r="P2617" t="s">
        <v>30</v>
      </c>
      <c r="Q2617" t="s">
        <v>44</v>
      </c>
      <c r="R2617" s="3">
        <v>13140.02</v>
      </c>
    </row>
    <row r="2618" spans="1:18" x14ac:dyDescent="0.3">
      <c r="A2618" t="s">
        <v>13532</v>
      </c>
      <c r="B2618" t="str">
        <f>TEXT(Raw_Data[[#This Row],[Order Date]],"mmm")</f>
        <v>Sep</v>
      </c>
      <c r="C2618" t="s">
        <v>719</v>
      </c>
      <c r="D2618" t="s">
        <v>13533</v>
      </c>
      <c r="E2618" t="s">
        <v>20</v>
      </c>
      <c r="F2618" t="s">
        <v>215</v>
      </c>
      <c r="G2618" t="s">
        <v>276</v>
      </c>
      <c r="H2618" t="s">
        <v>23</v>
      </c>
      <c r="I2618" t="s">
        <v>263</v>
      </c>
      <c r="J2618" t="s">
        <v>50</v>
      </c>
      <c r="K2618" t="s">
        <v>13534</v>
      </c>
      <c r="L2618">
        <v>0.1</v>
      </c>
      <c r="M2618" t="s">
        <v>13535</v>
      </c>
      <c r="N2618" t="s">
        <v>13536</v>
      </c>
      <c r="O2618" t="s">
        <v>29</v>
      </c>
      <c r="P2618" t="s">
        <v>112</v>
      </c>
      <c r="Q2618" t="s">
        <v>44</v>
      </c>
      <c r="R2618" s="3">
        <v>30961.385999999999</v>
      </c>
    </row>
    <row r="2619" spans="1:18" x14ac:dyDescent="0.3">
      <c r="A2619" t="s">
        <v>13537</v>
      </c>
      <c r="B2619" t="str">
        <f>TEXT(Raw_Data[[#This Row],[Order Date]],"mmm")</f>
        <v>Feb</v>
      </c>
      <c r="C2619" t="s">
        <v>942</v>
      </c>
      <c r="D2619" t="s">
        <v>13538</v>
      </c>
      <c r="E2619" t="s">
        <v>48</v>
      </c>
      <c r="F2619" t="s">
        <v>106</v>
      </c>
      <c r="G2619" t="s">
        <v>163</v>
      </c>
      <c r="H2619" t="s">
        <v>23</v>
      </c>
      <c r="I2619" t="s">
        <v>263</v>
      </c>
      <c r="J2619" t="s">
        <v>50</v>
      </c>
      <c r="K2619" t="s">
        <v>13539</v>
      </c>
      <c r="L2619">
        <v>0.05</v>
      </c>
      <c r="M2619" t="s">
        <v>13540</v>
      </c>
      <c r="N2619" t="s">
        <v>13541</v>
      </c>
      <c r="O2619" t="s">
        <v>173</v>
      </c>
      <c r="P2619" t="s">
        <v>30</v>
      </c>
      <c r="Q2619" t="s">
        <v>31</v>
      </c>
      <c r="R2619" s="3">
        <v>106969.106999999</v>
      </c>
    </row>
    <row r="2620" spans="1:18" x14ac:dyDescent="0.3">
      <c r="A2620" t="s">
        <v>13542</v>
      </c>
      <c r="B2620" t="str">
        <f>TEXT(Raw_Data[[#This Row],[Order Date]],"mmm")</f>
        <v>May</v>
      </c>
      <c r="C2620" t="s">
        <v>4840</v>
      </c>
      <c r="D2620" t="s">
        <v>13543</v>
      </c>
      <c r="E2620" t="s">
        <v>35</v>
      </c>
      <c r="F2620" t="s">
        <v>215</v>
      </c>
      <c r="G2620" t="s">
        <v>276</v>
      </c>
      <c r="H2620" t="s">
        <v>107</v>
      </c>
      <c r="I2620" t="s">
        <v>378</v>
      </c>
      <c r="J2620" t="s">
        <v>25</v>
      </c>
      <c r="K2620" t="s">
        <v>13544</v>
      </c>
      <c r="L2620">
        <v>0.15</v>
      </c>
      <c r="M2620" t="s">
        <v>13545</v>
      </c>
      <c r="N2620" t="s">
        <v>13546</v>
      </c>
      <c r="O2620" t="s">
        <v>43</v>
      </c>
      <c r="P2620" t="s">
        <v>30</v>
      </c>
      <c r="Q2620" t="s">
        <v>65</v>
      </c>
      <c r="R2620" s="3">
        <v>12501.018</v>
      </c>
    </row>
    <row r="2621" spans="1:18" x14ac:dyDescent="0.3">
      <c r="A2621" t="s">
        <v>13547</v>
      </c>
      <c r="B2621" t="str">
        <f>TEXT(Raw_Data[[#This Row],[Order Date]],"mmm")</f>
        <v>Apr</v>
      </c>
      <c r="C2621" t="s">
        <v>454</v>
      </c>
      <c r="D2621" t="s">
        <v>13548</v>
      </c>
      <c r="E2621" t="s">
        <v>48</v>
      </c>
      <c r="F2621" t="s">
        <v>78</v>
      </c>
      <c r="G2621" t="s">
        <v>731</v>
      </c>
      <c r="H2621" t="s">
        <v>23</v>
      </c>
      <c r="I2621" t="s">
        <v>183</v>
      </c>
      <c r="J2621" t="s">
        <v>25</v>
      </c>
      <c r="K2621" t="s">
        <v>13549</v>
      </c>
      <c r="L2621">
        <v>0</v>
      </c>
      <c r="M2621" t="s">
        <v>13550</v>
      </c>
      <c r="N2621" t="s">
        <v>13551</v>
      </c>
      <c r="O2621" t="s">
        <v>64</v>
      </c>
      <c r="P2621" t="s">
        <v>30</v>
      </c>
      <c r="Q2621" t="s">
        <v>44</v>
      </c>
      <c r="R2621" s="3">
        <v>35786.58</v>
      </c>
    </row>
    <row r="2622" spans="1:18" x14ac:dyDescent="0.3">
      <c r="A2622" t="s">
        <v>13552</v>
      </c>
      <c r="B2622" t="str">
        <f>TEXT(Raw_Data[[#This Row],[Order Date]],"mmm")</f>
        <v>Apr</v>
      </c>
      <c r="C2622" t="s">
        <v>3622</v>
      </c>
      <c r="D2622" t="s">
        <v>13553</v>
      </c>
      <c r="E2622" t="s">
        <v>48</v>
      </c>
      <c r="F2622" t="s">
        <v>58</v>
      </c>
      <c r="G2622" t="s">
        <v>290</v>
      </c>
      <c r="H2622" t="s">
        <v>23</v>
      </c>
      <c r="I2622" t="s">
        <v>24</v>
      </c>
      <c r="J2622" t="s">
        <v>50</v>
      </c>
      <c r="K2622" t="s">
        <v>13554</v>
      </c>
      <c r="L2622">
        <v>0.1</v>
      </c>
      <c r="M2622" t="s">
        <v>13555</v>
      </c>
      <c r="N2622" t="s">
        <v>13556</v>
      </c>
      <c r="O2622" t="s">
        <v>64</v>
      </c>
      <c r="P2622" t="s">
        <v>30</v>
      </c>
      <c r="Q2622" t="s">
        <v>44</v>
      </c>
      <c r="R2622" s="3">
        <v>65063.79</v>
      </c>
    </row>
    <row r="2623" spans="1:18" x14ac:dyDescent="0.3">
      <c r="A2623" t="s">
        <v>13557</v>
      </c>
      <c r="B2623" t="str">
        <f>TEXT(Raw_Data[[#This Row],[Order Date]],"mmm")</f>
        <v>Feb</v>
      </c>
      <c r="C2623" t="s">
        <v>228</v>
      </c>
      <c r="D2623" t="s">
        <v>13558</v>
      </c>
      <c r="E2623" t="s">
        <v>20</v>
      </c>
      <c r="F2623" t="s">
        <v>36</v>
      </c>
      <c r="G2623" t="s">
        <v>153</v>
      </c>
      <c r="H2623" t="s">
        <v>23</v>
      </c>
      <c r="I2623" t="s">
        <v>263</v>
      </c>
      <c r="J2623" t="s">
        <v>25</v>
      </c>
      <c r="K2623" t="s">
        <v>13559</v>
      </c>
      <c r="L2623">
        <v>0.05</v>
      </c>
      <c r="M2623" t="s">
        <v>13560</v>
      </c>
      <c r="N2623" t="s">
        <v>13561</v>
      </c>
      <c r="O2623" t="s">
        <v>64</v>
      </c>
      <c r="P2623" t="s">
        <v>30</v>
      </c>
      <c r="Q2623" t="s">
        <v>65</v>
      </c>
      <c r="R2623" s="3">
        <v>35198.449999999997</v>
      </c>
    </row>
    <row r="2624" spans="1:18" x14ac:dyDescent="0.3">
      <c r="A2624" t="s">
        <v>13562</v>
      </c>
      <c r="B2624" t="str">
        <f>TEXT(Raw_Data[[#This Row],[Order Date]],"mmm")</f>
        <v>Apr</v>
      </c>
      <c r="C2624" t="s">
        <v>1686</v>
      </c>
      <c r="D2624" t="s">
        <v>13563</v>
      </c>
      <c r="E2624" t="s">
        <v>35</v>
      </c>
      <c r="F2624" t="s">
        <v>215</v>
      </c>
      <c r="G2624" t="s">
        <v>216</v>
      </c>
      <c r="H2624" t="s">
        <v>23</v>
      </c>
      <c r="I2624" t="s">
        <v>24</v>
      </c>
      <c r="J2624" t="s">
        <v>50</v>
      </c>
      <c r="K2624" t="s">
        <v>13564</v>
      </c>
      <c r="L2624">
        <v>0.15</v>
      </c>
      <c r="M2624" t="s">
        <v>13565</v>
      </c>
      <c r="N2624" t="s">
        <v>13566</v>
      </c>
      <c r="O2624" t="s">
        <v>29</v>
      </c>
      <c r="P2624" t="s">
        <v>30</v>
      </c>
      <c r="Q2624" t="s">
        <v>44</v>
      </c>
      <c r="R2624" s="3">
        <v>90668.837</v>
      </c>
    </row>
    <row r="2625" spans="1:18" x14ac:dyDescent="0.3">
      <c r="A2625" t="s">
        <v>13567</v>
      </c>
      <c r="B2625" t="str">
        <f>TEXT(Raw_Data[[#This Row],[Order Date]],"mmm")</f>
        <v>Oct</v>
      </c>
      <c r="C2625" t="s">
        <v>4474</v>
      </c>
      <c r="D2625" t="s">
        <v>13568</v>
      </c>
      <c r="E2625" t="s">
        <v>48</v>
      </c>
      <c r="F2625" t="s">
        <v>78</v>
      </c>
      <c r="G2625" t="s">
        <v>79</v>
      </c>
      <c r="H2625" t="s">
        <v>23</v>
      </c>
      <c r="I2625" t="s">
        <v>341</v>
      </c>
      <c r="J2625" t="s">
        <v>100</v>
      </c>
      <c r="K2625" t="s">
        <v>13569</v>
      </c>
      <c r="L2625">
        <v>0</v>
      </c>
      <c r="M2625" t="s">
        <v>13570</v>
      </c>
      <c r="N2625" t="s">
        <v>13571</v>
      </c>
      <c r="O2625" t="s">
        <v>29</v>
      </c>
      <c r="P2625" t="s">
        <v>95</v>
      </c>
      <c r="Q2625" t="s">
        <v>65</v>
      </c>
      <c r="R2625" s="3">
        <v>99333.24</v>
      </c>
    </row>
    <row r="2626" spans="1:18" x14ac:dyDescent="0.3">
      <c r="A2626" t="s">
        <v>13572</v>
      </c>
      <c r="B2626" t="str">
        <f>TEXT(Raw_Data[[#This Row],[Order Date]],"mmm")</f>
        <v>Apr</v>
      </c>
      <c r="C2626" t="s">
        <v>675</v>
      </c>
      <c r="D2626" t="s">
        <v>13573</v>
      </c>
      <c r="E2626" t="s">
        <v>20</v>
      </c>
      <c r="F2626" t="s">
        <v>106</v>
      </c>
      <c r="G2626" t="s">
        <v>106</v>
      </c>
      <c r="H2626" t="s">
        <v>23</v>
      </c>
      <c r="I2626" t="s">
        <v>263</v>
      </c>
      <c r="J2626" t="s">
        <v>50</v>
      </c>
      <c r="K2626" t="s">
        <v>13574</v>
      </c>
      <c r="L2626">
        <v>0</v>
      </c>
      <c r="M2626" t="s">
        <v>13575</v>
      </c>
      <c r="N2626" t="s">
        <v>13576</v>
      </c>
      <c r="O2626" t="s">
        <v>29</v>
      </c>
      <c r="P2626" t="s">
        <v>30</v>
      </c>
      <c r="Q2626" t="s">
        <v>44</v>
      </c>
      <c r="R2626" s="3">
        <v>131587.1</v>
      </c>
    </row>
    <row r="2627" spans="1:18" x14ac:dyDescent="0.3">
      <c r="A2627" t="s">
        <v>13577</v>
      </c>
      <c r="B2627" t="str">
        <f>TEXT(Raw_Data[[#This Row],[Order Date]],"mmm")</f>
        <v>Jul</v>
      </c>
      <c r="C2627" t="s">
        <v>2261</v>
      </c>
      <c r="D2627" t="s">
        <v>13578</v>
      </c>
      <c r="E2627" t="s">
        <v>20</v>
      </c>
      <c r="F2627" t="s">
        <v>58</v>
      </c>
      <c r="G2627" t="s">
        <v>290</v>
      </c>
      <c r="H2627" t="s">
        <v>154</v>
      </c>
      <c r="I2627" t="s">
        <v>237</v>
      </c>
      <c r="J2627" t="s">
        <v>50</v>
      </c>
      <c r="K2627" t="s">
        <v>13579</v>
      </c>
      <c r="L2627">
        <v>0</v>
      </c>
      <c r="M2627" t="s">
        <v>13580</v>
      </c>
      <c r="N2627" t="s">
        <v>13581</v>
      </c>
      <c r="O2627" t="s">
        <v>54</v>
      </c>
      <c r="P2627" t="s">
        <v>30</v>
      </c>
      <c r="Q2627" t="s">
        <v>44</v>
      </c>
      <c r="R2627" s="3">
        <v>2356.6999999999998</v>
      </c>
    </row>
    <row r="2628" spans="1:18" x14ac:dyDescent="0.3">
      <c r="A2628" t="s">
        <v>13582</v>
      </c>
      <c r="B2628" t="str">
        <f>TEXT(Raw_Data[[#This Row],[Order Date]],"mmm")</f>
        <v>Sep</v>
      </c>
      <c r="C2628" t="s">
        <v>2704</v>
      </c>
      <c r="D2628" t="s">
        <v>13583</v>
      </c>
      <c r="E2628" t="s">
        <v>35</v>
      </c>
      <c r="F2628" t="s">
        <v>215</v>
      </c>
      <c r="G2628" t="s">
        <v>216</v>
      </c>
      <c r="H2628" t="s">
        <v>80</v>
      </c>
      <c r="I2628" t="s">
        <v>131</v>
      </c>
      <c r="J2628" t="s">
        <v>50</v>
      </c>
      <c r="K2628" t="s">
        <v>13584</v>
      </c>
      <c r="L2628">
        <v>0.05</v>
      </c>
      <c r="M2628" t="s">
        <v>13585</v>
      </c>
      <c r="N2628" t="s">
        <v>13586</v>
      </c>
      <c r="O2628" t="s">
        <v>29</v>
      </c>
      <c r="P2628" t="s">
        <v>159</v>
      </c>
      <c r="Q2628" t="s">
        <v>31</v>
      </c>
      <c r="R2628" s="3">
        <v>11265.156999999999</v>
      </c>
    </row>
    <row r="2629" spans="1:18" x14ac:dyDescent="0.3">
      <c r="A2629" t="s">
        <v>13587</v>
      </c>
      <c r="B2629" t="str">
        <f>TEXT(Raw_Data[[#This Row],[Order Date]],"mmm")</f>
        <v>Nov</v>
      </c>
      <c r="C2629" t="s">
        <v>1204</v>
      </c>
      <c r="D2629" t="s">
        <v>13588</v>
      </c>
      <c r="E2629" t="s">
        <v>48</v>
      </c>
      <c r="F2629" t="s">
        <v>69</v>
      </c>
      <c r="G2629" t="s">
        <v>328</v>
      </c>
      <c r="H2629" t="s">
        <v>80</v>
      </c>
      <c r="I2629" t="s">
        <v>116</v>
      </c>
      <c r="J2629" t="s">
        <v>25</v>
      </c>
      <c r="K2629" t="s">
        <v>13589</v>
      </c>
      <c r="L2629">
        <v>0.05</v>
      </c>
      <c r="M2629" t="s">
        <v>13590</v>
      </c>
      <c r="N2629" t="s">
        <v>13591</v>
      </c>
      <c r="O2629" t="s">
        <v>54</v>
      </c>
      <c r="P2629" t="s">
        <v>30</v>
      </c>
      <c r="Q2629" t="s">
        <v>44</v>
      </c>
      <c r="R2629" s="3">
        <v>4445.8004999999903</v>
      </c>
    </row>
    <row r="2630" spans="1:18" x14ac:dyDescent="0.3">
      <c r="A2630" t="s">
        <v>13592</v>
      </c>
      <c r="B2630" t="str">
        <f>TEXT(Raw_Data[[#This Row],[Order Date]],"mmm")</f>
        <v>Nov</v>
      </c>
      <c r="C2630" t="s">
        <v>657</v>
      </c>
      <c r="D2630" t="s">
        <v>13593</v>
      </c>
      <c r="E2630" t="s">
        <v>48</v>
      </c>
      <c r="F2630" t="s">
        <v>89</v>
      </c>
      <c r="G2630" t="s">
        <v>230</v>
      </c>
      <c r="H2630" t="s">
        <v>154</v>
      </c>
      <c r="I2630" t="s">
        <v>1061</v>
      </c>
      <c r="J2630" t="s">
        <v>100</v>
      </c>
      <c r="K2630" t="s">
        <v>13594</v>
      </c>
      <c r="L2630">
        <v>0.1</v>
      </c>
      <c r="M2630" t="s">
        <v>13595</v>
      </c>
      <c r="N2630" t="s">
        <v>13596</v>
      </c>
      <c r="O2630" t="s">
        <v>43</v>
      </c>
      <c r="P2630" t="s">
        <v>30</v>
      </c>
      <c r="Q2630" t="s">
        <v>65</v>
      </c>
      <c r="R2630" s="3">
        <v>13226.76</v>
      </c>
    </row>
    <row r="2631" spans="1:18" x14ac:dyDescent="0.3">
      <c r="A2631" t="s">
        <v>13597</v>
      </c>
      <c r="B2631" t="str">
        <f>TEXT(Raw_Data[[#This Row],[Order Date]],"mmm")</f>
        <v>Jun</v>
      </c>
      <c r="C2631" t="s">
        <v>764</v>
      </c>
      <c r="D2631" t="s">
        <v>13598</v>
      </c>
      <c r="E2631" t="s">
        <v>20</v>
      </c>
      <c r="F2631" t="s">
        <v>89</v>
      </c>
      <c r="G2631" t="s">
        <v>230</v>
      </c>
      <c r="H2631" t="s">
        <v>154</v>
      </c>
      <c r="I2631" t="s">
        <v>365</v>
      </c>
      <c r="J2631" t="s">
        <v>100</v>
      </c>
      <c r="K2631" t="s">
        <v>13599</v>
      </c>
      <c r="L2631">
        <v>0</v>
      </c>
      <c r="M2631" t="s">
        <v>13600</v>
      </c>
      <c r="N2631" t="s">
        <v>13601</v>
      </c>
      <c r="O2631" t="s">
        <v>64</v>
      </c>
      <c r="P2631" t="s">
        <v>159</v>
      </c>
      <c r="Q2631" t="s">
        <v>31</v>
      </c>
      <c r="R2631" s="3">
        <v>19016.07</v>
      </c>
    </row>
    <row r="2632" spans="1:18" x14ac:dyDescent="0.3">
      <c r="A2632" t="s">
        <v>13602</v>
      </c>
      <c r="B2632" t="str">
        <f>TEXT(Raw_Data[[#This Row],[Order Date]],"mmm")</f>
        <v>Mar</v>
      </c>
      <c r="C2632" t="s">
        <v>9097</v>
      </c>
      <c r="D2632" t="s">
        <v>13603</v>
      </c>
      <c r="E2632" t="s">
        <v>35</v>
      </c>
      <c r="F2632" t="s">
        <v>58</v>
      </c>
      <c r="G2632" t="s">
        <v>290</v>
      </c>
      <c r="H2632" t="s">
        <v>154</v>
      </c>
      <c r="I2632" t="s">
        <v>309</v>
      </c>
      <c r="J2632" t="s">
        <v>50</v>
      </c>
      <c r="K2632" t="s">
        <v>13604</v>
      </c>
      <c r="L2632">
        <v>0.1</v>
      </c>
      <c r="M2632" t="s">
        <v>13605</v>
      </c>
      <c r="N2632" t="s">
        <v>13606</v>
      </c>
      <c r="O2632" t="s">
        <v>29</v>
      </c>
      <c r="P2632" t="s">
        <v>30</v>
      </c>
      <c r="Q2632" t="s">
        <v>44</v>
      </c>
      <c r="R2632" s="3">
        <v>11779.074000000001</v>
      </c>
    </row>
    <row r="2633" spans="1:18" x14ac:dyDescent="0.3">
      <c r="A2633" t="s">
        <v>13607</v>
      </c>
      <c r="B2633" t="str">
        <f>TEXT(Raw_Data[[#This Row],[Order Date]],"mmm")</f>
        <v>Jun</v>
      </c>
      <c r="C2633" t="s">
        <v>1047</v>
      </c>
      <c r="D2633" t="s">
        <v>13608</v>
      </c>
      <c r="E2633" t="s">
        <v>35</v>
      </c>
      <c r="F2633" t="s">
        <v>58</v>
      </c>
      <c r="G2633" t="s">
        <v>812</v>
      </c>
      <c r="H2633" t="s">
        <v>23</v>
      </c>
      <c r="I2633" t="s">
        <v>341</v>
      </c>
      <c r="J2633" t="s">
        <v>25</v>
      </c>
      <c r="K2633" t="s">
        <v>13609</v>
      </c>
      <c r="L2633">
        <v>0.2</v>
      </c>
      <c r="M2633" t="s">
        <v>13610</v>
      </c>
      <c r="N2633" t="s">
        <v>13611</v>
      </c>
      <c r="O2633" t="s">
        <v>54</v>
      </c>
      <c r="P2633" t="s">
        <v>30</v>
      </c>
      <c r="Q2633" t="s">
        <v>65</v>
      </c>
      <c r="R2633" s="3">
        <v>17889.968000000001</v>
      </c>
    </row>
    <row r="2634" spans="1:18" x14ac:dyDescent="0.3">
      <c r="A2634" t="s">
        <v>13612</v>
      </c>
      <c r="B2634" t="str">
        <f>TEXT(Raw_Data[[#This Row],[Order Date]],"mmm")</f>
        <v>Feb</v>
      </c>
      <c r="C2634" t="s">
        <v>702</v>
      </c>
      <c r="D2634" t="s">
        <v>13613</v>
      </c>
      <c r="E2634" t="s">
        <v>35</v>
      </c>
      <c r="F2634" t="s">
        <v>215</v>
      </c>
      <c r="G2634" t="s">
        <v>276</v>
      </c>
      <c r="H2634" t="s">
        <v>107</v>
      </c>
      <c r="I2634" t="s">
        <v>277</v>
      </c>
      <c r="J2634" t="s">
        <v>25</v>
      </c>
      <c r="K2634" t="s">
        <v>13614</v>
      </c>
      <c r="L2634">
        <v>0.1</v>
      </c>
      <c r="M2634" t="s">
        <v>13615</v>
      </c>
      <c r="N2634" t="s">
        <v>13616</v>
      </c>
      <c r="O2634" t="s">
        <v>43</v>
      </c>
      <c r="P2634" t="s">
        <v>30</v>
      </c>
      <c r="Q2634" t="s">
        <v>44</v>
      </c>
      <c r="R2634" s="3">
        <v>14993.748</v>
      </c>
    </row>
    <row r="2635" spans="1:18" x14ac:dyDescent="0.3">
      <c r="A2635" t="s">
        <v>13617</v>
      </c>
      <c r="B2635" t="str">
        <f>TEXT(Raw_Data[[#This Row],[Order Date]],"mmm")</f>
        <v>Nov</v>
      </c>
      <c r="C2635" t="s">
        <v>1009</v>
      </c>
      <c r="D2635" t="s">
        <v>13618</v>
      </c>
      <c r="E2635" t="s">
        <v>48</v>
      </c>
      <c r="F2635" t="s">
        <v>36</v>
      </c>
      <c r="G2635" t="s">
        <v>37</v>
      </c>
      <c r="H2635" t="s">
        <v>80</v>
      </c>
      <c r="I2635" t="s">
        <v>131</v>
      </c>
      <c r="J2635" t="s">
        <v>25</v>
      </c>
      <c r="K2635" t="s">
        <v>13619</v>
      </c>
      <c r="L2635">
        <v>0</v>
      </c>
      <c r="M2635" t="s">
        <v>13620</v>
      </c>
      <c r="N2635" t="s">
        <v>13621</v>
      </c>
      <c r="O2635" t="s">
        <v>43</v>
      </c>
      <c r="P2635" t="s">
        <v>112</v>
      </c>
      <c r="Q2635" t="s">
        <v>44</v>
      </c>
      <c r="R2635" s="3">
        <v>3796.86</v>
      </c>
    </row>
    <row r="2636" spans="1:18" x14ac:dyDescent="0.3">
      <c r="A2636" t="s">
        <v>13622</v>
      </c>
      <c r="B2636" t="str">
        <f>TEXT(Raw_Data[[#This Row],[Order Date]],"mmm")</f>
        <v>Apr</v>
      </c>
      <c r="C2636" t="s">
        <v>902</v>
      </c>
      <c r="D2636" t="s">
        <v>13623</v>
      </c>
      <c r="E2636" t="s">
        <v>20</v>
      </c>
      <c r="F2636" t="s">
        <v>89</v>
      </c>
      <c r="G2636" t="s">
        <v>90</v>
      </c>
      <c r="H2636" t="s">
        <v>23</v>
      </c>
      <c r="I2636" t="s">
        <v>183</v>
      </c>
      <c r="J2636" t="s">
        <v>25</v>
      </c>
      <c r="K2636" t="s">
        <v>13624</v>
      </c>
      <c r="L2636">
        <v>0</v>
      </c>
      <c r="M2636" t="s">
        <v>13625</v>
      </c>
      <c r="N2636" t="s">
        <v>13626</v>
      </c>
      <c r="O2636" t="s">
        <v>43</v>
      </c>
      <c r="P2636" t="s">
        <v>30</v>
      </c>
      <c r="Q2636" t="s">
        <v>65</v>
      </c>
      <c r="R2636" s="3">
        <v>8549.83</v>
      </c>
    </row>
    <row r="2637" spans="1:18" x14ac:dyDescent="0.3">
      <c r="A2637" t="s">
        <v>13627</v>
      </c>
      <c r="B2637" t="str">
        <f>TEXT(Raw_Data[[#This Row],[Order Date]],"mmm")</f>
        <v>Aug</v>
      </c>
      <c r="C2637" t="s">
        <v>4824</v>
      </c>
      <c r="D2637" t="s">
        <v>13628</v>
      </c>
      <c r="E2637" t="s">
        <v>35</v>
      </c>
      <c r="F2637" t="s">
        <v>69</v>
      </c>
      <c r="G2637" t="s">
        <v>70</v>
      </c>
      <c r="H2637" t="s">
        <v>80</v>
      </c>
      <c r="I2637" t="s">
        <v>81</v>
      </c>
      <c r="J2637" t="s">
        <v>50</v>
      </c>
      <c r="K2637" t="s">
        <v>13629</v>
      </c>
      <c r="L2637">
        <v>0.15</v>
      </c>
      <c r="M2637" t="s">
        <v>13630</v>
      </c>
      <c r="N2637" t="s">
        <v>13631</v>
      </c>
      <c r="O2637" t="s">
        <v>43</v>
      </c>
      <c r="P2637" t="s">
        <v>30</v>
      </c>
      <c r="Q2637" t="s">
        <v>65</v>
      </c>
      <c r="R2637" s="3">
        <v>5516.2619999999997</v>
      </c>
    </row>
    <row r="2638" spans="1:18" x14ac:dyDescent="0.3">
      <c r="A2638" t="s">
        <v>13632</v>
      </c>
      <c r="B2638" t="str">
        <f>TEXT(Raw_Data[[#This Row],[Order Date]],"mmm")</f>
        <v>Sep</v>
      </c>
      <c r="C2638" t="s">
        <v>401</v>
      </c>
      <c r="D2638" t="s">
        <v>13633</v>
      </c>
      <c r="E2638" t="s">
        <v>20</v>
      </c>
      <c r="F2638" t="s">
        <v>58</v>
      </c>
      <c r="G2638" t="s">
        <v>290</v>
      </c>
      <c r="H2638" t="s">
        <v>23</v>
      </c>
      <c r="I2638" t="s">
        <v>49</v>
      </c>
      <c r="J2638" t="s">
        <v>50</v>
      </c>
      <c r="K2638" t="s">
        <v>13634</v>
      </c>
      <c r="L2638">
        <v>0.15</v>
      </c>
      <c r="M2638" t="s">
        <v>13635</v>
      </c>
      <c r="N2638" t="s">
        <v>13636</v>
      </c>
      <c r="O2638" t="s">
        <v>29</v>
      </c>
      <c r="P2638" t="s">
        <v>112</v>
      </c>
      <c r="Q2638" t="s">
        <v>31</v>
      </c>
      <c r="R2638" s="3">
        <v>69655.323999999993</v>
      </c>
    </row>
    <row r="2639" spans="1:18" x14ac:dyDescent="0.3">
      <c r="A2639" t="s">
        <v>13637</v>
      </c>
      <c r="B2639" t="str">
        <f>TEXT(Raw_Data[[#This Row],[Order Date]],"mmm")</f>
        <v>Nov</v>
      </c>
      <c r="C2639" t="s">
        <v>5647</v>
      </c>
      <c r="D2639" t="s">
        <v>13638</v>
      </c>
      <c r="E2639" t="s">
        <v>48</v>
      </c>
      <c r="F2639" t="s">
        <v>21</v>
      </c>
      <c r="G2639" t="s">
        <v>22</v>
      </c>
      <c r="H2639" t="s">
        <v>107</v>
      </c>
      <c r="I2639" t="s">
        <v>378</v>
      </c>
      <c r="J2639" t="s">
        <v>100</v>
      </c>
      <c r="K2639" t="s">
        <v>13639</v>
      </c>
      <c r="L2639">
        <v>0.15</v>
      </c>
      <c r="M2639" t="s">
        <v>13640</v>
      </c>
      <c r="N2639" t="s">
        <v>13641</v>
      </c>
      <c r="O2639" t="s">
        <v>29</v>
      </c>
      <c r="P2639" t="s">
        <v>30</v>
      </c>
      <c r="Q2639" t="s">
        <v>44</v>
      </c>
      <c r="R2639" s="3">
        <v>26980.989000000001</v>
      </c>
    </row>
    <row r="2640" spans="1:18" x14ac:dyDescent="0.3">
      <c r="A2640" t="s">
        <v>13642</v>
      </c>
      <c r="B2640" t="str">
        <f>TEXT(Raw_Data[[#This Row],[Order Date]],"mmm")</f>
        <v>Dec</v>
      </c>
      <c r="C2640" t="s">
        <v>2206</v>
      </c>
      <c r="D2640" t="s">
        <v>13643</v>
      </c>
      <c r="E2640" t="s">
        <v>48</v>
      </c>
      <c r="F2640" t="s">
        <v>36</v>
      </c>
      <c r="G2640" t="s">
        <v>414</v>
      </c>
      <c r="H2640" t="s">
        <v>23</v>
      </c>
      <c r="I2640" t="s">
        <v>263</v>
      </c>
      <c r="J2640" t="s">
        <v>25</v>
      </c>
      <c r="K2640" t="s">
        <v>13644</v>
      </c>
      <c r="L2640">
        <v>0.05</v>
      </c>
      <c r="M2640" t="s">
        <v>13645</v>
      </c>
      <c r="N2640" t="s">
        <v>13646</v>
      </c>
      <c r="O2640" t="s">
        <v>173</v>
      </c>
      <c r="P2640" t="s">
        <v>30</v>
      </c>
      <c r="Q2640" t="s">
        <v>65</v>
      </c>
      <c r="R2640" s="3">
        <v>13466.800999999999</v>
      </c>
    </row>
    <row r="2641" spans="1:18" x14ac:dyDescent="0.3">
      <c r="A2641" t="s">
        <v>13647</v>
      </c>
      <c r="B2641" t="str">
        <f>TEXT(Raw_Data[[#This Row],[Order Date]],"mmm")</f>
        <v>Sep</v>
      </c>
      <c r="C2641" t="s">
        <v>2569</v>
      </c>
      <c r="D2641" t="s">
        <v>13648</v>
      </c>
      <c r="E2641" t="s">
        <v>35</v>
      </c>
      <c r="F2641" t="s">
        <v>78</v>
      </c>
      <c r="G2641" t="s">
        <v>468</v>
      </c>
      <c r="H2641" t="s">
        <v>38</v>
      </c>
      <c r="I2641" t="s">
        <v>71</v>
      </c>
      <c r="J2641" t="s">
        <v>25</v>
      </c>
      <c r="K2641" t="s">
        <v>13649</v>
      </c>
      <c r="L2641">
        <v>0.15</v>
      </c>
      <c r="M2641" t="s">
        <v>13650</v>
      </c>
      <c r="N2641" t="s">
        <v>13651</v>
      </c>
      <c r="O2641" t="s">
        <v>43</v>
      </c>
      <c r="P2641" t="s">
        <v>30</v>
      </c>
      <c r="Q2641" t="s">
        <v>31</v>
      </c>
      <c r="R2641" s="3">
        <v>759.53449999999998</v>
      </c>
    </row>
    <row r="2642" spans="1:18" x14ac:dyDescent="0.3">
      <c r="A2642" t="s">
        <v>13652</v>
      </c>
      <c r="B2642" t="str">
        <f>TEXT(Raw_Data[[#This Row],[Order Date]],"mmm")</f>
        <v>Sep</v>
      </c>
      <c r="C2642" t="s">
        <v>4782</v>
      </c>
      <c r="D2642" t="s">
        <v>13653</v>
      </c>
      <c r="E2642" t="s">
        <v>20</v>
      </c>
      <c r="F2642" t="s">
        <v>215</v>
      </c>
      <c r="G2642" t="s">
        <v>216</v>
      </c>
      <c r="H2642" t="s">
        <v>23</v>
      </c>
      <c r="I2642" t="s">
        <v>49</v>
      </c>
      <c r="J2642" t="s">
        <v>25</v>
      </c>
      <c r="K2642" t="s">
        <v>13654</v>
      </c>
      <c r="L2642">
        <v>0.15</v>
      </c>
      <c r="M2642" t="s">
        <v>13655</v>
      </c>
      <c r="N2642" t="s">
        <v>13656</v>
      </c>
      <c r="O2642" t="s">
        <v>173</v>
      </c>
      <c r="P2642" t="s">
        <v>30</v>
      </c>
      <c r="Q2642" t="s">
        <v>65</v>
      </c>
      <c r="R2642" s="3">
        <v>51303.7389999999</v>
      </c>
    </row>
    <row r="2643" spans="1:18" x14ac:dyDescent="0.3">
      <c r="A2643" t="s">
        <v>13657</v>
      </c>
      <c r="B2643" t="str">
        <f>TEXT(Raw_Data[[#This Row],[Order Date]],"mmm")</f>
        <v>Jul</v>
      </c>
      <c r="C2643" t="s">
        <v>792</v>
      </c>
      <c r="D2643" t="s">
        <v>13658</v>
      </c>
      <c r="E2643" t="s">
        <v>48</v>
      </c>
      <c r="F2643" t="s">
        <v>89</v>
      </c>
      <c r="G2643" t="s">
        <v>90</v>
      </c>
      <c r="H2643" t="s">
        <v>38</v>
      </c>
      <c r="I2643" t="s">
        <v>71</v>
      </c>
      <c r="J2643" t="s">
        <v>25</v>
      </c>
      <c r="K2643" t="s">
        <v>13659</v>
      </c>
      <c r="L2643">
        <v>0.15</v>
      </c>
      <c r="M2643" t="s">
        <v>13660</v>
      </c>
      <c r="N2643" t="s">
        <v>13661</v>
      </c>
      <c r="O2643" t="s">
        <v>173</v>
      </c>
      <c r="P2643" t="s">
        <v>30</v>
      </c>
      <c r="Q2643" t="s">
        <v>31</v>
      </c>
      <c r="R2643" s="3">
        <v>2271.9140000000002</v>
      </c>
    </row>
    <row r="2644" spans="1:18" x14ac:dyDescent="0.3">
      <c r="A2644" t="s">
        <v>13662</v>
      </c>
      <c r="B2644" t="str">
        <f>TEXT(Raw_Data[[#This Row],[Order Date]],"mmm")</f>
        <v>Nov</v>
      </c>
      <c r="C2644" t="s">
        <v>1330</v>
      </c>
      <c r="D2644" t="s">
        <v>13663</v>
      </c>
      <c r="E2644" t="s">
        <v>35</v>
      </c>
      <c r="F2644" t="s">
        <v>89</v>
      </c>
      <c r="G2644" t="s">
        <v>90</v>
      </c>
      <c r="H2644" t="s">
        <v>23</v>
      </c>
      <c r="I2644" t="s">
        <v>49</v>
      </c>
      <c r="J2644" t="s">
        <v>25</v>
      </c>
      <c r="K2644" t="s">
        <v>13664</v>
      </c>
      <c r="L2644">
        <v>0.05</v>
      </c>
      <c r="M2644" t="s">
        <v>13665</v>
      </c>
      <c r="N2644" t="s">
        <v>13666</v>
      </c>
      <c r="O2644" t="s">
        <v>173</v>
      </c>
      <c r="P2644" t="s">
        <v>30</v>
      </c>
      <c r="Q2644" t="s">
        <v>31</v>
      </c>
      <c r="R2644" s="3">
        <v>33771.046499999997</v>
      </c>
    </row>
    <row r="2645" spans="1:18" x14ac:dyDescent="0.3">
      <c r="A2645" t="s">
        <v>13667</v>
      </c>
      <c r="B2645" t="str">
        <f>TEXT(Raw_Data[[#This Row],[Order Date]],"mmm")</f>
        <v>Nov</v>
      </c>
      <c r="C2645" t="s">
        <v>1198</v>
      </c>
      <c r="D2645" t="s">
        <v>13668</v>
      </c>
      <c r="E2645" t="s">
        <v>20</v>
      </c>
      <c r="F2645" t="s">
        <v>106</v>
      </c>
      <c r="G2645" t="s">
        <v>106</v>
      </c>
      <c r="H2645" t="s">
        <v>23</v>
      </c>
      <c r="I2645" t="s">
        <v>263</v>
      </c>
      <c r="J2645" t="s">
        <v>25</v>
      </c>
      <c r="K2645" t="s">
        <v>13669</v>
      </c>
      <c r="L2645">
        <v>0.1</v>
      </c>
      <c r="M2645" t="s">
        <v>13670</v>
      </c>
      <c r="N2645" t="s">
        <v>13671</v>
      </c>
      <c r="O2645" t="s">
        <v>29</v>
      </c>
      <c r="P2645" t="s">
        <v>30</v>
      </c>
      <c r="Q2645" t="s">
        <v>65</v>
      </c>
      <c r="R2645" s="3">
        <v>55983.392999999996</v>
      </c>
    </row>
    <row r="2646" spans="1:18" x14ac:dyDescent="0.3">
      <c r="A2646" t="s">
        <v>13672</v>
      </c>
      <c r="B2646" t="str">
        <f>TEXT(Raw_Data[[#This Row],[Order Date]],"mmm")</f>
        <v>Nov</v>
      </c>
      <c r="C2646" t="s">
        <v>1330</v>
      </c>
      <c r="D2646" t="s">
        <v>13673</v>
      </c>
      <c r="E2646" t="s">
        <v>48</v>
      </c>
      <c r="F2646" t="s">
        <v>89</v>
      </c>
      <c r="G2646" t="s">
        <v>230</v>
      </c>
      <c r="H2646" t="s">
        <v>80</v>
      </c>
      <c r="I2646" t="s">
        <v>116</v>
      </c>
      <c r="J2646" t="s">
        <v>50</v>
      </c>
      <c r="K2646" t="s">
        <v>13674</v>
      </c>
      <c r="L2646">
        <v>0.1</v>
      </c>
      <c r="M2646" t="s">
        <v>13675</v>
      </c>
      <c r="N2646" t="s">
        <v>13676</v>
      </c>
      <c r="O2646" t="s">
        <v>54</v>
      </c>
      <c r="P2646" t="s">
        <v>30</v>
      </c>
      <c r="Q2646" t="s">
        <v>31</v>
      </c>
      <c r="R2646" s="3">
        <v>11671.974</v>
      </c>
    </row>
    <row r="2647" spans="1:18" x14ac:dyDescent="0.3">
      <c r="A2647" t="s">
        <v>13677</v>
      </c>
      <c r="B2647" t="str">
        <f>TEXT(Raw_Data[[#This Row],[Order Date]],"mmm")</f>
        <v>Jun</v>
      </c>
      <c r="C2647" t="s">
        <v>1521</v>
      </c>
      <c r="D2647" t="s">
        <v>13678</v>
      </c>
      <c r="E2647" t="s">
        <v>35</v>
      </c>
      <c r="F2647" t="s">
        <v>89</v>
      </c>
      <c r="G2647" t="s">
        <v>99</v>
      </c>
      <c r="H2647" t="s">
        <v>107</v>
      </c>
      <c r="I2647" t="s">
        <v>108</v>
      </c>
      <c r="J2647" t="s">
        <v>25</v>
      </c>
      <c r="K2647" t="s">
        <v>13679</v>
      </c>
      <c r="L2647">
        <v>0</v>
      </c>
      <c r="M2647" t="s">
        <v>13680</v>
      </c>
      <c r="N2647" t="s">
        <v>13681</v>
      </c>
      <c r="O2647" t="s">
        <v>173</v>
      </c>
      <c r="P2647" t="s">
        <v>95</v>
      </c>
      <c r="Q2647" t="s">
        <v>31</v>
      </c>
      <c r="R2647" s="3">
        <v>10511.23</v>
      </c>
    </row>
    <row r="2648" spans="1:18" x14ac:dyDescent="0.3">
      <c r="A2648" t="s">
        <v>13682</v>
      </c>
      <c r="B2648" t="str">
        <f>TEXT(Raw_Data[[#This Row],[Order Date]],"mmm")</f>
        <v>Feb</v>
      </c>
      <c r="C2648" t="s">
        <v>228</v>
      </c>
      <c r="D2648" t="s">
        <v>13683</v>
      </c>
      <c r="E2648" t="s">
        <v>48</v>
      </c>
      <c r="F2648" t="s">
        <v>21</v>
      </c>
      <c r="G2648" t="s">
        <v>130</v>
      </c>
      <c r="H2648" t="s">
        <v>154</v>
      </c>
      <c r="I2648" t="s">
        <v>237</v>
      </c>
      <c r="J2648" t="s">
        <v>25</v>
      </c>
      <c r="K2648" t="s">
        <v>13684</v>
      </c>
      <c r="L2648">
        <v>0</v>
      </c>
      <c r="M2648" t="s">
        <v>13685</v>
      </c>
      <c r="N2648" t="s">
        <v>13686</v>
      </c>
      <c r="O2648" t="s">
        <v>173</v>
      </c>
      <c r="P2648" t="s">
        <v>112</v>
      </c>
      <c r="Q2648" t="s">
        <v>44</v>
      </c>
      <c r="R2648" s="3">
        <v>1607.81</v>
      </c>
    </row>
    <row r="2649" spans="1:18" x14ac:dyDescent="0.3">
      <c r="A2649" t="s">
        <v>13687</v>
      </c>
      <c r="B2649" t="str">
        <f>TEXT(Raw_Data[[#This Row],[Order Date]],"mmm")</f>
        <v>Aug</v>
      </c>
      <c r="C2649" t="s">
        <v>1155</v>
      </c>
      <c r="D2649" t="s">
        <v>13688</v>
      </c>
      <c r="E2649" t="s">
        <v>48</v>
      </c>
      <c r="F2649" t="s">
        <v>36</v>
      </c>
      <c r="G2649" t="s">
        <v>414</v>
      </c>
      <c r="H2649" t="s">
        <v>23</v>
      </c>
      <c r="I2649" t="s">
        <v>24</v>
      </c>
      <c r="J2649" t="s">
        <v>25</v>
      </c>
      <c r="K2649" t="s">
        <v>13689</v>
      </c>
      <c r="L2649">
        <v>0.15</v>
      </c>
      <c r="M2649" t="s">
        <v>13690</v>
      </c>
      <c r="N2649" t="s">
        <v>13691</v>
      </c>
      <c r="O2649" t="s">
        <v>54</v>
      </c>
      <c r="P2649" t="s">
        <v>30</v>
      </c>
      <c r="Q2649" t="s">
        <v>65</v>
      </c>
      <c r="R2649" s="3">
        <v>3241.8319999999999</v>
      </c>
    </row>
    <row r="2650" spans="1:18" x14ac:dyDescent="0.3">
      <c r="A2650" t="s">
        <v>13692</v>
      </c>
      <c r="B2650" t="str">
        <f>TEXT(Raw_Data[[#This Row],[Order Date]],"mmm")</f>
        <v>Aug</v>
      </c>
      <c r="C2650" t="s">
        <v>4824</v>
      </c>
      <c r="D2650" t="s">
        <v>13693</v>
      </c>
      <c r="E2650" t="s">
        <v>20</v>
      </c>
      <c r="F2650" t="s">
        <v>106</v>
      </c>
      <c r="G2650" t="s">
        <v>106</v>
      </c>
      <c r="H2650" t="s">
        <v>154</v>
      </c>
      <c r="I2650" t="s">
        <v>1061</v>
      </c>
      <c r="J2650" t="s">
        <v>50</v>
      </c>
      <c r="K2650" t="s">
        <v>13694</v>
      </c>
      <c r="L2650">
        <v>0</v>
      </c>
      <c r="M2650" t="s">
        <v>13695</v>
      </c>
      <c r="N2650" t="s">
        <v>13696</v>
      </c>
      <c r="O2650" t="s">
        <v>64</v>
      </c>
      <c r="P2650" t="s">
        <v>112</v>
      </c>
      <c r="Q2650" t="s">
        <v>31</v>
      </c>
      <c r="R2650" s="3">
        <v>21729.5</v>
      </c>
    </row>
    <row r="2651" spans="1:18" x14ac:dyDescent="0.3">
      <c r="A2651" t="s">
        <v>13697</v>
      </c>
      <c r="B2651" t="str">
        <f>TEXT(Raw_Data[[#This Row],[Order Date]],"mmm")</f>
        <v>May</v>
      </c>
      <c r="C2651" t="s">
        <v>817</v>
      </c>
      <c r="D2651" t="s">
        <v>13698</v>
      </c>
      <c r="E2651" t="s">
        <v>20</v>
      </c>
      <c r="F2651" t="s">
        <v>78</v>
      </c>
      <c r="G2651" t="s">
        <v>468</v>
      </c>
      <c r="H2651" t="s">
        <v>80</v>
      </c>
      <c r="I2651" t="s">
        <v>81</v>
      </c>
      <c r="J2651" t="s">
        <v>82</v>
      </c>
      <c r="K2651" t="s">
        <v>13699</v>
      </c>
      <c r="L2651">
        <v>0.05</v>
      </c>
      <c r="M2651" t="s">
        <v>13700</v>
      </c>
      <c r="N2651" t="s">
        <v>13701</v>
      </c>
      <c r="O2651" t="s">
        <v>29</v>
      </c>
      <c r="P2651" t="s">
        <v>30</v>
      </c>
      <c r="Q2651" t="s">
        <v>65</v>
      </c>
      <c r="R2651" s="3">
        <v>15146.951999999999</v>
      </c>
    </row>
    <row r="2652" spans="1:18" x14ac:dyDescent="0.3">
      <c r="A2652" t="s">
        <v>13702</v>
      </c>
      <c r="B2652" t="str">
        <f>TEXT(Raw_Data[[#This Row],[Order Date]],"mmm")</f>
        <v>Jun</v>
      </c>
      <c r="C2652" t="s">
        <v>3263</v>
      </c>
      <c r="D2652" t="s">
        <v>13703</v>
      </c>
      <c r="E2652" t="s">
        <v>20</v>
      </c>
      <c r="F2652" t="s">
        <v>78</v>
      </c>
      <c r="G2652" t="s">
        <v>79</v>
      </c>
      <c r="H2652" t="s">
        <v>80</v>
      </c>
      <c r="I2652" t="s">
        <v>116</v>
      </c>
      <c r="J2652" t="s">
        <v>25</v>
      </c>
      <c r="K2652" t="s">
        <v>13704</v>
      </c>
      <c r="L2652">
        <v>0.15</v>
      </c>
      <c r="M2652" t="s">
        <v>13705</v>
      </c>
      <c r="N2652" t="s">
        <v>13706</v>
      </c>
      <c r="O2652" t="s">
        <v>29</v>
      </c>
      <c r="P2652" t="s">
        <v>30</v>
      </c>
      <c r="Q2652" t="s">
        <v>44</v>
      </c>
      <c r="R2652" s="3">
        <v>5080.7304999999997</v>
      </c>
    </row>
    <row r="2653" spans="1:18" x14ac:dyDescent="0.3">
      <c r="A2653" t="s">
        <v>13707</v>
      </c>
      <c r="B2653" t="str">
        <f>TEXT(Raw_Data[[#This Row],[Order Date]],"mmm")</f>
        <v>Jun</v>
      </c>
      <c r="C2653" t="s">
        <v>2586</v>
      </c>
      <c r="D2653" t="s">
        <v>13708</v>
      </c>
      <c r="E2653" t="s">
        <v>35</v>
      </c>
      <c r="F2653" t="s">
        <v>58</v>
      </c>
      <c r="G2653" t="s">
        <v>59</v>
      </c>
      <c r="H2653" t="s">
        <v>23</v>
      </c>
      <c r="I2653" t="s">
        <v>341</v>
      </c>
      <c r="J2653" t="s">
        <v>25</v>
      </c>
      <c r="K2653" t="s">
        <v>13709</v>
      </c>
      <c r="L2653">
        <v>0</v>
      </c>
      <c r="M2653" t="s">
        <v>13710</v>
      </c>
      <c r="N2653" t="s">
        <v>13711</v>
      </c>
      <c r="O2653" t="s">
        <v>54</v>
      </c>
      <c r="P2653" t="s">
        <v>30</v>
      </c>
      <c r="Q2653" t="s">
        <v>44</v>
      </c>
      <c r="R2653" s="3">
        <v>41200.089999999997</v>
      </c>
    </row>
    <row r="2654" spans="1:18" x14ac:dyDescent="0.3">
      <c r="A2654" t="s">
        <v>13712</v>
      </c>
      <c r="B2654" t="str">
        <f>TEXT(Raw_Data[[#This Row],[Order Date]],"mmm")</f>
        <v>Mar</v>
      </c>
      <c r="C2654" t="s">
        <v>1128</v>
      </c>
      <c r="D2654" t="s">
        <v>13713</v>
      </c>
      <c r="E2654" t="s">
        <v>48</v>
      </c>
      <c r="F2654" t="s">
        <v>36</v>
      </c>
      <c r="G2654" t="s">
        <v>153</v>
      </c>
      <c r="H2654" t="s">
        <v>107</v>
      </c>
      <c r="I2654" t="s">
        <v>591</v>
      </c>
      <c r="J2654" t="s">
        <v>82</v>
      </c>
      <c r="K2654" t="s">
        <v>13714</v>
      </c>
      <c r="L2654">
        <v>0.1</v>
      </c>
      <c r="M2654" t="s">
        <v>13715</v>
      </c>
      <c r="N2654" t="s">
        <v>13716</v>
      </c>
      <c r="O2654" t="s">
        <v>29</v>
      </c>
      <c r="P2654" t="s">
        <v>30</v>
      </c>
      <c r="Q2654" t="s">
        <v>44</v>
      </c>
      <c r="R2654" s="3">
        <v>20945.736000000001</v>
      </c>
    </row>
    <row r="2655" spans="1:18" x14ac:dyDescent="0.3">
      <c r="A2655" t="s">
        <v>13717</v>
      </c>
      <c r="B2655" t="str">
        <f>TEXT(Raw_Data[[#This Row],[Order Date]],"mmm")</f>
        <v>Nov</v>
      </c>
      <c r="C2655" t="s">
        <v>1122</v>
      </c>
      <c r="D2655" t="s">
        <v>13718</v>
      </c>
      <c r="E2655" t="s">
        <v>48</v>
      </c>
      <c r="F2655" t="s">
        <v>21</v>
      </c>
      <c r="G2655" t="s">
        <v>22</v>
      </c>
      <c r="H2655" t="s">
        <v>80</v>
      </c>
      <c r="I2655" t="s">
        <v>131</v>
      </c>
      <c r="J2655" t="s">
        <v>25</v>
      </c>
      <c r="K2655" t="s">
        <v>13719</v>
      </c>
      <c r="L2655">
        <v>0</v>
      </c>
      <c r="M2655" t="s">
        <v>13720</v>
      </c>
      <c r="N2655" t="s">
        <v>13721</v>
      </c>
      <c r="O2655" t="s">
        <v>29</v>
      </c>
      <c r="P2655" t="s">
        <v>30</v>
      </c>
      <c r="Q2655" t="s">
        <v>31</v>
      </c>
      <c r="R2655" s="3">
        <v>3176.71</v>
      </c>
    </row>
    <row r="2656" spans="1:18" x14ac:dyDescent="0.3">
      <c r="A2656" t="s">
        <v>13722</v>
      </c>
      <c r="B2656" t="str">
        <f>TEXT(Raw_Data[[#This Row],[Order Date]],"mmm")</f>
        <v>Dec</v>
      </c>
      <c r="C2656" t="s">
        <v>982</v>
      </c>
      <c r="D2656" t="s">
        <v>13723</v>
      </c>
      <c r="E2656" t="s">
        <v>20</v>
      </c>
      <c r="F2656" t="s">
        <v>89</v>
      </c>
      <c r="G2656" t="s">
        <v>230</v>
      </c>
      <c r="H2656" t="s">
        <v>23</v>
      </c>
      <c r="I2656" t="s">
        <v>341</v>
      </c>
      <c r="J2656" t="s">
        <v>25</v>
      </c>
      <c r="K2656" t="s">
        <v>13724</v>
      </c>
      <c r="L2656">
        <v>0</v>
      </c>
      <c r="M2656" t="s">
        <v>13725</v>
      </c>
      <c r="N2656" t="s">
        <v>13726</v>
      </c>
      <c r="O2656" t="s">
        <v>64</v>
      </c>
      <c r="P2656" t="s">
        <v>30</v>
      </c>
      <c r="Q2656" t="s">
        <v>44</v>
      </c>
      <c r="R2656" s="3">
        <v>58600.84</v>
      </c>
    </row>
    <row r="2657" spans="1:18" x14ac:dyDescent="0.3">
      <c r="A2657" t="s">
        <v>13727</v>
      </c>
      <c r="B2657" t="str">
        <f>TEXT(Raw_Data[[#This Row],[Order Date]],"mmm")</f>
        <v>Apr</v>
      </c>
      <c r="C2657" t="s">
        <v>2687</v>
      </c>
      <c r="D2657" t="s">
        <v>13728</v>
      </c>
      <c r="E2657" t="s">
        <v>20</v>
      </c>
      <c r="F2657" t="s">
        <v>106</v>
      </c>
      <c r="G2657" t="s">
        <v>163</v>
      </c>
      <c r="H2657" t="s">
        <v>154</v>
      </c>
      <c r="I2657" t="s">
        <v>1061</v>
      </c>
      <c r="J2657" t="s">
        <v>25</v>
      </c>
      <c r="K2657" t="s">
        <v>13729</v>
      </c>
      <c r="L2657">
        <v>0.1</v>
      </c>
      <c r="M2657" t="s">
        <v>13730</v>
      </c>
      <c r="N2657" t="s">
        <v>13731</v>
      </c>
      <c r="O2657" t="s">
        <v>54</v>
      </c>
      <c r="P2657" t="s">
        <v>30</v>
      </c>
      <c r="Q2657" t="s">
        <v>31</v>
      </c>
      <c r="R2657" s="3">
        <v>9766.2690000000002</v>
      </c>
    </row>
    <row r="2658" spans="1:18" x14ac:dyDescent="0.3">
      <c r="A2658" t="s">
        <v>13732</v>
      </c>
      <c r="B2658" t="str">
        <f>TEXT(Raw_Data[[#This Row],[Order Date]],"mmm")</f>
        <v>Mar</v>
      </c>
      <c r="C2658" t="s">
        <v>395</v>
      </c>
      <c r="D2658" t="s">
        <v>13733</v>
      </c>
      <c r="E2658" t="s">
        <v>35</v>
      </c>
      <c r="F2658" t="s">
        <v>36</v>
      </c>
      <c r="G2658" t="s">
        <v>414</v>
      </c>
      <c r="H2658" t="s">
        <v>107</v>
      </c>
      <c r="I2658" t="s">
        <v>591</v>
      </c>
      <c r="J2658" t="s">
        <v>100</v>
      </c>
      <c r="K2658" t="s">
        <v>13734</v>
      </c>
      <c r="L2658">
        <v>0.15</v>
      </c>
      <c r="M2658" t="s">
        <v>13735</v>
      </c>
      <c r="N2658" t="s">
        <v>13736</v>
      </c>
      <c r="O2658" t="s">
        <v>64</v>
      </c>
      <c r="P2658" t="s">
        <v>30</v>
      </c>
      <c r="Q2658" t="s">
        <v>44</v>
      </c>
      <c r="R2658" s="3">
        <v>8509.6560000000009</v>
      </c>
    </row>
    <row r="2659" spans="1:18" x14ac:dyDescent="0.3">
      <c r="A2659" t="s">
        <v>13737</v>
      </c>
      <c r="B2659" t="str">
        <f>TEXT(Raw_Data[[#This Row],[Order Date]],"mmm")</f>
        <v>Sep</v>
      </c>
      <c r="C2659" t="s">
        <v>663</v>
      </c>
      <c r="D2659" t="s">
        <v>13738</v>
      </c>
      <c r="E2659" t="s">
        <v>48</v>
      </c>
      <c r="F2659" t="s">
        <v>36</v>
      </c>
      <c r="G2659" t="s">
        <v>123</v>
      </c>
      <c r="H2659" t="s">
        <v>80</v>
      </c>
      <c r="I2659" t="s">
        <v>146</v>
      </c>
      <c r="J2659" t="s">
        <v>25</v>
      </c>
      <c r="K2659" t="s">
        <v>13739</v>
      </c>
      <c r="L2659">
        <v>0.1</v>
      </c>
      <c r="M2659" t="s">
        <v>13740</v>
      </c>
      <c r="N2659" t="s">
        <v>13741</v>
      </c>
      <c r="O2659" t="s">
        <v>43</v>
      </c>
      <c r="P2659" t="s">
        <v>30</v>
      </c>
      <c r="Q2659" t="s">
        <v>31</v>
      </c>
      <c r="R2659" s="3">
        <v>578.21400000000006</v>
      </c>
    </row>
    <row r="2660" spans="1:18" x14ac:dyDescent="0.3">
      <c r="A2660" t="s">
        <v>13742</v>
      </c>
      <c r="B2660" t="str">
        <f>TEXT(Raw_Data[[#This Row],[Order Date]],"mmm")</f>
        <v>Jul</v>
      </c>
      <c r="C2660" t="s">
        <v>2416</v>
      </c>
      <c r="D2660" t="s">
        <v>13743</v>
      </c>
      <c r="E2660" t="s">
        <v>20</v>
      </c>
      <c r="F2660" t="s">
        <v>21</v>
      </c>
      <c r="G2660" t="s">
        <v>22</v>
      </c>
      <c r="H2660" t="s">
        <v>23</v>
      </c>
      <c r="I2660" t="s">
        <v>24</v>
      </c>
      <c r="J2660" t="s">
        <v>25</v>
      </c>
      <c r="K2660" t="s">
        <v>13744</v>
      </c>
      <c r="L2660">
        <v>0.1</v>
      </c>
      <c r="M2660" t="s">
        <v>13745</v>
      </c>
      <c r="N2660" t="s">
        <v>13746</v>
      </c>
      <c r="O2660" t="s">
        <v>54</v>
      </c>
      <c r="P2660" t="s">
        <v>112</v>
      </c>
      <c r="Q2660" t="s">
        <v>31</v>
      </c>
      <c r="R2660" s="3">
        <v>37789.533000000003</v>
      </c>
    </row>
    <row r="2661" spans="1:18" x14ac:dyDescent="0.3">
      <c r="A2661" t="s">
        <v>13747</v>
      </c>
      <c r="B2661" t="str">
        <f>TEXT(Raw_Data[[#This Row],[Order Date]],"mmm")</f>
        <v>May</v>
      </c>
      <c r="C2661" t="s">
        <v>2174</v>
      </c>
      <c r="D2661" t="s">
        <v>13748</v>
      </c>
      <c r="E2661" t="s">
        <v>35</v>
      </c>
      <c r="F2661" t="s">
        <v>78</v>
      </c>
      <c r="G2661" t="s">
        <v>468</v>
      </c>
      <c r="H2661" t="s">
        <v>154</v>
      </c>
      <c r="I2661" t="s">
        <v>1061</v>
      </c>
      <c r="J2661" t="s">
        <v>82</v>
      </c>
      <c r="K2661" t="s">
        <v>13749</v>
      </c>
      <c r="L2661">
        <v>0.1</v>
      </c>
      <c r="M2661" t="s">
        <v>13750</v>
      </c>
      <c r="N2661" t="s">
        <v>13751</v>
      </c>
      <c r="O2661" t="s">
        <v>54</v>
      </c>
      <c r="P2661" t="s">
        <v>159</v>
      </c>
      <c r="Q2661" t="s">
        <v>65</v>
      </c>
      <c r="R2661" s="3">
        <v>29395.8</v>
      </c>
    </row>
    <row r="2662" spans="1:18" x14ac:dyDescent="0.3">
      <c r="A2662" t="s">
        <v>13752</v>
      </c>
      <c r="B2662" t="str">
        <f>TEXT(Raw_Data[[#This Row],[Order Date]],"mmm")</f>
        <v>Oct</v>
      </c>
      <c r="C2662" t="s">
        <v>3724</v>
      </c>
      <c r="D2662" t="s">
        <v>13753</v>
      </c>
      <c r="E2662" t="s">
        <v>35</v>
      </c>
      <c r="F2662" t="s">
        <v>215</v>
      </c>
      <c r="G2662" t="s">
        <v>216</v>
      </c>
      <c r="H2662" t="s">
        <v>23</v>
      </c>
      <c r="I2662" t="s">
        <v>24</v>
      </c>
      <c r="J2662" t="s">
        <v>100</v>
      </c>
      <c r="K2662" t="s">
        <v>13754</v>
      </c>
      <c r="L2662">
        <v>0.1</v>
      </c>
      <c r="M2662" t="s">
        <v>13755</v>
      </c>
      <c r="N2662" t="s">
        <v>13756</v>
      </c>
      <c r="O2662" t="s">
        <v>64</v>
      </c>
      <c r="P2662" t="s">
        <v>159</v>
      </c>
      <c r="Q2662" t="s">
        <v>31</v>
      </c>
      <c r="R2662" s="3">
        <v>166096.035</v>
      </c>
    </row>
    <row r="2663" spans="1:18" x14ac:dyDescent="0.3">
      <c r="A2663" t="s">
        <v>13757</v>
      </c>
      <c r="B2663" t="str">
        <f>TEXT(Raw_Data[[#This Row],[Order Date]],"mmm")</f>
        <v>Aug</v>
      </c>
      <c r="C2663" t="s">
        <v>1403</v>
      </c>
      <c r="D2663" t="s">
        <v>13758</v>
      </c>
      <c r="E2663" t="s">
        <v>35</v>
      </c>
      <c r="F2663" t="s">
        <v>58</v>
      </c>
      <c r="G2663" t="s">
        <v>290</v>
      </c>
      <c r="H2663" t="s">
        <v>80</v>
      </c>
      <c r="I2663" t="s">
        <v>91</v>
      </c>
      <c r="J2663" t="s">
        <v>50</v>
      </c>
      <c r="K2663" t="s">
        <v>13759</v>
      </c>
      <c r="L2663">
        <v>0.05</v>
      </c>
      <c r="M2663" t="s">
        <v>13760</v>
      </c>
      <c r="N2663" t="s">
        <v>13761</v>
      </c>
      <c r="O2663" t="s">
        <v>173</v>
      </c>
      <c r="P2663" t="s">
        <v>30</v>
      </c>
      <c r="Q2663" t="s">
        <v>31</v>
      </c>
      <c r="R2663" s="3">
        <v>2778.047</v>
      </c>
    </row>
    <row r="2664" spans="1:18" x14ac:dyDescent="0.3">
      <c r="A2664" t="s">
        <v>13762</v>
      </c>
      <c r="B2664" t="str">
        <f>TEXT(Raw_Data[[#This Row],[Order Date]],"mmm")</f>
        <v>Jul</v>
      </c>
      <c r="C2664" t="s">
        <v>3461</v>
      </c>
      <c r="D2664" t="s">
        <v>13763</v>
      </c>
      <c r="E2664" t="s">
        <v>48</v>
      </c>
      <c r="F2664" t="s">
        <v>58</v>
      </c>
      <c r="G2664" t="s">
        <v>290</v>
      </c>
      <c r="H2664" t="s">
        <v>23</v>
      </c>
      <c r="I2664" t="s">
        <v>24</v>
      </c>
      <c r="J2664" t="s">
        <v>25</v>
      </c>
      <c r="K2664" t="s">
        <v>13764</v>
      </c>
      <c r="L2664">
        <v>0.1</v>
      </c>
      <c r="M2664" t="s">
        <v>13765</v>
      </c>
      <c r="N2664" t="s">
        <v>13766</v>
      </c>
      <c r="O2664" t="s">
        <v>54</v>
      </c>
      <c r="P2664" t="s">
        <v>30</v>
      </c>
      <c r="Q2664" t="s">
        <v>65</v>
      </c>
      <c r="R2664" s="3">
        <v>6477.48</v>
      </c>
    </row>
    <row r="2665" spans="1:18" x14ac:dyDescent="0.3">
      <c r="A2665" t="s">
        <v>13767</v>
      </c>
      <c r="B2665" t="str">
        <f>TEXT(Raw_Data[[#This Row],[Order Date]],"mmm")</f>
        <v>Mar</v>
      </c>
      <c r="C2665" t="s">
        <v>2959</v>
      </c>
      <c r="D2665" t="s">
        <v>13768</v>
      </c>
      <c r="E2665" t="s">
        <v>48</v>
      </c>
      <c r="F2665" t="s">
        <v>69</v>
      </c>
      <c r="G2665" t="s">
        <v>139</v>
      </c>
      <c r="H2665" t="s">
        <v>23</v>
      </c>
      <c r="I2665" t="s">
        <v>24</v>
      </c>
      <c r="J2665" t="s">
        <v>50</v>
      </c>
      <c r="K2665" t="s">
        <v>13769</v>
      </c>
      <c r="L2665">
        <v>0.1</v>
      </c>
      <c r="M2665" t="s">
        <v>13770</v>
      </c>
      <c r="N2665" t="s">
        <v>13771</v>
      </c>
      <c r="O2665" t="s">
        <v>54</v>
      </c>
      <c r="P2665" t="s">
        <v>30</v>
      </c>
      <c r="Q2665" t="s">
        <v>31</v>
      </c>
      <c r="R2665" s="3">
        <v>5700.1139999999996</v>
      </c>
    </row>
    <row r="2666" spans="1:18" x14ac:dyDescent="0.3">
      <c r="A2666" t="s">
        <v>13772</v>
      </c>
      <c r="B2666" t="str">
        <f>TEXT(Raw_Data[[#This Row],[Order Date]],"mmm")</f>
        <v>Jan</v>
      </c>
      <c r="C2666" t="s">
        <v>320</v>
      </c>
      <c r="D2666" t="s">
        <v>13773</v>
      </c>
      <c r="E2666" t="s">
        <v>20</v>
      </c>
      <c r="F2666" t="s">
        <v>36</v>
      </c>
      <c r="G2666" t="s">
        <v>123</v>
      </c>
      <c r="H2666" t="s">
        <v>107</v>
      </c>
      <c r="I2666" t="s">
        <v>378</v>
      </c>
      <c r="J2666" t="s">
        <v>50</v>
      </c>
      <c r="K2666" t="s">
        <v>13774</v>
      </c>
      <c r="L2666">
        <v>0.15</v>
      </c>
      <c r="M2666" t="s">
        <v>13775</v>
      </c>
      <c r="N2666" t="s">
        <v>13776</v>
      </c>
      <c r="O2666" t="s">
        <v>29</v>
      </c>
      <c r="P2666" t="s">
        <v>30</v>
      </c>
      <c r="Q2666" t="s">
        <v>44</v>
      </c>
      <c r="R2666" s="3">
        <v>13641.837</v>
      </c>
    </row>
    <row r="2667" spans="1:18" x14ac:dyDescent="0.3">
      <c r="A2667" t="s">
        <v>13777</v>
      </c>
      <c r="B2667" t="str">
        <f>TEXT(Raw_Data[[#This Row],[Order Date]],"mmm")</f>
        <v>Oct</v>
      </c>
      <c r="C2667" t="s">
        <v>1171</v>
      </c>
      <c r="D2667" t="s">
        <v>13778</v>
      </c>
      <c r="E2667" t="s">
        <v>48</v>
      </c>
      <c r="F2667" t="s">
        <v>21</v>
      </c>
      <c r="G2667" t="s">
        <v>22</v>
      </c>
      <c r="H2667" t="s">
        <v>38</v>
      </c>
      <c r="I2667" t="s">
        <v>223</v>
      </c>
      <c r="J2667" t="s">
        <v>25</v>
      </c>
      <c r="K2667" t="s">
        <v>13779</v>
      </c>
      <c r="L2667">
        <v>0</v>
      </c>
      <c r="M2667" t="s">
        <v>13780</v>
      </c>
      <c r="N2667" t="s">
        <v>13781</v>
      </c>
      <c r="O2667" t="s">
        <v>54</v>
      </c>
      <c r="P2667" t="s">
        <v>159</v>
      </c>
      <c r="Q2667" t="s">
        <v>31</v>
      </c>
      <c r="R2667" s="3">
        <v>2320.66</v>
      </c>
    </row>
    <row r="2668" spans="1:18" x14ac:dyDescent="0.3">
      <c r="A2668" t="s">
        <v>13782</v>
      </c>
      <c r="B2668" t="str">
        <f>TEXT(Raw_Data[[#This Row],[Order Date]],"mmm")</f>
        <v>Dec</v>
      </c>
      <c r="C2668" t="s">
        <v>2332</v>
      </c>
      <c r="D2668" t="s">
        <v>13783</v>
      </c>
      <c r="E2668" t="s">
        <v>20</v>
      </c>
      <c r="F2668" t="s">
        <v>78</v>
      </c>
      <c r="G2668" t="s">
        <v>468</v>
      </c>
      <c r="H2668" t="s">
        <v>107</v>
      </c>
      <c r="I2668" t="s">
        <v>277</v>
      </c>
      <c r="J2668" t="s">
        <v>25</v>
      </c>
      <c r="K2668" t="s">
        <v>13784</v>
      </c>
      <c r="L2668">
        <v>0</v>
      </c>
      <c r="M2668" t="s">
        <v>13785</v>
      </c>
      <c r="N2668" t="s">
        <v>13786</v>
      </c>
      <c r="O2668" t="s">
        <v>64</v>
      </c>
      <c r="P2668" t="s">
        <v>30</v>
      </c>
      <c r="Q2668" t="s">
        <v>44</v>
      </c>
      <c r="R2668" s="3">
        <v>8984.24</v>
      </c>
    </row>
    <row r="2669" spans="1:18" x14ac:dyDescent="0.3">
      <c r="A2669" t="s">
        <v>13787</v>
      </c>
      <c r="B2669" t="str">
        <f>TEXT(Raw_Data[[#This Row],[Order Date]],"mmm")</f>
        <v>Dec</v>
      </c>
      <c r="C2669" t="s">
        <v>46</v>
      </c>
      <c r="D2669" t="s">
        <v>13788</v>
      </c>
      <c r="E2669" t="s">
        <v>20</v>
      </c>
      <c r="F2669" t="s">
        <v>78</v>
      </c>
      <c r="G2669" t="s">
        <v>731</v>
      </c>
      <c r="H2669" t="s">
        <v>23</v>
      </c>
      <c r="I2669" t="s">
        <v>49</v>
      </c>
      <c r="J2669" t="s">
        <v>25</v>
      </c>
      <c r="K2669" t="s">
        <v>13789</v>
      </c>
      <c r="L2669">
        <v>0</v>
      </c>
      <c r="M2669" t="s">
        <v>13790</v>
      </c>
      <c r="N2669" t="s">
        <v>13791</v>
      </c>
      <c r="O2669" t="s">
        <v>64</v>
      </c>
      <c r="P2669" t="s">
        <v>30</v>
      </c>
      <c r="Q2669" t="s">
        <v>31</v>
      </c>
      <c r="R2669" s="3">
        <v>33587.800000000003</v>
      </c>
    </row>
    <row r="2670" spans="1:18" x14ac:dyDescent="0.3">
      <c r="A2670" t="s">
        <v>13792</v>
      </c>
      <c r="B2670" t="str">
        <f>TEXT(Raw_Data[[#This Row],[Order Date]],"mmm")</f>
        <v>Dec</v>
      </c>
      <c r="C2670" t="s">
        <v>3862</v>
      </c>
      <c r="D2670" t="s">
        <v>13793</v>
      </c>
      <c r="E2670" t="s">
        <v>48</v>
      </c>
      <c r="F2670" t="s">
        <v>89</v>
      </c>
      <c r="G2670" t="s">
        <v>90</v>
      </c>
      <c r="H2670" t="s">
        <v>154</v>
      </c>
      <c r="I2670" t="s">
        <v>155</v>
      </c>
      <c r="J2670" t="s">
        <v>100</v>
      </c>
      <c r="K2670" t="s">
        <v>13794</v>
      </c>
      <c r="L2670">
        <v>0.1</v>
      </c>
      <c r="M2670" t="s">
        <v>13795</v>
      </c>
      <c r="N2670" t="s">
        <v>13796</v>
      </c>
      <c r="O2670" t="s">
        <v>173</v>
      </c>
      <c r="P2670" t="s">
        <v>30</v>
      </c>
      <c r="Q2670" t="s">
        <v>31</v>
      </c>
      <c r="R2670" s="3">
        <v>15610.184999999999</v>
      </c>
    </row>
    <row r="2671" spans="1:18" x14ac:dyDescent="0.3">
      <c r="A2671" t="s">
        <v>13797</v>
      </c>
      <c r="B2671" t="str">
        <f>TEXT(Raw_Data[[#This Row],[Order Date]],"mmm")</f>
        <v>Nov</v>
      </c>
      <c r="C2671" t="s">
        <v>516</v>
      </c>
      <c r="D2671" t="s">
        <v>13798</v>
      </c>
      <c r="E2671" t="s">
        <v>20</v>
      </c>
      <c r="F2671" t="s">
        <v>106</v>
      </c>
      <c r="G2671" t="s">
        <v>163</v>
      </c>
      <c r="H2671" t="s">
        <v>23</v>
      </c>
      <c r="I2671" t="s">
        <v>263</v>
      </c>
      <c r="J2671" t="s">
        <v>100</v>
      </c>
      <c r="K2671" t="s">
        <v>13799</v>
      </c>
      <c r="L2671">
        <v>0.2</v>
      </c>
      <c r="M2671" t="s">
        <v>13800</v>
      </c>
      <c r="N2671" t="s">
        <v>13801</v>
      </c>
      <c r="O2671" t="s">
        <v>173</v>
      </c>
      <c r="P2671" t="s">
        <v>112</v>
      </c>
      <c r="Q2671" t="s">
        <v>65</v>
      </c>
      <c r="R2671" s="3">
        <v>99412.535999999993</v>
      </c>
    </row>
    <row r="2672" spans="1:18" x14ac:dyDescent="0.3">
      <c r="A2672" t="s">
        <v>13802</v>
      </c>
      <c r="B2672" t="str">
        <f>TEXT(Raw_Data[[#This Row],[Order Date]],"mmm")</f>
        <v>Jul</v>
      </c>
      <c r="C2672" t="s">
        <v>87</v>
      </c>
      <c r="D2672" t="s">
        <v>13803</v>
      </c>
      <c r="E2672" t="s">
        <v>35</v>
      </c>
      <c r="F2672" t="s">
        <v>58</v>
      </c>
      <c r="G2672" t="s">
        <v>290</v>
      </c>
      <c r="H2672" t="s">
        <v>23</v>
      </c>
      <c r="I2672" t="s">
        <v>263</v>
      </c>
      <c r="J2672" t="s">
        <v>25</v>
      </c>
      <c r="K2672" t="s">
        <v>13804</v>
      </c>
      <c r="L2672">
        <v>0.05</v>
      </c>
      <c r="M2672" t="s">
        <v>13805</v>
      </c>
      <c r="N2672" t="s">
        <v>13806</v>
      </c>
      <c r="O2672" t="s">
        <v>29</v>
      </c>
      <c r="P2672" t="s">
        <v>95</v>
      </c>
      <c r="Q2672" t="s">
        <v>44</v>
      </c>
      <c r="R2672" s="3">
        <v>55572.387499999997</v>
      </c>
    </row>
    <row r="2673" spans="1:18" x14ac:dyDescent="0.3">
      <c r="A2673" t="s">
        <v>13807</v>
      </c>
      <c r="B2673" t="str">
        <f>TEXT(Raw_Data[[#This Row],[Order Date]],"mmm")</f>
        <v>Aug</v>
      </c>
      <c r="C2673" t="s">
        <v>4824</v>
      </c>
      <c r="D2673" t="s">
        <v>13808</v>
      </c>
      <c r="E2673" t="s">
        <v>35</v>
      </c>
      <c r="F2673" t="s">
        <v>58</v>
      </c>
      <c r="G2673" t="s">
        <v>59</v>
      </c>
      <c r="H2673" t="s">
        <v>38</v>
      </c>
      <c r="I2673" t="s">
        <v>60</v>
      </c>
      <c r="J2673" t="s">
        <v>25</v>
      </c>
      <c r="K2673" t="s">
        <v>13809</v>
      </c>
      <c r="L2673">
        <v>0.15</v>
      </c>
      <c r="M2673" t="s">
        <v>13810</v>
      </c>
      <c r="N2673" t="s">
        <v>13811</v>
      </c>
      <c r="O2673" t="s">
        <v>64</v>
      </c>
      <c r="P2673" t="s">
        <v>30</v>
      </c>
      <c r="Q2673" t="s">
        <v>31</v>
      </c>
      <c r="R2673" s="3">
        <v>1046.248</v>
      </c>
    </row>
    <row r="2674" spans="1:18" x14ac:dyDescent="0.3">
      <c r="A2674" t="s">
        <v>13812</v>
      </c>
      <c r="B2674" t="str">
        <f>TEXT(Raw_Data[[#This Row],[Order Date]],"mmm")</f>
        <v>Jan</v>
      </c>
      <c r="C2674" t="s">
        <v>2464</v>
      </c>
      <c r="D2674" t="s">
        <v>13813</v>
      </c>
      <c r="E2674" t="s">
        <v>20</v>
      </c>
      <c r="F2674" t="s">
        <v>36</v>
      </c>
      <c r="G2674" t="s">
        <v>414</v>
      </c>
      <c r="H2674" t="s">
        <v>80</v>
      </c>
      <c r="I2674" t="s">
        <v>146</v>
      </c>
      <c r="J2674" t="s">
        <v>25</v>
      </c>
      <c r="K2674" t="s">
        <v>13814</v>
      </c>
      <c r="L2674">
        <v>0.15</v>
      </c>
      <c r="M2674" t="s">
        <v>13815</v>
      </c>
      <c r="N2674" t="s">
        <v>13816</v>
      </c>
      <c r="O2674" t="s">
        <v>43</v>
      </c>
      <c r="P2674" t="s">
        <v>30</v>
      </c>
      <c r="Q2674" t="s">
        <v>44</v>
      </c>
      <c r="R2674" s="3">
        <v>1547.1189999999999</v>
      </c>
    </row>
    <row r="2675" spans="1:18" x14ac:dyDescent="0.3">
      <c r="A2675" t="s">
        <v>13817</v>
      </c>
      <c r="B2675" t="str">
        <f>TEXT(Raw_Data[[#This Row],[Order Date]],"mmm")</f>
        <v>Nov</v>
      </c>
      <c r="C2675" t="s">
        <v>510</v>
      </c>
      <c r="D2675" t="s">
        <v>13818</v>
      </c>
      <c r="E2675" t="s">
        <v>35</v>
      </c>
      <c r="F2675" t="s">
        <v>21</v>
      </c>
      <c r="G2675" t="s">
        <v>22</v>
      </c>
      <c r="H2675" t="s">
        <v>23</v>
      </c>
      <c r="I2675" t="s">
        <v>49</v>
      </c>
      <c r="J2675" t="s">
        <v>25</v>
      </c>
      <c r="K2675" t="s">
        <v>13819</v>
      </c>
      <c r="L2675">
        <v>0</v>
      </c>
      <c r="M2675" t="s">
        <v>13820</v>
      </c>
      <c r="N2675" t="s">
        <v>13821</v>
      </c>
      <c r="O2675" t="s">
        <v>54</v>
      </c>
      <c r="P2675" t="s">
        <v>30</v>
      </c>
      <c r="Q2675" t="s">
        <v>31</v>
      </c>
      <c r="R2675" s="3">
        <v>18019.28</v>
      </c>
    </row>
    <row r="2676" spans="1:18" x14ac:dyDescent="0.3">
      <c r="A2676" t="s">
        <v>13822</v>
      </c>
      <c r="B2676" t="str">
        <f>TEXT(Raw_Data[[#This Row],[Order Date]],"mmm")</f>
        <v>Jul</v>
      </c>
      <c r="C2676" t="s">
        <v>87</v>
      </c>
      <c r="D2676" t="s">
        <v>13823</v>
      </c>
      <c r="E2676" t="s">
        <v>35</v>
      </c>
      <c r="F2676" t="s">
        <v>21</v>
      </c>
      <c r="G2676" t="s">
        <v>130</v>
      </c>
      <c r="H2676" t="s">
        <v>23</v>
      </c>
      <c r="I2676" t="s">
        <v>24</v>
      </c>
      <c r="J2676" t="s">
        <v>50</v>
      </c>
      <c r="K2676" t="s">
        <v>13824</v>
      </c>
      <c r="L2676">
        <v>0.15</v>
      </c>
      <c r="M2676" t="s">
        <v>13825</v>
      </c>
      <c r="N2676" t="s">
        <v>13826</v>
      </c>
      <c r="O2676" t="s">
        <v>29</v>
      </c>
      <c r="P2676" t="s">
        <v>30</v>
      </c>
      <c r="Q2676" t="s">
        <v>31</v>
      </c>
      <c r="R2676" s="3">
        <v>66220.694999999905</v>
      </c>
    </row>
    <row r="2677" spans="1:18" x14ac:dyDescent="0.3">
      <c r="A2677" t="s">
        <v>13827</v>
      </c>
      <c r="B2677" t="str">
        <f>TEXT(Raw_Data[[#This Row],[Order Date]],"mmm")</f>
        <v>Mar</v>
      </c>
      <c r="C2677" t="s">
        <v>1808</v>
      </c>
      <c r="D2677" t="s">
        <v>13828</v>
      </c>
      <c r="E2677" t="s">
        <v>48</v>
      </c>
      <c r="F2677" t="s">
        <v>89</v>
      </c>
      <c r="G2677" t="s">
        <v>90</v>
      </c>
      <c r="H2677" t="s">
        <v>23</v>
      </c>
      <c r="I2677" t="s">
        <v>49</v>
      </c>
      <c r="J2677" t="s">
        <v>25</v>
      </c>
      <c r="K2677" t="s">
        <v>13829</v>
      </c>
      <c r="L2677">
        <v>0</v>
      </c>
      <c r="M2677" t="s">
        <v>13830</v>
      </c>
      <c r="N2677" t="s">
        <v>13831</v>
      </c>
      <c r="O2677" t="s">
        <v>29</v>
      </c>
      <c r="P2677" t="s">
        <v>30</v>
      </c>
      <c r="Q2677" t="s">
        <v>44</v>
      </c>
      <c r="R2677" s="3">
        <v>5503.68</v>
      </c>
    </row>
    <row r="2678" spans="1:18" x14ac:dyDescent="0.3">
      <c r="A2678" t="s">
        <v>13832</v>
      </c>
      <c r="B2678" t="str">
        <f>TEXT(Raw_Data[[#This Row],[Order Date]],"mmm")</f>
        <v>Oct</v>
      </c>
      <c r="C2678" t="s">
        <v>383</v>
      </c>
      <c r="D2678" t="s">
        <v>13833</v>
      </c>
      <c r="E2678" t="s">
        <v>35</v>
      </c>
      <c r="F2678" t="s">
        <v>36</v>
      </c>
      <c r="G2678" t="s">
        <v>196</v>
      </c>
      <c r="H2678" t="s">
        <v>23</v>
      </c>
      <c r="I2678" t="s">
        <v>49</v>
      </c>
      <c r="J2678" t="s">
        <v>100</v>
      </c>
      <c r="K2678" t="s">
        <v>13834</v>
      </c>
      <c r="L2678">
        <v>0.1</v>
      </c>
      <c r="M2678" t="s">
        <v>13835</v>
      </c>
      <c r="N2678" t="s">
        <v>13836</v>
      </c>
      <c r="O2678" t="s">
        <v>64</v>
      </c>
      <c r="P2678" t="s">
        <v>112</v>
      </c>
      <c r="Q2678" t="s">
        <v>31</v>
      </c>
      <c r="R2678" s="3">
        <v>137418.579</v>
      </c>
    </row>
    <row r="2679" spans="1:18" x14ac:dyDescent="0.3">
      <c r="A2679" t="s">
        <v>13837</v>
      </c>
      <c r="B2679" t="str">
        <f>TEXT(Raw_Data[[#This Row],[Order Date]],"mmm")</f>
        <v>Nov</v>
      </c>
      <c r="C2679" t="s">
        <v>851</v>
      </c>
      <c r="D2679" t="s">
        <v>13838</v>
      </c>
      <c r="E2679" t="s">
        <v>35</v>
      </c>
      <c r="F2679" t="s">
        <v>106</v>
      </c>
      <c r="G2679" t="s">
        <v>106</v>
      </c>
      <c r="H2679" t="s">
        <v>80</v>
      </c>
      <c r="I2679" t="s">
        <v>81</v>
      </c>
      <c r="J2679" t="s">
        <v>25</v>
      </c>
      <c r="K2679" t="s">
        <v>13839</v>
      </c>
      <c r="L2679">
        <v>0.15</v>
      </c>
      <c r="M2679" t="s">
        <v>13840</v>
      </c>
      <c r="N2679" t="s">
        <v>13841</v>
      </c>
      <c r="O2679" t="s">
        <v>29</v>
      </c>
      <c r="P2679" t="s">
        <v>159</v>
      </c>
      <c r="Q2679" t="s">
        <v>65</v>
      </c>
      <c r="R2679" s="3">
        <v>542.80150000000003</v>
      </c>
    </row>
    <row r="2680" spans="1:18" x14ac:dyDescent="0.3">
      <c r="A2680" t="s">
        <v>13842</v>
      </c>
      <c r="B2680" t="str">
        <f>TEXT(Raw_Data[[#This Row],[Order Date]],"mmm")</f>
        <v>Apr</v>
      </c>
      <c r="C2680" t="s">
        <v>2649</v>
      </c>
      <c r="D2680" t="s">
        <v>13843</v>
      </c>
      <c r="E2680" t="s">
        <v>35</v>
      </c>
      <c r="F2680" t="s">
        <v>106</v>
      </c>
      <c r="G2680" t="s">
        <v>163</v>
      </c>
      <c r="H2680" t="s">
        <v>23</v>
      </c>
      <c r="I2680" t="s">
        <v>49</v>
      </c>
      <c r="J2680" t="s">
        <v>25</v>
      </c>
      <c r="K2680" t="s">
        <v>13844</v>
      </c>
      <c r="L2680">
        <v>0</v>
      </c>
      <c r="M2680" t="s">
        <v>13845</v>
      </c>
      <c r="N2680" t="s">
        <v>13846</v>
      </c>
      <c r="O2680" t="s">
        <v>64</v>
      </c>
      <c r="P2680" t="s">
        <v>30</v>
      </c>
      <c r="Q2680" t="s">
        <v>44</v>
      </c>
      <c r="R2680" s="3">
        <v>74525.789999999994</v>
      </c>
    </row>
    <row r="2681" spans="1:18" x14ac:dyDescent="0.3">
      <c r="A2681" t="s">
        <v>13847</v>
      </c>
      <c r="B2681" t="str">
        <f>TEXT(Raw_Data[[#This Row],[Order Date]],"mmm")</f>
        <v>Oct</v>
      </c>
      <c r="C2681" t="s">
        <v>314</v>
      </c>
      <c r="D2681" t="s">
        <v>13848</v>
      </c>
      <c r="E2681" t="s">
        <v>35</v>
      </c>
      <c r="F2681" t="s">
        <v>58</v>
      </c>
      <c r="G2681" t="s">
        <v>812</v>
      </c>
      <c r="H2681" t="s">
        <v>38</v>
      </c>
      <c r="I2681" t="s">
        <v>39</v>
      </c>
      <c r="J2681" t="s">
        <v>25</v>
      </c>
      <c r="K2681" t="s">
        <v>13849</v>
      </c>
      <c r="L2681">
        <v>0</v>
      </c>
      <c r="M2681" t="s">
        <v>13850</v>
      </c>
      <c r="N2681" t="s">
        <v>1326</v>
      </c>
      <c r="O2681" t="s">
        <v>173</v>
      </c>
      <c r="P2681" t="s">
        <v>30</v>
      </c>
      <c r="Q2681" t="s">
        <v>44</v>
      </c>
      <c r="R2681" s="3">
        <v>5583.12</v>
      </c>
    </row>
    <row r="2682" spans="1:18" x14ac:dyDescent="0.3">
      <c r="A2682" t="s">
        <v>13851</v>
      </c>
      <c r="B2682" t="str">
        <f>TEXT(Raw_Data[[#This Row],[Order Date]],"mmm")</f>
        <v>Sep</v>
      </c>
      <c r="C2682" t="s">
        <v>742</v>
      </c>
      <c r="D2682" t="s">
        <v>13852</v>
      </c>
      <c r="E2682" t="s">
        <v>48</v>
      </c>
      <c r="F2682" t="s">
        <v>215</v>
      </c>
      <c r="G2682" t="s">
        <v>216</v>
      </c>
      <c r="H2682" t="s">
        <v>154</v>
      </c>
      <c r="I2682" t="s">
        <v>1061</v>
      </c>
      <c r="J2682" t="s">
        <v>25</v>
      </c>
      <c r="K2682" t="s">
        <v>13853</v>
      </c>
      <c r="L2682">
        <v>0.05</v>
      </c>
      <c r="M2682" t="s">
        <v>13854</v>
      </c>
      <c r="N2682" t="s">
        <v>13855</v>
      </c>
      <c r="O2682" t="s">
        <v>173</v>
      </c>
      <c r="P2682" t="s">
        <v>30</v>
      </c>
      <c r="Q2682" t="s">
        <v>31</v>
      </c>
      <c r="R2682" s="3">
        <v>8580.3809999999994</v>
      </c>
    </row>
    <row r="2683" spans="1:18" x14ac:dyDescent="0.3">
      <c r="A2683" t="s">
        <v>13856</v>
      </c>
      <c r="B2683" t="str">
        <f>TEXT(Raw_Data[[#This Row],[Order Date]],"mmm")</f>
        <v>Jan</v>
      </c>
      <c r="C2683" t="s">
        <v>2752</v>
      </c>
      <c r="D2683" t="s">
        <v>13857</v>
      </c>
      <c r="E2683" t="s">
        <v>35</v>
      </c>
      <c r="F2683" t="s">
        <v>58</v>
      </c>
      <c r="G2683" t="s">
        <v>290</v>
      </c>
      <c r="H2683" t="s">
        <v>23</v>
      </c>
      <c r="I2683" t="s">
        <v>24</v>
      </c>
      <c r="J2683" t="s">
        <v>25</v>
      </c>
      <c r="K2683" t="s">
        <v>13858</v>
      </c>
      <c r="L2683">
        <v>0.05</v>
      </c>
      <c r="M2683" t="s">
        <v>13859</v>
      </c>
      <c r="N2683" t="s">
        <v>13860</v>
      </c>
      <c r="O2683" t="s">
        <v>54</v>
      </c>
      <c r="P2683" t="s">
        <v>30</v>
      </c>
      <c r="Q2683" t="s">
        <v>44</v>
      </c>
      <c r="R2683" s="3">
        <v>65604.501499999998</v>
      </c>
    </row>
    <row r="2684" spans="1:18" x14ac:dyDescent="0.3">
      <c r="A2684" t="s">
        <v>13861</v>
      </c>
      <c r="B2684" t="str">
        <f>TEXT(Raw_Data[[#This Row],[Order Date]],"mmm")</f>
        <v>Jun</v>
      </c>
      <c r="C2684" t="s">
        <v>2798</v>
      </c>
      <c r="D2684" t="s">
        <v>13862</v>
      </c>
      <c r="E2684" t="s">
        <v>20</v>
      </c>
      <c r="F2684" t="s">
        <v>78</v>
      </c>
      <c r="G2684" t="s">
        <v>731</v>
      </c>
      <c r="H2684" t="s">
        <v>38</v>
      </c>
      <c r="I2684" t="s">
        <v>60</v>
      </c>
      <c r="J2684" t="s">
        <v>100</v>
      </c>
      <c r="K2684" t="s">
        <v>13863</v>
      </c>
      <c r="L2684">
        <v>0.15</v>
      </c>
      <c r="M2684" t="s">
        <v>13864</v>
      </c>
      <c r="N2684" t="s">
        <v>13865</v>
      </c>
      <c r="O2684" t="s">
        <v>173</v>
      </c>
      <c r="P2684" t="s">
        <v>30</v>
      </c>
      <c r="Q2684" t="s">
        <v>44</v>
      </c>
      <c r="R2684" s="3">
        <v>1133.424</v>
      </c>
    </row>
    <row r="2685" spans="1:18" x14ac:dyDescent="0.3">
      <c r="A2685" t="s">
        <v>13866</v>
      </c>
      <c r="B2685" t="str">
        <f>TEXT(Raw_Data[[#This Row],[Order Date]],"mmm")</f>
        <v>Jan</v>
      </c>
      <c r="C2685" t="s">
        <v>175</v>
      </c>
      <c r="D2685" t="s">
        <v>13867</v>
      </c>
      <c r="E2685" t="s">
        <v>20</v>
      </c>
      <c r="F2685" t="s">
        <v>106</v>
      </c>
      <c r="G2685" t="s">
        <v>106</v>
      </c>
      <c r="H2685" t="s">
        <v>154</v>
      </c>
      <c r="I2685" t="s">
        <v>309</v>
      </c>
      <c r="J2685" t="s">
        <v>25</v>
      </c>
      <c r="K2685" t="s">
        <v>13868</v>
      </c>
      <c r="L2685">
        <v>0.1</v>
      </c>
      <c r="M2685" t="s">
        <v>13869</v>
      </c>
      <c r="N2685" t="s">
        <v>13870</v>
      </c>
      <c r="O2685" t="s">
        <v>54</v>
      </c>
      <c r="P2685" t="s">
        <v>30</v>
      </c>
      <c r="Q2685" t="s">
        <v>31</v>
      </c>
      <c r="R2685" s="3">
        <v>10684.466999999901</v>
      </c>
    </row>
    <row r="2686" spans="1:18" x14ac:dyDescent="0.3">
      <c r="A2686" t="s">
        <v>13871</v>
      </c>
      <c r="B2686" t="str">
        <f>TEXT(Raw_Data[[#This Row],[Order Date]],"mmm")</f>
        <v>Jan</v>
      </c>
      <c r="C2686" t="s">
        <v>254</v>
      </c>
      <c r="D2686" t="s">
        <v>13872</v>
      </c>
      <c r="E2686" t="s">
        <v>35</v>
      </c>
      <c r="F2686" t="s">
        <v>106</v>
      </c>
      <c r="G2686" t="s">
        <v>106</v>
      </c>
      <c r="H2686" t="s">
        <v>23</v>
      </c>
      <c r="I2686" t="s">
        <v>183</v>
      </c>
      <c r="J2686" t="s">
        <v>50</v>
      </c>
      <c r="K2686" t="s">
        <v>13873</v>
      </c>
      <c r="L2686">
        <v>0.1</v>
      </c>
      <c r="M2686" t="s">
        <v>13874</v>
      </c>
      <c r="N2686" t="s">
        <v>13875</v>
      </c>
      <c r="O2686" t="s">
        <v>173</v>
      </c>
      <c r="P2686" t="s">
        <v>159</v>
      </c>
      <c r="Q2686" t="s">
        <v>44</v>
      </c>
      <c r="R2686" s="3">
        <v>90790.65</v>
      </c>
    </row>
    <row r="2687" spans="1:18" x14ac:dyDescent="0.3">
      <c r="A2687" t="s">
        <v>13876</v>
      </c>
      <c r="B2687" t="str">
        <f>TEXT(Raw_Data[[#This Row],[Order Date]],"mmm")</f>
        <v>Mar</v>
      </c>
      <c r="C2687" t="s">
        <v>2731</v>
      </c>
      <c r="D2687" t="s">
        <v>13877</v>
      </c>
      <c r="E2687" t="s">
        <v>48</v>
      </c>
      <c r="F2687" t="s">
        <v>89</v>
      </c>
      <c r="G2687" t="s">
        <v>99</v>
      </c>
      <c r="H2687" t="s">
        <v>23</v>
      </c>
      <c r="I2687" t="s">
        <v>24</v>
      </c>
      <c r="J2687" t="s">
        <v>25</v>
      </c>
      <c r="K2687" t="s">
        <v>13878</v>
      </c>
      <c r="L2687">
        <v>0.1</v>
      </c>
      <c r="M2687" t="s">
        <v>13879</v>
      </c>
      <c r="N2687" t="s">
        <v>13880</v>
      </c>
      <c r="O2687" t="s">
        <v>64</v>
      </c>
      <c r="P2687" t="s">
        <v>30</v>
      </c>
      <c r="Q2687" t="s">
        <v>65</v>
      </c>
      <c r="R2687" s="3">
        <v>53202.258000000002</v>
      </c>
    </row>
    <row r="2688" spans="1:18" x14ac:dyDescent="0.3">
      <c r="A2688" t="s">
        <v>13881</v>
      </c>
      <c r="B2688" t="str">
        <f>TEXT(Raw_Data[[#This Row],[Order Date]],"mmm")</f>
        <v>Jan</v>
      </c>
      <c r="C2688" t="s">
        <v>2602</v>
      </c>
      <c r="D2688" t="s">
        <v>13882</v>
      </c>
      <c r="E2688" t="s">
        <v>20</v>
      </c>
      <c r="F2688" t="s">
        <v>215</v>
      </c>
      <c r="G2688" t="s">
        <v>216</v>
      </c>
      <c r="H2688" t="s">
        <v>154</v>
      </c>
      <c r="I2688" t="s">
        <v>237</v>
      </c>
      <c r="J2688" t="s">
        <v>50</v>
      </c>
      <c r="K2688" t="s">
        <v>13883</v>
      </c>
      <c r="L2688">
        <v>0.1</v>
      </c>
      <c r="M2688" t="s">
        <v>13884</v>
      </c>
      <c r="N2688" t="s">
        <v>13885</v>
      </c>
      <c r="O2688" t="s">
        <v>43</v>
      </c>
      <c r="P2688" t="s">
        <v>30</v>
      </c>
      <c r="Q2688" t="s">
        <v>31</v>
      </c>
      <c r="R2688" s="3">
        <v>17164.89</v>
      </c>
    </row>
    <row r="2689" spans="1:18" x14ac:dyDescent="0.3">
      <c r="A2689" t="s">
        <v>13886</v>
      </c>
      <c r="B2689" t="str">
        <f>TEXT(Raw_Data[[#This Row],[Order Date]],"mmm")</f>
        <v>Mar</v>
      </c>
      <c r="C2689" t="s">
        <v>504</v>
      </c>
      <c r="D2689" t="s">
        <v>13887</v>
      </c>
      <c r="E2689" t="s">
        <v>48</v>
      </c>
      <c r="F2689" t="s">
        <v>215</v>
      </c>
      <c r="G2689" t="s">
        <v>216</v>
      </c>
      <c r="H2689" t="s">
        <v>80</v>
      </c>
      <c r="I2689" t="s">
        <v>146</v>
      </c>
      <c r="J2689" t="s">
        <v>25</v>
      </c>
      <c r="K2689" t="s">
        <v>13888</v>
      </c>
      <c r="L2689">
        <v>0.05</v>
      </c>
      <c r="M2689" t="s">
        <v>13889</v>
      </c>
      <c r="N2689" t="s">
        <v>13890</v>
      </c>
      <c r="O2689" t="s">
        <v>43</v>
      </c>
      <c r="P2689" t="s">
        <v>95</v>
      </c>
      <c r="Q2689" t="s">
        <v>44</v>
      </c>
      <c r="R2689" s="3">
        <v>5277.6774999999998</v>
      </c>
    </row>
    <row r="2690" spans="1:18" x14ac:dyDescent="0.3">
      <c r="A2690" t="s">
        <v>13891</v>
      </c>
      <c r="B2690" t="str">
        <f>TEXT(Raw_Data[[#This Row],[Order Date]],"mmm")</f>
        <v>Dec</v>
      </c>
      <c r="C2690" t="s">
        <v>3862</v>
      </c>
      <c r="D2690" t="s">
        <v>13892</v>
      </c>
      <c r="E2690" t="s">
        <v>48</v>
      </c>
      <c r="F2690" t="s">
        <v>21</v>
      </c>
      <c r="G2690" t="s">
        <v>130</v>
      </c>
      <c r="H2690" t="s">
        <v>154</v>
      </c>
      <c r="I2690" t="s">
        <v>1061</v>
      </c>
      <c r="J2690" t="s">
        <v>25</v>
      </c>
      <c r="K2690" t="s">
        <v>13893</v>
      </c>
      <c r="L2690">
        <v>0.1</v>
      </c>
      <c r="M2690" t="s">
        <v>13894</v>
      </c>
      <c r="N2690" t="s">
        <v>13895</v>
      </c>
      <c r="O2690" t="s">
        <v>29</v>
      </c>
      <c r="P2690" t="s">
        <v>95</v>
      </c>
      <c r="Q2690" t="s">
        <v>65</v>
      </c>
      <c r="R2690" s="3">
        <v>2542.7249999999999</v>
      </c>
    </row>
    <row r="2691" spans="1:18" x14ac:dyDescent="0.3">
      <c r="A2691" t="s">
        <v>13896</v>
      </c>
      <c r="B2691" t="str">
        <f>TEXT(Raw_Data[[#This Row],[Order Date]],"mmm")</f>
        <v>Feb</v>
      </c>
      <c r="C2691" t="s">
        <v>702</v>
      </c>
      <c r="D2691" t="s">
        <v>13897</v>
      </c>
      <c r="E2691" t="s">
        <v>35</v>
      </c>
      <c r="F2691" t="s">
        <v>106</v>
      </c>
      <c r="G2691" t="s">
        <v>163</v>
      </c>
      <c r="H2691" t="s">
        <v>107</v>
      </c>
      <c r="I2691" t="s">
        <v>378</v>
      </c>
      <c r="J2691" t="s">
        <v>25</v>
      </c>
      <c r="K2691" t="s">
        <v>13898</v>
      </c>
      <c r="L2691">
        <v>0</v>
      </c>
      <c r="M2691" t="s">
        <v>13899</v>
      </c>
      <c r="N2691" t="s">
        <v>13900</v>
      </c>
      <c r="O2691" t="s">
        <v>54</v>
      </c>
      <c r="P2691" t="s">
        <v>30</v>
      </c>
      <c r="Q2691" t="s">
        <v>31</v>
      </c>
      <c r="R2691" s="3">
        <v>17314.810000000001</v>
      </c>
    </row>
    <row r="2692" spans="1:18" x14ac:dyDescent="0.3">
      <c r="A2692" t="s">
        <v>13901</v>
      </c>
      <c r="B2692" t="str">
        <f>TEXT(Raw_Data[[#This Row],[Order Date]],"mmm")</f>
        <v>Aug</v>
      </c>
      <c r="C2692" t="s">
        <v>1442</v>
      </c>
      <c r="D2692" t="s">
        <v>13902</v>
      </c>
      <c r="E2692" t="s">
        <v>48</v>
      </c>
      <c r="F2692" t="s">
        <v>78</v>
      </c>
      <c r="G2692" t="s">
        <v>79</v>
      </c>
      <c r="H2692" t="s">
        <v>23</v>
      </c>
      <c r="I2692" t="s">
        <v>341</v>
      </c>
      <c r="J2692" t="s">
        <v>25</v>
      </c>
      <c r="K2692" t="s">
        <v>13903</v>
      </c>
      <c r="L2692">
        <v>0.05</v>
      </c>
      <c r="M2692" t="s">
        <v>13904</v>
      </c>
      <c r="N2692" t="s">
        <v>13905</v>
      </c>
      <c r="O2692" t="s">
        <v>29</v>
      </c>
      <c r="P2692" t="s">
        <v>30</v>
      </c>
      <c r="Q2692" t="s">
        <v>44</v>
      </c>
      <c r="R2692" s="3">
        <v>2440.75899999999</v>
      </c>
    </row>
    <row r="2693" spans="1:18" x14ac:dyDescent="0.3">
      <c r="A2693" t="s">
        <v>13906</v>
      </c>
      <c r="B2693" t="str">
        <f>TEXT(Raw_Data[[#This Row],[Order Date]],"mmm")</f>
        <v>Oct</v>
      </c>
      <c r="C2693" t="s">
        <v>1227</v>
      </c>
      <c r="D2693" t="s">
        <v>13907</v>
      </c>
      <c r="E2693" t="s">
        <v>48</v>
      </c>
      <c r="F2693" t="s">
        <v>69</v>
      </c>
      <c r="G2693" t="s">
        <v>139</v>
      </c>
      <c r="H2693" t="s">
        <v>107</v>
      </c>
      <c r="I2693" t="s">
        <v>591</v>
      </c>
      <c r="J2693" t="s">
        <v>100</v>
      </c>
      <c r="K2693" t="s">
        <v>13908</v>
      </c>
      <c r="L2693">
        <v>0.1</v>
      </c>
      <c r="M2693" t="s">
        <v>13909</v>
      </c>
      <c r="N2693" t="s">
        <v>13910</v>
      </c>
      <c r="O2693" t="s">
        <v>43</v>
      </c>
      <c r="P2693" t="s">
        <v>159</v>
      </c>
      <c r="Q2693" t="s">
        <v>31</v>
      </c>
      <c r="R2693" s="3">
        <v>35783.315999999999</v>
      </c>
    </row>
    <row r="2694" spans="1:18" x14ac:dyDescent="0.3">
      <c r="A2694" t="s">
        <v>13911</v>
      </c>
      <c r="B2694" t="str">
        <f>TEXT(Raw_Data[[#This Row],[Order Date]],"mmm")</f>
        <v>Mar</v>
      </c>
      <c r="C2694" t="s">
        <v>1527</v>
      </c>
      <c r="D2694" t="s">
        <v>13912</v>
      </c>
      <c r="E2694" t="s">
        <v>48</v>
      </c>
      <c r="F2694" t="s">
        <v>58</v>
      </c>
      <c r="G2694" t="s">
        <v>812</v>
      </c>
      <c r="H2694" t="s">
        <v>23</v>
      </c>
      <c r="I2694" t="s">
        <v>263</v>
      </c>
      <c r="J2694" t="s">
        <v>100</v>
      </c>
      <c r="K2694" t="s">
        <v>13913</v>
      </c>
      <c r="L2694">
        <v>0.2</v>
      </c>
      <c r="M2694" t="s">
        <v>13914</v>
      </c>
      <c r="N2694" t="s">
        <v>13915</v>
      </c>
      <c r="O2694" t="s">
        <v>29</v>
      </c>
      <c r="P2694" t="s">
        <v>30</v>
      </c>
      <c r="Q2694" t="s">
        <v>31</v>
      </c>
      <c r="R2694" s="3">
        <v>178213.39199999999</v>
      </c>
    </row>
    <row r="2695" spans="1:18" x14ac:dyDescent="0.3">
      <c r="A2695" t="s">
        <v>13916</v>
      </c>
      <c r="B2695" t="str">
        <f>TEXT(Raw_Data[[#This Row],[Order Date]],"mmm")</f>
        <v>Sep</v>
      </c>
      <c r="C2695" t="s">
        <v>4782</v>
      </c>
      <c r="D2695" t="s">
        <v>13917</v>
      </c>
      <c r="E2695" t="s">
        <v>48</v>
      </c>
      <c r="F2695" t="s">
        <v>78</v>
      </c>
      <c r="G2695" t="s">
        <v>468</v>
      </c>
      <c r="H2695" t="s">
        <v>23</v>
      </c>
      <c r="I2695" t="s">
        <v>49</v>
      </c>
      <c r="J2695" t="s">
        <v>50</v>
      </c>
      <c r="K2695" t="s">
        <v>13918</v>
      </c>
      <c r="L2695">
        <v>0.05</v>
      </c>
      <c r="M2695" t="s">
        <v>13919</v>
      </c>
      <c r="N2695" t="s">
        <v>13920</v>
      </c>
      <c r="O2695" t="s">
        <v>43</v>
      </c>
      <c r="P2695" t="s">
        <v>30</v>
      </c>
      <c r="Q2695" t="s">
        <v>65</v>
      </c>
      <c r="R2695" s="3">
        <v>58361.464</v>
      </c>
    </row>
    <row r="2696" spans="1:18" x14ac:dyDescent="0.3">
      <c r="A2696" t="s">
        <v>13921</v>
      </c>
      <c r="B2696" t="str">
        <f>TEXT(Raw_Data[[#This Row],[Order Date]],"mmm")</f>
        <v>Jan</v>
      </c>
      <c r="C2696" t="s">
        <v>3581</v>
      </c>
      <c r="D2696" t="s">
        <v>13922</v>
      </c>
      <c r="E2696" t="s">
        <v>35</v>
      </c>
      <c r="F2696" t="s">
        <v>69</v>
      </c>
      <c r="G2696" t="s">
        <v>139</v>
      </c>
      <c r="H2696" t="s">
        <v>23</v>
      </c>
      <c r="I2696" t="s">
        <v>49</v>
      </c>
      <c r="J2696" t="s">
        <v>100</v>
      </c>
      <c r="K2696" t="s">
        <v>13923</v>
      </c>
      <c r="L2696">
        <v>0</v>
      </c>
      <c r="M2696" t="s">
        <v>13924</v>
      </c>
      <c r="N2696" t="s">
        <v>13925</v>
      </c>
      <c r="O2696" t="s">
        <v>29</v>
      </c>
      <c r="P2696" t="s">
        <v>30</v>
      </c>
      <c r="Q2696" t="s">
        <v>44</v>
      </c>
      <c r="R2696" s="3">
        <v>166227.35999999999</v>
      </c>
    </row>
    <row r="2697" spans="1:18" x14ac:dyDescent="0.3">
      <c r="A2697" t="s">
        <v>13926</v>
      </c>
      <c r="B2697" t="str">
        <f>TEXT(Raw_Data[[#This Row],[Order Date]],"mmm")</f>
        <v>Mar</v>
      </c>
      <c r="C2697" t="s">
        <v>9097</v>
      </c>
      <c r="D2697" t="s">
        <v>13927</v>
      </c>
      <c r="E2697" t="s">
        <v>20</v>
      </c>
      <c r="F2697" t="s">
        <v>69</v>
      </c>
      <c r="G2697" t="s">
        <v>328</v>
      </c>
      <c r="H2697" t="s">
        <v>38</v>
      </c>
      <c r="I2697" t="s">
        <v>60</v>
      </c>
      <c r="J2697" t="s">
        <v>25</v>
      </c>
      <c r="K2697" t="s">
        <v>13928</v>
      </c>
      <c r="L2697">
        <v>0.1</v>
      </c>
      <c r="M2697" t="s">
        <v>13929</v>
      </c>
      <c r="N2697" t="s">
        <v>13930</v>
      </c>
      <c r="O2697" t="s">
        <v>64</v>
      </c>
      <c r="P2697" t="s">
        <v>30</v>
      </c>
      <c r="Q2697" t="s">
        <v>44</v>
      </c>
      <c r="R2697" s="3">
        <v>3724.3620000000001</v>
      </c>
    </row>
    <row r="2698" spans="1:18" x14ac:dyDescent="0.3">
      <c r="A2698" t="s">
        <v>13931</v>
      </c>
      <c r="B2698" t="str">
        <f>TEXT(Raw_Data[[#This Row],[Order Date]],"mmm")</f>
        <v>May</v>
      </c>
      <c r="C2698" t="s">
        <v>1348</v>
      </c>
      <c r="D2698" t="s">
        <v>13932</v>
      </c>
      <c r="E2698" t="s">
        <v>48</v>
      </c>
      <c r="F2698" t="s">
        <v>36</v>
      </c>
      <c r="G2698" t="s">
        <v>196</v>
      </c>
      <c r="H2698" t="s">
        <v>107</v>
      </c>
      <c r="I2698" t="s">
        <v>378</v>
      </c>
      <c r="J2698" t="s">
        <v>25</v>
      </c>
      <c r="K2698" t="s">
        <v>13933</v>
      </c>
      <c r="L2698">
        <v>0.15</v>
      </c>
      <c r="M2698" t="s">
        <v>13934</v>
      </c>
      <c r="N2698" t="s">
        <v>13935</v>
      </c>
      <c r="O2698" t="s">
        <v>43</v>
      </c>
      <c r="P2698" t="s">
        <v>30</v>
      </c>
      <c r="Q2698" t="s">
        <v>44</v>
      </c>
      <c r="R2698" s="3">
        <v>3952.1684999999902</v>
      </c>
    </row>
    <row r="2699" spans="1:18" x14ac:dyDescent="0.3">
      <c r="A2699" t="s">
        <v>13936</v>
      </c>
      <c r="B2699" t="str">
        <f>TEXT(Raw_Data[[#This Row],[Order Date]],"mmm")</f>
        <v>Jul</v>
      </c>
      <c r="C2699" t="s">
        <v>3390</v>
      </c>
      <c r="D2699" t="s">
        <v>13937</v>
      </c>
      <c r="E2699" t="s">
        <v>20</v>
      </c>
      <c r="F2699" t="s">
        <v>58</v>
      </c>
      <c r="G2699" t="s">
        <v>59</v>
      </c>
      <c r="H2699" t="s">
        <v>38</v>
      </c>
      <c r="I2699" t="s">
        <v>71</v>
      </c>
      <c r="J2699" t="s">
        <v>25</v>
      </c>
      <c r="K2699" t="s">
        <v>13938</v>
      </c>
      <c r="L2699">
        <v>0.1</v>
      </c>
      <c r="M2699" t="s">
        <v>13939</v>
      </c>
      <c r="N2699" t="s">
        <v>13940</v>
      </c>
      <c r="O2699" t="s">
        <v>173</v>
      </c>
      <c r="P2699" t="s">
        <v>159</v>
      </c>
      <c r="Q2699" t="s">
        <v>65</v>
      </c>
      <c r="R2699" s="3">
        <v>1799.451</v>
      </c>
    </row>
    <row r="2700" spans="1:18" x14ac:dyDescent="0.3">
      <c r="A2700" t="s">
        <v>13941</v>
      </c>
      <c r="B2700" t="str">
        <f>TEXT(Raw_Data[[#This Row],[Order Date]],"mmm")</f>
        <v>Mar</v>
      </c>
      <c r="C2700" t="s">
        <v>504</v>
      </c>
      <c r="D2700" t="s">
        <v>13942</v>
      </c>
      <c r="E2700" t="s">
        <v>20</v>
      </c>
      <c r="F2700" t="s">
        <v>106</v>
      </c>
      <c r="G2700" t="s">
        <v>106</v>
      </c>
      <c r="H2700" t="s">
        <v>38</v>
      </c>
      <c r="I2700" t="s">
        <v>223</v>
      </c>
      <c r="J2700" t="s">
        <v>25</v>
      </c>
      <c r="K2700" t="s">
        <v>13943</v>
      </c>
      <c r="L2700">
        <v>0.05</v>
      </c>
      <c r="M2700" t="s">
        <v>13944</v>
      </c>
      <c r="N2700" t="s">
        <v>13945</v>
      </c>
      <c r="O2700" t="s">
        <v>173</v>
      </c>
      <c r="P2700" t="s">
        <v>30</v>
      </c>
      <c r="Q2700" t="s">
        <v>44</v>
      </c>
      <c r="R2700" s="3">
        <v>2631.4714999999901</v>
      </c>
    </row>
    <row r="2701" spans="1:18" x14ac:dyDescent="0.3">
      <c r="A2701" t="s">
        <v>13946</v>
      </c>
      <c r="B2701" t="str">
        <f>TEXT(Raw_Data[[#This Row],[Order Date]],"mmm")</f>
        <v>Jun</v>
      </c>
      <c r="C2701" t="s">
        <v>2586</v>
      </c>
      <c r="D2701" t="s">
        <v>13947</v>
      </c>
      <c r="E2701" t="s">
        <v>20</v>
      </c>
      <c r="F2701" t="s">
        <v>69</v>
      </c>
      <c r="G2701" t="s">
        <v>70</v>
      </c>
      <c r="H2701" t="s">
        <v>80</v>
      </c>
      <c r="I2701" t="s">
        <v>116</v>
      </c>
      <c r="J2701" t="s">
        <v>25</v>
      </c>
      <c r="K2701" t="s">
        <v>13948</v>
      </c>
      <c r="L2701">
        <v>0.1</v>
      </c>
      <c r="M2701" t="s">
        <v>13949</v>
      </c>
      <c r="N2701" t="s">
        <v>13950</v>
      </c>
      <c r="O2701" t="s">
        <v>173</v>
      </c>
      <c r="P2701" t="s">
        <v>159</v>
      </c>
      <c r="Q2701" t="s">
        <v>65</v>
      </c>
      <c r="R2701" s="3">
        <v>5114.2049999999999</v>
      </c>
    </row>
    <row r="2702" spans="1:18" x14ac:dyDescent="0.3">
      <c r="A2702" t="s">
        <v>13951</v>
      </c>
      <c r="B2702" t="str">
        <f>TEXT(Raw_Data[[#This Row],[Order Date]],"mmm")</f>
        <v>Feb</v>
      </c>
      <c r="C2702" t="s">
        <v>2133</v>
      </c>
      <c r="D2702" t="s">
        <v>13952</v>
      </c>
      <c r="E2702" t="s">
        <v>35</v>
      </c>
      <c r="F2702" t="s">
        <v>89</v>
      </c>
      <c r="G2702" t="s">
        <v>230</v>
      </c>
      <c r="H2702" t="s">
        <v>4794</v>
      </c>
      <c r="I2702" t="s">
        <v>39</v>
      </c>
      <c r="J2702" t="s">
        <v>100</v>
      </c>
      <c r="K2702" t="s">
        <v>13953</v>
      </c>
      <c r="L2702">
        <v>0</v>
      </c>
      <c r="M2702" t="s">
        <v>13954</v>
      </c>
      <c r="N2702" t="s">
        <v>13955</v>
      </c>
      <c r="O2702" t="s">
        <v>54</v>
      </c>
      <c r="P2702" t="s">
        <v>30</v>
      </c>
      <c r="Q2702" t="s">
        <v>44</v>
      </c>
      <c r="R2702" s="3">
        <v>2476.41</v>
      </c>
    </row>
    <row r="2703" spans="1:18" x14ac:dyDescent="0.3">
      <c r="A2703" t="s">
        <v>13956</v>
      </c>
      <c r="B2703" t="str">
        <f>TEXT(Raw_Data[[#This Row],[Order Date]],"mmm")</f>
        <v>Dec</v>
      </c>
      <c r="C2703" t="s">
        <v>1319</v>
      </c>
      <c r="D2703" t="s">
        <v>13957</v>
      </c>
      <c r="E2703" t="s">
        <v>48</v>
      </c>
      <c r="F2703" t="s">
        <v>78</v>
      </c>
      <c r="G2703" t="s">
        <v>468</v>
      </c>
      <c r="H2703" t="s">
        <v>154</v>
      </c>
      <c r="I2703" t="s">
        <v>237</v>
      </c>
      <c r="J2703" t="s">
        <v>82</v>
      </c>
      <c r="K2703" t="s">
        <v>13958</v>
      </c>
      <c r="L2703">
        <v>0</v>
      </c>
      <c r="M2703" t="s">
        <v>13959</v>
      </c>
      <c r="N2703" t="s">
        <v>13960</v>
      </c>
      <c r="O2703" t="s">
        <v>64</v>
      </c>
      <c r="P2703" t="s">
        <v>95</v>
      </c>
      <c r="Q2703" t="s">
        <v>44</v>
      </c>
      <c r="R2703" s="3">
        <v>13762.84</v>
      </c>
    </row>
    <row r="2704" spans="1:18" x14ac:dyDescent="0.3">
      <c r="A2704" t="s">
        <v>13961</v>
      </c>
      <c r="B2704" t="str">
        <f>TEXT(Raw_Data[[#This Row],[Order Date]],"mmm")</f>
        <v>Jun</v>
      </c>
      <c r="C2704" t="s">
        <v>1342</v>
      </c>
      <c r="D2704" t="s">
        <v>13962</v>
      </c>
      <c r="E2704" t="s">
        <v>20</v>
      </c>
      <c r="F2704" t="s">
        <v>89</v>
      </c>
      <c r="G2704" t="s">
        <v>99</v>
      </c>
      <c r="H2704" t="s">
        <v>38</v>
      </c>
      <c r="I2704" t="s">
        <v>39</v>
      </c>
      <c r="J2704" t="s">
        <v>50</v>
      </c>
      <c r="K2704" t="s">
        <v>13963</v>
      </c>
      <c r="L2704">
        <v>0.15</v>
      </c>
      <c r="M2704" t="s">
        <v>13964</v>
      </c>
      <c r="N2704" t="s">
        <v>13965</v>
      </c>
      <c r="O2704" t="s">
        <v>64</v>
      </c>
      <c r="P2704" t="s">
        <v>30</v>
      </c>
      <c r="Q2704" t="s">
        <v>65</v>
      </c>
      <c r="R2704" s="3">
        <v>10174.874</v>
      </c>
    </row>
    <row r="2705" spans="1:18" x14ac:dyDescent="0.3">
      <c r="A2705" t="s">
        <v>13966</v>
      </c>
      <c r="B2705" t="str">
        <f>TEXT(Raw_Data[[#This Row],[Order Date]],"mmm")</f>
        <v>May</v>
      </c>
      <c r="C2705" t="s">
        <v>2840</v>
      </c>
      <c r="D2705" t="s">
        <v>13967</v>
      </c>
      <c r="E2705" t="s">
        <v>48</v>
      </c>
      <c r="F2705" t="s">
        <v>21</v>
      </c>
      <c r="G2705" t="s">
        <v>130</v>
      </c>
      <c r="H2705" t="s">
        <v>38</v>
      </c>
      <c r="I2705" t="s">
        <v>223</v>
      </c>
      <c r="J2705" t="s">
        <v>50</v>
      </c>
      <c r="K2705" t="s">
        <v>13968</v>
      </c>
      <c r="L2705">
        <v>0</v>
      </c>
      <c r="M2705" t="s">
        <v>13969</v>
      </c>
      <c r="N2705" t="s">
        <v>13970</v>
      </c>
      <c r="O2705" t="s">
        <v>64</v>
      </c>
      <c r="P2705" t="s">
        <v>30</v>
      </c>
      <c r="Q2705" t="s">
        <v>44</v>
      </c>
      <c r="R2705" s="3">
        <v>4953.22</v>
      </c>
    </row>
    <row r="2706" spans="1:18" x14ac:dyDescent="0.3">
      <c r="A2706" t="s">
        <v>13971</v>
      </c>
      <c r="B2706" t="str">
        <f>TEXT(Raw_Data[[#This Row],[Order Date]],"mmm")</f>
        <v>Jan</v>
      </c>
      <c r="C2706" t="s">
        <v>320</v>
      </c>
      <c r="D2706" t="s">
        <v>13972</v>
      </c>
      <c r="E2706" t="s">
        <v>48</v>
      </c>
      <c r="F2706" t="s">
        <v>106</v>
      </c>
      <c r="G2706" t="s">
        <v>106</v>
      </c>
      <c r="H2706" t="s">
        <v>23</v>
      </c>
      <c r="I2706" t="s">
        <v>49</v>
      </c>
      <c r="J2706" t="s">
        <v>100</v>
      </c>
      <c r="K2706" t="s">
        <v>13973</v>
      </c>
      <c r="L2706">
        <v>0.1</v>
      </c>
      <c r="M2706" t="s">
        <v>13974</v>
      </c>
      <c r="N2706" t="s">
        <v>13975</v>
      </c>
      <c r="O2706" t="s">
        <v>29</v>
      </c>
      <c r="P2706" t="s">
        <v>112</v>
      </c>
      <c r="Q2706" t="s">
        <v>44</v>
      </c>
      <c r="R2706" s="3">
        <v>169464.55499999999</v>
      </c>
    </row>
    <row r="2707" spans="1:18" x14ac:dyDescent="0.3">
      <c r="A2707" t="s">
        <v>13976</v>
      </c>
      <c r="B2707" t="str">
        <f>TEXT(Raw_Data[[#This Row],[Order Date]],"mmm")</f>
        <v>Mar</v>
      </c>
      <c r="C2707" t="s">
        <v>3669</v>
      </c>
      <c r="D2707" t="s">
        <v>13977</v>
      </c>
      <c r="E2707" t="s">
        <v>20</v>
      </c>
      <c r="F2707" t="s">
        <v>89</v>
      </c>
      <c r="G2707" t="s">
        <v>99</v>
      </c>
      <c r="H2707" t="s">
        <v>23</v>
      </c>
      <c r="I2707" t="s">
        <v>341</v>
      </c>
      <c r="J2707" t="s">
        <v>25</v>
      </c>
      <c r="K2707" t="s">
        <v>13978</v>
      </c>
      <c r="L2707">
        <v>0.1</v>
      </c>
      <c r="M2707" t="s">
        <v>13979</v>
      </c>
      <c r="N2707" t="s">
        <v>13980</v>
      </c>
      <c r="O2707" t="s">
        <v>29</v>
      </c>
      <c r="P2707" t="s">
        <v>30</v>
      </c>
      <c r="Q2707" t="s">
        <v>65</v>
      </c>
      <c r="R2707" s="3">
        <v>51249.824999999997</v>
      </c>
    </row>
    <row r="2708" spans="1:18" x14ac:dyDescent="0.3">
      <c r="A2708" t="s">
        <v>13981</v>
      </c>
      <c r="B2708" t="str">
        <f>TEXT(Raw_Data[[#This Row],[Order Date]],"mmm")</f>
        <v>Nov</v>
      </c>
      <c r="C2708" t="s">
        <v>516</v>
      </c>
      <c r="D2708" t="s">
        <v>13982</v>
      </c>
      <c r="E2708" t="s">
        <v>48</v>
      </c>
      <c r="F2708" t="s">
        <v>106</v>
      </c>
      <c r="G2708" t="s">
        <v>163</v>
      </c>
      <c r="H2708" t="s">
        <v>107</v>
      </c>
      <c r="I2708" t="s">
        <v>378</v>
      </c>
      <c r="J2708" t="s">
        <v>50</v>
      </c>
      <c r="K2708" t="s">
        <v>13983</v>
      </c>
      <c r="L2708">
        <v>0.1</v>
      </c>
      <c r="M2708" t="s">
        <v>13984</v>
      </c>
      <c r="N2708" t="s">
        <v>13985</v>
      </c>
      <c r="O2708" t="s">
        <v>29</v>
      </c>
      <c r="P2708" t="s">
        <v>30</v>
      </c>
      <c r="Q2708" t="s">
        <v>65</v>
      </c>
      <c r="R2708" s="3">
        <v>11324.591999999901</v>
      </c>
    </row>
    <row r="2709" spans="1:18" x14ac:dyDescent="0.3">
      <c r="A2709" t="s">
        <v>13986</v>
      </c>
      <c r="B2709" t="str">
        <f>TEXT(Raw_Data[[#This Row],[Order Date]],"mmm")</f>
        <v>May</v>
      </c>
      <c r="C2709" t="s">
        <v>1420</v>
      </c>
      <c r="D2709" t="s">
        <v>13987</v>
      </c>
      <c r="E2709" t="s">
        <v>35</v>
      </c>
      <c r="F2709" t="s">
        <v>69</v>
      </c>
      <c r="G2709" t="s">
        <v>328</v>
      </c>
      <c r="H2709" t="s">
        <v>107</v>
      </c>
      <c r="I2709" t="s">
        <v>277</v>
      </c>
      <c r="J2709" t="s">
        <v>25</v>
      </c>
      <c r="K2709" t="s">
        <v>13988</v>
      </c>
      <c r="L2709">
        <v>0</v>
      </c>
      <c r="M2709" t="s">
        <v>13989</v>
      </c>
      <c r="N2709" t="s">
        <v>13990</v>
      </c>
      <c r="O2709" t="s">
        <v>173</v>
      </c>
      <c r="P2709" t="s">
        <v>30</v>
      </c>
      <c r="Q2709" t="s">
        <v>31</v>
      </c>
      <c r="R2709" s="3">
        <v>16279.04</v>
      </c>
    </row>
    <row r="2710" spans="1:18" x14ac:dyDescent="0.3">
      <c r="A2710" t="s">
        <v>13991</v>
      </c>
      <c r="B2710" t="str">
        <f>TEXT(Raw_Data[[#This Row],[Order Date]],"mmm")</f>
        <v>Nov</v>
      </c>
      <c r="C2710" t="s">
        <v>918</v>
      </c>
      <c r="D2710" t="s">
        <v>13992</v>
      </c>
      <c r="E2710" t="s">
        <v>48</v>
      </c>
      <c r="F2710" t="s">
        <v>215</v>
      </c>
      <c r="G2710" t="s">
        <v>276</v>
      </c>
      <c r="H2710" t="s">
        <v>80</v>
      </c>
      <c r="I2710" t="s">
        <v>146</v>
      </c>
      <c r="J2710" t="s">
        <v>25</v>
      </c>
      <c r="K2710" t="s">
        <v>13993</v>
      </c>
      <c r="L2710">
        <v>0.15</v>
      </c>
      <c r="M2710" t="s">
        <v>13994</v>
      </c>
      <c r="N2710" t="s">
        <v>13995</v>
      </c>
      <c r="O2710" t="s">
        <v>43</v>
      </c>
      <c r="P2710" t="s">
        <v>30</v>
      </c>
      <c r="Q2710" t="s">
        <v>31</v>
      </c>
      <c r="R2710" s="3">
        <v>4631.2674999999999</v>
      </c>
    </row>
    <row r="2711" spans="1:18" x14ac:dyDescent="0.3">
      <c r="A2711" t="s">
        <v>13996</v>
      </c>
      <c r="B2711" t="str">
        <f>TEXT(Raw_Data[[#This Row],[Order Date]],"mmm")</f>
        <v>May</v>
      </c>
      <c r="C2711" t="s">
        <v>2299</v>
      </c>
      <c r="D2711" t="s">
        <v>13997</v>
      </c>
      <c r="E2711" t="s">
        <v>48</v>
      </c>
      <c r="F2711" t="s">
        <v>36</v>
      </c>
      <c r="G2711" t="s">
        <v>153</v>
      </c>
      <c r="H2711" t="s">
        <v>23</v>
      </c>
      <c r="I2711" t="s">
        <v>263</v>
      </c>
      <c r="J2711" t="s">
        <v>25</v>
      </c>
      <c r="K2711" t="s">
        <v>13998</v>
      </c>
      <c r="L2711">
        <v>0.15</v>
      </c>
      <c r="M2711" t="s">
        <v>13999</v>
      </c>
      <c r="N2711" t="s">
        <v>14000</v>
      </c>
      <c r="O2711" t="s">
        <v>43</v>
      </c>
      <c r="P2711" t="s">
        <v>30</v>
      </c>
      <c r="Q2711" t="s">
        <v>65</v>
      </c>
      <c r="R2711" s="3">
        <v>36461.158000000003</v>
      </c>
    </row>
    <row r="2712" spans="1:18" x14ac:dyDescent="0.3">
      <c r="A2712" t="s">
        <v>14001</v>
      </c>
      <c r="B2712" t="str">
        <f>TEXT(Raw_Data[[#This Row],[Order Date]],"mmm")</f>
        <v>Feb</v>
      </c>
      <c r="C2712" t="s">
        <v>3331</v>
      </c>
      <c r="D2712" t="s">
        <v>14002</v>
      </c>
      <c r="E2712" t="s">
        <v>20</v>
      </c>
      <c r="F2712" t="s">
        <v>215</v>
      </c>
      <c r="G2712" t="s">
        <v>216</v>
      </c>
      <c r="H2712" t="s">
        <v>23</v>
      </c>
      <c r="I2712" t="s">
        <v>183</v>
      </c>
      <c r="J2712" t="s">
        <v>82</v>
      </c>
      <c r="K2712" t="s">
        <v>14003</v>
      </c>
      <c r="L2712">
        <v>0.05</v>
      </c>
      <c r="M2712" t="s">
        <v>14004</v>
      </c>
      <c r="N2712" t="s">
        <v>14005</v>
      </c>
      <c r="O2712" t="s">
        <v>173</v>
      </c>
      <c r="P2712" t="s">
        <v>30</v>
      </c>
      <c r="Q2712" t="s">
        <v>65</v>
      </c>
      <c r="R2712" s="3">
        <v>75166.09</v>
      </c>
    </row>
    <row r="2713" spans="1:18" x14ac:dyDescent="0.3">
      <c r="A2713" t="s">
        <v>14006</v>
      </c>
      <c r="B2713" t="str">
        <f>TEXT(Raw_Data[[#This Row],[Order Date]],"mmm")</f>
        <v>Dec</v>
      </c>
      <c r="C2713" t="s">
        <v>534</v>
      </c>
      <c r="D2713" t="s">
        <v>14007</v>
      </c>
      <c r="E2713" t="s">
        <v>35</v>
      </c>
      <c r="F2713" t="s">
        <v>58</v>
      </c>
      <c r="G2713" t="s">
        <v>59</v>
      </c>
      <c r="H2713" t="s">
        <v>38</v>
      </c>
      <c r="I2713" t="s">
        <v>71</v>
      </c>
      <c r="J2713" t="s">
        <v>25</v>
      </c>
      <c r="K2713" t="s">
        <v>14008</v>
      </c>
      <c r="L2713">
        <v>0</v>
      </c>
      <c r="M2713" t="s">
        <v>14009</v>
      </c>
      <c r="N2713" t="s">
        <v>14010</v>
      </c>
      <c r="O2713" t="s">
        <v>173</v>
      </c>
      <c r="P2713" t="s">
        <v>95</v>
      </c>
      <c r="Q2713" t="s">
        <v>31</v>
      </c>
      <c r="R2713" s="3">
        <v>3823.68</v>
      </c>
    </row>
    <row r="2714" spans="1:18" x14ac:dyDescent="0.3">
      <c r="A2714" t="s">
        <v>14011</v>
      </c>
      <c r="B2714" t="str">
        <f>TEXT(Raw_Data[[#This Row],[Order Date]],"mmm")</f>
        <v>Jan</v>
      </c>
      <c r="C2714" t="s">
        <v>2752</v>
      </c>
      <c r="D2714" t="s">
        <v>14012</v>
      </c>
      <c r="E2714" t="s">
        <v>48</v>
      </c>
      <c r="F2714" t="s">
        <v>215</v>
      </c>
      <c r="G2714" t="s">
        <v>276</v>
      </c>
      <c r="H2714" t="s">
        <v>23</v>
      </c>
      <c r="I2714" t="s">
        <v>24</v>
      </c>
      <c r="J2714" t="s">
        <v>25</v>
      </c>
      <c r="K2714" t="s">
        <v>14013</v>
      </c>
      <c r="L2714">
        <v>0.05</v>
      </c>
      <c r="M2714" t="s">
        <v>14014</v>
      </c>
      <c r="N2714" t="s">
        <v>14015</v>
      </c>
      <c r="O2714" t="s">
        <v>54</v>
      </c>
      <c r="P2714" t="s">
        <v>30</v>
      </c>
      <c r="Q2714" t="s">
        <v>65</v>
      </c>
      <c r="R2714" s="3">
        <v>2776.7550000000001</v>
      </c>
    </row>
    <row r="2715" spans="1:18" x14ac:dyDescent="0.3">
      <c r="A2715" t="s">
        <v>14016</v>
      </c>
      <c r="B2715" t="str">
        <f>TEXT(Raw_Data[[#This Row],[Order Date]],"mmm")</f>
        <v>Dec</v>
      </c>
      <c r="C2715" t="s">
        <v>868</v>
      </c>
      <c r="D2715" t="s">
        <v>14017</v>
      </c>
      <c r="E2715" t="s">
        <v>35</v>
      </c>
      <c r="F2715" t="s">
        <v>21</v>
      </c>
      <c r="G2715" t="s">
        <v>130</v>
      </c>
      <c r="H2715" t="s">
        <v>38</v>
      </c>
      <c r="I2715" t="s">
        <v>60</v>
      </c>
      <c r="J2715" t="s">
        <v>25</v>
      </c>
      <c r="K2715" t="s">
        <v>14018</v>
      </c>
      <c r="L2715">
        <v>0.15</v>
      </c>
      <c r="M2715" t="s">
        <v>14019</v>
      </c>
      <c r="N2715" t="s">
        <v>14020</v>
      </c>
      <c r="O2715" t="s">
        <v>173</v>
      </c>
      <c r="P2715" t="s">
        <v>30</v>
      </c>
      <c r="Q2715" t="s">
        <v>31</v>
      </c>
      <c r="R2715" s="3">
        <v>1918.0929999999901</v>
      </c>
    </row>
    <row r="2716" spans="1:18" x14ac:dyDescent="0.3">
      <c r="A2716" t="s">
        <v>14021</v>
      </c>
      <c r="B2716" t="str">
        <f>TEXT(Raw_Data[[#This Row],[Order Date]],"mmm")</f>
        <v>May</v>
      </c>
      <c r="C2716" t="s">
        <v>885</v>
      </c>
      <c r="D2716" t="s">
        <v>14022</v>
      </c>
      <c r="E2716" t="s">
        <v>48</v>
      </c>
      <c r="F2716" t="s">
        <v>58</v>
      </c>
      <c r="G2716" t="s">
        <v>59</v>
      </c>
      <c r="H2716" t="s">
        <v>80</v>
      </c>
      <c r="I2716" t="s">
        <v>131</v>
      </c>
      <c r="J2716" t="s">
        <v>25</v>
      </c>
      <c r="K2716" t="s">
        <v>14023</v>
      </c>
      <c r="L2716">
        <v>0.05</v>
      </c>
      <c r="M2716" t="s">
        <v>14024</v>
      </c>
      <c r="N2716" t="s">
        <v>14025</v>
      </c>
      <c r="O2716" t="s">
        <v>173</v>
      </c>
      <c r="P2716" t="s">
        <v>30</v>
      </c>
      <c r="Q2716" t="s">
        <v>44</v>
      </c>
      <c r="R2716" s="3">
        <v>1350.7004999999999</v>
      </c>
    </row>
    <row r="2717" spans="1:18" x14ac:dyDescent="0.3">
      <c r="A2717" t="s">
        <v>14026</v>
      </c>
      <c r="B2717" t="str">
        <f>TEXT(Raw_Data[[#This Row],[Order Date]],"mmm")</f>
        <v>Apr</v>
      </c>
      <c r="C2717" t="s">
        <v>1307</v>
      </c>
      <c r="D2717" t="s">
        <v>14027</v>
      </c>
      <c r="E2717" t="s">
        <v>20</v>
      </c>
      <c r="F2717" t="s">
        <v>58</v>
      </c>
      <c r="G2717" t="s">
        <v>290</v>
      </c>
      <c r="H2717" t="s">
        <v>80</v>
      </c>
      <c r="I2717" t="s">
        <v>146</v>
      </c>
      <c r="J2717" t="s">
        <v>25</v>
      </c>
      <c r="K2717" t="s">
        <v>14028</v>
      </c>
      <c r="L2717">
        <v>0.15</v>
      </c>
      <c r="M2717" t="s">
        <v>14029</v>
      </c>
      <c r="N2717" t="s">
        <v>14030</v>
      </c>
      <c r="O2717" t="s">
        <v>54</v>
      </c>
      <c r="P2717" t="s">
        <v>30</v>
      </c>
      <c r="Q2717" t="s">
        <v>65</v>
      </c>
      <c r="R2717" s="3">
        <v>1039.9494999999999</v>
      </c>
    </row>
    <row r="2718" spans="1:18" x14ac:dyDescent="0.3">
      <c r="A2718" t="s">
        <v>14031</v>
      </c>
      <c r="B2718" t="str">
        <f>TEXT(Raw_Data[[#This Row],[Order Date]],"mmm")</f>
        <v>Jun</v>
      </c>
      <c r="C2718" t="s">
        <v>3514</v>
      </c>
      <c r="D2718" t="s">
        <v>14032</v>
      </c>
      <c r="E2718" t="s">
        <v>20</v>
      </c>
      <c r="F2718" t="s">
        <v>89</v>
      </c>
      <c r="G2718" t="s">
        <v>99</v>
      </c>
      <c r="H2718" t="s">
        <v>23</v>
      </c>
      <c r="I2718" t="s">
        <v>263</v>
      </c>
      <c r="J2718" t="s">
        <v>25</v>
      </c>
      <c r="K2718" t="s">
        <v>14033</v>
      </c>
      <c r="L2718">
        <v>0.15</v>
      </c>
      <c r="M2718" t="s">
        <v>14034</v>
      </c>
      <c r="N2718" t="s">
        <v>14035</v>
      </c>
      <c r="O2718" t="s">
        <v>54</v>
      </c>
      <c r="P2718" t="s">
        <v>30</v>
      </c>
      <c r="Q2718" t="s">
        <v>44</v>
      </c>
      <c r="R2718" s="3">
        <v>59675.584499999997</v>
      </c>
    </row>
    <row r="2719" spans="1:18" x14ac:dyDescent="0.3">
      <c r="A2719" t="s">
        <v>14036</v>
      </c>
      <c r="B2719" t="str">
        <f>TEXT(Raw_Data[[#This Row],[Order Date]],"mmm")</f>
        <v>Aug</v>
      </c>
      <c r="C2719" t="s">
        <v>954</v>
      </c>
      <c r="D2719" t="s">
        <v>14037</v>
      </c>
      <c r="E2719" t="s">
        <v>48</v>
      </c>
      <c r="F2719" t="s">
        <v>69</v>
      </c>
      <c r="G2719" t="s">
        <v>139</v>
      </c>
      <c r="H2719" t="s">
        <v>23</v>
      </c>
      <c r="I2719" t="s">
        <v>263</v>
      </c>
      <c r="J2719" t="s">
        <v>25</v>
      </c>
      <c r="K2719" t="s">
        <v>14038</v>
      </c>
      <c r="L2719">
        <v>0.15</v>
      </c>
      <c r="M2719" t="s">
        <v>14039</v>
      </c>
      <c r="N2719" t="s">
        <v>14040</v>
      </c>
      <c r="O2719" t="s">
        <v>64</v>
      </c>
      <c r="P2719" t="s">
        <v>30</v>
      </c>
      <c r="Q2719" t="s">
        <v>44</v>
      </c>
      <c r="R2719" s="3">
        <v>26044.6885</v>
      </c>
    </row>
    <row r="2720" spans="1:18" x14ac:dyDescent="0.3">
      <c r="A2720" t="s">
        <v>14041</v>
      </c>
      <c r="B2720" t="str">
        <f>TEXT(Raw_Data[[#This Row],[Order Date]],"mmm")</f>
        <v>Oct</v>
      </c>
      <c r="C2720" t="s">
        <v>3186</v>
      </c>
      <c r="D2720" t="s">
        <v>14042</v>
      </c>
      <c r="E2720" t="s">
        <v>20</v>
      </c>
      <c r="F2720" t="s">
        <v>58</v>
      </c>
      <c r="G2720" t="s">
        <v>812</v>
      </c>
      <c r="H2720" t="s">
        <v>154</v>
      </c>
      <c r="I2720" t="s">
        <v>237</v>
      </c>
      <c r="J2720" t="s">
        <v>25</v>
      </c>
      <c r="K2720" t="s">
        <v>14043</v>
      </c>
      <c r="L2720">
        <v>0</v>
      </c>
      <c r="M2720" t="s">
        <v>14044</v>
      </c>
      <c r="N2720" t="s">
        <v>14045</v>
      </c>
      <c r="O2720" t="s">
        <v>54</v>
      </c>
      <c r="P2720" t="s">
        <v>30</v>
      </c>
      <c r="Q2720" t="s">
        <v>44</v>
      </c>
      <c r="R2720" s="3">
        <v>3101.36</v>
      </c>
    </row>
    <row r="2721" spans="1:18" x14ac:dyDescent="0.3">
      <c r="A2721" t="s">
        <v>14046</v>
      </c>
      <c r="B2721" t="str">
        <f>TEXT(Raw_Data[[#This Row],[Order Date]],"mmm")</f>
        <v>Apr</v>
      </c>
      <c r="C2721" t="s">
        <v>419</v>
      </c>
      <c r="D2721" t="s">
        <v>14047</v>
      </c>
      <c r="E2721" t="s">
        <v>48</v>
      </c>
      <c r="F2721" t="s">
        <v>36</v>
      </c>
      <c r="G2721" t="s">
        <v>196</v>
      </c>
      <c r="H2721" t="s">
        <v>23</v>
      </c>
      <c r="I2721" t="s">
        <v>183</v>
      </c>
      <c r="J2721" t="s">
        <v>50</v>
      </c>
      <c r="K2721" t="s">
        <v>14048</v>
      </c>
      <c r="L2721">
        <v>0.05</v>
      </c>
      <c r="M2721" t="s">
        <v>14049</v>
      </c>
      <c r="N2721" t="s">
        <v>14050</v>
      </c>
      <c r="O2721" t="s">
        <v>64</v>
      </c>
      <c r="P2721" t="s">
        <v>30</v>
      </c>
      <c r="Q2721" t="s">
        <v>31</v>
      </c>
      <c r="R2721" s="3">
        <v>50115.197999999997</v>
      </c>
    </row>
    <row r="2722" spans="1:18" x14ac:dyDescent="0.3">
      <c r="A2722" t="s">
        <v>14051</v>
      </c>
      <c r="B2722" t="str">
        <f>TEXT(Raw_Data[[#This Row],[Order Date]],"mmm")</f>
        <v>Feb</v>
      </c>
      <c r="C2722" t="s">
        <v>2361</v>
      </c>
      <c r="D2722" t="s">
        <v>14052</v>
      </c>
      <c r="E2722" t="s">
        <v>48</v>
      </c>
      <c r="F2722" t="s">
        <v>58</v>
      </c>
      <c r="G2722" t="s">
        <v>59</v>
      </c>
      <c r="H2722" t="s">
        <v>38</v>
      </c>
      <c r="I2722" t="s">
        <v>71</v>
      </c>
      <c r="J2722" t="s">
        <v>50</v>
      </c>
      <c r="K2722" t="s">
        <v>14053</v>
      </c>
      <c r="L2722">
        <v>0.05</v>
      </c>
      <c r="M2722" t="s">
        <v>14054</v>
      </c>
      <c r="N2722" t="s">
        <v>14055</v>
      </c>
      <c r="O2722" t="s">
        <v>54</v>
      </c>
      <c r="P2722" t="s">
        <v>30</v>
      </c>
      <c r="Q2722" t="s">
        <v>65</v>
      </c>
      <c r="R2722" s="3">
        <v>2763.835</v>
      </c>
    </row>
    <row r="2723" spans="1:18" x14ac:dyDescent="0.3">
      <c r="A2723" t="s">
        <v>14056</v>
      </c>
      <c r="B2723" t="str">
        <f>TEXT(Raw_Data[[#This Row],[Order Date]],"mmm")</f>
        <v>Feb</v>
      </c>
      <c r="C2723" t="s">
        <v>307</v>
      </c>
      <c r="D2723" t="s">
        <v>14057</v>
      </c>
      <c r="E2723" t="s">
        <v>48</v>
      </c>
      <c r="F2723" t="s">
        <v>215</v>
      </c>
      <c r="G2723" t="s">
        <v>216</v>
      </c>
      <c r="H2723" t="s">
        <v>80</v>
      </c>
      <c r="I2723" t="s">
        <v>91</v>
      </c>
      <c r="J2723" t="s">
        <v>100</v>
      </c>
      <c r="K2723" t="s">
        <v>14058</v>
      </c>
      <c r="L2723">
        <v>0.1</v>
      </c>
      <c r="M2723" t="s">
        <v>14059</v>
      </c>
      <c r="N2723" t="s">
        <v>14060</v>
      </c>
      <c r="O2723" t="s">
        <v>173</v>
      </c>
      <c r="P2723" t="s">
        <v>30</v>
      </c>
      <c r="Q2723" t="s">
        <v>31</v>
      </c>
      <c r="R2723" s="3">
        <v>16948.169999999998</v>
      </c>
    </row>
    <row r="2724" spans="1:18" x14ac:dyDescent="0.3">
      <c r="A2724" t="s">
        <v>14061</v>
      </c>
      <c r="B2724" t="str">
        <f>TEXT(Raw_Data[[#This Row],[Order Date]],"mmm")</f>
        <v>Jun</v>
      </c>
      <c r="C2724" t="s">
        <v>2586</v>
      </c>
      <c r="D2724" t="s">
        <v>14062</v>
      </c>
      <c r="E2724" t="s">
        <v>20</v>
      </c>
      <c r="F2724" t="s">
        <v>106</v>
      </c>
      <c r="G2724" t="s">
        <v>106</v>
      </c>
      <c r="H2724" t="s">
        <v>23</v>
      </c>
      <c r="I2724" t="s">
        <v>183</v>
      </c>
      <c r="J2724" t="s">
        <v>25</v>
      </c>
      <c r="K2724" t="s">
        <v>14063</v>
      </c>
      <c r="L2724">
        <v>0.05</v>
      </c>
      <c r="M2724" t="s">
        <v>14064</v>
      </c>
      <c r="N2724" t="s">
        <v>14065</v>
      </c>
      <c r="O2724" t="s">
        <v>64</v>
      </c>
      <c r="P2724" t="s">
        <v>30</v>
      </c>
      <c r="Q2724" t="s">
        <v>44</v>
      </c>
      <c r="R2724" s="3">
        <v>16583.8554999999</v>
      </c>
    </row>
    <row r="2725" spans="1:18" x14ac:dyDescent="0.3">
      <c r="A2725" t="s">
        <v>14066</v>
      </c>
      <c r="B2725" t="str">
        <f>TEXT(Raw_Data[[#This Row],[Order Date]],"mmm")</f>
        <v>Jun</v>
      </c>
      <c r="C2725" t="s">
        <v>3993</v>
      </c>
      <c r="D2725" t="s">
        <v>14067</v>
      </c>
      <c r="E2725" t="s">
        <v>20</v>
      </c>
      <c r="F2725" t="s">
        <v>36</v>
      </c>
      <c r="G2725" t="s">
        <v>123</v>
      </c>
      <c r="H2725" t="s">
        <v>23</v>
      </c>
      <c r="I2725" t="s">
        <v>49</v>
      </c>
      <c r="J2725" t="s">
        <v>25</v>
      </c>
      <c r="K2725" t="s">
        <v>14068</v>
      </c>
      <c r="L2725">
        <v>0</v>
      </c>
      <c r="M2725" t="s">
        <v>14069</v>
      </c>
      <c r="N2725" t="s">
        <v>14070</v>
      </c>
      <c r="O2725" t="s">
        <v>29</v>
      </c>
      <c r="P2725" t="s">
        <v>112</v>
      </c>
      <c r="Q2725" t="s">
        <v>65</v>
      </c>
      <c r="R2725" s="3">
        <v>12996.92</v>
      </c>
    </row>
    <row r="2726" spans="1:18" x14ac:dyDescent="0.3">
      <c r="A2726" t="s">
        <v>14071</v>
      </c>
      <c r="B2726" t="str">
        <f>TEXT(Raw_Data[[#This Row],[Order Date]],"mmm")</f>
        <v>Jun</v>
      </c>
      <c r="C2726" t="s">
        <v>1862</v>
      </c>
      <c r="D2726" t="s">
        <v>14072</v>
      </c>
      <c r="E2726" t="s">
        <v>20</v>
      </c>
      <c r="F2726" t="s">
        <v>58</v>
      </c>
      <c r="G2726" t="s">
        <v>59</v>
      </c>
      <c r="H2726" t="s">
        <v>38</v>
      </c>
      <c r="I2726" t="s">
        <v>256</v>
      </c>
      <c r="J2726" t="s">
        <v>25</v>
      </c>
      <c r="K2726" t="s">
        <v>14073</v>
      </c>
      <c r="L2726">
        <v>0</v>
      </c>
      <c r="M2726" t="s">
        <v>14074</v>
      </c>
      <c r="N2726" t="s">
        <v>14075</v>
      </c>
      <c r="O2726" t="s">
        <v>173</v>
      </c>
      <c r="P2726" t="s">
        <v>30</v>
      </c>
      <c r="Q2726" t="s">
        <v>31</v>
      </c>
      <c r="R2726" s="3">
        <v>1031.47</v>
      </c>
    </row>
    <row r="2727" spans="1:18" x14ac:dyDescent="0.3">
      <c r="A2727" t="s">
        <v>14076</v>
      </c>
      <c r="B2727" t="str">
        <f>TEXT(Raw_Data[[#This Row],[Order Date]],"mmm")</f>
        <v>Mar</v>
      </c>
      <c r="C2727" t="s">
        <v>9097</v>
      </c>
      <c r="D2727" t="s">
        <v>14077</v>
      </c>
      <c r="E2727" t="s">
        <v>20</v>
      </c>
      <c r="F2727" t="s">
        <v>89</v>
      </c>
      <c r="G2727" t="s">
        <v>230</v>
      </c>
      <c r="H2727" t="s">
        <v>80</v>
      </c>
      <c r="I2727" t="s">
        <v>116</v>
      </c>
      <c r="J2727" t="s">
        <v>25</v>
      </c>
      <c r="K2727" t="s">
        <v>14078</v>
      </c>
      <c r="L2727">
        <v>0.1</v>
      </c>
      <c r="M2727" t="s">
        <v>14079</v>
      </c>
      <c r="N2727" t="s">
        <v>14080</v>
      </c>
      <c r="O2727" t="s">
        <v>29</v>
      </c>
      <c r="P2727" t="s">
        <v>30</v>
      </c>
      <c r="Q2727" t="s">
        <v>44</v>
      </c>
      <c r="R2727" s="3">
        <v>1275.165</v>
      </c>
    </row>
    <row r="2728" spans="1:18" x14ac:dyDescent="0.3">
      <c r="A2728" t="s">
        <v>14081</v>
      </c>
      <c r="B2728" t="str">
        <f>TEXT(Raw_Data[[#This Row],[Order Date]],"mmm")</f>
        <v>Feb</v>
      </c>
      <c r="C2728" t="s">
        <v>2133</v>
      </c>
      <c r="D2728" t="s">
        <v>14082</v>
      </c>
      <c r="E2728" t="s">
        <v>48</v>
      </c>
      <c r="F2728" t="s">
        <v>69</v>
      </c>
      <c r="G2728" t="s">
        <v>70</v>
      </c>
      <c r="H2728" t="s">
        <v>80</v>
      </c>
      <c r="I2728" t="s">
        <v>146</v>
      </c>
      <c r="J2728" t="s">
        <v>82</v>
      </c>
      <c r="K2728" t="s">
        <v>14083</v>
      </c>
      <c r="L2728">
        <v>0.05</v>
      </c>
      <c r="M2728" t="s">
        <v>14084</v>
      </c>
      <c r="N2728" t="s">
        <v>14085</v>
      </c>
      <c r="O2728" t="s">
        <v>64</v>
      </c>
      <c r="P2728" t="s">
        <v>30</v>
      </c>
      <c r="Q2728" t="s">
        <v>44</v>
      </c>
      <c r="R2728" s="3">
        <v>15823.541999999999</v>
      </c>
    </row>
    <row r="2729" spans="1:18" x14ac:dyDescent="0.3">
      <c r="A2729" t="s">
        <v>14086</v>
      </c>
      <c r="B2729" t="str">
        <f>TEXT(Raw_Data[[#This Row],[Order Date]],"mmm")</f>
        <v>Jan</v>
      </c>
      <c r="C2729" t="s">
        <v>3252</v>
      </c>
      <c r="D2729" t="s">
        <v>14087</v>
      </c>
      <c r="E2729" t="s">
        <v>48</v>
      </c>
      <c r="F2729" t="s">
        <v>89</v>
      </c>
      <c r="G2729" t="s">
        <v>230</v>
      </c>
      <c r="H2729" t="s">
        <v>80</v>
      </c>
      <c r="I2729" t="s">
        <v>91</v>
      </c>
      <c r="J2729" t="s">
        <v>82</v>
      </c>
      <c r="K2729" t="s">
        <v>14088</v>
      </c>
      <c r="L2729">
        <v>0</v>
      </c>
      <c r="M2729" t="s">
        <v>14089</v>
      </c>
      <c r="N2729" t="s">
        <v>14090</v>
      </c>
      <c r="O2729" t="s">
        <v>173</v>
      </c>
      <c r="P2729" t="s">
        <v>159</v>
      </c>
      <c r="Q2729" t="s">
        <v>65</v>
      </c>
      <c r="R2729" s="3">
        <v>19553.759999999998</v>
      </c>
    </row>
    <row r="2730" spans="1:18" x14ac:dyDescent="0.3">
      <c r="A2730" t="s">
        <v>14091</v>
      </c>
      <c r="B2730" t="str">
        <f>TEXT(Raw_Data[[#This Row],[Order Date]],"mmm")</f>
        <v>Nov</v>
      </c>
      <c r="C2730" t="s">
        <v>1009</v>
      </c>
      <c r="D2730" t="s">
        <v>14092</v>
      </c>
      <c r="E2730" t="s">
        <v>20</v>
      </c>
      <c r="F2730" t="s">
        <v>69</v>
      </c>
      <c r="G2730" t="s">
        <v>328</v>
      </c>
      <c r="H2730" t="s">
        <v>154</v>
      </c>
      <c r="I2730" t="s">
        <v>155</v>
      </c>
      <c r="J2730" t="s">
        <v>100</v>
      </c>
      <c r="K2730" t="s">
        <v>14093</v>
      </c>
      <c r="L2730">
        <v>0.15</v>
      </c>
      <c r="M2730" t="s">
        <v>14094</v>
      </c>
      <c r="N2730" t="s">
        <v>14095</v>
      </c>
      <c r="O2730" t="s">
        <v>29</v>
      </c>
      <c r="P2730" t="s">
        <v>30</v>
      </c>
      <c r="Q2730" t="s">
        <v>31</v>
      </c>
      <c r="R2730" s="3">
        <v>28117.906499999899</v>
      </c>
    </row>
    <row r="2731" spans="1:18" x14ac:dyDescent="0.3">
      <c r="A2731" t="s">
        <v>14096</v>
      </c>
      <c r="B2731" t="str">
        <f>TEXT(Raw_Data[[#This Row],[Order Date]],"mmm")</f>
        <v>Apr</v>
      </c>
      <c r="C2731" t="s">
        <v>2101</v>
      </c>
      <c r="D2731" t="s">
        <v>14097</v>
      </c>
      <c r="E2731" t="s">
        <v>48</v>
      </c>
      <c r="F2731" t="s">
        <v>106</v>
      </c>
      <c r="G2731" t="s">
        <v>163</v>
      </c>
      <c r="H2731" t="s">
        <v>80</v>
      </c>
      <c r="I2731" t="s">
        <v>91</v>
      </c>
      <c r="J2731" t="s">
        <v>50</v>
      </c>
      <c r="K2731" t="s">
        <v>14098</v>
      </c>
      <c r="L2731">
        <v>0</v>
      </c>
      <c r="M2731" t="s">
        <v>14099</v>
      </c>
      <c r="N2731" t="s">
        <v>14100</v>
      </c>
      <c r="O2731" t="s">
        <v>64</v>
      </c>
      <c r="P2731" t="s">
        <v>30</v>
      </c>
      <c r="Q2731" t="s">
        <v>65</v>
      </c>
      <c r="R2731" s="3">
        <v>4490.22</v>
      </c>
    </row>
    <row r="2732" spans="1:18" x14ac:dyDescent="0.3">
      <c r="A2732" t="s">
        <v>14101</v>
      </c>
      <c r="B2732" t="str">
        <f>TEXT(Raw_Data[[#This Row],[Order Date]],"mmm")</f>
        <v>Jul</v>
      </c>
      <c r="C2732" t="s">
        <v>2305</v>
      </c>
      <c r="D2732" t="s">
        <v>14102</v>
      </c>
      <c r="E2732" t="s">
        <v>35</v>
      </c>
      <c r="F2732" t="s">
        <v>69</v>
      </c>
      <c r="G2732" t="s">
        <v>328</v>
      </c>
      <c r="H2732" t="s">
        <v>154</v>
      </c>
      <c r="I2732" t="s">
        <v>155</v>
      </c>
      <c r="J2732" t="s">
        <v>50</v>
      </c>
      <c r="K2732" t="s">
        <v>14103</v>
      </c>
      <c r="L2732">
        <v>0.2</v>
      </c>
      <c r="M2732" t="s">
        <v>14104</v>
      </c>
      <c r="N2732" t="s">
        <v>14105</v>
      </c>
      <c r="O2732" t="s">
        <v>54</v>
      </c>
      <c r="P2732" t="s">
        <v>159</v>
      </c>
      <c r="Q2732" t="s">
        <v>65</v>
      </c>
      <c r="R2732" s="3">
        <v>17881.216</v>
      </c>
    </row>
    <row r="2733" spans="1:18" x14ac:dyDescent="0.3">
      <c r="A2733" t="s">
        <v>14106</v>
      </c>
      <c r="B2733" t="str">
        <f>TEXT(Raw_Data[[#This Row],[Order Date]],"mmm")</f>
        <v>Jan</v>
      </c>
      <c r="C2733" t="s">
        <v>1949</v>
      </c>
      <c r="D2733" t="s">
        <v>14107</v>
      </c>
      <c r="E2733" t="s">
        <v>48</v>
      </c>
      <c r="F2733" t="s">
        <v>36</v>
      </c>
      <c r="G2733" t="s">
        <v>414</v>
      </c>
      <c r="H2733" t="s">
        <v>80</v>
      </c>
      <c r="I2733" t="s">
        <v>91</v>
      </c>
      <c r="J2733" t="s">
        <v>25</v>
      </c>
      <c r="K2733" t="s">
        <v>14108</v>
      </c>
      <c r="L2733">
        <v>0.05</v>
      </c>
      <c r="M2733" t="s">
        <v>14109</v>
      </c>
      <c r="N2733" t="s">
        <v>14110</v>
      </c>
      <c r="O2733" t="s">
        <v>64</v>
      </c>
      <c r="P2733" t="s">
        <v>112</v>
      </c>
      <c r="Q2733" t="s">
        <v>44</v>
      </c>
      <c r="R2733" s="3">
        <v>6245.1385</v>
      </c>
    </row>
    <row r="2734" spans="1:18" x14ac:dyDescent="0.3">
      <c r="A2734" t="s">
        <v>14111</v>
      </c>
      <c r="B2734" t="str">
        <f>TEXT(Raw_Data[[#This Row],[Order Date]],"mmm")</f>
        <v>Jun</v>
      </c>
      <c r="C2734" t="s">
        <v>3263</v>
      </c>
      <c r="D2734" t="s">
        <v>14112</v>
      </c>
      <c r="E2734" t="s">
        <v>35</v>
      </c>
      <c r="F2734" t="s">
        <v>58</v>
      </c>
      <c r="G2734" t="s">
        <v>812</v>
      </c>
      <c r="H2734" t="s">
        <v>38</v>
      </c>
      <c r="I2734" t="s">
        <v>60</v>
      </c>
      <c r="J2734" t="s">
        <v>50</v>
      </c>
      <c r="K2734" t="s">
        <v>14113</v>
      </c>
      <c r="L2734">
        <v>0.05</v>
      </c>
      <c r="M2734" t="s">
        <v>14114</v>
      </c>
      <c r="N2734" t="s">
        <v>14115</v>
      </c>
      <c r="O2734" t="s">
        <v>64</v>
      </c>
      <c r="P2734" t="s">
        <v>30</v>
      </c>
      <c r="Q2734" t="s">
        <v>65</v>
      </c>
      <c r="R2734" s="3">
        <v>10187.268</v>
      </c>
    </row>
    <row r="2735" spans="1:18" x14ac:dyDescent="0.3">
      <c r="A2735" t="s">
        <v>14116</v>
      </c>
      <c r="B2735" t="str">
        <f>TEXT(Raw_Data[[#This Row],[Order Date]],"mmm")</f>
        <v>Jul</v>
      </c>
      <c r="C2735" t="s">
        <v>3575</v>
      </c>
      <c r="D2735" t="s">
        <v>14117</v>
      </c>
      <c r="E2735" t="s">
        <v>48</v>
      </c>
      <c r="F2735" t="s">
        <v>21</v>
      </c>
      <c r="G2735" t="s">
        <v>22</v>
      </c>
      <c r="H2735" t="s">
        <v>38</v>
      </c>
      <c r="I2735" t="s">
        <v>71</v>
      </c>
      <c r="J2735" t="s">
        <v>100</v>
      </c>
      <c r="K2735" t="s">
        <v>14118</v>
      </c>
      <c r="L2735">
        <v>0</v>
      </c>
      <c r="M2735" t="s">
        <v>14119</v>
      </c>
      <c r="N2735" t="s">
        <v>14120</v>
      </c>
      <c r="O2735" t="s">
        <v>29</v>
      </c>
      <c r="P2735" t="s">
        <v>30</v>
      </c>
      <c r="Q2735" t="s">
        <v>31</v>
      </c>
      <c r="R2735" s="3">
        <v>9755.52</v>
      </c>
    </row>
    <row r="2736" spans="1:18" x14ac:dyDescent="0.3">
      <c r="A2736" t="s">
        <v>14121</v>
      </c>
      <c r="B2736" t="str">
        <f>TEXT(Raw_Data[[#This Row],[Order Date]],"mmm")</f>
        <v>Nov</v>
      </c>
      <c r="C2736" t="s">
        <v>1643</v>
      </c>
      <c r="D2736" t="s">
        <v>14122</v>
      </c>
      <c r="E2736" t="s">
        <v>48</v>
      </c>
      <c r="F2736" t="s">
        <v>69</v>
      </c>
      <c r="G2736" t="s">
        <v>139</v>
      </c>
      <c r="H2736" t="s">
        <v>80</v>
      </c>
      <c r="I2736" t="s">
        <v>91</v>
      </c>
      <c r="J2736" t="s">
        <v>100</v>
      </c>
      <c r="K2736" t="s">
        <v>14123</v>
      </c>
      <c r="L2736">
        <v>0.05</v>
      </c>
      <c r="M2736" t="s">
        <v>14124</v>
      </c>
      <c r="N2736" t="s">
        <v>14125</v>
      </c>
      <c r="O2736" t="s">
        <v>43</v>
      </c>
      <c r="P2736" t="s">
        <v>30</v>
      </c>
      <c r="Q2736" t="s">
        <v>31</v>
      </c>
      <c r="R2736" s="3">
        <v>4484.5889999999999</v>
      </c>
    </row>
    <row r="2737" spans="1:18" x14ac:dyDescent="0.3">
      <c r="A2737" t="s">
        <v>14126</v>
      </c>
      <c r="B2737" t="str">
        <f>TEXT(Raw_Data[[#This Row],[Order Date]],"mmm")</f>
        <v>Jul</v>
      </c>
      <c r="C2737" t="s">
        <v>3916</v>
      </c>
      <c r="D2737" t="s">
        <v>14127</v>
      </c>
      <c r="E2737" t="s">
        <v>48</v>
      </c>
      <c r="F2737" t="s">
        <v>106</v>
      </c>
      <c r="G2737" t="s">
        <v>106</v>
      </c>
      <c r="H2737" t="s">
        <v>80</v>
      </c>
      <c r="I2737" t="s">
        <v>81</v>
      </c>
      <c r="J2737" t="s">
        <v>25</v>
      </c>
      <c r="K2737" t="s">
        <v>14128</v>
      </c>
      <c r="L2737">
        <v>0.15</v>
      </c>
      <c r="M2737" t="s">
        <v>14129</v>
      </c>
      <c r="N2737" t="s">
        <v>14130</v>
      </c>
      <c r="O2737" t="s">
        <v>64</v>
      </c>
      <c r="P2737" t="s">
        <v>30</v>
      </c>
      <c r="Q2737" t="s">
        <v>65</v>
      </c>
      <c r="R2737" s="3">
        <v>490.62</v>
      </c>
    </row>
    <row r="2738" spans="1:18" x14ac:dyDescent="0.3">
      <c r="A2738" t="s">
        <v>14131</v>
      </c>
      <c r="B2738" t="str">
        <f>TEXT(Raw_Data[[#This Row],[Order Date]],"mmm")</f>
        <v>Jan</v>
      </c>
      <c r="C2738" t="s">
        <v>6081</v>
      </c>
      <c r="D2738" t="s">
        <v>14132</v>
      </c>
      <c r="E2738" t="s">
        <v>20</v>
      </c>
      <c r="F2738" t="s">
        <v>36</v>
      </c>
      <c r="G2738" t="s">
        <v>123</v>
      </c>
      <c r="H2738" t="s">
        <v>80</v>
      </c>
      <c r="I2738" t="s">
        <v>81</v>
      </c>
      <c r="J2738" t="s">
        <v>50</v>
      </c>
      <c r="K2738" t="s">
        <v>14133</v>
      </c>
      <c r="L2738">
        <v>0.05</v>
      </c>
      <c r="M2738" t="s">
        <v>14134</v>
      </c>
      <c r="N2738" t="s">
        <v>14135</v>
      </c>
      <c r="O2738" t="s">
        <v>173</v>
      </c>
      <c r="P2738" t="s">
        <v>112</v>
      </c>
      <c r="Q2738" t="s">
        <v>44</v>
      </c>
      <c r="R2738" s="3">
        <v>2819.125</v>
      </c>
    </row>
    <row r="2739" spans="1:18" x14ac:dyDescent="0.3">
      <c r="A2739" t="s">
        <v>14136</v>
      </c>
      <c r="B2739" t="str">
        <f>TEXT(Raw_Data[[#This Row],[Order Date]],"mmm")</f>
        <v>Aug</v>
      </c>
      <c r="C2739" t="s">
        <v>1840</v>
      </c>
      <c r="D2739" t="s">
        <v>14137</v>
      </c>
      <c r="E2739" t="s">
        <v>20</v>
      </c>
      <c r="F2739" t="s">
        <v>36</v>
      </c>
      <c r="G2739" t="s">
        <v>37</v>
      </c>
      <c r="H2739" t="s">
        <v>23</v>
      </c>
      <c r="I2739" t="s">
        <v>263</v>
      </c>
      <c r="J2739" t="s">
        <v>25</v>
      </c>
      <c r="K2739" t="s">
        <v>14138</v>
      </c>
      <c r="L2739">
        <v>0.15</v>
      </c>
      <c r="M2739" t="s">
        <v>14139</v>
      </c>
      <c r="N2739" t="s">
        <v>14140</v>
      </c>
      <c r="O2739" t="s">
        <v>173</v>
      </c>
      <c r="P2739" t="s">
        <v>159</v>
      </c>
      <c r="Q2739" t="s">
        <v>65</v>
      </c>
      <c r="R2739" s="3">
        <v>7527.2429999999904</v>
      </c>
    </row>
    <row r="2740" spans="1:18" x14ac:dyDescent="0.3">
      <c r="A2740" t="s">
        <v>14141</v>
      </c>
      <c r="B2740" t="str">
        <f>TEXT(Raw_Data[[#This Row],[Order Date]],"mmm")</f>
        <v>Apr</v>
      </c>
      <c r="C2740" t="s">
        <v>902</v>
      </c>
      <c r="D2740" t="s">
        <v>14142</v>
      </c>
      <c r="E2740" t="s">
        <v>48</v>
      </c>
      <c r="F2740" t="s">
        <v>106</v>
      </c>
      <c r="G2740" t="s">
        <v>106</v>
      </c>
      <c r="H2740" t="s">
        <v>107</v>
      </c>
      <c r="I2740" t="s">
        <v>378</v>
      </c>
      <c r="J2740" t="s">
        <v>25</v>
      </c>
      <c r="K2740" t="s">
        <v>14143</v>
      </c>
      <c r="L2740">
        <v>0.1</v>
      </c>
      <c r="M2740" t="s">
        <v>14144</v>
      </c>
      <c r="N2740" t="s">
        <v>14145</v>
      </c>
      <c r="O2740" t="s">
        <v>54</v>
      </c>
      <c r="P2740" t="s">
        <v>30</v>
      </c>
      <c r="Q2740" t="s">
        <v>44</v>
      </c>
      <c r="R2740" s="3">
        <v>13700.124</v>
      </c>
    </row>
    <row r="2741" spans="1:18" x14ac:dyDescent="0.3">
      <c r="A2741" t="s">
        <v>14146</v>
      </c>
      <c r="B2741" t="str">
        <f>TEXT(Raw_Data[[#This Row],[Order Date]],"mmm")</f>
        <v>Nov</v>
      </c>
      <c r="C2741" t="s">
        <v>443</v>
      </c>
      <c r="D2741" t="s">
        <v>14147</v>
      </c>
      <c r="E2741" t="s">
        <v>48</v>
      </c>
      <c r="F2741" t="s">
        <v>21</v>
      </c>
      <c r="G2741" t="s">
        <v>130</v>
      </c>
      <c r="H2741" t="s">
        <v>23</v>
      </c>
      <c r="I2741" t="s">
        <v>49</v>
      </c>
      <c r="J2741" t="s">
        <v>50</v>
      </c>
      <c r="K2741" t="s">
        <v>14148</v>
      </c>
      <c r="L2741">
        <v>0</v>
      </c>
      <c r="M2741" t="s">
        <v>14149</v>
      </c>
      <c r="N2741" t="s">
        <v>14150</v>
      </c>
      <c r="O2741" t="s">
        <v>29</v>
      </c>
      <c r="P2741" t="s">
        <v>30</v>
      </c>
      <c r="Q2741" t="s">
        <v>31</v>
      </c>
      <c r="R2741" s="3">
        <v>13064.02</v>
      </c>
    </row>
    <row r="2742" spans="1:18" x14ac:dyDescent="0.3">
      <c r="A2742" t="s">
        <v>14151</v>
      </c>
      <c r="B2742" t="str">
        <f>TEXT(Raw_Data[[#This Row],[Order Date]],"mmm")</f>
        <v>Mar</v>
      </c>
      <c r="C2742" t="s">
        <v>2731</v>
      </c>
      <c r="D2742" t="s">
        <v>14152</v>
      </c>
      <c r="E2742" t="s">
        <v>20</v>
      </c>
      <c r="F2742" t="s">
        <v>106</v>
      </c>
      <c r="G2742" t="s">
        <v>163</v>
      </c>
      <c r="H2742" t="s">
        <v>23</v>
      </c>
      <c r="I2742" t="s">
        <v>341</v>
      </c>
      <c r="J2742" t="s">
        <v>25</v>
      </c>
      <c r="K2742" t="s">
        <v>14153</v>
      </c>
      <c r="L2742">
        <v>0.05</v>
      </c>
      <c r="M2742" t="s">
        <v>14154</v>
      </c>
      <c r="N2742" t="s">
        <v>14155</v>
      </c>
      <c r="O2742" t="s">
        <v>64</v>
      </c>
      <c r="P2742" t="s">
        <v>30</v>
      </c>
      <c r="Q2742" t="s">
        <v>44</v>
      </c>
      <c r="R2742" s="3">
        <v>14369.415000000001</v>
      </c>
    </row>
    <row r="2743" spans="1:18" x14ac:dyDescent="0.3">
      <c r="A2743" t="s">
        <v>14156</v>
      </c>
      <c r="B2743" t="str">
        <f>TEXT(Raw_Data[[#This Row],[Order Date]],"mmm")</f>
        <v>Jul</v>
      </c>
      <c r="C2743" t="s">
        <v>7058</v>
      </c>
      <c r="D2743" t="s">
        <v>14157</v>
      </c>
      <c r="E2743" t="s">
        <v>35</v>
      </c>
      <c r="F2743" t="s">
        <v>58</v>
      </c>
      <c r="G2743" t="s">
        <v>812</v>
      </c>
      <c r="H2743" t="s">
        <v>154</v>
      </c>
      <c r="I2743" t="s">
        <v>1061</v>
      </c>
      <c r="J2743" t="s">
        <v>50</v>
      </c>
      <c r="K2743" t="s">
        <v>14158</v>
      </c>
      <c r="L2743">
        <v>0.15</v>
      </c>
      <c r="M2743" t="s">
        <v>14159</v>
      </c>
      <c r="N2743" t="s">
        <v>14160</v>
      </c>
      <c r="O2743" t="s">
        <v>43</v>
      </c>
      <c r="P2743" t="s">
        <v>30</v>
      </c>
      <c r="Q2743" t="s">
        <v>65</v>
      </c>
      <c r="R2743" s="3">
        <v>13031.775</v>
      </c>
    </row>
    <row r="2744" spans="1:18" x14ac:dyDescent="0.3">
      <c r="A2744" t="s">
        <v>14161</v>
      </c>
      <c r="B2744" t="str">
        <f>TEXT(Raw_Data[[#This Row],[Order Date]],"mmm")</f>
        <v>Jul</v>
      </c>
      <c r="C2744" t="s">
        <v>2776</v>
      </c>
      <c r="D2744" t="s">
        <v>14162</v>
      </c>
      <c r="E2744" t="s">
        <v>35</v>
      </c>
      <c r="F2744" t="s">
        <v>58</v>
      </c>
      <c r="G2744" t="s">
        <v>59</v>
      </c>
      <c r="H2744" t="s">
        <v>154</v>
      </c>
      <c r="I2744" t="s">
        <v>155</v>
      </c>
      <c r="J2744" t="s">
        <v>25</v>
      </c>
      <c r="K2744" t="s">
        <v>14163</v>
      </c>
      <c r="L2744">
        <v>0.05</v>
      </c>
      <c r="M2744" t="s">
        <v>14164</v>
      </c>
      <c r="N2744" t="s">
        <v>14165</v>
      </c>
      <c r="O2744" t="s">
        <v>43</v>
      </c>
      <c r="P2744" t="s">
        <v>112</v>
      </c>
      <c r="Q2744" t="s">
        <v>44</v>
      </c>
      <c r="R2744" s="3">
        <v>8317.8484999999891</v>
      </c>
    </row>
    <row r="2745" spans="1:18" x14ac:dyDescent="0.3">
      <c r="A2745" t="s">
        <v>14166</v>
      </c>
      <c r="B2745" t="str">
        <f>TEXT(Raw_Data[[#This Row],[Order Date]],"mmm")</f>
        <v>Jan</v>
      </c>
      <c r="C2745" t="s">
        <v>3581</v>
      </c>
      <c r="D2745" t="s">
        <v>14167</v>
      </c>
      <c r="E2745" t="s">
        <v>20</v>
      </c>
      <c r="F2745" t="s">
        <v>78</v>
      </c>
      <c r="G2745" t="s">
        <v>79</v>
      </c>
      <c r="H2745" t="s">
        <v>80</v>
      </c>
      <c r="I2745" t="s">
        <v>116</v>
      </c>
      <c r="J2745" t="s">
        <v>25</v>
      </c>
      <c r="K2745" t="s">
        <v>14168</v>
      </c>
      <c r="L2745">
        <v>0</v>
      </c>
      <c r="M2745" t="s">
        <v>14169</v>
      </c>
      <c r="N2745" t="s">
        <v>14170</v>
      </c>
      <c r="O2745" t="s">
        <v>29</v>
      </c>
      <c r="P2745" t="s">
        <v>30</v>
      </c>
      <c r="Q2745" t="s">
        <v>44</v>
      </c>
      <c r="R2745" s="3">
        <v>3885.02</v>
      </c>
    </row>
    <row r="2746" spans="1:18" x14ac:dyDescent="0.3">
      <c r="A2746" t="s">
        <v>14171</v>
      </c>
      <c r="B2746" t="str">
        <f>TEXT(Raw_Data[[#This Row],[Order Date]],"mmm")</f>
        <v>Feb</v>
      </c>
      <c r="C2746" t="s">
        <v>228</v>
      </c>
      <c r="D2746" t="s">
        <v>14172</v>
      </c>
      <c r="E2746" t="s">
        <v>48</v>
      </c>
      <c r="F2746" t="s">
        <v>58</v>
      </c>
      <c r="G2746" t="s">
        <v>59</v>
      </c>
      <c r="H2746" t="s">
        <v>23</v>
      </c>
      <c r="I2746" t="s">
        <v>341</v>
      </c>
      <c r="J2746" t="s">
        <v>25</v>
      </c>
      <c r="K2746" t="s">
        <v>14173</v>
      </c>
      <c r="L2746">
        <v>0</v>
      </c>
      <c r="M2746" t="s">
        <v>14174</v>
      </c>
      <c r="N2746" t="s">
        <v>14175</v>
      </c>
      <c r="O2746" t="s">
        <v>54</v>
      </c>
      <c r="P2746" t="s">
        <v>30</v>
      </c>
      <c r="Q2746" t="s">
        <v>31</v>
      </c>
      <c r="R2746" s="3">
        <v>7564.35</v>
      </c>
    </row>
    <row r="2747" spans="1:18" x14ac:dyDescent="0.3">
      <c r="A2747" t="s">
        <v>14176</v>
      </c>
      <c r="B2747" t="str">
        <f>TEXT(Raw_Data[[#This Row],[Order Date]],"mmm")</f>
        <v>May</v>
      </c>
      <c r="C2747" t="s">
        <v>2693</v>
      </c>
      <c r="D2747" t="s">
        <v>14177</v>
      </c>
      <c r="E2747" t="s">
        <v>20</v>
      </c>
      <c r="F2747" t="s">
        <v>106</v>
      </c>
      <c r="G2747" t="s">
        <v>106</v>
      </c>
      <c r="H2747" t="s">
        <v>23</v>
      </c>
      <c r="I2747" t="s">
        <v>24</v>
      </c>
      <c r="J2747" t="s">
        <v>82</v>
      </c>
      <c r="K2747" t="s">
        <v>14178</v>
      </c>
      <c r="L2747">
        <v>0.1</v>
      </c>
      <c r="M2747" t="s">
        <v>14179</v>
      </c>
      <c r="N2747" t="s">
        <v>14180</v>
      </c>
      <c r="O2747" t="s">
        <v>43</v>
      </c>
      <c r="P2747" t="s">
        <v>30</v>
      </c>
      <c r="Q2747" t="s">
        <v>31</v>
      </c>
      <c r="R2747" s="3">
        <v>69060.383999999904</v>
      </c>
    </row>
    <row r="2748" spans="1:18" x14ac:dyDescent="0.3">
      <c r="A2748" t="s">
        <v>14181</v>
      </c>
      <c r="B2748" t="str">
        <f>TEXT(Raw_Data[[#This Row],[Order Date]],"mmm")</f>
        <v>Jun</v>
      </c>
      <c r="C2748" t="s">
        <v>466</v>
      </c>
      <c r="D2748" t="s">
        <v>14182</v>
      </c>
      <c r="E2748" t="s">
        <v>48</v>
      </c>
      <c r="F2748" t="s">
        <v>215</v>
      </c>
      <c r="G2748" t="s">
        <v>276</v>
      </c>
      <c r="H2748" t="s">
        <v>107</v>
      </c>
      <c r="I2748" t="s">
        <v>591</v>
      </c>
      <c r="J2748" t="s">
        <v>25</v>
      </c>
      <c r="K2748" t="s">
        <v>14183</v>
      </c>
      <c r="L2748">
        <v>0.1</v>
      </c>
      <c r="M2748" t="s">
        <v>14184</v>
      </c>
      <c r="N2748" t="s">
        <v>14185</v>
      </c>
      <c r="O2748" t="s">
        <v>54</v>
      </c>
      <c r="P2748" t="s">
        <v>30</v>
      </c>
      <c r="Q2748" t="s">
        <v>44</v>
      </c>
      <c r="R2748" s="3">
        <v>13351.941000000001</v>
      </c>
    </row>
    <row r="2749" spans="1:18" x14ac:dyDescent="0.3">
      <c r="A2749" t="s">
        <v>14186</v>
      </c>
      <c r="B2749" t="str">
        <f>TEXT(Raw_Data[[#This Row],[Order Date]],"mmm")</f>
        <v>Feb</v>
      </c>
      <c r="C2749" t="s">
        <v>3331</v>
      </c>
      <c r="D2749" t="s">
        <v>14187</v>
      </c>
      <c r="E2749" t="s">
        <v>35</v>
      </c>
      <c r="F2749" t="s">
        <v>21</v>
      </c>
      <c r="G2749" t="s">
        <v>22</v>
      </c>
      <c r="H2749" t="s">
        <v>154</v>
      </c>
      <c r="I2749" t="s">
        <v>237</v>
      </c>
      <c r="J2749" t="s">
        <v>25</v>
      </c>
      <c r="K2749" t="s">
        <v>14188</v>
      </c>
      <c r="L2749">
        <v>0.1</v>
      </c>
      <c r="M2749" t="s">
        <v>14189</v>
      </c>
      <c r="N2749" t="s">
        <v>14190</v>
      </c>
      <c r="O2749" t="s">
        <v>64</v>
      </c>
      <c r="P2749" t="s">
        <v>30</v>
      </c>
      <c r="Q2749" t="s">
        <v>31</v>
      </c>
      <c r="R2749" s="3">
        <v>8058.5370000000003</v>
      </c>
    </row>
    <row r="2750" spans="1:18" x14ac:dyDescent="0.3">
      <c r="A2750" t="s">
        <v>14191</v>
      </c>
      <c r="B2750" t="str">
        <f>TEXT(Raw_Data[[#This Row],[Order Date]],"mmm")</f>
        <v>Mar</v>
      </c>
      <c r="C2750" t="s">
        <v>425</v>
      </c>
      <c r="D2750" t="s">
        <v>14192</v>
      </c>
      <c r="E2750" t="s">
        <v>48</v>
      </c>
      <c r="F2750" t="s">
        <v>69</v>
      </c>
      <c r="G2750" t="s">
        <v>139</v>
      </c>
      <c r="H2750" t="s">
        <v>80</v>
      </c>
      <c r="I2750" t="s">
        <v>116</v>
      </c>
      <c r="J2750" t="s">
        <v>50</v>
      </c>
      <c r="K2750" t="s">
        <v>14193</v>
      </c>
      <c r="L2750">
        <v>0.15</v>
      </c>
      <c r="M2750" t="s">
        <v>14194</v>
      </c>
      <c r="N2750" t="s">
        <v>14195</v>
      </c>
      <c r="O2750" t="s">
        <v>54</v>
      </c>
      <c r="P2750" t="s">
        <v>30</v>
      </c>
      <c r="Q2750" t="s">
        <v>31</v>
      </c>
      <c r="R2750" s="3">
        <v>7616.884</v>
      </c>
    </row>
    <row r="2751" spans="1:18" x14ac:dyDescent="0.3">
      <c r="A2751" t="s">
        <v>14196</v>
      </c>
      <c r="B2751" t="str">
        <f>TEXT(Raw_Data[[#This Row],[Order Date]],"mmm")</f>
        <v>Oct</v>
      </c>
      <c r="C2751" t="s">
        <v>460</v>
      </c>
      <c r="D2751" t="s">
        <v>14197</v>
      </c>
      <c r="E2751" t="s">
        <v>20</v>
      </c>
      <c r="F2751" t="s">
        <v>215</v>
      </c>
      <c r="G2751" t="s">
        <v>276</v>
      </c>
      <c r="H2751" t="s">
        <v>80</v>
      </c>
      <c r="I2751" t="s">
        <v>146</v>
      </c>
      <c r="J2751" t="s">
        <v>25</v>
      </c>
      <c r="K2751" t="s">
        <v>14198</v>
      </c>
      <c r="L2751">
        <v>0</v>
      </c>
      <c r="M2751" t="s">
        <v>14199</v>
      </c>
      <c r="N2751" t="s">
        <v>14200</v>
      </c>
      <c r="O2751" t="s">
        <v>43</v>
      </c>
      <c r="P2751" t="s">
        <v>30</v>
      </c>
      <c r="Q2751" t="s">
        <v>65</v>
      </c>
      <c r="R2751" s="3">
        <v>4951.66</v>
      </c>
    </row>
    <row r="2752" spans="1:18" x14ac:dyDescent="0.3">
      <c r="A2752" t="s">
        <v>14201</v>
      </c>
      <c r="B2752" t="str">
        <f>TEXT(Raw_Data[[#This Row],[Order Date]],"mmm")</f>
        <v>Aug</v>
      </c>
      <c r="C2752" t="s">
        <v>1649</v>
      </c>
      <c r="D2752" t="s">
        <v>14202</v>
      </c>
      <c r="E2752" t="s">
        <v>35</v>
      </c>
      <c r="F2752" t="s">
        <v>215</v>
      </c>
      <c r="G2752" t="s">
        <v>216</v>
      </c>
      <c r="H2752" t="s">
        <v>154</v>
      </c>
      <c r="I2752" t="s">
        <v>309</v>
      </c>
      <c r="J2752" t="s">
        <v>100</v>
      </c>
      <c r="K2752" t="s">
        <v>14203</v>
      </c>
      <c r="L2752">
        <v>0.1</v>
      </c>
      <c r="M2752" t="s">
        <v>14204</v>
      </c>
      <c r="N2752" t="s">
        <v>14205</v>
      </c>
      <c r="O2752" t="s">
        <v>173</v>
      </c>
      <c r="P2752" t="s">
        <v>30</v>
      </c>
      <c r="Q2752" t="s">
        <v>65</v>
      </c>
      <c r="R2752" s="3">
        <v>15968.286</v>
      </c>
    </row>
    <row r="2753" spans="1:18" x14ac:dyDescent="0.3">
      <c r="A2753" t="s">
        <v>14206</v>
      </c>
      <c r="B2753" t="str">
        <f>TEXT(Raw_Data[[#This Row],[Order Date]],"mmm")</f>
        <v>Feb</v>
      </c>
      <c r="C2753" t="s">
        <v>862</v>
      </c>
      <c r="D2753" t="s">
        <v>14207</v>
      </c>
      <c r="E2753" t="s">
        <v>48</v>
      </c>
      <c r="F2753" t="s">
        <v>58</v>
      </c>
      <c r="G2753" t="s">
        <v>812</v>
      </c>
      <c r="H2753" t="s">
        <v>80</v>
      </c>
      <c r="I2753" t="s">
        <v>146</v>
      </c>
      <c r="J2753" t="s">
        <v>25</v>
      </c>
      <c r="K2753" t="s">
        <v>14208</v>
      </c>
      <c r="L2753">
        <v>0.1</v>
      </c>
      <c r="M2753" t="s">
        <v>14209</v>
      </c>
      <c r="N2753" t="s">
        <v>14210</v>
      </c>
      <c r="O2753" t="s">
        <v>173</v>
      </c>
      <c r="P2753" t="s">
        <v>159</v>
      </c>
      <c r="Q2753" t="s">
        <v>44</v>
      </c>
      <c r="R2753" s="3">
        <v>5659.335</v>
      </c>
    </row>
    <row r="2754" spans="1:18" x14ac:dyDescent="0.3">
      <c r="A2754" t="s">
        <v>14211</v>
      </c>
      <c r="B2754" t="str">
        <f>TEXT(Raw_Data[[#This Row],[Order Date]],"mmm")</f>
        <v>May</v>
      </c>
      <c r="C2754" t="s">
        <v>948</v>
      </c>
      <c r="D2754" t="s">
        <v>14212</v>
      </c>
      <c r="E2754" t="s">
        <v>35</v>
      </c>
      <c r="F2754" t="s">
        <v>78</v>
      </c>
      <c r="G2754" t="s">
        <v>468</v>
      </c>
      <c r="H2754" t="s">
        <v>107</v>
      </c>
      <c r="I2754" t="s">
        <v>378</v>
      </c>
      <c r="J2754" t="s">
        <v>50</v>
      </c>
      <c r="K2754" t="s">
        <v>14213</v>
      </c>
      <c r="L2754">
        <v>0.15</v>
      </c>
      <c r="M2754" t="s">
        <v>14214</v>
      </c>
      <c r="N2754" t="s">
        <v>14215</v>
      </c>
      <c r="O2754" t="s">
        <v>173</v>
      </c>
      <c r="P2754" t="s">
        <v>30</v>
      </c>
      <c r="Q2754" t="s">
        <v>65</v>
      </c>
      <c r="R2754" s="3">
        <v>30036.619999999901</v>
      </c>
    </row>
    <row r="2755" spans="1:18" x14ac:dyDescent="0.3">
      <c r="A2755" t="s">
        <v>14216</v>
      </c>
      <c r="B2755" t="str">
        <f>TEXT(Raw_Data[[#This Row],[Order Date]],"mmm")</f>
        <v>Feb</v>
      </c>
      <c r="C2755" t="s">
        <v>2515</v>
      </c>
      <c r="D2755" t="s">
        <v>14217</v>
      </c>
      <c r="E2755" t="s">
        <v>48</v>
      </c>
      <c r="F2755" t="s">
        <v>78</v>
      </c>
      <c r="G2755" t="s">
        <v>79</v>
      </c>
      <c r="H2755" t="s">
        <v>154</v>
      </c>
      <c r="I2755" t="s">
        <v>1061</v>
      </c>
      <c r="J2755" t="s">
        <v>25</v>
      </c>
      <c r="K2755" t="s">
        <v>14218</v>
      </c>
      <c r="L2755">
        <v>0.15</v>
      </c>
      <c r="M2755" t="s">
        <v>14219</v>
      </c>
      <c r="N2755" t="s">
        <v>14220</v>
      </c>
      <c r="O2755" t="s">
        <v>29</v>
      </c>
      <c r="P2755" t="s">
        <v>30</v>
      </c>
      <c r="Q2755" t="s">
        <v>44</v>
      </c>
      <c r="R2755" s="3">
        <v>6133.6679999999997</v>
      </c>
    </row>
    <row r="2756" spans="1:18" x14ac:dyDescent="0.3">
      <c r="A2756" t="s">
        <v>14221</v>
      </c>
      <c r="B2756" t="str">
        <f>TEXT(Raw_Data[[#This Row],[Order Date]],"mmm")</f>
        <v>May</v>
      </c>
      <c r="C2756" t="s">
        <v>1937</v>
      </c>
      <c r="D2756" t="s">
        <v>14222</v>
      </c>
      <c r="E2756" t="s">
        <v>20</v>
      </c>
      <c r="F2756" t="s">
        <v>69</v>
      </c>
      <c r="G2756" t="s">
        <v>70</v>
      </c>
      <c r="H2756" t="s">
        <v>80</v>
      </c>
      <c r="I2756" t="s">
        <v>91</v>
      </c>
      <c r="J2756" t="s">
        <v>25</v>
      </c>
      <c r="K2756" t="s">
        <v>14223</v>
      </c>
      <c r="L2756">
        <v>0.05</v>
      </c>
      <c r="M2756" t="s">
        <v>14224</v>
      </c>
      <c r="N2756" t="s">
        <v>14225</v>
      </c>
      <c r="O2756" t="s">
        <v>29</v>
      </c>
      <c r="P2756" t="s">
        <v>159</v>
      </c>
      <c r="Q2756" t="s">
        <v>65</v>
      </c>
      <c r="R2756" s="3">
        <v>4675.7004999999999</v>
      </c>
    </row>
    <row r="2757" spans="1:18" x14ac:dyDescent="0.3">
      <c r="A2757" t="s">
        <v>14226</v>
      </c>
      <c r="B2757" t="str">
        <f>TEXT(Raw_Data[[#This Row],[Order Date]],"mmm")</f>
        <v>Feb</v>
      </c>
      <c r="C2757" t="s">
        <v>942</v>
      </c>
      <c r="D2757" t="s">
        <v>14227</v>
      </c>
      <c r="E2757" t="s">
        <v>20</v>
      </c>
      <c r="F2757" t="s">
        <v>58</v>
      </c>
      <c r="G2757" t="s">
        <v>812</v>
      </c>
      <c r="H2757" t="s">
        <v>38</v>
      </c>
      <c r="I2757" t="s">
        <v>39</v>
      </c>
      <c r="J2757" t="s">
        <v>25</v>
      </c>
      <c r="K2757" t="s">
        <v>14228</v>
      </c>
      <c r="L2757">
        <v>0.05</v>
      </c>
      <c r="M2757" t="s">
        <v>14229</v>
      </c>
      <c r="N2757" t="s">
        <v>14230</v>
      </c>
      <c r="O2757" t="s">
        <v>54</v>
      </c>
      <c r="P2757" t="s">
        <v>30</v>
      </c>
      <c r="Q2757" t="s">
        <v>31</v>
      </c>
      <c r="R2757" s="3">
        <v>1228.7394999999999</v>
      </c>
    </row>
    <row r="2758" spans="1:18" x14ac:dyDescent="0.3">
      <c r="A2758" t="s">
        <v>14231</v>
      </c>
      <c r="B2758" t="str">
        <f>TEXT(Raw_Data[[#This Row],[Order Date]],"mmm")</f>
        <v>Dec</v>
      </c>
      <c r="C2758" t="s">
        <v>3003</v>
      </c>
      <c r="D2758" t="s">
        <v>14232</v>
      </c>
      <c r="E2758" t="s">
        <v>48</v>
      </c>
      <c r="F2758" t="s">
        <v>106</v>
      </c>
      <c r="G2758" t="s">
        <v>106</v>
      </c>
      <c r="H2758" t="s">
        <v>80</v>
      </c>
      <c r="I2758" t="s">
        <v>81</v>
      </c>
      <c r="J2758" t="s">
        <v>25</v>
      </c>
      <c r="K2758" t="s">
        <v>14233</v>
      </c>
      <c r="L2758">
        <v>0</v>
      </c>
      <c r="M2758" t="s">
        <v>14234</v>
      </c>
      <c r="N2758" t="s">
        <v>14235</v>
      </c>
      <c r="O2758" t="s">
        <v>29</v>
      </c>
      <c r="P2758" t="s">
        <v>30</v>
      </c>
      <c r="Q2758" t="s">
        <v>65</v>
      </c>
      <c r="R2758" s="3">
        <v>6919.54</v>
      </c>
    </row>
    <row r="2759" spans="1:18" x14ac:dyDescent="0.3">
      <c r="A2759" t="s">
        <v>14236</v>
      </c>
      <c r="B2759" t="str">
        <f>TEXT(Raw_Data[[#This Row],[Order Date]],"mmm")</f>
        <v>May</v>
      </c>
      <c r="C2759" t="s">
        <v>1472</v>
      </c>
      <c r="D2759" t="s">
        <v>14237</v>
      </c>
      <c r="E2759" t="s">
        <v>48</v>
      </c>
      <c r="F2759" t="s">
        <v>106</v>
      </c>
      <c r="G2759" t="s">
        <v>163</v>
      </c>
      <c r="H2759" t="s">
        <v>1111</v>
      </c>
      <c r="I2759" t="s">
        <v>39</v>
      </c>
      <c r="J2759" t="s">
        <v>25</v>
      </c>
      <c r="K2759" t="s">
        <v>14238</v>
      </c>
      <c r="L2759">
        <v>0.1</v>
      </c>
      <c r="M2759" t="s">
        <v>14239</v>
      </c>
      <c r="N2759" t="s">
        <v>14240</v>
      </c>
      <c r="O2759" t="s">
        <v>64</v>
      </c>
      <c r="P2759" t="s">
        <v>30</v>
      </c>
      <c r="Q2759" t="s">
        <v>65</v>
      </c>
      <c r="R2759" s="3">
        <v>1855.6379999999999</v>
      </c>
    </row>
    <row r="2760" spans="1:18" x14ac:dyDescent="0.3">
      <c r="A2760" t="s">
        <v>14241</v>
      </c>
      <c r="B2760" t="str">
        <f>TEXT(Raw_Data[[#This Row],[Order Date]],"mmm")</f>
        <v>Aug</v>
      </c>
      <c r="C2760" t="s">
        <v>4422</v>
      </c>
      <c r="D2760" t="s">
        <v>14242</v>
      </c>
      <c r="E2760" t="s">
        <v>48</v>
      </c>
      <c r="F2760" t="s">
        <v>89</v>
      </c>
      <c r="G2760" t="s">
        <v>90</v>
      </c>
      <c r="H2760" t="s">
        <v>107</v>
      </c>
      <c r="I2760" t="s">
        <v>108</v>
      </c>
      <c r="J2760" t="s">
        <v>50</v>
      </c>
      <c r="K2760" t="s">
        <v>14243</v>
      </c>
      <c r="L2760">
        <v>0.05</v>
      </c>
      <c r="M2760" t="s">
        <v>14244</v>
      </c>
      <c r="N2760" t="s">
        <v>14245</v>
      </c>
      <c r="O2760" t="s">
        <v>29</v>
      </c>
      <c r="P2760" t="s">
        <v>30</v>
      </c>
      <c r="Q2760" t="s">
        <v>65</v>
      </c>
      <c r="R2760" s="3">
        <v>29187.723999999998</v>
      </c>
    </row>
    <row r="2761" spans="1:18" x14ac:dyDescent="0.3">
      <c r="A2761" t="s">
        <v>14246</v>
      </c>
      <c r="B2761" t="str">
        <f>TEXT(Raw_Data[[#This Row],[Order Date]],"mmm")</f>
        <v>Feb</v>
      </c>
      <c r="C2761" t="s">
        <v>3467</v>
      </c>
      <c r="D2761" t="s">
        <v>14247</v>
      </c>
      <c r="E2761" t="s">
        <v>48</v>
      </c>
      <c r="F2761" t="s">
        <v>36</v>
      </c>
      <c r="G2761" t="s">
        <v>37</v>
      </c>
      <c r="H2761" t="s">
        <v>80</v>
      </c>
      <c r="I2761" t="s">
        <v>91</v>
      </c>
      <c r="J2761" t="s">
        <v>25</v>
      </c>
      <c r="K2761" t="s">
        <v>14248</v>
      </c>
      <c r="L2761">
        <v>0</v>
      </c>
      <c r="M2761" t="s">
        <v>14249</v>
      </c>
      <c r="N2761" t="s">
        <v>14250</v>
      </c>
      <c r="O2761" t="s">
        <v>29</v>
      </c>
      <c r="P2761" t="s">
        <v>30</v>
      </c>
      <c r="Q2761" t="s">
        <v>44</v>
      </c>
      <c r="R2761" s="3">
        <v>4993.05</v>
      </c>
    </row>
    <row r="2762" spans="1:18" x14ac:dyDescent="0.3">
      <c r="A2762" t="s">
        <v>14251</v>
      </c>
      <c r="B2762" t="str">
        <f>TEXT(Raw_Data[[#This Row],[Order Date]],"mmm")</f>
        <v>Oct</v>
      </c>
      <c r="C2762" t="s">
        <v>1802</v>
      </c>
      <c r="D2762" t="s">
        <v>14252</v>
      </c>
      <c r="E2762" t="s">
        <v>20</v>
      </c>
      <c r="F2762" t="s">
        <v>21</v>
      </c>
      <c r="G2762" t="s">
        <v>22</v>
      </c>
      <c r="H2762" t="s">
        <v>107</v>
      </c>
      <c r="I2762" t="s">
        <v>591</v>
      </c>
      <c r="J2762" t="s">
        <v>25</v>
      </c>
      <c r="K2762" t="s">
        <v>14253</v>
      </c>
      <c r="L2762">
        <v>0.15</v>
      </c>
      <c r="M2762" t="s">
        <v>14254</v>
      </c>
      <c r="N2762" t="s">
        <v>14255</v>
      </c>
      <c r="O2762" t="s">
        <v>43</v>
      </c>
      <c r="P2762" t="s">
        <v>30</v>
      </c>
      <c r="Q2762" t="s">
        <v>65</v>
      </c>
      <c r="R2762" s="3">
        <v>6162.2874999999904</v>
      </c>
    </row>
    <row r="2763" spans="1:18" x14ac:dyDescent="0.3">
      <c r="A2763" t="s">
        <v>14256</v>
      </c>
      <c r="B2763" t="str">
        <f>TEXT(Raw_Data[[#This Row],[Order Date]],"mmm")</f>
        <v>Dec</v>
      </c>
      <c r="C2763" t="s">
        <v>2332</v>
      </c>
      <c r="D2763" t="s">
        <v>14257</v>
      </c>
      <c r="E2763" t="s">
        <v>48</v>
      </c>
      <c r="F2763" t="s">
        <v>215</v>
      </c>
      <c r="G2763" t="s">
        <v>276</v>
      </c>
      <c r="H2763" t="s">
        <v>23</v>
      </c>
      <c r="I2763" t="s">
        <v>183</v>
      </c>
      <c r="J2763" t="s">
        <v>82</v>
      </c>
      <c r="K2763" t="s">
        <v>14258</v>
      </c>
      <c r="L2763">
        <v>0</v>
      </c>
      <c r="M2763" t="s">
        <v>14259</v>
      </c>
      <c r="N2763" t="s">
        <v>14260</v>
      </c>
      <c r="O2763" t="s">
        <v>43</v>
      </c>
      <c r="P2763" t="s">
        <v>30</v>
      </c>
      <c r="Q2763" t="s">
        <v>31</v>
      </c>
      <c r="R2763" s="3">
        <v>274262.84000000003</v>
      </c>
    </row>
    <row r="2764" spans="1:18" x14ac:dyDescent="0.3">
      <c r="A2764" t="s">
        <v>14261</v>
      </c>
      <c r="B2764" t="str">
        <f>TEXT(Raw_Data[[#This Row],[Order Date]],"mmm")</f>
        <v>Nov</v>
      </c>
      <c r="C2764" t="s">
        <v>1009</v>
      </c>
      <c r="D2764" t="s">
        <v>14262</v>
      </c>
      <c r="E2764" t="s">
        <v>20</v>
      </c>
      <c r="F2764" t="s">
        <v>106</v>
      </c>
      <c r="G2764" t="s">
        <v>106</v>
      </c>
      <c r="H2764" t="s">
        <v>80</v>
      </c>
      <c r="I2764" t="s">
        <v>81</v>
      </c>
      <c r="J2764" t="s">
        <v>50</v>
      </c>
      <c r="K2764" t="s">
        <v>14263</v>
      </c>
      <c r="L2764">
        <v>0</v>
      </c>
      <c r="M2764" t="s">
        <v>14264</v>
      </c>
      <c r="N2764" t="s">
        <v>14265</v>
      </c>
      <c r="O2764" t="s">
        <v>54</v>
      </c>
      <c r="P2764" t="s">
        <v>159</v>
      </c>
      <c r="Q2764" t="s">
        <v>44</v>
      </c>
      <c r="R2764" s="3">
        <v>12323.16</v>
      </c>
    </row>
    <row r="2765" spans="1:18" x14ac:dyDescent="0.3">
      <c r="A2765" t="s">
        <v>14266</v>
      </c>
      <c r="B2765" t="str">
        <f>TEXT(Raw_Data[[#This Row],[Order Date]],"mmm")</f>
        <v>Apr</v>
      </c>
      <c r="C2765" t="s">
        <v>137</v>
      </c>
      <c r="D2765" t="s">
        <v>14267</v>
      </c>
      <c r="E2765" t="s">
        <v>35</v>
      </c>
      <c r="F2765" t="s">
        <v>89</v>
      </c>
      <c r="G2765" t="s">
        <v>230</v>
      </c>
      <c r="H2765" t="s">
        <v>80</v>
      </c>
      <c r="I2765" t="s">
        <v>131</v>
      </c>
      <c r="J2765" t="s">
        <v>82</v>
      </c>
      <c r="K2765" t="s">
        <v>14268</v>
      </c>
      <c r="L2765">
        <v>0.05</v>
      </c>
      <c r="M2765" t="s">
        <v>14269</v>
      </c>
      <c r="N2765" t="s">
        <v>14270</v>
      </c>
      <c r="O2765" t="s">
        <v>173</v>
      </c>
      <c r="P2765" t="s">
        <v>30</v>
      </c>
      <c r="Q2765" t="s">
        <v>31</v>
      </c>
      <c r="R2765" s="3">
        <v>18848.608</v>
      </c>
    </row>
    <row r="2766" spans="1:18" x14ac:dyDescent="0.3">
      <c r="A2766" t="s">
        <v>14271</v>
      </c>
      <c r="B2766" t="str">
        <f>TEXT(Raw_Data[[#This Row],[Order Date]],"mmm")</f>
        <v>Apr</v>
      </c>
      <c r="C2766" t="s">
        <v>902</v>
      </c>
      <c r="D2766" t="s">
        <v>14272</v>
      </c>
      <c r="E2766" t="s">
        <v>20</v>
      </c>
      <c r="F2766" t="s">
        <v>69</v>
      </c>
      <c r="G2766" t="s">
        <v>328</v>
      </c>
      <c r="H2766" t="s">
        <v>23</v>
      </c>
      <c r="I2766" t="s">
        <v>183</v>
      </c>
      <c r="J2766" t="s">
        <v>50</v>
      </c>
      <c r="K2766" t="s">
        <v>14273</v>
      </c>
      <c r="L2766">
        <v>0</v>
      </c>
      <c r="M2766" t="s">
        <v>14274</v>
      </c>
      <c r="N2766" t="s">
        <v>14275</v>
      </c>
      <c r="O2766" t="s">
        <v>54</v>
      </c>
      <c r="P2766" t="s">
        <v>30</v>
      </c>
      <c r="Q2766" t="s">
        <v>44</v>
      </c>
      <c r="R2766" s="3">
        <v>139949.01999999999</v>
      </c>
    </row>
    <row r="2767" spans="1:18" x14ac:dyDescent="0.3">
      <c r="A2767" t="s">
        <v>14276</v>
      </c>
      <c r="B2767" t="str">
        <f>TEXT(Raw_Data[[#This Row],[Order Date]],"mmm")</f>
        <v>Jul</v>
      </c>
      <c r="C2767" t="s">
        <v>389</v>
      </c>
      <c r="D2767" t="s">
        <v>14277</v>
      </c>
      <c r="E2767" t="s">
        <v>48</v>
      </c>
      <c r="F2767" t="s">
        <v>78</v>
      </c>
      <c r="G2767" t="s">
        <v>731</v>
      </c>
      <c r="H2767" t="s">
        <v>154</v>
      </c>
      <c r="I2767" t="s">
        <v>237</v>
      </c>
      <c r="J2767" t="s">
        <v>100</v>
      </c>
      <c r="K2767" t="s">
        <v>14278</v>
      </c>
      <c r="L2767">
        <v>0.05</v>
      </c>
      <c r="M2767" t="s">
        <v>14279</v>
      </c>
      <c r="N2767" t="s">
        <v>14280</v>
      </c>
      <c r="O2767" t="s">
        <v>64</v>
      </c>
      <c r="P2767" t="s">
        <v>30</v>
      </c>
      <c r="Q2767" t="s">
        <v>44</v>
      </c>
      <c r="R2767" s="3">
        <v>28846.046999999999</v>
      </c>
    </row>
    <row r="2768" spans="1:18" x14ac:dyDescent="0.3">
      <c r="A2768" t="s">
        <v>14281</v>
      </c>
      <c r="B2768" t="str">
        <f>TEXT(Raw_Data[[#This Row],[Order Date]],"mmm")</f>
        <v>Dec</v>
      </c>
      <c r="C2768" t="s">
        <v>3159</v>
      </c>
      <c r="D2768" t="s">
        <v>14282</v>
      </c>
      <c r="E2768" t="s">
        <v>35</v>
      </c>
      <c r="F2768" t="s">
        <v>215</v>
      </c>
      <c r="G2768" t="s">
        <v>216</v>
      </c>
      <c r="H2768" t="s">
        <v>80</v>
      </c>
      <c r="I2768" t="s">
        <v>116</v>
      </c>
      <c r="J2768" t="s">
        <v>50</v>
      </c>
      <c r="K2768" t="s">
        <v>14283</v>
      </c>
      <c r="L2768">
        <v>0</v>
      </c>
      <c r="M2768" t="s">
        <v>14284</v>
      </c>
      <c r="N2768" t="s">
        <v>14285</v>
      </c>
      <c r="O2768" t="s">
        <v>29</v>
      </c>
      <c r="P2768" t="s">
        <v>30</v>
      </c>
      <c r="Q2768" t="s">
        <v>31</v>
      </c>
      <c r="R2768" s="3">
        <v>8632.2000000000007</v>
      </c>
    </row>
    <row r="2769" spans="1:18" x14ac:dyDescent="0.3">
      <c r="A2769" t="s">
        <v>14286</v>
      </c>
      <c r="B2769" t="str">
        <f>TEXT(Raw_Data[[#This Row],[Order Date]],"mmm")</f>
        <v>Oct</v>
      </c>
      <c r="C2769" t="s">
        <v>1059</v>
      </c>
      <c r="D2769" t="s">
        <v>14287</v>
      </c>
      <c r="E2769" t="s">
        <v>48</v>
      </c>
      <c r="F2769" t="s">
        <v>21</v>
      </c>
      <c r="G2769" t="s">
        <v>22</v>
      </c>
      <c r="H2769" t="s">
        <v>107</v>
      </c>
      <c r="I2769" t="s">
        <v>469</v>
      </c>
      <c r="J2769" t="s">
        <v>25</v>
      </c>
      <c r="K2769" t="s">
        <v>14288</v>
      </c>
      <c r="L2769">
        <v>0.05</v>
      </c>
      <c r="M2769" t="s">
        <v>14289</v>
      </c>
      <c r="N2769" t="s">
        <v>14290</v>
      </c>
      <c r="O2769" t="s">
        <v>173</v>
      </c>
      <c r="P2769" t="s">
        <v>30</v>
      </c>
      <c r="Q2769" t="s">
        <v>31</v>
      </c>
      <c r="R2769" s="3">
        <v>2206.3464999999901</v>
      </c>
    </row>
    <row r="2770" spans="1:18" x14ac:dyDescent="0.3">
      <c r="A2770" t="s">
        <v>14291</v>
      </c>
      <c r="B2770" t="str">
        <f>TEXT(Raw_Data[[#This Row],[Order Date]],"mmm")</f>
        <v>Nov</v>
      </c>
      <c r="C2770" t="s">
        <v>4386</v>
      </c>
      <c r="D2770" t="s">
        <v>14292</v>
      </c>
      <c r="E2770" t="s">
        <v>20</v>
      </c>
      <c r="F2770" t="s">
        <v>89</v>
      </c>
      <c r="G2770" t="s">
        <v>90</v>
      </c>
      <c r="H2770" t="s">
        <v>23</v>
      </c>
      <c r="I2770" t="s">
        <v>341</v>
      </c>
      <c r="J2770" t="s">
        <v>25</v>
      </c>
      <c r="K2770" t="s">
        <v>14293</v>
      </c>
      <c r="L2770">
        <v>0.1</v>
      </c>
      <c r="M2770" t="s">
        <v>14294</v>
      </c>
      <c r="N2770" t="s">
        <v>14295</v>
      </c>
      <c r="O2770" t="s">
        <v>173</v>
      </c>
      <c r="P2770" t="s">
        <v>30</v>
      </c>
      <c r="Q2770" t="s">
        <v>31</v>
      </c>
      <c r="R2770" s="3">
        <v>14901.75</v>
      </c>
    </row>
    <row r="2771" spans="1:18" x14ac:dyDescent="0.3">
      <c r="A2771" t="s">
        <v>14296</v>
      </c>
      <c r="B2771" t="str">
        <f>TEXT(Raw_Data[[#This Row],[Order Date]],"mmm")</f>
        <v>Dec</v>
      </c>
      <c r="C2771" t="s">
        <v>3960</v>
      </c>
      <c r="D2771" t="s">
        <v>14297</v>
      </c>
      <c r="E2771" t="s">
        <v>35</v>
      </c>
      <c r="F2771" t="s">
        <v>78</v>
      </c>
      <c r="G2771" t="s">
        <v>731</v>
      </c>
      <c r="H2771" t="s">
        <v>154</v>
      </c>
      <c r="I2771" t="s">
        <v>237</v>
      </c>
      <c r="J2771" t="s">
        <v>25</v>
      </c>
      <c r="K2771" t="s">
        <v>14298</v>
      </c>
      <c r="L2771">
        <v>0.05</v>
      </c>
      <c r="M2771" t="s">
        <v>14299</v>
      </c>
      <c r="N2771" t="s">
        <v>14300</v>
      </c>
      <c r="O2771" t="s">
        <v>54</v>
      </c>
      <c r="P2771" t="s">
        <v>112</v>
      </c>
      <c r="Q2771" t="s">
        <v>65</v>
      </c>
      <c r="R2771" s="3">
        <v>9632.4585000000006</v>
      </c>
    </row>
    <row r="2772" spans="1:18" x14ac:dyDescent="0.3">
      <c r="A2772" t="s">
        <v>14301</v>
      </c>
      <c r="B2772" t="str">
        <f>TEXT(Raw_Data[[#This Row],[Order Date]],"mmm")</f>
        <v>Dec</v>
      </c>
      <c r="C2772" t="s">
        <v>2558</v>
      </c>
      <c r="D2772" t="s">
        <v>14302</v>
      </c>
      <c r="E2772" t="s">
        <v>48</v>
      </c>
      <c r="F2772" t="s">
        <v>106</v>
      </c>
      <c r="G2772" t="s">
        <v>106</v>
      </c>
      <c r="H2772" t="s">
        <v>107</v>
      </c>
      <c r="I2772" t="s">
        <v>378</v>
      </c>
      <c r="J2772" t="s">
        <v>25</v>
      </c>
      <c r="K2772" t="s">
        <v>14303</v>
      </c>
      <c r="L2772">
        <v>0.2</v>
      </c>
      <c r="M2772" t="s">
        <v>14304</v>
      </c>
      <c r="N2772" t="s">
        <v>14305</v>
      </c>
      <c r="O2772" t="s">
        <v>29</v>
      </c>
      <c r="P2772" t="s">
        <v>159</v>
      </c>
      <c r="Q2772" t="s">
        <v>31</v>
      </c>
      <c r="R2772" s="3">
        <v>5198.5280000000002</v>
      </c>
    </row>
    <row r="2773" spans="1:18" x14ac:dyDescent="0.3">
      <c r="A2773" t="s">
        <v>14306</v>
      </c>
      <c r="B2773" t="str">
        <f>TEXT(Raw_Data[[#This Row],[Order Date]],"mmm")</f>
        <v>Mar</v>
      </c>
      <c r="C2773" t="s">
        <v>1808</v>
      </c>
      <c r="D2773" t="s">
        <v>14307</v>
      </c>
      <c r="E2773" t="s">
        <v>35</v>
      </c>
      <c r="F2773" t="s">
        <v>36</v>
      </c>
      <c r="G2773" t="s">
        <v>196</v>
      </c>
      <c r="H2773" t="s">
        <v>154</v>
      </c>
      <c r="I2773" t="s">
        <v>309</v>
      </c>
      <c r="J2773" t="s">
        <v>25</v>
      </c>
      <c r="K2773" t="s">
        <v>14308</v>
      </c>
      <c r="L2773">
        <v>0.15</v>
      </c>
      <c r="M2773" t="s">
        <v>14309</v>
      </c>
      <c r="N2773" t="s">
        <v>14310</v>
      </c>
      <c r="O2773" t="s">
        <v>43</v>
      </c>
      <c r="P2773" t="s">
        <v>30</v>
      </c>
      <c r="Q2773" t="s">
        <v>31</v>
      </c>
      <c r="R2773" s="3">
        <v>4945.3339999999998</v>
      </c>
    </row>
    <row r="2774" spans="1:18" x14ac:dyDescent="0.3">
      <c r="A2774" t="s">
        <v>14311</v>
      </c>
      <c r="B2774" t="str">
        <f>TEXT(Raw_Data[[#This Row],[Order Date]],"mmm")</f>
        <v>Dec</v>
      </c>
      <c r="C2774" t="s">
        <v>268</v>
      </c>
      <c r="D2774" t="s">
        <v>14312</v>
      </c>
      <c r="E2774" t="s">
        <v>35</v>
      </c>
      <c r="F2774" t="s">
        <v>89</v>
      </c>
      <c r="G2774" t="s">
        <v>90</v>
      </c>
      <c r="H2774" t="s">
        <v>38</v>
      </c>
      <c r="I2774" t="s">
        <v>60</v>
      </c>
      <c r="J2774" t="s">
        <v>100</v>
      </c>
      <c r="K2774" t="s">
        <v>14313</v>
      </c>
      <c r="L2774">
        <v>0.1</v>
      </c>
      <c r="M2774" t="s">
        <v>14314</v>
      </c>
      <c r="N2774" t="s">
        <v>14315</v>
      </c>
      <c r="O2774" t="s">
        <v>43</v>
      </c>
      <c r="P2774" t="s">
        <v>30</v>
      </c>
      <c r="Q2774" t="s">
        <v>31</v>
      </c>
      <c r="R2774" s="3">
        <v>8511.8040000000001</v>
      </c>
    </row>
    <row r="2775" spans="1:18" x14ac:dyDescent="0.3">
      <c r="A2775" t="s">
        <v>14316</v>
      </c>
      <c r="B2775" t="str">
        <f>TEXT(Raw_Data[[#This Row],[Order Date]],"mmm")</f>
        <v>Nov</v>
      </c>
      <c r="C2775" t="s">
        <v>851</v>
      </c>
      <c r="D2775" t="s">
        <v>14317</v>
      </c>
      <c r="E2775" t="s">
        <v>20</v>
      </c>
      <c r="F2775" t="s">
        <v>69</v>
      </c>
      <c r="G2775" t="s">
        <v>70</v>
      </c>
      <c r="H2775" t="s">
        <v>154</v>
      </c>
      <c r="I2775" t="s">
        <v>155</v>
      </c>
      <c r="J2775" t="s">
        <v>25</v>
      </c>
      <c r="K2775" t="s">
        <v>14318</v>
      </c>
      <c r="L2775">
        <v>0</v>
      </c>
      <c r="M2775" t="s">
        <v>14319</v>
      </c>
      <c r="N2775" t="s">
        <v>14320</v>
      </c>
      <c r="O2775" t="s">
        <v>43</v>
      </c>
      <c r="P2775" t="s">
        <v>30</v>
      </c>
      <c r="Q2775" t="s">
        <v>31</v>
      </c>
      <c r="R2775" s="3">
        <v>11575.53</v>
      </c>
    </row>
    <row r="2776" spans="1:18" x14ac:dyDescent="0.3">
      <c r="A2776" t="s">
        <v>14321</v>
      </c>
      <c r="B2776" t="str">
        <f>TEXT(Raw_Data[[#This Row],[Order Date]],"mmm")</f>
        <v>Apr</v>
      </c>
      <c r="C2776" t="s">
        <v>2903</v>
      </c>
      <c r="D2776" t="s">
        <v>14322</v>
      </c>
      <c r="E2776" t="s">
        <v>20</v>
      </c>
      <c r="F2776" t="s">
        <v>89</v>
      </c>
      <c r="G2776" t="s">
        <v>90</v>
      </c>
      <c r="H2776" t="s">
        <v>107</v>
      </c>
      <c r="I2776" t="s">
        <v>277</v>
      </c>
      <c r="J2776" t="s">
        <v>82</v>
      </c>
      <c r="K2776" t="s">
        <v>14323</v>
      </c>
      <c r="L2776">
        <v>0.1</v>
      </c>
      <c r="M2776" t="s">
        <v>14324</v>
      </c>
      <c r="N2776" t="s">
        <v>14325</v>
      </c>
      <c r="O2776" t="s">
        <v>173</v>
      </c>
      <c r="P2776" t="s">
        <v>30</v>
      </c>
      <c r="Q2776" t="s">
        <v>31</v>
      </c>
      <c r="R2776" s="3">
        <v>1880.46</v>
      </c>
    </row>
    <row r="2777" spans="1:18" x14ac:dyDescent="0.3">
      <c r="A2777" t="s">
        <v>14326</v>
      </c>
      <c r="B2777" t="str">
        <f>TEXT(Raw_Data[[#This Row],[Order Date]],"mmm")</f>
        <v>Jul</v>
      </c>
      <c r="C2777" t="s">
        <v>9717</v>
      </c>
      <c r="D2777" t="s">
        <v>14327</v>
      </c>
      <c r="E2777" t="s">
        <v>35</v>
      </c>
      <c r="F2777" t="s">
        <v>78</v>
      </c>
      <c r="G2777" t="s">
        <v>731</v>
      </c>
      <c r="H2777" t="s">
        <v>80</v>
      </c>
      <c r="I2777" t="s">
        <v>146</v>
      </c>
      <c r="J2777" t="s">
        <v>50</v>
      </c>
      <c r="K2777" t="s">
        <v>14328</v>
      </c>
      <c r="L2777">
        <v>0</v>
      </c>
      <c r="M2777" t="s">
        <v>14329</v>
      </c>
      <c r="N2777" t="s">
        <v>14330</v>
      </c>
      <c r="O2777" t="s">
        <v>173</v>
      </c>
      <c r="P2777" t="s">
        <v>112</v>
      </c>
      <c r="Q2777" t="s">
        <v>65</v>
      </c>
      <c r="R2777" s="3">
        <v>5851.32</v>
      </c>
    </row>
    <row r="2778" spans="1:18" x14ac:dyDescent="0.3">
      <c r="A2778" t="s">
        <v>14331</v>
      </c>
      <c r="B2778" t="str">
        <f>TEXT(Raw_Data[[#This Row],[Order Date]],"mmm")</f>
        <v>Dec</v>
      </c>
      <c r="C2778" t="s">
        <v>1769</v>
      </c>
      <c r="D2778" t="s">
        <v>14332</v>
      </c>
      <c r="E2778" t="s">
        <v>20</v>
      </c>
      <c r="F2778" t="s">
        <v>106</v>
      </c>
      <c r="G2778" t="s">
        <v>163</v>
      </c>
      <c r="H2778" t="s">
        <v>38</v>
      </c>
      <c r="I2778" t="s">
        <v>39</v>
      </c>
      <c r="J2778" t="s">
        <v>25</v>
      </c>
      <c r="K2778" t="s">
        <v>14333</v>
      </c>
      <c r="L2778">
        <v>0</v>
      </c>
      <c r="M2778" t="s">
        <v>14334</v>
      </c>
      <c r="N2778" t="s">
        <v>14335</v>
      </c>
      <c r="O2778" t="s">
        <v>64</v>
      </c>
      <c r="P2778" t="s">
        <v>30</v>
      </c>
      <c r="Q2778" t="s">
        <v>31</v>
      </c>
      <c r="R2778" s="3">
        <v>5573.21</v>
      </c>
    </row>
    <row r="2779" spans="1:18" x14ac:dyDescent="0.3">
      <c r="A2779" t="s">
        <v>14336</v>
      </c>
      <c r="B2779" t="str">
        <f>TEXT(Raw_Data[[#This Row],[Order Date]],"mmm")</f>
        <v>Jun</v>
      </c>
      <c r="C2779" t="s">
        <v>8096</v>
      </c>
      <c r="D2779" t="s">
        <v>14337</v>
      </c>
      <c r="E2779" t="s">
        <v>48</v>
      </c>
      <c r="F2779" t="s">
        <v>21</v>
      </c>
      <c r="G2779" t="s">
        <v>130</v>
      </c>
      <c r="H2779" t="s">
        <v>80</v>
      </c>
      <c r="I2779" t="s">
        <v>116</v>
      </c>
      <c r="J2779" t="s">
        <v>25</v>
      </c>
      <c r="K2779" t="s">
        <v>14338</v>
      </c>
      <c r="L2779">
        <v>0.05</v>
      </c>
      <c r="M2779" t="s">
        <v>14339</v>
      </c>
      <c r="N2779" t="s">
        <v>14340</v>
      </c>
      <c r="O2779" t="s">
        <v>29</v>
      </c>
      <c r="P2779" t="s">
        <v>30</v>
      </c>
      <c r="Q2779" t="s">
        <v>65</v>
      </c>
      <c r="R2779" s="3">
        <v>1501.19</v>
      </c>
    </row>
    <row r="2780" spans="1:18" x14ac:dyDescent="0.3">
      <c r="A2780" t="s">
        <v>14341</v>
      </c>
      <c r="B2780" t="str">
        <f>TEXT(Raw_Data[[#This Row],[Order Date]],"mmm")</f>
        <v>Nov</v>
      </c>
      <c r="C2780" t="s">
        <v>3305</v>
      </c>
      <c r="D2780" t="s">
        <v>14342</v>
      </c>
      <c r="E2780" t="s">
        <v>35</v>
      </c>
      <c r="F2780" t="s">
        <v>36</v>
      </c>
      <c r="G2780" t="s">
        <v>414</v>
      </c>
      <c r="H2780" t="s">
        <v>154</v>
      </c>
      <c r="I2780" t="s">
        <v>155</v>
      </c>
      <c r="J2780" t="s">
        <v>25</v>
      </c>
      <c r="K2780" t="s">
        <v>14343</v>
      </c>
      <c r="L2780">
        <v>0.1</v>
      </c>
      <c r="M2780" t="s">
        <v>14344</v>
      </c>
      <c r="N2780" t="s">
        <v>14345</v>
      </c>
      <c r="O2780" t="s">
        <v>43</v>
      </c>
      <c r="P2780" t="s">
        <v>30</v>
      </c>
      <c r="Q2780" t="s">
        <v>44</v>
      </c>
      <c r="R2780" s="3">
        <v>4750.9740000000002</v>
      </c>
    </row>
    <row r="2781" spans="1:18" x14ac:dyDescent="0.3">
      <c r="A2781" t="s">
        <v>14346</v>
      </c>
      <c r="B2781" t="str">
        <f>TEXT(Raw_Data[[#This Row],[Order Date]],"mmm")</f>
        <v>Jun</v>
      </c>
      <c r="C2781" t="s">
        <v>8096</v>
      </c>
      <c r="D2781" t="s">
        <v>14347</v>
      </c>
      <c r="E2781" t="s">
        <v>20</v>
      </c>
      <c r="F2781" t="s">
        <v>78</v>
      </c>
      <c r="G2781" t="s">
        <v>731</v>
      </c>
      <c r="H2781" t="s">
        <v>80</v>
      </c>
      <c r="I2781" t="s">
        <v>116</v>
      </c>
      <c r="J2781" t="s">
        <v>25</v>
      </c>
      <c r="K2781" t="s">
        <v>14348</v>
      </c>
      <c r="L2781">
        <v>0.1</v>
      </c>
      <c r="M2781" t="s">
        <v>14349</v>
      </c>
      <c r="N2781" t="s">
        <v>14350</v>
      </c>
      <c r="O2781" t="s">
        <v>29</v>
      </c>
      <c r="P2781" t="s">
        <v>30</v>
      </c>
      <c r="Q2781" t="s">
        <v>31</v>
      </c>
      <c r="R2781" s="3">
        <v>1766.4929999999999</v>
      </c>
    </row>
    <row r="2782" spans="1:18" x14ac:dyDescent="0.3">
      <c r="A2782" t="s">
        <v>14351</v>
      </c>
      <c r="B2782" t="str">
        <f>TEXT(Raw_Data[[#This Row],[Order Date]],"mmm")</f>
        <v>Jun</v>
      </c>
      <c r="C2782" t="s">
        <v>753</v>
      </c>
      <c r="D2782" t="s">
        <v>14352</v>
      </c>
      <c r="E2782" t="s">
        <v>35</v>
      </c>
      <c r="F2782" t="s">
        <v>21</v>
      </c>
      <c r="G2782" t="s">
        <v>130</v>
      </c>
      <c r="H2782" t="s">
        <v>80</v>
      </c>
      <c r="I2782" t="s">
        <v>91</v>
      </c>
      <c r="J2782" t="s">
        <v>25</v>
      </c>
      <c r="K2782" t="s">
        <v>14353</v>
      </c>
      <c r="L2782">
        <v>0.1</v>
      </c>
      <c r="M2782" t="s">
        <v>14354</v>
      </c>
      <c r="N2782" t="s">
        <v>14355</v>
      </c>
      <c r="O2782" t="s">
        <v>29</v>
      </c>
      <c r="P2782" t="s">
        <v>112</v>
      </c>
      <c r="Q2782" t="s">
        <v>31</v>
      </c>
      <c r="R2782" s="3">
        <v>1441.35</v>
      </c>
    </row>
    <row r="2783" spans="1:18" x14ac:dyDescent="0.3">
      <c r="A2783" t="s">
        <v>14356</v>
      </c>
      <c r="B2783" t="str">
        <f>TEXT(Raw_Data[[#This Row],[Order Date]],"mmm")</f>
        <v>Feb</v>
      </c>
      <c r="C2783" t="s">
        <v>3493</v>
      </c>
      <c r="D2783" t="s">
        <v>14357</v>
      </c>
      <c r="E2783" t="s">
        <v>35</v>
      </c>
      <c r="F2783" t="s">
        <v>36</v>
      </c>
      <c r="G2783" t="s">
        <v>196</v>
      </c>
      <c r="H2783" t="s">
        <v>80</v>
      </c>
      <c r="I2783" t="s">
        <v>116</v>
      </c>
      <c r="J2783" t="s">
        <v>50</v>
      </c>
      <c r="K2783" t="s">
        <v>14358</v>
      </c>
      <c r="L2783">
        <v>0.1</v>
      </c>
      <c r="M2783" t="s">
        <v>14359</v>
      </c>
      <c r="N2783" t="s">
        <v>14360</v>
      </c>
      <c r="O2783" t="s">
        <v>43</v>
      </c>
      <c r="P2783" t="s">
        <v>30</v>
      </c>
      <c r="Q2783" t="s">
        <v>65</v>
      </c>
      <c r="R2783" s="3">
        <v>1256.4000000000001</v>
      </c>
    </row>
    <row r="2784" spans="1:18" x14ac:dyDescent="0.3">
      <c r="A2784" t="s">
        <v>14361</v>
      </c>
      <c r="B2784" t="str">
        <f>TEXT(Raw_Data[[#This Row],[Order Date]],"mmm")</f>
        <v>May</v>
      </c>
      <c r="C2784" t="s">
        <v>2299</v>
      </c>
      <c r="D2784" t="s">
        <v>14362</v>
      </c>
      <c r="E2784" t="s">
        <v>35</v>
      </c>
      <c r="F2784" t="s">
        <v>78</v>
      </c>
      <c r="G2784" t="s">
        <v>79</v>
      </c>
      <c r="H2784" t="s">
        <v>38</v>
      </c>
      <c r="I2784" t="s">
        <v>223</v>
      </c>
      <c r="J2784" t="s">
        <v>25</v>
      </c>
      <c r="K2784" t="s">
        <v>14363</v>
      </c>
      <c r="L2784">
        <v>0.15</v>
      </c>
      <c r="M2784" t="s">
        <v>14364</v>
      </c>
      <c r="N2784" t="s">
        <v>14365</v>
      </c>
      <c r="O2784" t="s">
        <v>64</v>
      </c>
      <c r="P2784" t="s">
        <v>159</v>
      </c>
      <c r="Q2784" t="s">
        <v>31</v>
      </c>
      <c r="R2784" s="3">
        <v>4485.518</v>
      </c>
    </row>
    <row r="2785" spans="1:18" x14ac:dyDescent="0.3">
      <c r="A2785" t="s">
        <v>14366</v>
      </c>
      <c r="B2785" t="str">
        <f>TEXT(Raw_Data[[#This Row],[Order Date]],"mmm")</f>
        <v>Jan</v>
      </c>
      <c r="C2785" t="s">
        <v>924</v>
      </c>
      <c r="D2785" t="s">
        <v>14367</v>
      </c>
      <c r="E2785" t="s">
        <v>20</v>
      </c>
      <c r="F2785" t="s">
        <v>36</v>
      </c>
      <c r="G2785" t="s">
        <v>153</v>
      </c>
      <c r="H2785" t="s">
        <v>80</v>
      </c>
      <c r="I2785" t="s">
        <v>81</v>
      </c>
      <c r="J2785" t="s">
        <v>25</v>
      </c>
      <c r="K2785" t="s">
        <v>14368</v>
      </c>
      <c r="L2785">
        <v>0</v>
      </c>
      <c r="M2785" t="s">
        <v>14369</v>
      </c>
      <c r="N2785" t="s">
        <v>14370</v>
      </c>
      <c r="O2785" t="s">
        <v>43</v>
      </c>
      <c r="P2785" t="s">
        <v>30</v>
      </c>
      <c r="Q2785" t="s">
        <v>44</v>
      </c>
      <c r="R2785" s="3">
        <v>1095.21</v>
      </c>
    </row>
    <row r="2786" spans="1:18" x14ac:dyDescent="0.3">
      <c r="A2786" t="s">
        <v>14371</v>
      </c>
      <c r="B2786" t="str">
        <f>TEXT(Raw_Data[[#This Row],[Order Date]],"mmm")</f>
        <v>Sep</v>
      </c>
      <c r="C2786" t="s">
        <v>1397</v>
      </c>
      <c r="D2786" t="s">
        <v>14372</v>
      </c>
      <c r="E2786" t="s">
        <v>48</v>
      </c>
      <c r="F2786" t="s">
        <v>21</v>
      </c>
      <c r="G2786" t="s">
        <v>130</v>
      </c>
      <c r="H2786" t="s">
        <v>80</v>
      </c>
      <c r="I2786" t="s">
        <v>146</v>
      </c>
      <c r="J2786" t="s">
        <v>25</v>
      </c>
      <c r="K2786" t="s">
        <v>14373</v>
      </c>
      <c r="L2786">
        <v>0</v>
      </c>
      <c r="M2786" t="s">
        <v>14374</v>
      </c>
      <c r="N2786" t="s">
        <v>14375</v>
      </c>
      <c r="O2786" t="s">
        <v>173</v>
      </c>
      <c r="P2786" t="s">
        <v>30</v>
      </c>
      <c r="Q2786" t="s">
        <v>65</v>
      </c>
      <c r="R2786" s="3">
        <v>4353.2299999999996</v>
      </c>
    </row>
    <row r="2787" spans="1:18" x14ac:dyDescent="0.3">
      <c r="A2787" t="s">
        <v>14376</v>
      </c>
      <c r="B2787" t="str">
        <f>TEXT(Raw_Data[[#This Row],[Order Date]],"mmm")</f>
        <v>Jun</v>
      </c>
      <c r="C2787" t="s">
        <v>764</v>
      </c>
      <c r="D2787" t="s">
        <v>14377</v>
      </c>
      <c r="E2787" t="s">
        <v>35</v>
      </c>
      <c r="F2787" t="s">
        <v>106</v>
      </c>
      <c r="G2787" t="s">
        <v>106</v>
      </c>
      <c r="H2787" t="s">
        <v>38</v>
      </c>
      <c r="I2787" t="s">
        <v>60</v>
      </c>
      <c r="J2787" t="s">
        <v>25</v>
      </c>
      <c r="K2787" t="s">
        <v>14378</v>
      </c>
      <c r="L2787">
        <v>0</v>
      </c>
      <c r="M2787" t="s">
        <v>14379</v>
      </c>
      <c r="N2787" t="s">
        <v>14380</v>
      </c>
      <c r="O2787" t="s">
        <v>43</v>
      </c>
      <c r="P2787" t="s">
        <v>30</v>
      </c>
      <c r="Q2787" t="s">
        <v>65</v>
      </c>
      <c r="R2787" s="3">
        <v>461.55</v>
      </c>
    </row>
    <row r="2788" spans="1:18" x14ac:dyDescent="0.3">
      <c r="A2788" t="s">
        <v>14381</v>
      </c>
      <c r="B2788" t="str">
        <f>TEXT(Raw_Data[[#This Row],[Order Date]],"mmm")</f>
        <v>Oct</v>
      </c>
      <c r="C2788" t="s">
        <v>1846</v>
      </c>
      <c r="D2788" t="s">
        <v>14382</v>
      </c>
      <c r="E2788" t="s">
        <v>48</v>
      </c>
      <c r="F2788" t="s">
        <v>69</v>
      </c>
      <c r="G2788" t="s">
        <v>328</v>
      </c>
      <c r="H2788" t="s">
        <v>38</v>
      </c>
      <c r="I2788" t="s">
        <v>223</v>
      </c>
      <c r="J2788" t="s">
        <v>50</v>
      </c>
      <c r="K2788" t="s">
        <v>14383</v>
      </c>
      <c r="L2788">
        <v>0.2</v>
      </c>
      <c r="M2788" t="s">
        <v>14384</v>
      </c>
      <c r="N2788" t="s">
        <v>14385</v>
      </c>
      <c r="O2788" t="s">
        <v>29</v>
      </c>
      <c r="P2788" t="s">
        <v>30</v>
      </c>
      <c r="Q2788" t="s">
        <v>44</v>
      </c>
      <c r="R2788" s="3">
        <v>4080.8</v>
      </c>
    </row>
    <row r="2789" spans="1:18" x14ac:dyDescent="0.3">
      <c r="A2789" t="s">
        <v>14386</v>
      </c>
      <c r="B2789" t="str">
        <f>TEXT(Raw_Data[[#This Row],[Order Date]],"mmm")</f>
        <v>Oct</v>
      </c>
      <c r="C2789" t="s">
        <v>1239</v>
      </c>
      <c r="D2789" t="s">
        <v>14387</v>
      </c>
      <c r="E2789" t="s">
        <v>48</v>
      </c>
      <c r="F2789" t="s">
        <v>36</v>
      </c>
      <c r="G2789" t="s">
        <v>37</v>
      </c>
      <c r="H2789" t="s">
        <v>23</v>
      </c>
      <c r="I2789" t="s">
        <v>183</v>
      </c>
      <c r="J2789" t="s">
        <v>25</v>
      </c>
      <c r="K2789" t="s">
        <v>14388</v>
      </c>
      <c r="L2789">
        <v>0.1</v>
      </c>
      <c r="M2789" t="s">
        <v>14389</v>
      </c>
      <c r="N2789" t="s">
        <v>14390</v>
      </c>
      <c r="O2789" t="s">
        <v>54</v>
      </c>
      <c r="P2789" t="s">
        <v>30</v>
      </c>
      <c r="Q2789" t="s">
        <v>65</v>
      </c>
      <c r="R2789" s="3">
        <v>33649.542000000001</v>
      </c>
    </row>
    <row r="2790" spans="1:18" x14ac:dyDescent="0.3">
      <c r="A2790" t="s">
        <v>14391</v>
      </c>
      <c r="B2790" t="str">
        <f>TEXT(Raw_Data[[#This Row],[Order Date]],"mmm")</f>
        <v>Aug</v>
      </c>
      <c r="C2790" t="s">
        <v>1426</v>
      </c>
      <c r="D2790" t="s">
        <v>14392</v>
      </c>
      <c r="E2790" t="s">
        <v>20</v>
      </c>
      <c r="F2790" t="s">
        <v>21</v>
      </c>
      <c r="G2790" t="s">
        <v>22</v>
      </c>
      <c r="H2790" t="s">
        <v>80</v>
      </c>
      <c r="I2790" t="s">
        <v>91</v>
      </c>
      <c r="J2790" t="s">
        <v>25</v>
      </c>
      <c r="K2790" t="s">
        <v>14393</v>
      </c>
      <c r="L2790">
        <v>0.15</v>
      </c>
      <c r="M2790" t="s">
        <v>14394</v>
      </c>
      <c r="N2790" t="s">
        <v>14395</v>
      </c>
      <c r="O2790" t="s">
        <v>54</v>
      </c>
      <c r="P2790" t="s">
        <v>30</v>
      </c>
      <c r="Q2790" t="s">
        <v>44</v>
      </c>
      <c r="R2790" s="3">
        <v>1937.7449999999999</v>
      </c>
    </row>
    <row r="2791" spans="1:18" x14ac:dyDescent="0.3">
      <c r="A2791" t="s">
        <v>14396</v>
      </c>
      <c r="B2791" t="str">
        <f>TEXT(Raw_Data[[#This Row],[Order Date]],"mmm")</f>
        <v>Jul</v>
      </c>
      <c r="C2791" t="s">
        <v>2416</v>
      </c>
      <c r="D2791" t="s">
        <v>14397</v>
      </c>
      <c r="E2791" t="s">
        <v>35</v>
      </c>
      <c r="F2791" t="s">
        <v>21</v>
      </c>
      <c r="G2791" t="s">
        <v>130</v>
      </c>
      <c r="H2791" t="s">
        <v>2581</v>
      </c>
      <c r="I2791" t="s">
        <v>49</v>
      </c>
      <c r="J2791" t="s">
        <v>100</v>
      </c>
      <c r="K2791" t="s">
        <v>14398</v>
      </c>
      <c r="L2791">
        <v>0.1</v>
      </c>
      <c r="M2791" t="s">
        <v>14399</v>
      </c>
      <c r="N2791" t="s">
        <v>14400</v>
      </c>
      <c r="O2791" t="s">
        <v>64</v>
      </c>
      <c r="P2791" t="s">
        <v>30</v>
      </c>
      <c r="Q2791" t="s">
        <v>65</v>
      </c>
      <c r="R2791" s="3">
        <v>174113.55</v>
      </c>
    </row>
    <row r="2792" spans="1:18" x14ac:dyDescent="0.3">
      <c r="A2792" t="s">
        <v>14401</v>
      </c>
      <c r="B2792" t="str">
        <f>TEXT(Raw_Data[[#This Row],[Order Date]],"mmm")</f>
        <v>Oct</v>
      </c>
      <c r="C2792" t="s">
        <v>235</v>
      </c>
      <c r="D2792" t="s">
        <v>14402</v>
      </c>
      <c r="E2792" t="s">
        <v>20</v>
      </c>
      <c r="F2792" t="s">
        <v>215</v>
      </c>
      <c r="G2792" t="s">
        <v>276</v>
      </c>
      <c r="H2792" t="s">
        <v>107</v>
      </c>
      <c r="I2792" t="s">
        <v>378</v>
      </c>
      <c r="J2792" t="s">
        <v>25</v>
      </c>
      <c r="K2792" t="s">
        <v>14403</v>
      </c>
      <c r="L2792">
        <v>0.1</v>
      </c>
      <c r="M2792" t="s">
        <v>14404</v>
      </c>
      <c r="N2792" t="s">
        <v>14405</v>
      </c>
      <c r="O2792" t="s">
        <v>64</v>
      </c>
      <c r="P2792" t="s">
        <v>95</v>
      </c>
      <c r="Q2792" t="s">
        <v>44</v>
      </c>
      <c r="R2792" s="3">
        <v>9875.7900000000009</v>
      </c>
    </row>
    <row r="2793" spans="1:18" x14ac:dyDescent="0.3">
      <c r="A2793" t="s">
        <v>14406</v>
      </c>
      <c r="B2793" t="str">
        <f>TEXT(Raw_Data[[#This Row],[Order Date]],"mmm")</f>
        <v>Apr</v>
      </c>
      <c r="C2793" t="s">
        <v>352</v>
      </c>
      <c r="D2793" t="s">
        <v>14407</v>
      </c>
      <c r="E2793" t="s">
        <v>20</v>
      </c>
      <c r="F2793" t="s">
        <v>106</v>
      </c>
      <c r="G2793" t="s">
        <v>106</v>
      </c>
      <c r="H2793" t="s">
        <v>23</v>
      </c>
      <c r="I2793" t="s">
        <v>183</v>
      </c>
      <c r="J2793" t="s">
        <v>25</v>
      </c>
      <c r="K2793" t="s">
        <v>14408</v>
      </c>
      <c r="L2793">
        <v>0.15</v>
      </c>
      <c r="M2793" t="s">
        <v>14409</v>
      </c>
      <c r="N2793" t="s">
        <v>14410</v>
      </c>
      <c r="O2793" t="s">
        <v>43</v>
      </c>
      <c r="P2793" t="s">
        <v>112</v>
      </c>
      <c r="Q2793" t="s">
        <v>44</v>
      </c>
      <c r="R2793" s="3">
        <v>23280.6499999999</v>
      </c>
    </row>
    <row r="2794" spans="1:18" x14ac:dyDescent="0.3">
      <c r="A2794" t="s">
        <v>14411</v>
      </c>
      <c r="B2794" t="str">
        <f>TEXT(Raw_Data[[#This Row],[Order Date]],"mmm")</f>
        <v>Apr</v>
      </c>
      <c r="C2794" t="s">
        <v>2338</v>
      </c>
      <c r="D2794" t="s">
        <v>14412</v>
      </c>
      <c r="E2794" t="s">
        <v>35</v>
      </c>
      <c r="F2794" t="s">
        <v>58</v>
      </c>
      <c r="G2794" t="s">
        <v>812</v>
      </c>
      <c r="H2794" t="s">
        <v>154</v>
      </c>
      <c r="I2794" t="s">
        <v>1061</v>
      </c>
      <c r="J2794" t="s">
        <v>25</v>
      </c>
      <c r="K2794" t="s">
        <v>14413</v>
      </c>
      <c r="L2794">
        <v>0</v>
      </c>
      <c r="M2794" t="s">
        <v>14414</v>
      </c>
      <c r="N2794" t="s">
        <v>14415</v>
      </c>
      <c r="O2794" t="s">
        <v>29</v>
      </c>
      <c r="P2794" t="s">
        <v>30</v>
      </c>
      <c r="Q2794" t="s">
        <v>65</v>
      </c>
      <c r="R2794" s="3">
        <v>6235.67</v>
      </c>
    </row>
    <row r="2795" spans="1:18" x14ac:dyDescent="0.3">
      <c r="A2795" t="s">
        <v>14416</v>
      </c>
      <c r="B2795" t="str">
        <f>TEXT(Raw_Data[[#This Row],[Order Date]],"mmm")</f>
        <v>Aug</v>
      </c>
      <c r="C2795" t="s">
        <v>1757</v>
      </c>
      <c r="D2795" t="s">
        <v>14417</v>
      </c>
      <c r="E2795" t="s">
        <v>35</v>
      </c>
      <c r="F2795" t="s">
        <v>58</v>
      </c>
      <c r="G2795" t="s">
        <v>812</v>
      </c>
      <c r="H2795" t="s">
        <v>23</v>
      </c>
      <c r="I2795" t="s">
        <v>183</v>
      </c>
      <c r="J2795" t="s">
        <v>25</v>
      </c>
      <c r="K2795" t="s">
        <v>14418</v>
      </c>
      <c r="L2795">
        <v>0.15</v>
      </c>
      <c r="M2795" t="s">
        <v>14419</v>
      </c>
      <c r="N2795" t="s">
        <v>14420</v>
      </c>
      <c r="O2795" t="s">
        <v>64</v>
      </c>
      <c r="P2795" t="s">
        <v>30</v>
      </c>
      <c r="Q2795" t="s">
        <v>44</v>
      </c>
      <c r="R2795" s="3">
        <v>4001.1879999999901</v>
      </c>
    </row>
    <row r="2796" spans="1:18" x14ac:dyDescent="0.3">
      <c r="A2796" t="s">
        <v>14421</v>
      </c>
      <c r="B2796" t="str">
        <f>TEXT(Raw_Data[[#This Row],[Order Date]],"mmm")</f>
        <v>May</v>
      </c>
      <c r="C2796" t="s">
        <v>1257</v>
      </c>
      <c r="D2796" t="s">
        <v>14422</v>
      </c>
      <c r="E2796" t="s">
        <v>20</v>
      </c>
      <c r="F2796" t="s">
        <v>58</v>
      </c>
      <c r="G2796" t="s">
        <v>290</v>
      </c>
      <c r="H2796" t="s">
        <v>38</v>
      </c>
      <c r="I2796" t="s">
        <v>223</v>
      </c>
      <c r="J2796" t="s">
        <v>25</v>
      </c>
      <c r="K2796" t="s">
        <v>14423</v>
      </c>
      <c r="L2796">
        <v>0.1</v>
      </c>
      <c r="M2796" t="s">
        <v>14424</v>
      </c>
      <c r="N2796" t="s">
        <v>14425</v>
      </c>
      <c r="O2796" t="s">
        <v>173</v>
      </c>
      <c r="P2796" t="s">
        <v>30</v>
      </c>
      <c r="Q2796" t="s">
        <v>65</v>
      </c>
      <c r="R2796" s="3">
        <v>792.15300000000002</v>
      </c>
    </row>
    <row r="2797" spans="1:18" x14ac:dyDescent="0.3">
      <c r="A2797" t="s">
        <v>14426</v>
      </c>
      <c r="B2797" t="str">
        <f>TEXT(Raw_Data[[#This Row],[Order Date]],"mmm")</f>
        <v>Nov</v>
      </c>
      <c r="C2797" t="s">
        <v>657</v>
      </c>
      <c r="D2797" t="s">
        <v>14427</v>
      </c>
      <c r="E2797" t="s">
        <v>20</v>
      </c>
      <c r="F2797" t="s">
        <v>106</v>
      </c>
      <c r="G2797" t="s">
        <v>106</v>
      </c>
      <c r="H2797" t="s">
        <v>38</v>
      </c>
      <c r="I2797" t="s">
        <v>39</v>
      </c>
      <c r="J2797" t="s">
        <v>50</v>
      </c>
      <c r="K2797" t="s">
        <v>14428</v>
      </c>
      <c r="L2797">
        <v>0.15</v>
      </c>
      <c r="M2797" t="s">
        <v>14429</v>
      </c>
      <c r="N2797" t="s">
        <v>14430</v>
      </c>
      <c r="O2797" t="s">
        <v>173</v>
      </c>
      <c r="P2797" t="s">
        <v>30</v>
      </c>
      <c r="Q2797" t="s">
        <v>31</v>
      </c>
      <c r="R2797" s="3">
        <v>6781.7759999999998</v>
      </c>
    </row>
    <row r="2798" spans="1:18" x14ac:dyDescent="0.3">
      <c r="A2798" t="s">
        <v>14431</v>
      </c>
      <c r="B2798" t="str">
        <f>TEXT(Raw_Data[[#This Row],[Order Date]],"mmm")</f>
        <v>May</v>
      </c>
      <c r="C2798" t="s">
        <v>1509</v>
      </c>
      <c r="D2798" t="s">
        <v>14432</v>
      </c>
      <c r="E2798" t="s">
        <v>20</v>
      </c>
      <c r="F2798" t="s">
        <v>78</v>
      </c>
      <c r="G2798" t="s">
        <v>79</v>
      </c>
      <c r="H2798" t="s">
        <v>80</v>
      </c>
      <c r="I2798" t="s">
        <v>131</v>
      </c>
      <c r="J2798" t="s">
        <v>50</v>
      </c>
      <c r="K2798" t="s">
        <v>14433</v>
      </c>
      <c r="L2798">
        <v>0.1</v>
      </c>
      <c r="M2798" t="s">
        <v>14434</v>
      </c>
      <c r="N2798" t="s">
        <v>14435</v>
      </c>
      <c r="O2798" t="s">
        <v>173</v>
      </c>
      <c r="P2798" t="s">
        <v>112</v>
      </c>
      <c r="Q2798" t="s">
        <v>65</v>
      </c>
      <c r="R2798" s="3">
        <v>3298.3560000000002</v>
      </c>
    </row>
    <row r="2799" spans="1:18" x14ac:dyDescent="0.3">
      <c r="A2799" t="s">
        <v>14436</v>
      </c>
      <c r="B2799" t="str">
        <f>TEXT(Raw_Data[[#This Row],[Order Date]],"mmm")</f>
        <v>Dec</v>
      </c>
      <c r="C2799" t="s">
        <v>3003</v>
      </c>
      <c r="D2799" t="s">
        <v>14437</v>
      </c>
      <c r="E2799" t="s">
        <v>48</v>
      </c>
      <c r="F2799" t="s">
        <v>106</v>
      </c>
      <c r="G2799" t="s">
        <v>106</v>
      </c>
      <c r="H2799" t="s">
        <v>23</v>
      </c>
      <c r="I2799" t="s">
        <v>24</v>
      </c>
      <c r="J2799" t="s">
        <v>25</v>
      </c>
      <c r="K2799" t="s">
        <v>14438</v>
      </c>
      <c r="L2799">
        <v>0</v>
      </c>
      <c r="M2799" t="s">
        <v>14439</v>
      </c>
      <c r="N2799" t="s">
        <v>14440</v>
      </c>
      <c r="O2799" t="s">
        <v>43</v>
      </c>
      <c r="P2799" t="s">
        <v>112</v>
      </c>
      <c r="Q2799" t="s">
        <v>44</v>
      </c>
      <c r="R2799" s="3">
        <v>44394.55</v>
      </c>
    </row>
    <row r="2800" spans="1:18" x14ac:dyDescent="0.3">
      <c r="A2800" t="s">
        <v>14441</v>
      </c>
      <c r="B2800" t="str">
        <f>TEXT(Raw_Data[[#This Row],[Order Date]],"mmm")</f>
        <v>Jul</v>
      </c>
      <c r="C2800" t="s">
        <v>128</v>
      </c>
      <c r="D2800" t="s">
        <v>14442</v>
      </c>
      <c r="E2800" t="s">
        <v>35</v>
      </c>
      <c r="F2800" t="s">
        <v>36</v>
      </c>
      <c r="G2800" t="s">
        <v>123</v>
      </c>
      <c r="H2800" t="s">
        <v>23</v>
      </c>
      <c r="I2800" t="s">
        <v>49</v>
      </c>
      <c r="J2800" t="s">
        <v>50</v>
      </c>
      <c r="K2800" t="s">
        <v>14443</v>
      </c>
      <c r="L2800">
        <v>0.1</v>
      </c>
      <c r="M2800" t="s">
        <v>14444</v>
      </c>
      <c r="N2800" t="s">
        <v>14445</v>
      </c>
      <c r="O2800" t="s">
        <v>43</v>
      </c>
      <c r="P2800" t="s">
        <v>30</v>
      </c>
      <c r="Q2800" t="s">
        <v>31</v>
      </c>
      <c r="R2800" s="3">
        <v>61088.597999999998</v>
      </c>
    </row>
    <row r="2801" spans="1:18" x14ac:dyDescent="0.3">
      <c r="A2801" t="s">
        <v>14446</v>
      </c>
      <c r="B2801" t="str">
        <f>TEXT(Raw_Data[[#This Row],[Order Date]],"mmm")</f>
        <v>Mar</v>
      </c>
      <c r="C2801" t="s">
        <v>1808</v>
      </c>
      <c r="D2801" t="s">
        <v>14447</v>
      </c>
      <c r="E2801" t="s">
        <v>48</v>
      </c>
      <c r="F2801" t="s">
        <v>69</v>
      </c>
      <c r="G2801" t="s">
        <v>70</v>
      </c>
      <c r="H2801" t="s">
        <v>23</v>
      </c>
      <c r="I2801" t="s">
        <v>263</v>
      </c>
      <c r="J2801" t="s">
        <v>25</v>
      </c>
      <c r="K2801" t="s">
        <v>14448</v>
      </c>
      <c r="L2801">
        <v>0.05</v>
      </c>
      <c r="M2801" t="s">
        <v>14449</v>
      </c>
      <c r="N2801" t="s">
        <v>14450</v>
      </c>
      <c r="O2801" t="s">
        <v>173</v>
      </c>
      <c r="P2801" t="s">
        <v>30</v>
      </c>
      <c r="Q2801" t="s">
        <v>65</v>
      </c>
      <c r="R2801" s="3">
        <v>68413.452000000005</v>
      </c>
    </row>
    <row r="2802" spans="1:18" x14ac:dyDescent="0.3">
      <c r="A2802" t="s">
        <v>14451</v>
      </c>
      <c r="B2802" t="str">
        <f>TEXT(Raw_Data[[#This Row],[Order Date]],"mmm")</f>
        <v>Apr</v>
      </c>
      <c r="C2802" t="s">
        <v>2095</v>
      </c>
      <c r="D2802" t="s">
        <v>14452</v>
      </c>
      <c r="E2802" t="s">
        <v>20</v>
      </c>
      <c r="F2802" t="s">
        <v>58</v>
      </c>
      <c r="G2802" t="s">
        <v>290</v>
      </c>
      <c r="H2802" t="s">
        <v>80</v>
      </c>
      <c r="I2802" t="s">
        <v>116</v>
      </c>
      <c r="J2802" t="s">
        <v>25</v>
      </c>
      <c r="K2802" t="s">
        <v>14453</v>
      </c>
      <c r="L2802">
        <v>0.1</v>
      </c>
      <c r="M2802" t="s">
        <v>14454</v>
      </c>
      <c r="N2802" t="s">
        <v>14455</v>
      </c>
      <c r="O2802" t="s">
        <v>173</v>
      </c>
      <c r="P2802" t="s">
        <v>30</v>
      </c>
      <c r="Q2802" t="s">
        <v>31</v>
      </c>
      <c r="R2802" s="3">
        <v>3931.029</v>
      </c>
    </row>
    <row r="2803" spans="1:18" x14ac:dyDescent="0.3">
      <c r="A2803" t="s">
        <v>14456</v>
      </c>
      <c r="B2803" t="str">
        <f>TEXT(Raw_Data[[#This Row],[Order Date]],"mmm")</f>
        <v>Jul</v>
      </c>
      <c r="C2803" t="s">
        <v>3354</v>
      </c>
      <c r="D2803" t="s">
        <v>14457</v>
      </c>
      <c r="E2803" t="s">
        <v>20</v>
      </c>
      <c r="F2803" t="s">
        <v>89</v>
      </c>
      <c r="G2803" t="s">
        <v>99</v>
      </c>
      <c r="H2803" t="s">
        <v>38</v>
      </c>
      <c r="I2803" t="s">
        <v>71</v>
      </c>
      <c r="J2803" t="s">
        <v>50</v>
      </c>
      <c r="K2803" t="s">
        <v>14458</v>
      </c>
      <c r="L2803">
        <v>0.2</v>
      </c>
      <c r="M2803" t="s">
        <v>14459</v>
      </c>
      <c r="N2803" t="s">
        <v>14460</v>
      </c>
      <c r="O2803" t="s">
        <v>29</v>
      </c>
      <c r="P2803" t="s">
        <v>30</v>
      </c>
      <c r="Q2803" t="s">
        <v>31</v>
      </c>
      <c r="R2803" s="3">
        <v>7477.12</v>
      </c>
    </row>
    <row r="2804" spans="1:18" x14ac:dyDescent="0.3">
      <c r="A2804" t="s">
        <v>14461</v>
      </c>
      <c r="B2804" t="str">
        <f>TEXT(Raw_Data[[#This Row],[Order Date]],"mmm")</f>
        <v>Sep</v>
      </c>
      <c r="C2804" t="s">
        <v>401</v>
      </c>
      <c r="D2804" t="s">
        <v>14462</v>
      </c>
      <c r="E2804" t="s">
        <v>35</v>
      </c>
      <c r="F2804" t="s">
        <v>21</v>
      </c>
      <c r="G2804" t="s">
        <v>22</v>
      </c>
      <c r="H2804" t="s">
        <v>107</v>
      </c>
      <c r="I2804" t="s">
        <v>591</v>
      </c>
      <c r="J2804" t="s">
        <v>50</v>
      </c>
      <c r="K2804" t="s">
        <v>14463</v>
      </c>
      <c r="L2804">
        <v>0</v>
      </c>
      <c r="M2804" t="s">
        <v>14464</v>
      </c>
      <c r="N2804" t="s">
        <v>14465</v>
      </c>
      <c r="O2804" t="s">
        <v>43</v>
      </c>
      <c r="P2804" t="s">
        <v>159</v>
      </c>
      <c r="Q2804" t="s">
        <v>44</v>
      </c>
      <c r="R2804" s="3">
        <v>31521.06</v>
      </c>
    </row>
    <row r="2805" spans="1:18" x14ac:dyDescent="0.3">
      <c r="A2805" t="s">
        <v>14466</v>
      </c>
      <c r="B2805" t="str">
        <f>TEXT(Raw_Data[[#This Row],[Order Date]],"mmm")</f>
        <v>Oct</v>
      </c>
      <c r="C2805" t="s">
        <v>5733</v>
      </c>
      <c r="D2805" t="s">
        <v>14467</v>
      </c>
      <c r="E2805" t="s">
        <v>35</v>
      </c>
      <c r="F2805" t="s">
        <v>106</v>
      </c>
      <c r="G2805" t="s">
        <v>163</v>
      </c>
      <c r="H2805" t="s">
        <v>23</v>
      </c>
      <c r="I2805" t="s">
        <v>49</v>
      </c>
      <c r="J2805" t="s">
        <v>25</v>
      </c>
      <c r="K2805" t="s">
        <v>14468</v>
      </c>
      <c r="L2805">
        <v>0.1</v>
      </c>
      <c r="M2805" t="s">
        <v>14469</v>
      </c>
      <c r="N2805" t="s">
        <v>14470</v>
      </c>
      <c r="O2805" t="s">
        <v>64</v>
      </c>
      <c r="P2805" t="s">
        <v>30</v>
      </c>
      <c r="Q2805" t="s">
        <v>31</v>
      </c>
      <c r="R2805" s="3">
        <v>4459.5450000000001</v>
      </c>
    </row>
    <row r="2806" spans="1:18" x14ac:dyDescent="0.3">
      <c r="A2806" t="s">
        <v>14471</v>
      </c>
      <c r="B2806" t="str">
        <f>TEXT(Raw_Data[[#This Row],[Order Date]],"mmm")</f>
        <v>Apr</v>
      </c>
      <c r="C2806" t="s">
        <v>376</v>
      </c>
      <c r="D2806" t="s">
        <v>14472</v>
      </c>
      <c r="E2806" t="s">
        <v>48</v>
      </c>
      <c r="F2806" t="s">
        <v>78</v>
      </c>
      <c r="G2806" t="s">
        <v>731</v>
      </c>
      <c r="H2806" t="s">
        <v>107</v>
      </c>
      <c r="I2806" t="s">
        <v>469</v>
      </c>
      <c r="J2806" t="s">
        <v>25</v>
      </c>
      <c r="K2806" t="s">
        <v>14473</v>
      </c>
      <c r="L2806">
        <v>0</v>
      </c>
      <c r="M2806" t="s">
        <v>14474</v>
      </c>
      <c r="N2806" t="s">
        <v>14475</v>
      </c>
      <c r="O2806" t="s">
        <v>29</v>
      </c>
      <c r="P2806" t="s">
        <v>159</v>
      </c>
      <c r="Q2806" t="s">
        <v>44</v>
      </c>
      <c r="R2806" s="3">
        <v>2957.32</v>
      </c>
    </row>
    <row r="2807" spans="1:18" x14ac:dyDescent="0.3">
      <c r="A2807" t="s">
        <v>14476</v>
      </c>
      <c r="B2807" t="str">
        <f>TEXT(Raw_Data[[#This Row],[Order Date]],"mmm")</f>
        <v>Nov</v>
      </c>
      <c r="C2807" t="s">
        <v>3305</v>
      </c>
      <c r="D2807" t="s">
        <v>14477</v>
      </c>
      <c r="E2807" t="s">
        <v>48</v>
      </c>
      <c r="F2807" t="s">
        <v>36</v>
      </c>
      <c r="G2807" t="s">
        <v>196</v>
      </c>
      <c r="H2807" t="s">
        <v>154</v>
      </c>
      <c r="I2807" t="s">
        <v>237</v>
      </c>
      <c r="J2807" t="s">
        <v>25</v>
      </c>
      <c r="K2807" t="s">
        <v>14478</v>
      </c>
      <c r="L2807">
        <v>0.2</v>
      </c>
      <c r="M2807" t="s">
        <v>14479</v>
      </c>
      <c r="N2807" t="s">
        <v>14480</v>
      </c>
      <c r="O2807" t="s">
        <v>43</v>
      </c>
      <c r="P2807" t="s">
        <v>159</v>
      </c>
      <c r="Q2807" t="s">
        <v>65</v>
      </c>
      <c r="R2807" s="3">
        <v>4930.2</v>
      </c>
    </row>
    <row r="2808" spans="1:18" x14ac:dyDescent="0.3">
      <c r="A2808" t="s">
        <v>14481</v>
      </c>
      <c r="B2808" t="str">
        <f>TEXT(Raw_Data[[#This Row],[Order Date]],"mmm")</f>
        <v>Nov</v>
      </c>
      <c r="C2808" t="s">
        <v>1330</v>
      </c>
      <c r="D2808" t="s">
        <v>14482</v>
      </c>
      <c r="E2808" t="s">
        <v>35</v>
      </c>
      <c r="F2808" t="s">
        <v>215</v>
      </c>
      <c r="G2808" t="s">
        <v>276</v>
      </c>
      <c r="H2808" t="s">
        <v>107</v>
      </c>
      <c r="I2808" t="s">
        <v>469</v>
      </c>
      <c r="J2808" t="s">
        <v>50</v>
      </c>
      <c r="K2808" t="s">
        <v>14483</v>
      </c>
      <c r="L2808">
        <v>0.15</v>
      </c>
      <c r="M2808" t="s">
        <v>14484</v>
      </c>
      <c r="N2808" t="s">
        <v>14485</v>
      </c>
      <c r="O2808" t="s">
        <v>29</v>
      </c>
      <c r="P2808" t="s">
        <v>30</v>
      </c>
      <c r="Q2808" t="s">
        <v>65</v>
      </c>
      <c r="R2808" s="3">
        <v>28178.911</v>
      </c>
    </row>
    <row r="2809" spans="1:18" x14ac:dyDescent="0.3">
      <c r="A2809" t="s">
        <v>14486</v>
      </c>
      <c r="B2809" t="str">
        <f>TEXT(Raw_Data[[#This Row],[Order Date]],"mmm")</f>
        <v>Aug</v>
      </c>
      <c r="C2809" t="s">
        <v>930</v>
      </c>
      <c r="D2809" t="s">
        <v>14487</v>
      </c>
      <c r="E2809" t="s">
        <v>48</v>
      </c>
      <c r="F2809" t="s">
        <v>215</v>
      </c>
      <c r="G2809" t="s">
        <v>216</v>
      </c>
      <c r="H2809" t="s">
        <v>38</v>
      </c>
      <c r="I2809" t="s">
        <v>71</v>
      </c>
      <c r="J2809" t="s">
        <v>25</v>
      </c>
      <c r="K2809" t="s">
        <v>14488</v>
      </c>
      <c r="L2809">
        <v>0</v>
      </c>
      <c r="M2809" t="s">
        <v>14489</v>
      </c>
      <c r="N2809" t="s">
        <v>14490</v>
      </c>
      <c r="O2809" t="s">
        <v>29</v>
      </c>
      <c r="P2809" t="s">
        <v>112</v>
      </c>
      <c r="Q2809" t="s">
        <v>44</v>
      </c>
      <c r="R2809" s="3">
        <v>3057.3</v>
      </c>
    </row>
    <row r="2810" spans="1:18" x14ac:dyDescent="0.3">
      <c r="A2810" t="s">
        <v>14491</v>
      </c>
      <c r="B2810" t="str">
        <f>TEXT(Raw_Data[[#This Row],[Order Date]],"mmm")</f>
        <v>Aug</v>
      </c>
      <c r="C2810" t="s">
        <v>4422</v>
      </c>
      <c r="D2810" t="s">
        <v>14492</v>
      </c>
      <c r="E2810" t="s">
        <v>20</v>
      </c>
      <c r="F2810" t="s">
        <v>36</v>
      </c>
      <c r="G2810" t="s">
        <v>414</v>
      </c>
      <c r="H2810" t="s">
        <v>80</v>
      </c>
      <c r="I2810" t="s">
        <v>91</v>
      </c>
      <c r="J2810" t="s">
        <v>25</v>
      </c>
      <c r="K2810" t="s">
        <v>14493</v>
      </c>
      <c r="L2810">
        <v>0.05</v>
      </c>
      <c r="M2810" t="s">
        <v>14494</v>
      </c>
      <c r="N2810" t="s">
        <v>14495</v>
      </c>
      <c r="O2810" t="s">
        <v>29</v>
      </c>
      <c r="P2810" t="s">
        <v>112</v>
      </c>
      <c r="Q2810" t="s">
        <v>65</v>
      </c>
      <c r="R2810" s="3">
        <v>4070.82599999999</v>
      </c>
    </row>
    <row r="2811" spans="1:18" x14ac:dyDescent="0.3">
      <c r="A2811" t="s">
        <v>14496</v>
      </c>
      <c r="B2811" t="str">
        <f>TEXT(Raw_Data[[#This Row],[Order Date]],"mmm")</f>
        <v>Feb</v>
      </c>
      <c r="C2811" t="s">
        <v>2133</v>
      </c>
      <c r="D2811" t="s">
        <v>14497</v>
      </c>
      <c r="E2811" t="s">
        <v>48</v>
      </c>
      <c r="F2811" t="s">
        <v>69</v>
      </c>
      <c r="G2811" t="s">
        <v>70</v>
      </c>
      <c r="H2811" t="s">
        <v>23</v>
      </c>
      <c r="I2811" t="s">
        <v>263</v>
      </c>
      <c r="J2811" t="s">
        <v>50</v>
      </c>
      <c r="K2811" t="s">
        <v>14498</v>
      </c>
      <c r="L2811">
        <v>0.05</v>
      </c>
      <c r="M2811" t="s">
        <v>14499</v>
      </c>
      <c r="N2811" t="s">
        <v>14500</v>
      </c>
      <c r="O2811" t="s">
        <v>54</v>
      </c>
      <c r="P2811" t="s">
        <v>95</v>
      </c>
      <c r="Q2811" t="s">
        <v>44</v>
      </c>
      <c r="R2811" s="3">
        <v>76997.576000000001</v>
      </c>
    </row>
    <row r="2812" spans="1:18" x14ac:dyDescent="0.3">
      <c r="A2812" t="s">
        <v>14501</v>
      </c>
      <c r="B2812" t="str">
        <f>TEXT(Raw_Data[[#This Row],[Order Date]],"mmm")</f>
        <v>Feb</v>
      </c>
      <c r="C2812" t="s">
        <v>702</v>
      </c>
      <c r="D2812" t="s">
        <v>14502</v>
      </c>
      <c r="E2812" t="s">
        <v>20</v>
      </c>
      <c r="F2812" t="s">
        <v>36</v>
      </c>
      <c r="G2812" t="s">
        <v>37</v>
      </c>
      <c r="H2812" t="s">
        <v>23</v>
      </c>
      <c r="I2812" t="s">
        <v>263</v>
      </c>
      <c r="J2812" t="s">
        <v>82</v>
      </c>
      <c r="K2812" t="s">
        <v>14503</v>
      </c>
      <c r="L2812">
        <v>0.05</v>
      </c>
      <c r="M2812" t="s">
        <v>14504</v>
      </c>
      <c r="N2812" t="s">
        <v>14505</v>
      </c>
      <c r="O2812" t="s">
        <v>29</v>
      </c>
      <c r="P2812" t="s">
        <v>30</v>
      </c>
      <c r="Q2812" t="s">
        <v>44</v>
      </c>
      <c r="R2812" s="3">
        <v>128685.213999999</v>
      </c>
    </row>
    <row r="2813" spans="1:18" x14ac:dyDescent="0.3">
      <c r="A2813" t="s">
        <v>14506</v>
      </c>
      <c r="B2813" t="str">
        <f>TEXT(Raw_Data[[#This Row],[Order Date]],"mmm")</f>
        <v>Jan</v>
      </c>
      <c r="C2813" t="s">
        <v>7494</v>
      </c>
      <c r="D2813" t="s">
        <v>14507</v>
      </c>
      <c r="E2813" t="s">
        <v>35</v>
      </c>
      <c r="F2813" t="s">
        <v>78</v>
      </c>
      <c r="G2813" t="s">
        <v>468</v>
      </c>
      <c r="H2813" t="s">
        <v>154</v>
      </c>
      <c r="I2813" t="s">
        <v>237</v>
      </c>
      <c r="J2813" t="s">
        <v>50</v>
      </c>
      <c r="K2813" t="s">
        <v>14508</v>
      </c>
      <c r="L2813">
        <v>0.15</v>
      </c>
      <c r="M2813" t="s">
        <v>14509</v>
      </c>
      <c r="N2813" t="s">
        <v>14510</v>
      </c>
      <c r="O2813" t="s">
        <v>43</v>
      </c>
      <c r="P2813" t="s">
        <v>30</v>
      </c>
      <c r="Q2813" t="s">
        <v>31</v>
      </c>
      <c r="R2813" s="3">
        <v>8813.8880000000008</v>
      </c>
    </row>
    <row r="2814" spans="1:18" x14ac:dyDescent="0.3">
      <c r="A2814" t="s">
        <v>14511</v>
      </c>
      <c r="B2814" t="str">
        <f>TEXT(Raw_Data[[#This Row],[Order Date]],"mmm")</f>
        <v>Mar</v>
      </c>
      <c r="C2814" t="s">
        <v>1808</v>
      </c>
      <c r="D2814" t="s">
        <v>14512</v>
      </c>
      <c r="E2814" t="s">
        <v>48</v>
      </c>
      <c r="F2814" t="s">
        <v>78</v>
      </c>
      <c r="G2814" t="s">
        <v>731</v>
      </c>
      <c r="H2814" t="s">
        <v>154</v>
      </c>
      <c r="I2814" t="s">
        <v>309</v>
      </c>
      <c r="J2814" t="s">
        <v>25</v>
      </c>
      <c r="K2814" t="s">
        <v>14513</v>
      </c>
      <c r="L2814">
        <v>0.1</v>
      </c>
      <c r="M2814" t="s">
        <v>14514</v>
      </c>
      <c r="N2814" t="s">
        <v>14515</v>
      </c>
      <c r="O2814" t="s">
        <v>29</v>
      </c>
      <c r="P2814" t="s">
        <v>30</v>
      </c>
      <c r="Q2814" t="s">
        <v>31</v>
      </c>
      <c r="R2814" s="3">
        <v>7740.9179999999997</v>
      </c>
    </row>
    <row r="2815" spans="1:18" x14ac:dyDescent="0.3">
      <c r="A2815" t="s">
        <v>14516</v>
      </c>
      <c r="B2815" t="str">
        <f>TEXT(Raw_Data[[#This Row],[Order Date]],"mmm")</f>
        <v>Nov</v>
      </c>
      <c r="C2815" t="s">
        <v>1775</v>
      </c>
      <c r="D2815" t="s">
        <v>14517</v>
      </c>
      <c r="E2815" t="s">
        <v>20</v>
      </c>
      <c r="F2815" t="s">
        <v>215</v>
      </c>
      <c r="G2815" t="s">
        <v>216</v>
      </c>
      <c r="H2815" t="s">
        <v>154</v>
      </c>
      <c r="I2815" t="s">
        <v>155</v>
      </c>
      <c r="J2815" t="s">
        <v>25</v>
      </c>
      <c r="K2815" t="s">
        <v>14518</v>
      </c>
      <c r="L2815">
        <v>0.05</v>
      </c>
      <c r="M2815" t="s">
        <v>14519</v>
      </c>
      <c r="N2815" t="s">
        <v>14520</v>
      </c>
      <c r="O2815" t="s">
        <v>64</v>
      </c>
      <c r="P2815" t="s">
        <v>30</v>
      </c>
      <c r="Q2815" t="s">
        <v>65</v>
      </c>
      <c r="R2815" s="3">
        <v>6230.44199999999</v>
      </c>
    </row>
    <row r="2816" spans="1:18" x14ac:dyDescent="0.3">
      <c r="A2816" t="s">
        <v>14521</v>
      </c>
      <c r="B2816" t="str">
        <f>TEXT(Raw_Data[[#This Row],[Order Date]],"mmm")</f>
        <v>Jun</v>
      </c>
      <c r="C2816" t="s">
        <v>213</v>
      </c>
      <c r="D2816" t="s">
        <v>14522</v>
      </c>
      <c r="E2816" t="s">
        <v>35</v>
      </c>
      <c r="F2816" t="s">
        <v>36</v>
      </c>
      <c r="G2816" t="s">
        <v>196</v>
      </c>
      <c r="H2816" t="s">
        <v>23</v>
      </c>
      <c r="I2816" t="s">
        <v>341</v>
      </c>
      <c r="J2816" t="s">
        <v>25</v>
      </c>
      <c r="K2816" t="s">
        <v>14523</v>
      </c>
      <c r="L2816">
        <v>0.1</v>
      </c>
      <c r="M2816" t="s">
        <v>14524</v>
      </c>
      <c r="N2816" t="s">
        <v>14525</v>
      </c>
      <c r="O2816" t="s">
        <v>43</v>
      </c>
      <c r="P2816" t="s">
        <v>30</v>
      </c>
      <c r="Q2816" t="s">
        <v>31</v>
      </c>
      <c r="R2816" s="3">
        <v>21148.100999999999</v>
      </c>
    </row>
    <row r="2817" spans="1:18" x14ac:dyDescent="0.3">
      <c r="A2817" t="s">
        <v>14526</v>
      </c>
      <c r="B2817" t="str">
        <f>TEXT(Raw_Data[[#This Row],[Order Date]],"mmm")</f>
        <v>Feb</v>
      </c>
      <c r="C2817" t="s">
        <v>33</v>
      </c>
      <c r="D2817" t="s">
        <v>14527</v>
      </c>
      <c r="E2817" t="s">
        <v>48</v>
      </c>
      <c r="F2817" t="s">
        <v>69</v>
      </c>
      <c r="G2817" t="s">
        <v>328</v>
      </c>
      <c r="H2817" t="s">
        <v>23</v>
      </c>
      <c r="I2817" t="s">
        <v>24</v>
      </c>
      <c r="J2817" t="s">
        <v>25</v>
      </c>
      <c r="K2817" t="s">
        <v>14528</v>
      </c>
      <c r="L2817">
        <v>0.15</v>
      </c>
      <c r="M2817" t="s">
        <v>14529</v>
      </c>
      <c r="N2817" t="s">
        <v>14530</v>
      </c>
      <c r="O2817" t="s">
        <v>173</v>
      </c>
      <c r="P2817" t="s">
        <v>30</v>
      </c>
      <c r="Q2817" t="s">
        <v>65</v>
      </c>
      <c r="R2817" s="3">
        <v>30694.052500000002</v>
      </c>
    </row>
    <row r="2818" spans="1:18" x14ac:dyDescent="0.3">
      <c r="A2818" t="s">
        <v>14531</v>
      </c>
      <c r="B2818" t="str">
        <f>TEXT(Raw_Data[[#This Row],[Order Date]],"mmm")</f>
        <v>Jan</v>
      </c>
      <c r="C2818" t="s">
        <v>274</v>
      </c>
      <c r="D2818" t="s">
        <v>14532</v>
      </c>
      <c r="E2818" t="s">
        <v>20</v>
      </c>
      <c r="F2818" t="s">
        <v>21</v>
      </c>
      <c r="G2818" t="s">
        <v>130</v>
      </c>
      <c r="H2818" t="s">
        <v>107</v>
      </c>
      <c r="I2818" t="s">
        <v>108</v>
      </c>
      <c r="J2818" t="s">
        <v>25</v>
      </c>
      <c r="K2818" t="s">
        <v>14533</v>
      </c>
      <c r="L2818">
        <v>0.15</v>
      </c>
      <c r="M2818" t="s">
        <v>14534</v>
      </c>
      <c r="N2818" t="s">
        <v>14535</v>
      </c>
      <c r="O2818" t="s">
        <v>29</v>
      </c>
      <c r="P2818" t="s">
        <v>30</v>
      </c>
      <c r="Q2818" t="s">
        <v>31</v>
      </c>
      <c r="R2818" s="3">
        <v>719.24449999999899</v>
      </c>
    </row>
    <row r="2819" spans="1:18" x14ac:dyDescent="0.3">
      <c r="A2819" t="s">
        <v>14536</v>
      </c>
      <c r="B2819" t="str">
        <f>TEXT(Raw_Data[[#This Row],[Order Date]],"mmm")</f>
        <v>Sep</v>
      </c>
      <c r="C2819" t="s">
        <v>437</v>
      </c>
      <c r="D2819" t="s">
        <v>14537</v>
      </c>
      <c r="E2819" t="s">
        <v>35</v>
      </c>
      <c r="F2819" t="s">
        <v>78</v>
      </c>
      <c r="G2819" t="s">
        <v>731</v>
      </c>
      <c r="H2819" t="s">
        <v>154</v>
      </c>
      <c r="I2819" t="s">
        <v>155</v>
      </c>
      <c r="J2819" t="s">
        <v>50</v>
      </c>
      <c r="K2819" t="s">
        <v>14538</v>
      </c>
      <c r="L2819">
        <v>0.1</v>
      </c>
      <c r="M2819" t="s">
        <v>14539</v>
      </c>
      <c r="N2819" t="s">
        <v>14540</v>
      </c>
      <c r="O2819" t="s">
        <v>43</v>
      </c>
      <c r="P2819" t="s">
        <v>112</v>
      </c>
      <c r="Q2819" t="s">
        <v>44</v>
      </c>
      <c r="R2819" s="3">
        <v>20414.79</v>
      </c>
    </row>
    <row r="2820" spans="1:18" x14ac:dyDescent="0.3">
      <c r="A2820" t="s">
        <v>14541</v>
      </c>
      <c r="B2820" t="str">
        <f>TEXT(Raw_Data[[#This Row],[Order Date]],"mmm")</f>
        <v>Dec</v>
      </c>
      <c r="C2820" t="s">
        <v>2792</v>
      </c>
      <c r="D2820" t="s">
        <v>14542</v>
      </c>
      <c r="E2820" t="s">
        <v>20</v>
      </c>
      <c r="F2820" t="s">
        <v>21</v>
      </c>
      <c r="G2820" t="s">
        <v>22</v>
      </c>
      <c r="H2820" t="s">
        <v>80</v>
      </c>
      <c r="I2820" t="s">
        <v>81</v>
      </c>
      <c r="J2820" t="s">
        <v>25</v>
      </c>
      <c r="K2820" t="s">
        <v>14543</v>
      </c>
      <c r="L2820">
        <v>0</v>
      </c>
      <c r="M2820" t="s">
        <v>14544</v>
      </c>
      <c r="N2820" t="s">
        <v>14545</v>
      </c>
      <c r="O2820" t="s">
        <v>64</v>
      </c>
      <c r="P2820" t="s">
        <v>30</v>
      </c>
      <c r="Q2820" t="s">
        <v>65</v>
      </c>
      <c r="R2820" s="3">
        <v>6262.01</v>
      </c>
    </row>
    <row r="2821" spans="1:18" x14ac:dyDescent="0.3">
      <c r="A2821" t="s">
        <v>14546</v>
      </c>
      <c r="B2821" t="str">
        <f>TEXT(Raw_Data[[#This Row],[Order Date]],"mmm")</f>
        <v>Sep</v>
      </c>
      <c r="C2821" t="s">
        <v>1192</v>
      </c>
      <c r="D2821" t="s">
        <v>14547</v>
      </c>
      <c r="E2821" t="s">
        <v>6036</v>
      </c>
      <c r="F2821" t="s">
        <v>78</v>
      </c>
      <c r="G2821" t="s">
        <v>731</v>
      </c>
      <c r="H2821" t="s">
        <v>80</v>
      </c>
      <c r="I2821" t="s">
        <v>116</v>
      </c>
      <c r="J2821" t="s">
        <v>50</v>
      </c>
      <c r="K2821" t="s">
        <v>14548</v>
      </c>
      <c r="L2821">
        <v>0.05</v>
      </c>
      <c r="M2821" t="s">
        <v>14549</v>
      </c>
      <c r="N2821" t="s">
        <v>14550</v>
      </c>
      <c r="O2821" t="s">
        <v>29</v>
      </c>
      <c r="P2821" t="s">
        <v>95</v>
      </c>
      <c r="Q2821" t="s">
        <v>44</v>
      </c>
      <c r="R2821" s="3">
        <v>1474.26699999999</v>
      </c>
    </row>
    <row r="2822" spans="1:18" x14ac:dyDescent="0.3">
      <c r="A2822" t="s">
        <v>14551</v>
      </c>
      <c r="B2822" t="str">
        <f>TEXT(Raw_Data[[#This Row],[Order Date]],"mmm")</f>
        <v>Nov</v>
      </c>
      <c r="C2822" t="s">
        <v>516</v>
      </c>
      <c r="D2822" t="s">
        <v>14552</v>
      </c>
      <c r="E2822" t="s">
        <v>48</v>
      </c>
      <c r="F2822" t="s">
        <v>69</v>
      </c>
      <c r="G2822" t="s">
        <v>70</v>
      </c>
      <c r="H2822" t="s">
        <v>80</v>
      </c>
      <c r="I2822" t="s">
        <v>91</v>
      </c>
      <c r="J2822" t="s">
        <v>100</v>
      </c>
      <c r="K2822" t="s">
        <v>14553</v>
      </c>
      <c r="L2822">
        <v>0.1</v>
      </c>
      <c r="M2822" t="s">
        <v>14554</v>
      </c>
      <c r="N2822" t="s">
        <v>14555</v>
      </c>
      <c r="O2822" t="s">
        <v>43</v>
      </c>
      <c r="P2822" t="s">
        <v>112</v>
      </c>
      <c r="Q2822" t="s">
        <v>31</v>
      </c>
      <c r="R2822" s="3">
        <v>6465.5010000000002</v>
      </c>
    </row>
    <row r="2823" spans="1:18" x14ac:dyDescent="0.3">
      <c r="A2823" t="s">
        <v>14556</v>
      </c>
      <c r="B2823" t="str">
        <f>TEXT(Raw_Data[[#This Row],[Order Date]],"mmm")</f>
        <v>Nov</v>
      </c>
      <c r="C2823" t="s">
        <v>1731</v>
      </c>
      <c r="D2823" t="s">
        <v>14557</v>
      </c>
      <c r="E2823" t="s">
        <v>48</v>
      </c>
      <c r="F2823" t="s">
        <v>78</v>
      </c>
      <c r="G2823" t="s">
        <v>79</v>
      </c>
      <c r="H2823" t="s">
        <v>38</v>
      </c>
      <c r="I2823" t="s">
        <v>39</v>
      </c>
      <c r="J2823" t="s">
        <v>25</v>
      </c>
      <c r="K2823" t="s">
        <v>14558</v>
      </c>
      <c r="L2823">
        <v>0</v>
      </c>
      <c r="M2823" t="s">
        <v>14559</v>
      </c>
      <c r="N2823" t="s">
        <v>14560</v>
      </c>
      <c r="O2823" t="s">
        <v>173</v>
      </c>
      <c r="P2823" t="s">
        <v>30</v>
      </c>
      <c r="Q2823" t="s">
        <v>31</v>
      </c>
      <c r="R2823" s="3">
        <v>1314.87</v>
      </c>
    </row>
    <row r="2824" spans="1:18" x14ac:dyDescent="0.3">
      <c r="A2824" t="s">
        <v>14561</v>
      </c>
      <c r="B2824" t="str">
        <f>TEXT(Raw_Data[[#This Row],[Order Date]],"mmm")</f>
        <v>Jun</v>
      </c>
      <c r="C2824" t="s">
        <v>3263</v>
      </c>
      <c r="D2824" t="s">
        <v>14562</v>
      </c>
      <c r="E2824" t="s">
        <v>20</v>
      </c>
      <c r="F2824" t="s">
        <v>36</v>
      </c>
      <c r="G2824" t="s">
        <v>123</v>
      </c>
      <c r="H2824" t="s">
        <v>23</v>
      </c>
      <c r="I2824" t="s">
        <v>24</v>
      </c>
      <c r="J2824" t="s">
        <v>25</v>
      </c>
      <c r="K2824" t="s">
        <v>14563</v>
      </c>
      <c r="L2824">
        <v>0.1</v>
      </c>
      <c r="M2824" t="s">
        <v>14564</v>
      </c>
      <c r="N2824" t="s">
        <v>14565</v>
      </c>
      <c r="O2824" t="s">
        <v>173</v>
      </c>
      <c r="P2824" t="s">
        <v>95</v>
      </c>
      <c r="Q2824" t="s">
        <v>44</v>
      </c>
      <c r="R2824" s="3">
        <v>20320.524000000001</v>
      </c>
    </row>
    <row r="2825" spans="1:18" x14ac:dyDescent="0.3">
      <c r="A2825" t="s">
        <v>14566</v>
      </c>
      <c r="B2825" t="str">
        <f>TEXT(Raw_Data[[#This Row],[Order Date]],"mmm")</f>
        <v>Oct</v>
      </c>
      <c r="C2825" t="s">
        <v>736</v>
      </c>
      <c r="D2825" t="s">
        <v>14567</v>
      </c>
      <c r="E2825" t="s">
        <v>20</v>
      </c>
      <c r="F2825" t="s">
        <v>89</v>
      </c>
      <c r="G2825" t="s">
        <v>99</v>
      </c>
      <c r="H2825" t="s">
        <v>23</v>
      </c>
      <c r="I2825" t="s">
        <v>24</v>
      </c>
      <c r="J2825" t="s">
        <v>82</v>
      </c>
      <c r="K2825" t="s">
        <v>14568</v>
      </c>
      <c r="L2825">
        <v>0.1</v>
      </c>
      <c r="M2825" t="s">
        <v>14569</v>
      </c>
      <c r="N2825" t="s">
        <v>14570</v>
      </c>
      <c r="O2825" t="s">
        <v>43</v>
      </c>
      <c r="P2825" t="s">
        <v>30</v>
      </c>
      <c r="Q2825" t="s">
        <v>31</v>
      </c>
      <c r="R2825" s="3">
        <v>224385.264</v>
      </c>
    </row>
    <row r="2826" spans="1:18" x14ac:dyDescent="0.3">
      <c r="A2826" t="s">
        <v>14571</v>
      </c>
      <c r="B2826" t="str">
        <f>TEXT(Raw_Data[[#This Row],[Order Date]],"mmm")</f>
        <v>Feb</v>
      </c>
      <c r="C2826" t="s">
        <v>2410</v>
      </c>
      <c r="D2826" t="s">
        <v>14572</v>
      </c>
      <c r="E2826" t="s">
        <v>48</v>
      </c>
      <c r="F2826" t="s">
        <v>21</v>
      </c>
      <c r="G2826" t="s">
        <v>22</v>
      </c>
      <c r="H2826" t="s">
        <v>154</v>
      </c>
      <c r="I2826" t="s">
        <v>365</v>
      </c>
      <c r="J2826" t="s">
        <v>25</v>
      </c>
      <c r="K2826" t="s">
        <v>14573</v>
      </c>
      <c r="L2826">
        <v>0.1</v>
      </c>
      <c r="M2826" t="s">
        <v>14574</v>
      </c>
      <c r="N2826" t="s">
        <v>14575</v>
      </c>
      <c r="O2826" t="s">
        <v>29</v>
      </c>
      <c r="P2826" t="s">
        <v>30</v>
      </c>
      <c r="Q2826" t="s">
        <v>65</v>
      </c>
      <c r="R2826" s="3">
        <v>10415.52</v>
      </c>
    </row>
    <row r="2827" spans="1:18" x14ac:dyDescent="0.3">
      <c r="A2827" t="s">
        <v>14576</v>
      </c>
      <c r="B2827" t="str">
        <f>TEXT(Raw_Data[[#This Row],[Order Date]],"mmm")</f>
        <v>Feb</v>
      </c>
      <c r="C2827" t="s">
        <v>2145</v>
      </c>
      <c r="D2827" t="s">
        <v>14577</v>
      </c>
      <c r="E2827" t="s">
        <v>35</v>
      </c>
      <c r="F2827" t="s">
        <v>36</v>
      </c>
      <c r="G2827" t="s">
        <v>37</v>
      </c>
      <c r="H2827" t="s">
        <v>23</v>
      </c>
      <c r="I2827" t="s">
        <v>183</v>
      </c>
      <c r="J2827" t="s">
        <v>25</v>
      </c>
      <c r="K2827" t="s">
        <v>14578</v>
      </c>
      <c r="L2827">
        <v>0.15</v>
      </c>
      <c r="M2827" t="s">
        <v>14579</v>
      </c>
      <c r="N2827" t="s">
        <v>14580</v>
      </c>
      <c r="O2827" t="s">
        <v>29</v>
      </c>
      <c r="P2827" t="s">
        <v>30</v>
      </c>
      <c r="Q2827" t="s">
        <v>44</v>
      </c>
      <c r="R2827" s="3">
        <v>54434.076499999901</v>
      </c>
    </row>
    <row r="2828" spans="1:18" x14ac:dyDescent="0.3">
      <c r="A2828" t="s">
        <v>14581</v>
      </c>
      <c r="B2828" t="str">
        <f>TEXT(Raw_Data[[#This Row],[Order Date]],"mmm")</f>
        <v>Nov</v>
      </c>
      <c r="C2828" t="s">
        <v>657</v>
      </c>
      <c r="D2828" t="s">
        <v>14582</v>
      </c>
      <c r="E2828" t="s">
        <v>20</v>
      </c>
      <c r="F2828" t="s">
        <v>36</v>
      </c>
      <c r="G2828" t="s">
        <v>153</v>
      </c>
      <c r="H2828" t="s">
        <v>23</v>
      </c>
      <c r="I2828" t="s">
        <v>263</v>
      </c>
      <c r="J2828" t="s">
        <v>25</v>
      </c>
      <c r="K2828" t="s">
        <v>14583</v>
      </c>
      <c r="L2828">
        <v>0.05</v>
      </c>
      <c r="M2828" t="s">
        <v>14584</v>
      </c>
      <c r="N2828" t="s">
        <v>14585</v>
      </c>
      <c r="O2828" t="s">
        <v>43</v>
      </c>
      <c r="P2828" t="s">
        <v>112</v>
      </c>
      <c r="Q2828" t="s">
        <v>44</v>
      </c>
      <c r="R2828" s="3">
        <v>58783.121500000001</v>
      </c>
    </row>
    <row r="2829" spans="1:18" x14ac:dyDescent="0.3">
      <c r="A2829" t="s">
        <v>14586</v>
      </c>
      <c r="B2829" t="str">
        <f>TEXT(Raw_Data[[#This Row],[Order Date]],"mmm")</f>
        <v>Feb</v>
      </c>
      <c r="C2829" t="s">
        <v>2133</v>
      </c>
      <c r="D2829" t="s">
        <v>14587</v>
      </c>
      <c r="E2829" t="s">
        <v>48</v>
      </c>
      <c r="F2829" t="s">
        <v>89</v>
      </c>
      <c r="G2829" t="s">
        <v>99</v>
      </c>
      <c r="H2829" t="s">
        <v>107</v>
      </c>
      <c r="I2829" t="s">
        <v>378</v>
      </c>
      <c r="J2829" t="s">
        <v>25</v>
      </c>
      <c r="K2829" t="s">
        <v>14588</v>
      </c>
      <c r="L2829">
        <v>0.05</v>
      </c>
      <c r="M2829" t="s">
        <v>14589</v>
      </c>
      <c r="N2829" t="s">
        <v>14590</v>
      </c>
      <c r="O2829" t="s">
        <v>43</v>
      </c>
      <c r="P2829" t="s">
        <v>30</v>
      </c>
      <c r="Q2829" t="s">
        <v>65</v>
      </c>
      <c r="R2829" s="3">
        <v>10928.021000000001</v>
      </c>
    </row>
    <row r="2830" spans="1:18" x14ac:dyDescent="0.3">
      <c r="A2830" t="s">
        <v>14591</v>
      </c>
      <c r="B2830" t="str">
        <f>TEXT(Raw_Data[[#This Row],[Order Date]],"mmm")</f>
        <v>Jun</v>
      </c>
      <c r="C2830" t="s">
        <v>2378</v>
      </c>
      <c r="D2830" t="s">
        <v>14592</v>
      </c>
      <c r="E2830" t="s">
        <v>20</v>
      </c>
      <c r="F2830" t="s">
        <v>78</v>
      </c>
      <c r="G2830" t="s">
        <v>79</v>
      </c>
      <c r="H2830" t="s">
        <v>80</v>
      </c>
      <c r="I2830" t="s">
        <v>146</v>
      </c>
      <c r="J2830" t="s">
        <v>25</v>
      </c>
      <c r="K2830" t="s">
        <v>14593</v>
      </c>
      <c r="L2830">
        <v>0.1</v>
      </c>
      <c r="M2830" t="s">
        <v>14594</v>
      </c>
      <c r="N2830" t="s">
        <v>14595</v>
      </c>
      <c r="O2830" t="s">
        <v>64</v>
      </c>
      <c r="P2830" t="s">
        <v>30</v>
      </c>
      <c r="Q2830" t="s">
        <v>65</v>
      </c>
      <c r="R2830" s="3">
        <v>2161.8719999999998</v>
      </c>
    </row>
    <row r="2831" spans="1:18" x14ac:dyDescent="0.3">
      <c r="A2831" t="s">
        <v>14596</v>
      </c>
      <c r="B2831" t="str">
        <f>TEXT(Raw_Data[[#This Row],[Order Date]],"mmm")</f>
        <v>Mar</v>
      </c>
      <c r="C2831" t="s">
        <v>425</v>
      </c>
      <c r="D2831" t="s">
        <v>14597</v>
      </c>
      <c r="E2831" t="s">
        <v>48</v>
      </c>
      <c r="F2831" t="s">
        <v>21</v>
      </c>
      <c r="G2831" t="s">
        <v>130</v>
      </c>
      <c r="H2831" t="s">
        <v>80</v>
      </c>
      <c r="I2831" t="s">
        <v>131</v>
      </c>
      <c r="J2831" t="s">
        <v>25</v>
      </c>
      <c r="K2831" t="s">
        <v>14598</v>
      </c>
      <c r="L2831">
        <v>0</v>
      </c>
      <c r="M2831" t="s">
        <v>14599</v>
      </c>
      <c r="N2831" t="s">
        <v>14600</v>
      </c>
      <c r="O2831" t="s">
        <v>173</v>
      </c>
      <c r="P2831" t="s">
        <v>30</v>
      </c>
      <c r="Q2831" t="s">
        <v>44</v>
      </c>
      <c r="R2831" s="3">
        <v>6679.7</v>
      </c>
    </row>
    <row r="2832" spans="1:18" x14ac:dyDescent="0.3">
      <c r="A2832" t="s">
        <v>14601</v>
      </c>
      <c r="B2832" t="str">
        <f>TEXT(Raw_Data[[#This Row],[Order Date]],"mmm")</f>
        <v>Nov</v>
      </c>
      <c r="C2832" t="s">
        <v>1144</v>
      </c>
      <c r="D2832" t="s">
        <v>14602</v>
      </c>
      <c r="E2832" t="s">
        <v>35</v>
      </c>
      <c r="F2832" t="s">
        <v>69</v>
      </c>
      <c r="G2832" t="s">
        <v>328</v>
      </c>
      <c r="H2832" t="s">
        <v>23</v>
      </c>
      <c r="I2832" t="s">
        <v>263</v>
      </c>
      <c r="J2832" t="s">
        <v>100</v>
      </c>
      <c r="K2832" t="s">
        <v>14603</v>
      </c>
      <c r="L2832">
        <v>0.1</v>
      </c>
      <c r="M2832" t="s">
        <v>14604</v>
      </c>
      <c r="N2832" t="s">
        <v>14605</v>
      </c>
      <c r="O2832" t="s">
        <v>54</v>
      </c>
      <c r="P2832" t="s">
        <v>30</v>
      </c>
      <c r="Q2832" t="s">
        <v>31</v>
      </c>
      <c r="R2832" s="3">
        <v>100076.148</v>
      </c>
    </row>
    <row r="2833" spans="1:18" x14ac:dyDescent="0.3">
      <c r="A2833" t="s">
        <v>14606</v>
      </c>
      <c r="B2833" t="str">
        <f>TEXT(Raw_Data[[#This Row],[Order Date]],"mmm")</f>
        <v>May</v>
      </c>
      <c r="C2833" t="s">
        <v>2089</v>
      </c>
      <c r="D2833" t="s">
        <v>14607</v>
      </c>
      <c r="E2833" t="s">
        <v>20</v>
      </c>
      <c r="F2833" t="s">
        <v>106</v>
      </c>
      <c r="G2833" t="s">
        <v>106</v>
      </c>
      <c r="H2833" t="s">
        <v>107</v>
      </c>
      <c r="I2833" t="s">
        <v>378</v>
      </c>
      <c r="J2833" t="s">
        <v>25</v>
      </c>
      <c r="K2833" t="s">
        <v>14608</v>
      </c>
      <c r="L2833">
        <v>0.1</v>
      </c>
      <c r="M2833" t="s">
        <v>14609</v>
      </c>
      <c r="N2833" t="s">
        <v>14610</v>
      </c>
      <c r="O2833" t="s">
        <v>43</v>
      </c>
      <c r="P2833" t="s">
        <v>30</v>
      </c>
      <c r="Q2833" t="s">
        <v>31</v>
      </c>
      <c r="R2833" s="3">
        <v>10446.003000000001</v>
      </c>
    </row>
    <row r="2834" spans="1:18" x14ac:dyDescent="0.3">
      <c r="A2834" t="s">
        <v>14611</v>
      </c>
      <c r="B2834" t="str">
        <f>TEXT(Raw_Data[[#This Row],[Order Date]],"mmm")</f>
        <v>Apr</v>
      </c>
      <c r="C2834" t="s">
        <v>5341</v>
      </c>
      <c r="D2834" t="s">
        <v>14612</v>
      </c>
      <c r="E2834" t="s">
        <v>35</v>
      </c>
      <c r="F2834" t="s">
        <v>36</v>
      </c>
      <c r="G2834" t="s">
        <v>123</v>
      </c>
      <c r="H2834" t="s">
        <v>80</v>
      </c>
      <c r="I2834" t="s">
        <v>131</v>
      </c>
      <c r="J2834" t="s">
        <v>25</v>
      </c>
      <c r="K2834" t="s">
        <v>14613</v>
      </c>
      <c r="L2834">
        <v>0</v>
      </c>
      <c r="M2834" t="s">
        <v>14614</v>
      </c>
      <c r="N2834" t="s">
        <v>14615</v>
      </c>
      <c r="O2834" t="s">
        <v>43</v>
      </c>
      <c r="P2834" t="s">
        <v>30</v>
      </c>
      <c r="Q2834" t="s">
        <v>65</v>
      </c>
      <c r="R2834" s="3">
        <v>2890.73</v>
      </c>
    </row>
    <row r="2835" spans="1:18" x14ac:dyDescent="0.3">
      <c r="A2835" t="s">
        <v>14616</v>
      </c>
      <c r="B2835" t="str">
        <f>TEXT(Raw_Data[[#This Row],[Order Date]],"mmm")</f>
        <v>Nov</v>
      </c>
      <c r="C2835" t="s">
        <v>1643</v>
      </c>
      <c r="D2835" t="s">
        <v>14617</v>
      </c>
      <c r="E2835" t="s">
        <v>48</v>
      </c>
      <c r="F2835" t="s">
        <v>58</v>
      </c>
      <c r="G2835" t="s">
        <v>812</v>
      </c>
      <c r="H2835" t="s">
        <v>38</v>
      </c>
      <c r="I2835" t="s">
        <v>256</v>
      </c>
      <c r="J2835" t="s">
        <v>25</v>
      </c>
      <c r="K2835" t="s">
        <v>14618</v>
      </c>
      <c r="L2835">
        <v>0.15</v>
      </c>
      <c r="M2835" t="s">
        <v>14619</v>
      </c>
      <c r="N2835" t="s">
        <v>14620</v>
      </c>
      <c r="O2835" t="s">
        <v>64</v>
      </c>
      <c r="P2835" t="s">
        <v>30</v>
      </c>
      <c r="Q2835" t="s">
        <v>44</v>
      </c>
      <c r="R2835" s="3">
        <v>4620.3535000000002</v>
      </c>
    </row>
    <row r="2836" spans="1:18" x14ac:dyDescent="0.3">
      <c r="A2836" t="s">
        <v>14621</v>
      </c>
      <c r="B2836" t="str">
        <f>TEXT(Raw_Data[[#This Row],[Order Date]],"mmm")</f>
        <v>Nov</v>
      </c>
      <c r="C2836" t="s">
        <v>1330</v>
      </c>
      <c r="D2836" t="s">
        <v>14622</v>
      </c>
      <c r="E2836" t="s">
        <v>20</v>
      </c>
      <c r="F2836" t="s">
        <v>69</v>
      </c>
      <c r="G2836" t="s">
        <v>139</v>
      </c>
      <c r="H2836" t="s">
        <v>23</v>
      </c>
      <c r="I2836" t="s">
        <v>341</v>
      </c>
      <c r="J2836" t="s">
        <v>25</v>
      </c>
      <c r="K2836" t="s">
        <v>14623</v>
      </c>
      <c r="L2836">
        <v>0.1</v>
      </c>
      <c r="M2836" t="s">
        <v>14624</v>
      </c>
      <c r="N2836" t="s">
        <v>14625</v>
      </c>
      <c r="O2836" t="s">
        <v>43</v>
      </c>
      <c r="P2836" t="s">
        <v>30</v>
      </c>
      <c r="Q2836" t="s">
        <v>31</v>
      </c>
      <c r="R2836" s="3">
        <v>22876.866000000002</v>
      </c>
    </row>
    <row r="2837" spans="1:18" x14ac:dyDescent="0.3">
      <c r="A2837" t="s">
        <v>14626</v>
      </c>
      <c r="B2837" t="str">
        <f>TEXT(Raw_Data[[#This Row],[Order Date]],"mmm")</f>
        <v>Mar</v>
      </c>
      <c r="C2837" t="s">
        <v>2293</v>
      </c>
      <c r="D2837" t="s">
        <v>14627</v>
      </c>
      <c r="E2837" t="s">
        <v>20</v>
      </c>
      <c r="F2837" t="s">
        <v>58</v>
      </c>
      <c r="G2837" t="s">
        <v>59</v>
      </c>
      <c r="H2837" t="s">
        <v>23</v>
      </c>
      <c r="I2837" t="s">
        <v>341</v>
      </c>
      <c r="J2837" t="s">
        <v>25</v>
      </c>
      <c r="K2837" t="s">
        <v>14628</v>
      </c>
      <c r="L2837">
        <v>0.1</v>
      </c>
      <c r="M2837" t="s">
        <v>14629</v>
      </c>
      <c r="N2837" t="s">
        <v>14630</v>
      </c>
      <c r="O2837" t="s">
        <v>173</v>
      </c>
      <c r="P2837" t="s">
        <v>30</v>
      </c>
      <c r="Q2837" t="s">
        <v>65</v>
      </c>
      <c r="R2837" s="3">
        <v>20525.264999999999</v>
      </c>
    </row>
    <row r="2838" spans="1:18" x14ac:dyDescent="0.3">
      <c r="A2838" t="s">
        <v>14631</v>
      </c>
      <c r="B2838" t="str">
        <f>TEXT(Raw_Data[[#This Row],[Order Date]],"mmm")</f>
        <v>Oct</v>
      </c>
      <c r="C2838" t="s">
        <v>2217</v>
      </c>
      <c r="D2838" t="s">
        <v>14632</v>
      </c>
      <c r="E2838" t="s">
        <v>35</v>
      </c>
      <c r="F2838" t="s">
        <v>58</v>
      </c>
      <c r="G2838" t="s">
        <v>812</v>
      </c>
      <c r="H2838" t="s">
        <v>23</v>
      </c>
      <c r="I2838" t="s">
        <v>183</v>
      </c>
      <c r="J2838" t="s">
        <v>50</v>
      </c>
      <c r="K2838" t="s">
        <v>14633</v>
      </c>
      <c r="L2838">
        <v>0.15</v>
      </c>
      <c r="M2838" t="s">
        <v>14634</v>
      </c>
      <c r="N2838" t="s">
        <v>14635</v>
      </c>
      <c r="O2838" t="s">
        <v>54</v>
      </c>
      <c r="P2838" t="s">
        <v>112</v>
      </c>
      <c r="Q2838" t="s">
        <v>31</v>
      </c>
      <c r="R2838" s="3">
        <v>123742.371</v>
      </c>
    </row>
    <row r="2839" spans="1:18" x14ac:dyDescent="0.3">
      <c r="A2839" t="s">
        <v>14636</v>
      </c>
      <c r="B2839" t="str">
        <f>TEXT(Raw_Data[[#This Row],[Order Date]],"mmm")</f>
        <v>Mar</v>
      </c>
      <c r="C2839" t="s">
        <v>9097</v>
      </c>
      <c r="D2839" t="s">
        <v>14637</v>
      </c>
      <c r="E2839" t="s">
        <v>35</v>
      </c>
      <c r="F2839" t="s">
        <v>69</v>
      </c>
      <c r="G2839" t="s">
        <v>139</v>
      </c>
      <c r="H2839" t="s">
        <v>107</v>
      </c>
      <c r="I2839" t="s">
        <v>277</v>
      </c>
      <c r="J2839" t="s">
        <v>25</v>
      </c>
      <c r="K2839" t="s">
        <v>14638</v>
      </c>
      <c r="L2839">
        <v>0.1</v>
      </c>
      <c r="M2839" t="s">
        <v>14639</v>
      </c>
      <c r="N2839" t="s">
        <v>14640</v>
      </c>
      <c r="O2839" t="s">
        <v>64</v>
      </c>
      <c r="P2839" t="s">
        <v>30</v>
      </c>
      <c r="Q2839" t="s">
        <v>65</v>
      </c>
      <c r="R2839" s="3">
        <v>2600.3969999999999</v>
      </c>
    </row>
    <row r="2840" spans="1:18" x14ac:dyDescent="0.3">
      <c r="A2840" t="s">
        <v>14641</v>
      </c>
      <c r="B2840" t="str">
        <f>TEXT(Raw_Data[[#This Row],[Order Date]],"mmm")</f>
        <v>Jan</v>
      </c>
      <c r="C2840" t="s">
        <v>4551</v>
      </c>
      <c r="D2840" t="s">
        <v>14642</v>
      </c>
      <c r="E2840" t="s">
        <v>35</v>
      </c>
      <c r="F2840" t="s">
        <v>69</v>
      </c>
      <c r="G2840" t="s">
        <v>328</v>
      </c>
      <c r="H2840" t="s">
        <v>38</v>
      </c>
      <c r="I2840" t="s">
        <v>60</v>
      </c>
      <c r="J2840" t="s">
        <v>82</v>
      </c>
      <c r="K2840" t="s">
        <v>14643</v>
      </c>
      <c r="L2840">
        <v>0.15</v>
      </c>
      <c r="M2840" t="s">
        <v>14644</v>
      </c>
      <c r="N2840" t="s">
        <v>14645</v>
      </c>
      <c r="O2840" t="s">
        <v>64</v>
      </c>
      <c r="P2840" t="s">
        <v>30</v>
      </c>
      <c r="Q2840" t="s">
        <v>44</v>
      </c>
      <c r="R2840" s="3">
        <v>1651.1420000000001</v>
      </c>
    </row>
    <row r="2841" spans="1:18" x14ac:dyDescent="0.3">
      <c r="A2841" t="s">
        <v>14646</v>
      </c>
      <c r="B2841" t="str">
        <f>TEXT(Raw_Data[[#This Row],[Order Date]],"mmm")</f>
        <v>Dec</v>
      </c>
      <c r="C2841" t="s">
        <v>1003</v>
      </c>
      <c r="D2841" t="s">
        <v>14647</v>
      </c>
      <c r="E2841" t="s">
        <v>20</v>
      </c>
      <c r="F2841" t="s">
        <v>78</v>
      </c>
      <c r="G2841" t="s">
        <v>468</v>
      </c>
      <c r="H2841" t="s">
        <v>80</v>
      </c>
      <c r="I2841" t="s">
        <v>81</v>
      </c>
      <c r="J2841" t="s">
        <v>25</v>
      </c>
      <c r="K2841" t="s">
        <v>14648</v>
      </c>
      <c r="L2841">
        <v>0</v>
      </c>
      <c r="M2841" t="s">
        <v>14649</v>
      </c>
      <c r="N2841" t="s">
        <v>14650</v>
      </c>
      <c r="O2841" t="s">
        <v>64</v>
      </c>
      <c r="P2841" t="s">
        <v>30</v>
      </c>
      <c r="Q2841" t="s">
        <v>31</v>
      </c>
      <c r="R2841" s="3">
        <v>2333.48</v>
      </c>
    </row>
    <row r="2842" spans="1:18" x14ac:dyDescent="0.3">
      <c r="A2842" t="s">
        <v>14651</v>
      </c>
      <c r="B2842" t="str">
        <f>TEXT(Raw_Data[[#This Row],[Order Date]],"mmm")</f>
        <v>Sep</v>
      </c>
      <c r="C2842" t="s">
        <v>401</v>
      </c>
      <c r="D2842" t="s">
        <v>14652</v>
      </c>
      <c r="E2842" t="s">
        <v>48</v>
      </c>
      <c r="F2842" t="s">
        <v>21</v>
      </c>
      <c r="G2842" t="s">
        <v>130</v>
      </c>
      <c r="H2842" t="s">
        <v>107</v>
      </c>
      <c r="I2842" t="s">
        <v>469</v>
      </c>
      <c r="J2842" t="s">
        <v>50</v>
      </c>
      <c r="K2842" t="s">
        <v>14653</v>
      </c>
      <c r="L2842">
        <v>0</v>
      </c>
      <c r="M2842" t="s">
        <v>14654</v>
      </c>
      <c r="N2842" t="s">
        <v>14655</v>
      </c>
      <c r="O2842" t="s">
        <v>54</v>
      </c>
      <c r="P2842" t="s">
        <v>30</v>
      </c>
      <c r="Q2842" t="s">
        <v>44</v>
      </c>
      <c r="R2842" s="3">
        <v>9720.2999999999993</v>
      </c>
    </row>
    <row r="2843" spans="1:18" x14ac:dyDescent="0.3">
      <c r="A2843" t="s">
        <v>14656</v>
      </c>
      <c r="B2843" t="str">
        <f>TEXT(Raw_Data[[#This Row],[Order Date]],"mmm")</f>
        <v>Apr</v>
      </c>
      <c r="C2843" t="s">
        <v>2903</v>
      </c>
      <c r="D2843" t="s">
        <v>14657</v>
      </c>
      <c r="E2843" t="s">
        <v>35</v>
      </c>
      <c r="F2843" t="s">
        <v>36</v>
      </c>
      <c r="G2843" t="s">
        <v>153</v>
      </c>
      <c r="H2843" t="s">
        <v>80</v>
      </c>
      <c r="I2843" t="s">
        <v>131</v>
      </c>
      <c r="J2843" t="s">
        <v>25</v>
      </c>
      <c r="K2843" t="s">
        <v>14658</v>
      </c>
      <c r="L2843">
        <v>0.1</v>
      </c>
      <c r="M2843" t="s">
        <v>14659</v>
      </c>
      <c r="N2843" t="s">
        <v>14660</v>
      </c>
      <c r="O2843" t="s">
        <v>54</v>
      </c>
      <c r="P2843" t="s">
        <v>30</v>
      </c>
      <c r="Q2843" t="s">
        <v>31</v>
      </c>
      <c r="R2843" s="3">
        <v>1652.8589999999999</v>
      </c>
    </row>
    <row r="2844" spans="1:18" x14ac:dyDescent="0.3">
      <c r="A2844" t="s">
        <v>14661</v>
      </c>
      <c r="B2844" t="str">
        <f>TEXT(Raw_Data[[#This Row],[Order Date]],"mmm")</f>
        <v>Oct</v>
      </c>
      <c r="C2844" t="s">
        <v>1846</v>
      </c>
      <c r="D2844" t="s">
        <v>14662</v>
      </c>
      <c r="E2844" t="s">
        <v>20</v>
      </c>
      <c r="F2844" t="s">
        <v>69</v>
      </c>
      <c r="G2844" t="s">
        <v>70</v>
      </c>
      <c r="H2844" t="s">
        <v>80</v>
      </c>
      <c r="I2844" t="s">
        <v>146</v>
      </c>
      <c r="J2844" t="s">
        <v>50</v>
      </c>
      <c r="K2844" t="s">
        <v>14663</v>
      </c>
      <c r="L2844">
        <v>0.2</v>
      </c>
      <c r="M2844" t="s">
        <v>14664</v>
      </c>
      <c r="N2844" t="s">
        <v>14665</v>
      </c>
      <c r="O2844" t="s">
        <v>173</v>
      </c>
      <c r="P2844" t="s">
        <v>30</v>
      </c>
      <c r="Q2844" t="s">
        <v>65</v>
      </c>
      <c r="R2844" s="3">
        <v>5734</v>
      </c>
    </row>
    <row r="2845" spans="1:18" x14ac:dyDescent="0.3">
      <c r="A2845" t="s">
        <v>14666</v>
      </c>
      <c r="B2845" t="str">
        <f>TEXT(Raw_Data[[#This Row],[Order Date]],"mmm")</f>
        <v>Aug</v>
      </c>
      <c r="C2845" t="s">
        <v>151</v>
      </c>
      <c r="D2845" t="s">
        <v>14667</v>
      </c>
      <c r="E2845" t="s">
        <v>20</v>
      </c>
      <c r="F2845" t="s">
        <v>21</v>
      </c>
      <c r="G2845" t="s">
        <v>22</v>
      </c>
      <c r="H2845" t="s">
        <v>80</v>
      </c>
      <c r="I2845" t="s">
        <v>81</v>
      </c>
      <c r="J2845" t="s">
        <v>25</v>
      </c>
      <c r="K2845" t="s">
        <v>14668</v>
      </c>
      <c r="L2845">
        <v>0.1</v>
      </c>
      <c r="M2845" t="s">
        <v>14669</v>
      </c>
      <c r="N2845" t="s">
        <v>14670</v>
      </c>
      <c r="O2845" t="s">
        <v>173</v>
      </c>
      <c r="P2845" t="s">
        <v>1762</v>
      </c>
      <c r="Q2845" t="s">
        <v>65</v>
      </c>
      <c r="R2845" s="3">
        <v>4318.0829999999996</v>
      </c>
    </row>
    <row r="2846" spans="1:18" x14ac:dyDescent="0.3">
      <c r="A2846" t="s">
        <v>14671</v>
      </c>
      <c r="B2846" t="str">
        <f>TEXT(Raw_Data[[#This Row],[Order Date]],"mmm")</f>
        <v>Apr</v>
      </c>
      <c r="C2846" t="s">
        <v>2649</v>
      </c>
      <c r="D2846" t="s">
        <v>14672</v>
      </c>
      <c r="E2846" t="s">
        <v>48</v>
      </c>
      <c r="F2846" t="s">
        <v>78</v>
      </c>
      <c r="G2846" t="s">
        <v>468</v>
      </c>
      <c r="H2846" t="s">
        <v>154</v>
      </c>
      <c r="I2846" t="s">
        <v>365</v>
      </c>
      <c r="J2846" t="s">
        <v>50</v>
      </c>
      <c r="K2846" t="s">
        <v>14673</v>
      </c>
      <c r="L2846">
        <v>0.15</v>
      </c>
      <c r="M2846" t="s">
        <v>14674</v>
      </c>
      <c r="N2846" t="s">
        <v>14600</v>
      </c>
      <c r="O2846" t="s">
        <v>29</v>
      </c>
      <c r="P2846" t="s">
        <v>30</v>
      </c>
      <c r="Q2846" t="s">
        <v>44</v>
      </c>
      <c r="R2846" s="3">
        <v>8197.6890000000003</v>
      </c>
    </row>
    <row r="2847" spans="1:18" x14ac:dyDescent="0.3">
      <c r="A2847" t="s">
        <v>14675</v>
      </c>
      <c r="B2847" t="str">
        <f>TEXT(Raw_Data[[#This Row],[Order Date]],"mmm")</f>
        <v>Jun</v>
      </c>
      <c r="C2847" t="s">
        <v>8096</v>
      </c>
      <c r="D2847" t="s">
        <v>14676</v>
      </c>
      <c r="E2847" t="s">
        <v>48</v>
      </c>
      <c r="F2847" t="s">
        <v>78</v>
      </c>
      <c r="G2847" t="s">
        <v>468</v>
      </c>
      <c r="H2847" t="s">
        <v>23</v>
      </c>
      <c r="I2847" t="s">
        <v>49</v>
      </c>
      <c r="J2847" t="s">
        <v>50</v>
      </c>
      <c r="K2847" t="s">
        <v>14677</v>
      </c>
      <c r="L2847">
        <v>0.05</v>
      </c>
      <c r="M2847" t="s">
        <v>14678</v>
      </c>
      <c r="N2847" t="s">
        <v>14679</v>
      </c>
      <c r="O2847" t="s">
        <v>173</v>
      </c>
      <c r="P2847" t="s">
        <v>112</v>
      </c>
      <c r="Q2847" t="s">
        <v>65</v>
      </c>
      <c r="R2847" s="3">
        <v>58580.1159999999</v>
      </c>
    </row>
    <row r="2848" spans="1:18" x14ac:dyDescent="0.3">
      <c r="A2848" t="s">
        <v>14680</v>
      </c>
      <c r="B2848" t="str">
        <f>TEXT(Raw_Data[[#This Row],[Order Date]],"mmm")</f>
        <v>Mar</v>
      </c>
      <c r="C2848" t="s">
        <v>492</v>
      </c>
      <c r="D2848" t="s">
        <v>14681</v>
      </c>
      <c r="E2848" t="s">
        <v>35</v>
      </c>
      <c r="F2848" t="s">
        <v>36</v>
      </c>
      <c r="G2848" t="s">
        <v>37</v>
      </c>
      <c r="H2848" t="s">
        <v>23</v>
      </c>
      <c r="I2848" t="s">
        <v>24</v>
      </c>
      <c r="J2848" t="s">
        <v>100</v>
      </c>
      <c r="K2848" t="s">
        <v>14682</v>
      </c>
      <c r="L2848">
        <v>0.2</v>
      </c>
      <c r="M2848" t="s">
        <v>14683</v>
      </c>
      <c r="N2848" t="s">
        <v>14684</v>
      </c>
      <c r="O2848" t="s">
        <v>29</v>
      </c>
      <c r="P2848" t="s">
        <v>30</v>
      </c>
      <c r="Q2848" t="s">
        <v>31</v>
      </c>
      <c r="R2848" s="3">
        <v>56076.480000000003</v>
      </c>
    </row>
    <row r="2849" spans="1:18" x14ac:dyDescent="0.3">
      <c r="A2849" t="s">
        <v>14685</v>
      </c>
      <c r="B2849" t="str">
        <f>TEXT(Raw_Data[[#This Row],[Order Date]],"mmm")</f>
        <v>Sep</v>
      </c>
      <c r="C2849" t="s">
        <v>1714</v>
      </c>
      <c r="D2849" t="s">
        <v>14686</v>
      </c>
      <c r="E2849" t="s">
        <v>48</v>
      </c>
      <c r="F2849" t="s">
        <v>106</v>
      </c>
      <c r="G2849" t="s">
        <v>106</v>
      </c>
      <c r="H2849" t="s">
        <v>23</v>
      </c>
      <c r="I2849" t="s">
        <v>49</v>
      </c>
      <c r="J2849" t="s">
        <v>25</v>
      </c>
      <c r="K2849" t="s">
        <v>14687</v>
      </c>
      <c r="L2849">
        <v>0.1</v>
      </c>
      <c r="M2849" t="s">
        <v>14688</v>
      </c>
      <c r="N2849" t="s">
        <v>14689</v>
      </c>
      <c r="O2849" t="s">
        <v>54</v>
      </c>
      <c r="P2849" t="s">
        <v>30</v>
      </c>
      <c r="Q2849" t="s">
        <v>44</v>
      </c>
      <c r="R2849" s="3">
        <v>15849.468000000001</v>
      </c>
    </row>
    <row r="2850" spans="1:18" x14ac:dyDescent="0.3">
      <c r="A2850" t="s">
        <v>14690</v>
      </c>
      <c r="B2850" t="str">
        <f>TEXT(Raw_Data[[#This Row],[Order Date]],"mmm")</f>
        <v>Nov</v>
      </c>
      <c r="C2850" t="s">
        <v>221</v>
      </c>
      <c r="D2850" t="s">
        <v>14691</v>
      </c>
      <c r="E2850" t="s">
        <v>48</v>
      </c>
      <c r="F2850" t="s">
        <v>215</v>
      </c>
      <c r="G2850" t="s">
        <v>216</v>
      </c>
      <c r="H2850" t="s">
        <v>23</v>
      </c>
      <c r="I2850" t="s">
        <v>341</v>
      </c>
      <c r="J2850" t="s">
        <v>25</v>
      </c>
      <c r="K2850" t="s">
        <v>14692</v>
      </c>
      <c r="L2850">
        <v>0.1</v>
      </c>
      <c r="M2850" t="s">
        <v>14693</v>
      </c>
      <c r="N2850" t="s">
        <v>14694</v>
      </c>
      <c r="O2850" t="s">
        <v>29</v>
      </c>
      <c r="P2850" t="s">
        <v>30</v>
      </c>
      <c r="Q2850" t="s">
        <v>31</v>
      </c>
      <c r="R2850" s="3">
        <v>63125.504999999997</v>
      </c>
    </row>
    <row r="2851" spans="1:18" x14ac:dyDescent="0.3">
      <c r="A2851" t="s">
        <v>14695</v>
      </c>
      <c r="B2851" t="str">
        <f>TEXT(Raw_Data[[#This Row],[Order Date]],"mmm")</f>
        <v>Apr</v>
      </c>
      <c r="C2851" t="s">
        <v>2687</v>
      </c>
      <c r="D2851" t="s">
        <v>14696</v>
      </c>
      <c r="E2851" t="s">
        <v>35</v>
      </c>
      <c r="F2851" t="s">
        <v>21</v>
      </c>
      <c r="G2851" t="s">
        <v>130</v>
      </c>
      <c r="H2851" t="s">
        <v>80</v>
      </c>
      <c r="I2851" t="s">
        <v>131</v>
      </c>
      <c r="J2851" t="s">
        <v>25</v>
      </c>
      <c r="K2851" t="s">
        <v>14697</v>
      </c>
      <c r="L2851">
        <v>0</v>
      </c>
      <c r="M2851" t="s">
        <v>14698</v>
      </c>
      <c r="N2851" t="s">
        <v>7228</v>
      </c>
      <c r="O2851" t="s">
        <v>64</v>
      </c>
      <c r="P2851" t="s">
        <v>30</v>
      </c>
      <c r="Q2851" t="s">
        <v>65</v>
      </c>
      <c r="R2851" s="3">
        <v>1130.1300000000001</v>
      </c>
    </row>
    <row r="2852" spans="1:18" x14ac:dyDescent="0.3">
      <c r="A2852" t="s">
        <v>14699</v>
      </c>
      <c r="B2852" t="str">
        <f>TEXT(Raw_Data[[#This Row],[Order Date]],"mmm")</f>
        <v>May</v>
      </c>
      <c r="C2852" t="s">
        <v>1509</v>
      </c>
      <c r="D2852" t="s">
        <v>14700</v>
      </c>
      <c r="E2852" t="s">
        <v>35</v>
      </c>
      <c r="F2852" t="s">
        <v>58</v>
      </c>
      <c r="G2852" t="s">
        <v>59</v>
      </c>
      <c r="H2852" t="s">
        <v>107</v>
      </c>
      <c r="I2852" t="s">
        <v>108</v>
      </c>
      <c r="J2852" t="s">
        <v>25</v>
      </c>
      <c r="K2852" t="s">
        <v>14701</v>
      </c>
      <c r="L2852">
        <v>0.15</v>
      </c>
      <c r="M2852" t="s">
        <v>14702</v>
      </c>
      <c r="N2852" t="s">
        <v>14703</v>
      </c>
      <c r="O2852" t="s">
        <v>43</v>
      </c>
      <c r="P2852" t="s">
        <v>30</v>
      </c>
      <c r="Q2852" t="s">
        <v>44</v>
      </c>
      <c r="R2852" s="3">
        <v>12640.384</v>
      </c>
    </row>
    <row r="2853" spans="1:18" x14ac:dyDescent="0.3">
      <c r="A2853" t="s">
        <v>14704</v>
      </c>
      <c r="B2853" t="str">
        <f>TEXT(Raw_Data[[#This Row],[Order Date]],"mmm")</f>
        <v>Jan</v>
      </c>
      <c r="C2853" t="s">
        <v>261</v>
      </c>
      <c r="D2853" t="s">
        <v>14705</v>
      </c>
      <c r="E2853" t="s">
        <v>35</v>
      </c>
      <c r="F2853" t="s">
        <v>215</v>
      </c>
      <c r="G2853" t="s">
        <v>276</v>
      </c>
      <c r="H2853" t="s">
        <v>80</v>
      </c>
      <c r="I2853" t="s">
        <v>116</v>
      </c>
      <c r="J2853" t="s">
        <v>25</v>
      </c>
      <c r="K2853" t="s">
        <v>14706</v>
      </c>
      <c r="L2853">
        <v>0.15</v>
      </c>
      <c r="M2853" t="s">
        <v>14707</v>
      </c>
      <c r="N2853" t="s">
        <v>14708</v>
      </c>
      <c r="O2853" t="s">
        <v>173</v>
      </c>
      <c r="P2853" t="s">
        <v>30</v>
      </c>
      <c r="Q2853" t="s">
        <v>31</v>
      </c>
      <c r="R2853" s="3">
        <v>2760.5789999999902</v>
      </c>
    </row>
    <row r="2854" spans="1:18" x14ac:dyDescent="0.3">
      <c r="A2854" t="s">
        <v>14709</v>
      </c>
      <c r="B2854" t="str">
        <f>TEXT(Raw_Data[[#This Row],[Order Date]],"mmm")</f>
        <v>Aug</v>
      </c>
      <c r="C2854" t="s">
        <v>151</v>
      </c>
      <c r="D2854" t="s">
        <v>14710</v>
      </c>
      <c r="E2854" t="s">
        <v>35</v>
      </c>
      <c r="F2854" t="s">
        <v>215</v>
      </c>
      <c r="G2854" t="s">
        <v>216</v>
      </c>
      <c r="H2854" t="s">
        <v>80</v>
      </c>
      <c r="I2854" t="s">
        <v>131</v>
      </c>
      <c r="J2854" t="s">
        <v>25</v>
      </c>
      <c r="K2854" t="s">
        <v>14711</v>
      </c>
      <c r="L2854">
        <v>0.05</v>
      </c>
      <c r="M2854" t="s">
        <v>14712</v>
      </c>
      <c r="N2854" t="s">
        <v>14713</v>
      </c>
      <c r="O2854" t="s">
        <v>64</v>
      </c>
      <c r="P2854" t="s">
        <v>30</v>
      </c>
      <c r="Q2854" t="s">
        <v>31</v>
      </c>
      <c r="R2854" s="3">
        <v>3670.1444999999999</v>
      </c>
    </row>
    <row r="2855" spans="1:18" x14ac:dyDescent="0.3">
      <c r="A2855" t="s">
        <v>14714</v>
      </c>
      <c r="B2855" t="str">
        <f>TEXT(Raw_Data[[#This Row],[Order Date]],"mmm")</f>
        <v>Sep</v>
      </c>
      <c r="C2855" t="s">
        <v>339</v>
      </c>
      <c r="D2855" t="s">
        <v>14715</v>
      </c>
      <c r="E2855" t="s">
        <v>20</v>
      </c>
      <c r="F2855" t="s">
        <v>21</v>
      </c>
      <c r="G2855" t="s">
        <v>130</v>
      </c>
      <c r="H2855" t="s">
        <v>23</v>
      </c>
      <c r="I2855" t="s">
        <v>24</v>
      </c>
      <c r="J2855" t="s">
        <v>25</v>
      </c>
      <c r="K2855" t="s">
        <v>14716</v>
      </c>
      <c r="L2855">
        <v>0.1</v>
      </c>
      <c r="M2855" t="s">
        <v>14717</v>
      </c>
      <c r="N2855" t="s">
        <v>14718</v>
      </c>
      <c r="O2855" t="s">
        <v>43</v>
      </c>
      <c r="P2855" t="s">
        <v>30</v>
      </c>
      <c r="Q2855" t="s">
        <v>44</v>
      </c>
      <c r="R2855" s="3">
        <v>30046.904999999999</v>
      </c>
    </row>
    <row r="2856" spans="1:18" x14ac:dyDescent="0.3">
      <c r="A2856" t="s">
        <v>14719</v>
      </c>
      <c r="B2856" t="str">
        <f>TEXT(Raw_Data[[#This Row],[Order Date]],"mmm")</f>
        <v>Aug</v>
      </c>
      <c r="C2856" t="s">
        <v>954</v>
      </c>
      <c r="D2856" t="s">
        <v>14720</v>
      </c>
      <c r="E2856" t="s">
        <v>20</v>
      </c>
      <c r="F2856" t="s">
        <v>215</v>
      </c>
      <c r="G2856" t="s">
        <v>276</v>
      </c>
      <c r="H2856" t="s">
        <v>107</v>
      </c>
      <c r="I2856" t="s">
        <v>277</v>
      </c>
      <c r="J2856" t="s">
        <v>50</v>
      </c>
      <c r="K2856" t="s">
        <v>14721</v>
      </c>
      <c r="L2856">
        <v>0.05</v>
      </c>
      <c r="M2856" t="s">
        <v>14722</v>
      </c>
      <c r="N2856" t="s">
        <v>14723</v>
      </c>
      <c r="O2856" t="s">
        <v>54</v>
      </c>
      <c r="P2856" t="s">
        <v>30</v>
      </c>
      <c r="Q2856" t="s">
        <v>44</v>
      </c>
      <c r="R2856" s="3">
        <v>34114.233999999997</v>
      </c>
    </row>
    <row r="2857" spans="1:18" x14ac:dyDescent="0.3">
      <c r="A2857" t="s">
        <v>14724</v>
      </c>
      <c r="B2857" t="str">
        <f>TEXT(Raw_Data[[#This Row],[Order Date]],"mmm")</f>
        <v>Jan</v>
      </c>
      <c r="C2857" t="s">
        <v>18</v>
      </c>
      <c r="D2857" t="s">
        <v>14725</v>
      </c>
      <c r="E2857" t="s">
        <v>35</v>
      </c>
      <c r="F2857" t="s">
        <v>69</v>
      </c>
      <c r="G2857" t="s">
        <v>139</v>
      </c>
      <c r="H2857" t="s">
        <v>80</v>
      </c>
      <c r="I2857" t="s">
        <v>116</v>
      </c>
      <c r="J2857" t="s">
        <v>100</v>
      </c>
      <c r="K2857" t="s">
        <v>14726</v>
      </c>
      <c r="L2857">
        <v>0.05</v>
      </c>
      <c r="M2857" t="s">
        <v>14727</v>
      </c>
      <c r="N2857" t="s">
        <v>14728</v>
      </c>
      <c r="O2857" t="s">
        <v>43</v>
      </c>
      <c r="P2857" t="s">
        <v>30</v>
      </c>
      <c r="Q2857" t="s">
        <v>65</v>
      </c>
      <c r="R2857" s="3">
        <v>17905.0965</v>
      </c>
    </row>
    <row r="2858" spans="1:18" x14ac:dyDescent="0.3">
      <c r="A2858" t="s">
        <v>14729</v>
      </c>
      <c r="B2858" t="str">
        <f>TEXT(Raw_Data[[#This Row],[Order Date]],"mmm")</f>
        <v>Jan</v>
      </c>
      <c r="C2858" t="s">
        <v>1296</v>
      </c>
      <c r="D2858" t="s">
        <v>14730</v>
      </c>
      <c r="E2858" t="s">
        <v>20</v>
      </c>
      <c r="F2858" t="s">
        <v>106</v>
      </c>
      <c r="G2858" t="s">
        <v>163</v>
      </c>
      <c r="H2858" t="s">
        <v>107</v>
      </c>
      <c r="I2858" t="s">
        <v>277</v>
      </c>
      <c r="J2858" t="s">
        <v>25</v>
      </c>
      <c r="K2858" t="s">
        <v>14731</v>
      </c>
      <c r="L2858">
        <v>0.05</v>
      </c>
      <c r="M2858" t="s">
        <v>14732</v>
      </c>
      <c r="N2858" t="s">
        <v>14733</v>
      </c>
      <c r="O2858" t="s">
        <v>54</v>
      </c>
      <c r="P2858" t="s">
        <v>30</v>
      </c>
      <c r="Q2858" t="s">
        <v>65</v>
      </c>
      <c r="R2858" s="3">
        <v>14403.415499999999</v>
      </c>
    </row>
    <row r="2859" spans="1:18" x14ac:dyDescent="0.3">
      <c r="A2859" t="s">
        <v>14734</v>
      </c>
      <c r="B2859" t="str">
        <f>TEXT(Raw_Data[[#This Row],[Order Date]],"mmm")</f>
        <v>Jan</v>
      </c>
      <c r="C2859" t="s">
        <v>2970</v>
      </c>
      <c r="D2859" t="s">
        <v>14735</v>
      </c>
      <c r="E2859" t="s">
        <v>35</v>
      </c>
      <c r="F2859" t="s">
        <v>78</v>
      </c>
      <c r="G2859" t="s">
        <v>468</v>
      </c>
      <c r="H2859" t="s">
        <v>107</v>
      </c>
      <c r="I2859" t="s">
        <v>108</v>
      </c>
      <c r="J2859" t="s">
        <v>50</v>
      </c>
      <c r="K2859" t="s">
        <v>14736</v>
      </c>
      <c r="L2859">
        <v>0.2</v>
      </c>
      <c r="M2859" t="s">
        <v>14737</v>
      </c>
      <c r="N2859" t="s">
        <v>14738</v>
      </c>
      <c r="O2859" t="s">
        <v>173</v>
      </c>
      <c r="P2859" t="s">
        <v>95</v>
      </c>
      <c r="Q2859" t="s">
        <v>44</v>
      </c>
      <c r="R2859" s="3">
        <v>3441.4720000000002</v>
      </c>
    </row>
    <row r="2860" spans="1:18" x14ac:dyDescent="0.3">
      <c r="A2860" t="s">
        <v>14739</v>
      </c>
      <c r="B2860" t="str">
        <f>TEXT(Raw_Data[[#This Row],[Order Date]],"mmm")</f>
        <v>Aug</v>
      </c>
      <c r="C2860" t="s">
        <v>1155</v>
      </c>
      <c r="D2860" t="s">
        <v>14740</v>
      </c>
      <c r="E2860" t="s">
        <v>35</v>
      </c>
      <c r="F2860" t="s">
        <v>21</v>
      </c>
      <c r="G2860" t="s">
        <v>22</v>
      </c>
      <c r="H2860" t="s">
        <v>107</v>
      </c>
      <c r="I2860" t="s">
        <v>469</v>
      </c>
      <c r="J2860" t="s">
        <v>25</v>
      </c>
      <c r="K2860" t="s">
        <v>14741</v>
      </c>
      <c r="L2860">
        <v>0.1</v>
      </c>
      <c r="M2860" t="s">
        <v>14742</v>
      </c>
      <c r="N2860" t="s">
        <v>14743</v>
      </c>
      <c r="O2860" t="s">
        <v>64</v>
      </c>
      <c r="P2860" t="s">
        <v>112</v>
      </c>
      <c r="Q2860" t="s">
        <v>44</v>
      </c>
      <c r="R2860" s="3">
        <v>9502.0020000000004</v>
      </c>
    </row>
    <row r="2861" spans="1:18" x14ac:dyDescent="0.3">
      <c r="A2861" t="s">
        <v>14744</v>
      </c>
      <c r="B2861" t="str">
        <f>TEXT(Raw_Data[[#This Row],[Order Date]],"mmm")</f>
        <v>Dec</v>
      </c>
      <c r="C2861" t="s">
        <v>3862</v>
      </c>
      <c r="D2861" t="s">
        <v>14745</v>
      </c>
      <c r="E2861" t="s">
        <v>48</v>
      </c>
      <c r="F2861" t="s">
        <v>106</v>
      </c>
      <c r="G2861" t="s">
        <v>163</v>
      </c>
      <c r="H2861" t="s">
        <v>80</v>
      </c>
      <c r="I2861" t="s">
        <v>91</v>
      </c>
      <c r="J2861" t="s">
        <v>50</v>
      </c>
      <c r="K2861" t="s">
        <v>14746</v>
      </c>
      <c r="L2861">
        <v>0.1</v>
      </c>
      <c r="M2861" t="s">
        <v>14747</v>
      </c>
      <c r="N2861" t="s">
        <v>14748</v>
      </c>
      <c r="O2861" t="s">
        <v>173</v>
      </c>
      <c r="P2861" t="s">
        <v>30</v>
      </c>
      <c r="Q2861" t="s">
        <v>65</v>
      </c>
      <c r="R2861" s="3">
        <v>9561.402</v>
      </c>
    </row>
    <row r="2862" spans="1:18" x14ac:dyDescent="0.3">
      <c r="A2862" t="s">
        <v>14749</v>
      </c>
      <c r="B2862" t="str">
        <f>TEXT(Raw_Data[[#This Row],[Order Date]],"mmm")</f>
        <v>Aug</v>
      </c>
      <c r="C2862" t="s">
        <v>1703</v>
      </c>
      <c r="D2862" t="s">
        <v>14750</v>
      </c>
      <c r="E2862" t="s">
        <v>35</v>
      </c>
      <c r="F2862" t="s">
        <v>89</v>
      </c>
      <c r="G2862" t="s">
        <v>99</v>
      </c>
      <c r="H2862" t="s">
        <v>38</v>
      </c>
      <c r="I2862" t="s">
        <v>223</v>
      </c>
      <c r="J2862" t="s">
        <v>25</v>
      </c>
      <c r="K2862" t="s">
        <v>14751</v>
      </c>
      <c r="L2862">
        <v>0</v>
      </c>
      <c r="M2862" t="s">
        <v>14752</v>
      </c>
      <c r="N2862" t="s">
        <v>14753</v>
      </c>
      <c r="O2862" t="s">
        <v>43</v>
      </c>
      <c r="P2862" t="s">
        <v>112</v>
      </c>
      <c r="Q2862" t="s">
        <v>65</v>
      </c>
      <c r="R2862" s="3">
        <v>3365.84</v>
      </c>
    </row>
    <row r="2863" spans="1:18" x14ac:dyDescent="0.3">
      <c r="A2863" t="s">
        <v>14754</v>
      </c>
      <c r="B2863" t="str">
        <f>TEXT(Raw_Data[[#This Row],[Order Date]],"mmm")</f>
        <v>Aug</v>
      </c>
      <c r="C2863" t="s">
        <v>1245</v>
      </c>
      <c r="D2863" t="s">
        <v>14755</v>
      </c>
      <c r="E2863" t="s">
        <v>35</v>
      </c>
      <c r="F2863" t="s">
        <v>21</v>
      </c>
      <c r="G2863" t="s">
        <v>22</v>
      </c>
      <c r="H2863" t="s">
        <v>107</v>
      </c>
      <c r="I2863" t="s">
        <v>108</v>
      </c>
      <c r="J2863" t="s">
        <v>50</v>
      </c>
      <c r="K2863" t="s">
        <v>14756</v>
      </c>
      <c r="L2863">
        <v>0.05</v>
      </c>
      <c r="M2863" t="s">
        <v>14757</v>
      </c>
      <c r="N2863" t="s">
        <v>14758</v>
      </c>
      <c r="O2863" t="s">
        <v>29</v>
      </c>
      <c r="P2863" t="s">
        <v>95</v>
      </c>
      <c r="Q2863" t="s">
        <v>65</v>
      </c>
      <c r="R2863" s="3">
        <v>25514.587</v>
      </c>
    </row>
    <row r="2864" spans="1:18" x14ac:dyDescent="0.3">
      <c r="A2864" t="s">
        <v>14759</v>
      </c>
      <c r="B2864" t="str">
        <f>TEXT(Raw_Data[[#This Row],[Order Date]],"mmm")</f>
        <v>Mar</v>
      </c>
      <c r="C2864" t="s">
        <v>1216</v>
      </c>
      <c r="D2864" t="s">
        <v>14760</v>
      </c>
      <c r="E2864" t="s">
        <v>20</v>
      </c>
      <c r="F2864" t="s">
        <v>21</v>
      </c>
      <c r="G2864" t="s">
        <v>130</v>
      </c>
      <c r="H2864" t="s">
        <v>80</v>
      </c>
      <c r="I2864" t="s">
        <v>146</v>
      </c>
      <c r="J2864" t="s">
        <v>25</v>
      </c>
      <c r="K2864" t="s">
        <v>14761</v>
      </c>
      <c r="L2864">
        <v>0.15</v>
      </c>
      <c r="M2864" t="s">
        <v>14762</v>
      </c>
      <c r="N2864" t="s">
        <v>14763</v>
      </c>
      <c r="O2864" t="s">
        <v>173</v>
      </c>
      <c r="P2864" t="s">
        <v>30</v>
      </c>
      <c r="Q2864" t="s">
        <v>31</v>
      </c>
      <c r="R2864" s="3">
        <v>3582.8944999999999</v>
      </c>
    </row>
    <row r="2865" spans="1:18" x14ac:dyDescent="0.3">
      <c r="A2865" t="s">
        <v>14764</v>
      </c>
      <c r="B2865" t="str">
        <f>TEXT(Raw_Data[[#This Row],[Order Date]],"mmm")</f>
        <v>Jul</v>
      </c>
      <c r="C2865" t="s">
        <v>792</v>
      </c>
      <c r="D2865" t="s">
        <v>14765</v>
      </c>
      <c r="E2865" t="s">
        <v>35</v>
      </c>
      <c r="F2865" t="s">
        <v>78</v>
      </c>
      <c r="G2865" t="s">
        <v>731</v>
      </c>
      <c r="H2865" t="s">
        <v>23</v>
      </c>
      <c r="I2865" t="s">
        <v>263</v>
      </c>
      <c r="J2865" t="s">
        <v>25</v>
      </c>
      <c r="K2865" t="s">
        <v>14766</v>
      </c>
      <c r="L2865">
        <v>0.05</v>
      </c>
      <c r="M2865" t="s">
        <v>14767</v>
      </c>
      <c r="N2865" t="s">
        <v>14768</v>
      </c>
      <c r="O2865" t="s">
        <v>29</v>
      </c>
      <c r="P2865" t="s">
        <v>95</v>
      </c>
      <c r="Q2865" t="s">
        <v>31</v>
      </c>
      <c r="R2865" s="3">
        <v>35866.470999999998</v>
      </c>
    </row>
    <row r="2866" spans="1:18" x14ac:dyDescent="0.3">
      <c r="A2866" t="s">
        <v>14769</v>
      </c>
      <c r="B2866" t="str">
        <f>TEXT(Raw_Data[[#This Row],[Order Date]],"mmm")</f>
        <v>Aug</v>
      </c>
      <c r="C2866" t="s">
        <v>1053</v>
      </c>
      <c r="D2866" t="s">
        <v>14770</v>
      </c>
      <c r="E2866" t="s">
        <v>35</v>
      </c>
      <c r="F2866" t="s">
        <v>69</v>
      </c>
      <c r="G2866" t="s">
        <v>70</v>
      </c>
      <c r="H2866" t="s">
        <v>154</v>
      </c>
      <c r="I2866" t="s">
        <v>365</v>
      </c>
      <c r="J2866" t="s">
        <v>100</v>
      </c>
      <c r="K2866" t="s">
        <v>14771</v>
      </c>
      <c r="L2866">
        <v>0.1</v>
      </c>
      <c r="M2866" t="s">
        <v>14772</v>
      </c>
      <c r="N2866" t="s">
        <v>14773</v>
      </c>
      <c r="O2866" t="s">
        <v>43</v>
      </c>
      <c r="P2866" t="s">
        <v>30</v>
      </c>
      <c r="Q2866" t="s">
        <v>44</v>
      </c>
      <c r="R2866" s="3">
        <v>13994.019</v>
      </c>
    </row>
    <row r="2867" spans="1:18" x14ac:dyDescent="0.3">
      <c r="A2867" t="s">
        <v>14774</v>
      </c>
      <c r="B2867" t="str">
        <f>TEXT(Raw_Data[[#This Row],[Order Date]],"mmm")</f>
        <v>Jan</v>
      </c>
      <c r="C2867" t="s">
        <v>254</v>
      </c>
      <c r="D2867" t="s">
        <v>14775</v>
      </c>
      <c r="E2867" t="s">
        <v>35</v>
      </c>
      <c r="F2867" t="s">
        <v>21</v>
      </c>
      <c r="G2867" t="s">
        <v>22</v>
      </c>
      <c r="H2867" t="s">
        <v>80</v>
      </c>
      <c r="I2867" t="s">
        <v>91</v>
      </c>
      <c r="J2867" t="s">
        <v>50</v>
      </c>
      <c r="K2867" t="s">
        <v>14776</v>
      </c>
      <c r="L2867">
        <v>0.05</v>
      </c>
      <c r="M2867" t="s">
        <v>14777</v>
      </c>
      <c r="N2867" t="s">
        <v>14778</v>
      </c>
      <c r="O2867" t="s">
        <v>43</v>
      </c>
      <c r="P2867" t="s">
        <v>30</v>
      </c>
      <c r="Q2867" t="s">
        <v>31</v>
      </c>
      <c r="R2867" s="3">
        <v>3113.70099999999</v>
      </c>
    </row>
    <row r="2868" spans="1:18" x14ac:dyDescent="0.3">
      <c r="A2868" t="s">
        <v>14779</v>
      </c>
      <c r="B2868" t="str">
        <f>TEXT(Raw_Data[[#This Row],[Order Date]],"mmm")</f>
        <v>Dec</v>
      </c>
      <c r="C2868" t="s">
        <v>168</v>
      </c>
      <c r="D2868" t="s">
        <v>14780</v>
      </c>
      <c r="E2868" t="s">
        <v>35</v>
      </c>
      <c r="F2868" t="s">
        <v>58</v>
      </c>
      <c r="G2868" t="s">
        <v>59</v>
      </c>
      <c r="H2868" t="s">
        <v>23</v>
      </c>
      <c r="I2868" t="s">
        <v>49</v>
      </c>
      <c r="J2868" t="s">
        <v>100</v>
      </c>
      <c r="K2868" t="s">
        <v>14781</v>
      </c>
      <c r="L2868">
        <v>0.05</v>
      </c>
      <c r="M2868" t="s">
        <v>14782</v>
      </c>
      <c r="N2868" t="s">
        <v>14783</v>
      </c>
      <c r="O2868" t="s">
        <v>54</v>
      </c>
      <c r="P2868" t="s">
        <v>30</v>
      </c>
      <c r="Q2868" t="s">
        <v>31</v>
      </c>
      <c r="R2868" s="3">
        <v>37880.575499999999</v>
      </c>
    </row>
    <row r="2869" spans="1:18" x14ac:dyDescent="0.3">
      <c r="A2869" t="s">
        <v>14784</v>
      </c>
      <c r="B2869" t="str">
        <f>TEXT(Raw_Data[[#This Row],[Order Date]],"mmm")</f>
        <v>Jul</v>
      </c>
      <c r="C2869" t="s">
        <v>3575</v>
      </c>
      <c r="D2869" t="s">
        <v>14785</v>
      </c>
      <c r="E2869" t="s">
        <v>35</v>
      </c>
      <c r="F2869" t="s">
        <v>36</v>
      </c>
      <c r="G2869" t="s">
        <v>196</v>
      </c>
      <c r="H2869" t="s">
        <v>80</v>
      </c>
      <c r="I2869" t="s">
        <v>81</v>
      </c>
      <c r="J2869" t="s">
        <v>25</v>
      </c>
      <c r="K2869" t="s">
        <v>14786</v>
      </c>
      <c r="L2869">
        <v>0.1</v>
      </c>
      <c r="M2869" t="s">
        <v>14787</v>
      </c>
      <c r="N2869" t="s">
        <v>14788</v>
      </c>
      <c r="O2869" t="s">
        <v>29</v>
      </c>
      <c r="P2869" t="s">
        <v>30</v>
      </c>
      <c r="Q2869" t="s">
        <v>31</v>
      </c>
      <c r="R2869" s="3">
        <v>4249.4759999999997</v>
      </c>
    </row>
    <row r="2870" spans="1:18" x14ac:dyDescent="0.3">
      <c r="A2870" t="s">
        <v>14789</v>
      </c>
      <c r="B2870" t="str">
        <f>TEXT(Raw_Data[[#This Row],[Order Date]],"mmm")</f>
        <v>Jun</v>
      </c>
      <c r="C2870" t="s">
        <v>1047</v>
      </c>
      <c r="D2870" t="s">
        <v>14790</v>
      </c>
      <c r="E2870" t="s">
        <v>35</v>
      </c>
      <c r="F2870" t="s">
        <v>36</v>
      </c>
      <c r="G2870" t="s">
        <v>196</v>
      </c>
      <c r="H2870" t="s">
        <v>107</v>
      </c>
      <c r="I2870" t="s">
        <v>277</v>
      </c>
      <c r="J2870" t="s">
        <v>50</v>
      </c>
      <c r="K2870" t="s">
        <v>14791</v>
      </c>
      <c r="L2870">
        <v>0.1</v>
      </c>
      <c r="M2870" t="s">
        <v>14792</v>
      </c>
      <c r="N2870" t="s">
        <v>14793</v>
      </c>
      <c r="O2870" t="s">
        <v>54</v>
      </c>
      <c r="P2870" t="s">
        <v>30</v>
      </c>
      <c r="Q2870" t="s">
        <v>65</v>
      </c>
      <c r="R2870" s="3">
        <v>30478.338</v>
      </c>
    </row>
    <row r="2871" spans="1:18" x14ac:dyDescent="0.3">
      <c r="A2871" t="s">
        <v>14794</v>
      </c>
      <c r="B2871" t="str">
        <f>TEXT(Raw_Data[[#This Row],[Order Date]],"mmm")</f>
        <v>Nov</v>
      </c>
      <c r="C2871" t="s">
        <v>4206</v>
      </c>
      <c r="D2871" t="s">
        <v>14795</v>
      </c>
      <c r="E2871" t="s">
        <v>35</v>
      </c>
      <c r="F2871" t="s">
        <v>89</v>
      </c>
      <c r="G2871" t="s">
        <v>90</v>
      </c>
      <c r="H2871" t="s">
        <v>80</v>
      </c>
      <c r="I2871" t="s">
        <v>91</v>
      </c>
      <c r="J2871" t="s">
        <v>25</v>
      </c>
      <c r="K2871" t="s">
        <v>14796</v>
      </c>
      <c r="L2871">
        <v>0</v>
      </c>
      <c r="M2871" t="s">
        <v>6409</v>
      </c>
      <c r="N2871" t="s">
        <v>10559</v>
      </c>
      <c r="O2871" t="s">
        <v>43</v>
      </c>
      <c r="P2871" t="s">
        <v>30</v>
      </c>
      <c r="Q2871" t="s">
        <v>31</v>
      </c>
      <c r="R2871" s="3">
        <v>1493.56</v>
      </c>
    </row>
    <row r="2872" spans="1:18" x14ac:dyDescent="0.3">
      <c r="A2872" t="s">
        <v>14797</v>
      </c>
      <c r="B2872" t="str">
        <f>TEXT(Raw_Data[[#This Row],[Order Date]],"mmm")</f>
        <v>Oct</v>
      </c>
      <c r="C2872" t="s">
        <v>460</v>
      </c>
      <c r="D2872" t="s">
        <v>14798</v>
      </c>
      <c r="E2872" t="s">
        <v>48</v>
      </c>
      <c r="F2872" t="s">
        <v>21</v>
      </c>
      <c r="G2872" t="s">
        <v>22</v>
      </c>
      <c r="H2872" t="s">
        <v>23</v>
      </c>
      <c r="I2872" t="s">
        <v>183</v>
      </c>
      <c r="J2872" t="s">
        <v>25</v>
      </c>
      <c r="K2872" t="s">
        <v>14799</v>
      </c>
      <c r="L2872">
        <v>0.2</v>
      </c>
      <c r="M2872" t="s">
        <v>14800</v>
      </c>
      <c r="N2872" t="s">
        <v>14801</v>
      </c>
      <c r="O2872" t="s">
        <v>43</v>
      </c>
      <c r="P2872" t="s">
        <v>30</v>
      </c>
      <c r="Q2872" t="s">
        <v>65</v>
      </c>
      <c r="R2872" s="3">
        <v>15887.12</v>
      </c>
    </row>
    <row r="2873" spans="1:18" x14ac:dyDescent="0.3">
      <c r="A2873" t="s">
        <v>14802</v>
      </c>
      <c r="B2873" t="str">
        <f>TEXT(Raw_Data[[#This Row],[Order Date]],"mmm")</f>
        <v>Oct</v>
      </c>
      <c r="C2873" t="s">
        <v>1076</v>
      </c>
      <c r="D2873" t="s">
        <v>14803</v>
      </c>
      <c r="E2873" t="s">
        <v>48</v>
      </c>
      <c r="F2873" t="s">
        <v>215</v>
      </c>
      <c r="G2873" t="s">
        <v>276</v>
      </c>
      <c r="H2873" t="s">
        <v>23</v>
      </c>
      <c r="I2873" t="s">
        <v>341</v>
      </c>
      <c r="J2873" t="s">
        <v>25</v>
      </c>
      <c r="K2873" t="s">
        <v>14804</v>
      </c>
      <c r="L2873">
        <v>0</v>
      </c>
      <c r="M2873" t="s">
        <v>14805</v>
      </c>
      <c r="N2873" t="s">
        <v>14806</v>
      </c>
      <c r="O2873" t="s">
        <v>43</v>
      </c>
      <c r="P2873" t="s">
        <v>30</v>
      </c>
      <c r="Q2873" t="s">
        <v>31</v>
      </c>
      <c r="R2873" s="3">
        <v>34964.51</v>
      </c>
    </row>
    <row r="2874" spans="1:18" x14ac:dyDescent="0.3">
      <c r="A2874" t="s">
        <v>14807</v>
      </c>
      <c r="B2874" t="str">
        <f>TEXT(Raw_Data[[#This Row],[Order Date]],"mmm")</f>
        <v>Jan</v>
      </c>
      <c r="C2874" t="s">
        <v>1296</v>
      </c>
      <c r="D2874" t="s">
        <v>14808</v>
      </c>
      <c r="E2874" t="s">
        <v>20</v>
      </c>
      <c r="F2874" t="s">
        <v>78</v>
      </c>
      <c r="G2874" t="s">
        <v>79</v>
      </c>
      <c r="H2874" t="s">
        <v>107</v>
      </c>
      <c r="I2874" t="s">
        <v>277</v>
      </c>
      <c r="J2874" t="s">
        <v>25</v>
      </c>
      <c r="K2874" t="s">
        <v>14809</v>
      </c>
      <c r="L2874">
        <v>0.15</v>
      </c>
      <c r="M2874" t="s">
        <v>14810</v>
      </c>
      <c r="N2874" t="s">
        <v>14811</v>
      </c>
      <c r="O2874" t="s">
        <v>173</v>
      </c>
      <c r="P2874" t="s">
        <v>112</v>
      </c>
      <c r="Q2874" t="s">
        <v>44</v>
      </c>
      <c r="R2874" s="3">
        <v>2390.4465</v>
      </c>
    </row>
    <row r="2875" spans="1:18" x14ac:dyDescent="0.3">
      <c r="A2875" t="s">
        <v>14812</v>
      </c>
      <c r="B2875" t="str">
        <f>TEXT(Raw_Data[[#This Row],[Order Date]],"mmm")</f>
        <v>Jan</v>
      </c>
      <c r="C2875" t="s">
        <v>1414</v>
      </c>
      <c r="D2875" t="s">
        <v>14813</v>
      </c>
      <c r="E2875" t="s">
        <v>35</v>
      </c>
      <c r="F2875" t="s">
        <v>58</v>
      </c>
      <c r="G2875" t="s">
        <v>812</v>
      </c>
      <c r="H2875" t="s">
        <v>38</v>
      </c>
      <c r="I2875" t="s">
        <v>223</v>
      </c>
      <c r="J2875" t="s">
        <v>100</v>
      </c>
      <c r="K2875" t="s">
        <v>14814</v>
      </c>
      <c r="L2875">
        <v>0.2</v>
      </c>
      <c r="M2875" t="s">
        <v>14815</v>
      </c>
      <c r="N2875" t="s">
        <v>14816</v>
      </c>
      <c r="O2875" t="s">
        <v>43</v>
      </c>
      <c r="P2875" t="s">
        <v>30</v>
      </c>
      <c r="Q2875" t="s">
        <v>44</v>
      </c>
      <c r="R2875" s="3">
        <v>7380</v>
      </c>
    </row>
    <row r="2876" spans="1:18" x14ac:dyDescent="0.3">
      <c r="A2876" t="s">
        <v>14817</v>
      </c>
      <c r="B2876" t="str">
        <f>TEXT(Raw_Data[[#This Row],[Order Date]],"mmm")</f>
        <v>May</v>
      </c>
      <c r="C2876" t="s">
        <v>874</v>
      </c>
      <c r="D2876" t="s">
        <v>14818</v>
      </c>
      <c r="E2876" t="s">
        <v>48</v>
      </c>
      <c r="F2876" t="s">
        <v>106</v>
      </c>
      <c r="G2876" t="s">
        <v>106</v>
      </c>
      <c r="H2876" t="s">
        <v>38</v>
      </c>
      <c r="I2876" t="s">
        <v>223</v>
      </c>
      <c r="J2876" t="s">
        <v>25</v>
      </c>
      <c r="K2876" t="s">
        <v>14819</v>
      </c>
      <c r="L2876">
        <v>0.15</v>
      </c>
      <c r="M2876" t="s">
        <v>14820</v>
      </c>
      <c r="N2876" t="s">
        <v>14821</v>
      </c>
      <c r="O2876" t="s">
        <v>54</v>
      </c>
      <c r="P2876" t="s">
        <v>112</v>
      </c>
      <c r="Q2876" t="s">
        <v>31</v>
      </c>
      <c r="R2876" s="3">
        <v>3701.5884999999998</v>
      </c>
    </row>
    <row r="2877" spans="1:18" x14ac:dyDescent="0.3">
      <c r="A2877" t="s">
        <v>14822</v>
      </c>
      <c r="B2877" t="str">
        <f>TEXT(Raw_Data[[#This Row],[Order Date]],"mmm")</f>
        <v>Nov</v>
      </c>
      <c r="C2877" t="s">
        <v>3696</v>
      </c>
      <c r="D2877" t="s">
        <v>14823</v>
      </c>
      <c r="E2877" t="s">
        <v>20</v>
      </c>
      <c r="F2877" t="s">
        <v>89</v>
      </c>
      <c r="G2877" t="s">
        <v>90</v>
      </c>
      <c r="H2877" t="s">
        <v>80</v>
      </c>
      <c r="I2877" t="s">
        <v>146</v>
      </c>
      <c r="J2877" t="s">
        <v>50</v>
      </c>
      <c r="K2877" t="s">
        <v>14824</v>
      </c>
      <c r="L2877">
        <v>0.1</v>
      </c>
      <c r="M2877" t="s">
        <v>14825</v>
      </c>
      <c r="N2877" t="s">
        <v>14826</v>
      </c>
      <c r="O2877" t="s">
        <v>54</v>
      </c>
      <c r="P2877" t="s">
        <v>30</v>
      </c>
      <c r="Q2877" t="s">
        <v>65</v>
      </c>
      <c r="R2877" s="3">
        <v>9187.5959999999995</v>
      </c>
    </row>
    <row r="2878" spans="1:18" x14ac:dyDescent="0.3">
      <c r="A2878" t="s">
        <v>14827</v>
      </c>
      <c r="B2878" t="str">
        <f>TEXT(Raw_Data[[#This Row],[Order Date]],"mmm")</f>
        <v>May</v>
      </c>
      <c r="C2878" t="s">
        <v>1420</v>
      </c>
      <c r="D2878" t="s">
        <v>14828</v>
      </c>
      <c r="E2878" t="s">
        <v>35</v>
      </c>
      <c r="F2878" t="s">
        <v>215</v>
      </c>
      <c r="G2878" t="s">
        <v>276</v>
      </c>
      <c r="H2878" t="s">
        <v>107</v>
      </c>
      <c r="I2878" t="s">
        <v>108</v>
      </c>
      <c r="J2878" t="s">
        <v>25</v>
      </c>
      <c r="K2878" t="s">
        <v>14829</v>
      </c>
      <c r="L2878">
        <v>0</v>
      </c>
      <c r="M2878" t="s">
        <v>14830</v>
      </c>
      <c r="N2878" t="s">
        <v>14831</v>
      </c>
      <c r="O2878" t="s">
        <v>54</v>
      </c>
      <c r="P2878" t="s">
        <v>30</v>
      </c>
      <c r="Q2878" t="s">
        <v>44</v>
      </c>
      <c r="R2878" s="3">
        <v>15230.83</v>
      </c>
    </row>
    <row r="2879" spans="1:18" x14ac:dyDescent="0.3">
      <c r="A2879" t="s">
        <v>14832</v>
      </c>
      <c r="B2879" t="str">
        <f>TEXT(Raw_Data[[#This Row],[Order Date]],"mmm")</f>
        <v>Jan</v>
      </c>
      <c r="C2879" t="s">
        <v>891</v>
      </c>
      <c r="D2879" t="s">
        <v>14833</v>
      </c>
      <c r="E2879" t="s">
        <v>20</v>
      </c>
      <c r="F2879" t="s">
        <v>69</v>
      </c>
      <c r="G2879" t="s">
        <v>139</v>
      </c>
      <c r="H2879" t="s">
        <v>107</v>
      </c>
      <c r="I2879" t="s">
        <v>591</v>
      </c>
      <c r="J2879" t="s">
        <v>100</v>
      </c>
      <c r="K2879" t="s">
        <v>14834</v>
      </c>
      <c r="L2879">
        <v>0</v>
      </c>
      <c r="M2879" t="s">
        <v>14835</v>
      </c>
      <c r="N2879" t="s">
        <v>14836</v>
      </c>
      <c r="O2879" t="s">
        <v>29</v>
      </c>
      <c r="P2879" t="s">
        <v>30</v>
      </c>
      <c r="Q2879" t="s">
        <v>31</v>
      </c>
      <c r="R2879" s="3">
        <v>1755.75</v>
      </c>
    </row>
    <row r="2880" spans="1:18" x14ac:dyDescent="0.3">
      <c r="A2880" t="s">
        <v>14837</v>
      </c>
      <c r="B2880" t="str">
        <f>TEXT(Raw_Data[[#This Row],[Order Date]],"mmm")</f>
        <v>Mar</v>
      </c>
      <c r="C2880" t="s">
        <v>602</v>
      </c>
      <c r="D2880" t="s">
        <v>14838</v>
      </c>
      <c r="E2880" t="s">
        <v>20</v>
      </c>
      <c r="F2880" t="s">
        <v>106</v>
      </c>
      <c r="G2880" t="s">
        <v>163</v>
      </c>
      <c r="H2880" t="s">
        <v>154</v>
      </c>
      <c r="I2880" t="s">
        <v>155</v>
      </c>
      <c r="J2880" t="s">
        <v>25</v>
      </c>
      <c r="K2880" t="s">
        <v>14839</v>
      </c>
      <c r="L2880">
        <v>0.05</v>
      </c>
      <c r="M2880" t="s">
        <v>14840</v>
      </c>
      <c r="N2880" t="s">
        <v>14841</v>
      </c>
      <c r="O2880" t="s">
        <v>64</v>
      </c>
      <c r="P2880" t="s">
        <v>30</v>
      </c>
      <c r="Q2880" t="s">
        <v>31</v>
      </c>
      <c r="R2880" s="3">
        <v>3354.1269999999899</v>
      </c>
    </row>
    <row r="2881" spans="1:18" x14ac:dyDescent="0.3">
      <c r="A2881" t="s">
        <v>14842</v>
      </c>
      <c r="B2881" t="str">
        <f>TEXT(Raw_Data[[#This Row],[Order Date]],"mmm")</f>
        <v>Oct</v>
      </c>
      <c r="C2881" t="s">
        <v>2432</v>
      </c>
      <c r="D2881" t="s">
        <v>14843</v>
      </c>
      <c r="E2881" t="s">
        <v>20</v>
      </c>
      <c r="F2881" t="s">
        <v>21</v>
      </c>
      <c r="G2881" t="s">
        <v>22</v>
      </c>
      <c r="H2881" t="s">
        <v>38</v>
      </c>
      <c r="I2881" t="s">
        <v>39</v>
      </c>
      <c r="J2881" t="s">
        <v>25</v>
      </c>
      <c r="K2881" t="s">
        <v>14844</v>
      </c>
      <c r="L2881">
        <v>0.1</v>
      </c>
      <c r="M2881" t="s">
        <v>14845</v>
      </c>
      <c r="N2881" t="s">
        <v>14846</v>
      </c>
      <c r="O2881" t="s">
        <v>43</v>
      </c>
      <c r="P2881" t="s">
        <v>30</v>
      </c>
      <c r="Q2881" t="s">
        <v>31</v>
      </c>
      <c r="R2881" s="3">
        <v>3749.886</v>
      </c>
    </row>
    <row r="2882" spans="1:18" x14ac:dyDescent="0.3">
      <c r="A2882" t="s">
        <v>14847</v>
      </c>
      <c r="B2882" t="str">
        <f>TEXT(Raw_Data[[#This Row],[Order Date]],"mmm")</f>
        <v>May</v>
      </c>
      <c r="C2882" t="s">
        <v>1498</v>
      </c>
      <c r="D2882" t="s">
        <v>14848</v>
      </c>
      <c r="E2882" t="s">
        <v>35</v>
      </c>
      <c r="F2882" t="s">
        <v>21</v>
      </c>
      <c r="G2882" t="s">
        <v>130</v>
      </c>
      <c r="H2882" t="s">
        <v>107</v>
      </c>
      <c r="I2882" t="s">
        <v>378</v>
      </c>
      <c r="J2882" t="s">
        <v>50</v>
      </c>
      <c r="K2882" t="s">
        <v>14849</v>
      </c>
      <c r="L2882">
        <v>0.15</v>
      </c>
      <c r="M2882" t="s">
        <v>14850</v>
      </c>
      <c r="N2882" t="s">
        <v>14851</v>
      </c>
      <c r="O2882" t="s">
        <v>43</v>
      </c>
      <c r="P2882" t="s">
        <v>30</v>
      </c>
      <c r="Q2882" t="s">
        <v>31</v>
      </c>
      <c r="R2882" s="3">
        <v>13789.278</v>
      </c>
    </row>
    <row r="2883" spans="1:18" x14ac:dyDescent="0.3">
      <c r="A2883" t="s">
        <v>14852</v>
      </c>
      <c r="B2883" t="str">
        <f>TEXT(Raw_Data[[#This Row],[Order Date]],"mmm")</f>
        <v>Mar</v>
      </c>
      <c r="C2883" t="s">
        <v>504</v>
      </c>
      <c r="D2883" t="s">
        <v>14853</v>
      </c>
      <c r="E2883" t="s">
        <v>48</v>
      </c>
      <c r="F2883" t="s">
        <v>36</v>
      </c>
      <c r="G2883" t="s">
        <v>414</v>
      </c>
      <c r="H2883" t="s">
        <v>23</v>
      </c>
      <c r="I2883" t="s">
        <v>183</v>
      </c>
      <c r="J2883" t="s">
        <v>25</v>
      </c>
      <c r="K2883" t="s">
        <v>14854</v>
      </c>
      <c r="L2883">
        <v>0</v>
      </c>
      <c r="M2883" t="s">
        <v>14855</v>
      </c>
      <c r="N2883" t="s">
        <v>14856</v>
      </c>
      <c r="O2883" t="s">
        <v>29</v>
      </c>
      <c r="P2883" t="s">
        <v>30</v>
      </c>
      <c r="Q2883" t="s">
        <v>65</v>
      </c>
      <c r="R2883" s="3">
        <v>49629.79</v>
      </c>
    </row>
    <row r="2884" spans="1:18" x14ac:dyDescent="0.3">
      <c r="A2884" t="s">
        <v>14857</v>
      </c>
      <c r="B2884" t="str">
        <f>TEXT(Raw_Data[[#This Row],[Order Date]],"mmm")</f>
        <v>Jan</v>
      </c>
      <c r="C2884" t="s">
        <v>485</v>
      </c>
      <c r="D2884" t="s">
        <v>14858</v>
      </c>
      <c r="E2884" t="s">
        <v>35</v>
      </c>
      <c r="F2884" t="s">
        <v>89</v>
      </c>
      <c r="G2884" t="s">
        <v>99</v>
      </c>
      <c r="H2884" t="s">
        <v>154</v>
      </c>
      <c r="I2884" t="s">
        <v>1061</v>
      </c>
      <c r="J2884" t="s">
        <v>25</v>
      </c>
      <c r="K2884" t="s">
        <v>14859</v>
      </c>
      <c r="L2884">
        <v>0</v>
      </c>
      <c r="M2884" t="s">
        <v>14860</v>
      </c>
      <c r="N2884" t="s">
        <v>7480</v>
      </c>
      <c r="O2884" t="s">
        <v>64</v>
      </c>
      <c r="P2884" t="s">
        <v>95</v>
      </c>
      <c r="Q2884" t="s">
        <v>31</v>
      </c>
      <c r="R2884" s="3">
        <v>973.5</v>
      </c>
    </row>
    <row r="2885" spans="1:18" x14ac:dyDescent="0.3">
      <c r="A2885" t="s">
        <v>14861</v>
      </c>
      <c r="B2885" t="str">
        <f>TEXT(Raw_Data[[#This Row],[Order Date]],"mmm")</f>
        <v>Mar</v>
      </c>
      <c r="C2885" t="s">
        <v>3718</v>
      </c>
      <c r="D2885" t="s">
        <v>14862</v>
      </c>
      <c r="E2885" t="s">
        <v>20</v>
      </c>
      <c r="F2885" t="s">
        <v>58</v>
      </c>
      <c r="G2885" t="s">
        <v>59</v>
      </c>
      <c r="H2885" t="s">
        <v>107</v>
      </c>
      <c r="I2885" t="s">
        <v>591</v>
      </c>
      <c r="J2885" t="s">
        <v>25</v>
      </c>
      <c r="K2885" t="s">
        <v>14863</v>
      </c>
      <c r="L2885">
        <v>0.1</v>
      </c>
      <c r="M2885" t="s">
        <v>14864</v>
      </c>
      <c r="N2885" t="s">
        <v>14865</v>
      </c>
      <c r="O2885" t="s">
        <v>29</v>
      </c>
      <c r="P2885" t="s">
        <v>30</v>
      </c>
      <c r="Q2885" t="s">
        <v>44</v>
      </c>
      <c r="R2885" s="3">
        <v>14195.025</v>
      </c>
    </row>
    <row r="2886" spans="1:18" x14ac:dyDescent="0.3">
      <c r="A2886" t="s">
        <v>14866</v>
      </c>
      <c r="B2886" t="str">
        <f>TEXT(Raw_Data[[#This Row],[Order Date]],"mmm")</f>
        <v>Sep</v>
      </c>
      <c r="C2886" t="s">
        <v>3987</v>
      </c>
      <c r="D2886" t="s">
        <v>14867</v>
      </c>
      <c r="E2886" t="s">
        <v>48</v>
      </c>
      <c r="F2886" t="s">
        <v>36</v>
      </c>
      <c r="G2886" t="s">
        <v>196</v>
      </c>
      <c r="H2886" t="s">
        <v>80</v>
      </c>
      <c r="I2886" t="s">
        <v>131</v>
      </c>
      <c r="J2886" t="s">
        <v>100</v>
      </c>
      <c r="K2886" t="s">
        <v>14868</v>
      </c>
      <c r="L2886">
        <v>0.05</v>
      </c>
      <c r="M2886" t="s">
        <v>14869</v>
      </c>
      <c r="N2886" t="s">
        <v>14870</v>
      </c>
      <c r="O2886" t="s">
        <v>43</v>
      </c>
      <c r="P2886" t="s">
        <v>30</v>
      </c>
      <c r="Q2886" t="s">
        <v>44</v>
      </c>
      <c r="R2886" s="3">
        <v>13272.791999999999</v>
      </c>
    </row>
    <row r="2887" spans="1:18" x14ac:dyDescent="0.3">
      <c r="A2887" t="s">
        <v>14871</v>
      </c>
      <c r="B2887" t="str">
        <f>TEXT(Raw_Data[[#This Row],[Order Date]],"mmm")</f>
        <v>Nov</v>
      </c>
      <c r="C2887" t="s">
        <v>1116</v>
      </c>
      <c r="D2887" t="s">
        <v>14872</v>
      </c>
      <c r="E2887" t="s">
        <v>48</v>
      </c>
      <c r="F2887" t="s">
        <v>78</v>
      </c>
      <c r="G2887" t="s">
        <v>79</v>
      </c>
      <c r="H2887" t="s">
        <v>23</v>
      </c>
      <c r="I2887" t="s">
        <v>341</v>
      </c>
      <c r="J2887" t="s">
        <v>82</v>
      </c>
      <c r="K2887" t="s">
        <v>14873</v>
      </c>
      <c r="L2887">
        <v>0</v>
      </c>
      <c r="M2887" t="s">
        <v>14874</v>
      </c>
      <c r="N2887" t="s">
        <v>14875</v>
      </c>
      <c r="O2887" t="s">
        <v>173</v>
      </c>
      <c r="P2887" t="s">
        <v>159</v>
      </c>
      <c r="Q2887" t="s">
        <v>44</v>
      </c>
      <c r="R2887" s="3">
        <v>257894.92</v>
      </c>
    </row>
    <row r="2888" spans="1:18" x14ac:dyDescent="0.3">
      <c r="A2888" t="s">
        <v>14876</v>
      </c>
      <c r="B2888" t="str">
        <f>TEXT(Raw_Data[[#This Row],[Order Date]],"mmm")</f>
        <v>May</v>
      </c>
      <c r="C2888" t="s">
        <v>817</v>
      </c>
      <c r="D2888" t="s">
        <v>14877</v>
      </c>
      <c r="E2888" t="s">
        <v>20</v>
      </c>
      <c r="F2888" t="s">
        <v>106</v>
      </c>
      <c r="G2888" t="s">
        <v>163</v>
      </c>
      <c r="H2888" t="s">
        <v>38</v>
      </c>
      <c r="I2888" t="s">
        <v>60</v>
      </c>
      <c r="J2888" t="s">
        <v>82</v>
      </c>
      <c r="K2888" t="s">
        <v>14878</v>
      </c>
      <c r="L2888">
        <v>0.1</v>
      </c>
      <c r="M2888" t="s">
        <v>14879</v>
      </c>
      <c r="N2888" t="s">
        <v>14880</v>
      </c>
      <c r="O2888" t="s">
        <v>43</v>
      </c>
      <c r="P2888" t="s">
        <v>30</v>
      </c>
      <c r="Q2888" t="s">
        <v>44</v>
      </c>
      <c r="R2888" s="3">
        <v>10396.547999999901</v>
      </c>
    </row>
    <row r="2889" spans="1:18" x14ac:dyDescent="0.3">
      <c r="A2889" t="s">
        <v>14881</v>
      </c>
      <c r="B2889" t="str">
        <f>TEXT(Raw_Data[[#This Row],[Order Date]],"mmm")</f>
        <v>Nov</v>
      </c>
      <c r="C2889" t="s">
        <v>3096</v>
      </c>
      <c r="D2889" t="s">
        <v>14882</v>
      </c>
      <c r="E2889" t="s">
        <v>48</v>
      </c>
      <c r="F2889" t="s">
        <v>69</v>
      </c>
      <c r="G2889" t="s">
        <v>328</v>
      </c>
      <c r="H2889" t="s">
        <v>23</v>
      </c>
      <c r="I2889" t="s">
        <v>49</v>
      </c>
      <c r="J2889" t="s">
        <v>25</v>
      </c>
      <c r="K2889" t="s">
        <v>14883</v>
      </c>
      <c r="L2889">
        <v>0.15</v>
      </c>
      <c r="M2889" t="s">
        <v>14884</v>
      </c>
      <c r="N2889" t="s">
        <v>14885</v>
      </c>
      <c r="O2889" t="s">
        <v>43</v>
      </c>
      <c r="P2889" t="s">
        <v>30</v>
      </c>
      <c r="Q2889" t="s">
        <v>65</v>
      </c>
      <c r="R2889" s="3">
        <v>46257.135999999999</v>
      </c>
    </row>
    <row r="2890" spans="1:18" x14ac:dyDescent="0.3">
      <c r="A2890" t="s">
        <v>14886</v>
      </c>
      <c r="B2890" t="str">
        <f>TEXT(Raw_Data[[#This Row],[Order Date]],"mmm")</f>
        <v>Aug</v>
      </c>
      <c r="C2890" t="s">
        <v>1426</v>
      </c>
      <c r="D2890" t="s">
        <v>14887</v>
      </c>
      <c r="E2890" t="s">
        <v>35</v>
      </c>
      <c r="F2890" t="s">
        <v>106</v>
      </c>
      <c r="G2890" t="s">
        <v>106</v>
      </c>
      <c r="H2890" t="s">
        <v>154</v>
      </c>
      <c r="I2890" t="s">
        <v>155</v>
      </c>
      <c r="J2890" t="s">
        <v>25</v>
      </c>
      <c r="K2890" t="s">
        <v>14888</v>
      </c>
      <c r="L2890">
        <v>0.05</v>
      </c>
      <c r="M2890" t="s">
        <v>14889</v>
      </c>
      <c r="N2890" t="s">
        <v>14890</v>
      </c>
      <c r="O2890" t="s">
        <v>43</v>
      </c>
      <c r="P2890" t="s">
        <v>30</v>
      </c>
      <c r="Q2890" t="s">
        <v>44</v>
      </c>
      <c r="R2890" s="3">
        <v>3501.71899999999</v>
      </c>
    </row>
    <row r="2891" spans="1:18" x14ac:dyDescent="0.3">
      <c r="A2891" t="s">
        <v>14891</v>
      </c>
      <c r="B2891" t="str">
        <f>TEXT(Raw_Data[[#This Row],[Order Date]],"mmm")</f>
        <v>Sep</v>
      </c>
      <c r="C2891" t="s">
        <v>1397</v>
      </c>
      <c r="D2891" t="s">
        <v>14892</v>
      </c>
      <c r="E2891" t="s">
        <v>35</v>
      </c>
      <c r="F2891" t="s">
        <v>58</v>
      </c>
      <c r="G2891" t="s">
        <v>290</v>
      </c>
      <c r="H2891" t="s">
        <v>80</v>
      </c>
      <c r="I2891" t="s">
        <v>146</v>
      </c>
      <c r="J2891" t="s">
        <v>100</v>
      </c>
      <c r="K2891" t="s">
        <v>14893</v>
      </c>
      <c r="L2891">
        <v>0.1</v>
      </c>
      <c r="M2891" t="s">
        <v>14894</v>
      </c>
      <c r="N2891" t="s">
        <v>14895</v>
      </c>
      <c r="O2891" t="s">
        <v>64</v>
      </c>
      <c r="P2891" t="s">
        <v>30</v>
      </c>
      <c r="Q2891" t="s">
        <v>31</v>
      </c>
      <c r="R2891" s="3">
        <v>4315.3829999999998</v>
      </c>
    </row>
    <row r="2892" spans="1:18" x14ac:dyDescent="0.3">
      <c r="A2892" t="s">
        <v>14896</v>
      </c>
      <c r="B2892" t="str">
        <f>TEXT(Raw_Data[[#This Row],[Order Date]],"mmm")</f>
        <v>Nov</v>
      </c>
      <c r="C2892" t="s">
        <v>1009</v>
      </c>
      <c r="D2892" t="s">
        <v>14897</v>
      </c>
      <c r="E2892" t="s">
        <v>48</v>
      </c>
      <c r="F2892" t="s">
        <v>78</v>
      </c>
      <c r="G2892" t="s">
        <v>79</v>
      </c>
      <c r="H2892" t="s">
        <v>107</v>
      </c>
      <c r="I2892" t="s">
        <v>378</v>
      </c>
      <c r="J2892" t="s">
        <v>25</v>
      </c>
      <c r="K2892" t="s">
        <v>14898</v>
      </c>
      <c r="L2892">
        <v>0.05</v>
      </c>
      <c r="M2892" t="s">
        <v>14899</v>
      </c>
      <c r="N2892" t="s">
        <v>14900</v>
      </c>
      <c r="O2892" t="s">
        <v>29</v>
      </c>
      <c r="P2892" t="s">
        <v>30</v>
      </c>
      <c r="Q2892" t="s">
        <v>44</v>
      </c>
      <c r="R2892" s="3">
        <v>16162.6539999999</v>
      </c>
    </row>
    <row r="2893" spans="1:18" x14ac:dyDescent="0.3">
      <c r="A2893" t="s">
        <v>14901</v>
      </c>
      <c r="B2893" t="str">
        <f>TEXT(Raw_Data[[#This Row],[Order Date]],"mmm")</f>
        <v>Apr</v>
      </c>
      <c r="C2893" t="s">
        <v>4059</v>
      </c>
      <c r="D2893" t="s">
        <v>14902</v>
      </c>
      <c r="E2893" t="s">
        <v>48</v>
      </c>
      <c r="F2893" t="s">
        <v>78</v>
      </c>
      <c r="G2893" t="s">
        <v>731</v>
      </c>
      <c r="H2893" t="s">
        <v>23</v>
      </c>
      <c r="I2893" t="s">
        <v>183</v>
      </c>
      <c r="J2893" t="s">
        <v>50</v>
      </c>
      <c r="K2893" t="s">
        <v>14903</v>
      </c>
      <c r="L2893">
        <v>0.15</v>
      </c>
      <c r="M2893" t="s">
        <v>14904</v>
      </c>
      <c r="N2893" t="s">
        <v>14905</v>
      </c>
      <c r="O2893" t="s">
        <v>43</v>
      </c>
      <c r="P2893" t="s">
        <v>30</v>
      </c>
      <c r="Q2893" t="s">
        <v>65</v>
      </c>
      <c r="R2893" s="3">
        <v>85461.634999999995</v>
      </c>
    </row>
    <row r="2894" spans="1:18" x14ac:dyDescent="0.3">
      <c r="A2894" t="s">
        <v>14906</v>
      </c>
      <c r="B2894" t="str">
        <f>TEXT(Raw_Data[[#This Row],[Order Date]],"mmm")</f>
        <v>Dec</v>
      </c>
      <c r="C2894" t="s">
        <v>573</v>
      </c>
      <c r="D2894" t="s">
        <v>14907</v>
      </c>
      <c r="E2894" t="s">
        <v>20</v>
      </c>
      <c r="F2894" t="s">
        <v>78</v>
      </c>
      <c r="G2894" t="s">
        <v>468</v>
      </c>
      <c r="H2894" t="s">
        <v>23</v>
      </c>
      <c r="I2894" t="s">
        <v>49</v>
      </c>
      <c r="J2894" t="s">
        <v>25</v>
      </c>
      <c r="K2894" t="s">
        <v>14908</v>
      </c>
      <c r="L2894">
        <v>0.15</v>
      </c>
      <c r="M2894" t="s">
        <v>14909</v>
      </c>
      <c r="N2894" t="s">
        <v>14910</v>
      </c>
      <c r="O2894" t="s">
        <v>54</v>
      </c>
      <c r="P2894" t="s">
        <v>30</v>
      </c>
      <c r="Q2894" t="s">
        <v>44</v>
      </c>
      <c r="R2894" s="3">
        <v>18885.64</v>
      </c>
    </row>
    <row r="2895" spans="1:18" x14ac:dyDescent="0.3">
      <c r="A2895" t="s">
        <v>14911</v>
      </c>
      <c r="B2895" t="str">
        <f>TEXT(Raw_Data[[#This Row],[Order Date]],"mmm")</f>
        <v>Dec</v>
      </c>
      <c r="C2895" t="s">
        <v>573</v>
      </c>
      <c r="D2895" t="s">
        <v>14912</v>
      </c>
      <c r="E2895" t="s">
        <v>20</v>
      </c>
      <c r="F2895" t="s">
        <v>36</v>
      </c>
      <c r="G2895" t="s">
        <v>414</v>
      </c>
      <c r="H2895" t="s">
        <v>38</v>
      </c>
      <c r="I2895" t="s">
        <v>223</v>
      </c>
      <c r="J2895" t="s">
        <v>25</v>
      </c>
      <c r="K2895" t="s">
        <v>14913</v>
      </c>
      <c r="L2895">
        <v>0.1</v>
      </c>
      <c r="M2895" t="s">
        <v>14914</v>
      </c>
      <c r="N2895" t="s">
        <v>14915</v>
      </c>
      <c r="O2895" t="s">
        <v>64</v>
      </c>
      <c r="P2895" t="s">
        <v>112</v>
      </c>
      <c r="Q2895" t="s">
        <v>31</v>
      </c>
      <c r="R2895" s="3">
        <v>4102.3890000000001</v>
      </c>
    </row>
    <row r="2896" spans="1:18" x14ac:dyDescent="0.3">
      <c r="A2896" t="s">
        <v>14916</v>
      </c>
      <c r="B2896" t="str">
        <f>TEXT(Raw_Data[[#This Row],[Order Date]],"mmm")</f>
        <v>Jul</v>
      </c>
      <c r="C2896" t="s">
        <v>3949</v>
      </c>
      <c r="D2896" t="s">
        <v>14917</v>
      </c>
      <c r="E2896" t="s">
        <v>20</v>
      </c>
      <c r="F2896" t="s">
        <v>69</v>
      </c>
      <c r="G2896" t="s">
        <v>70</v>
      </c>
      <c r="H2896" t="s">
        <v>107</v>
      </c>
      <c r="I2896" t="s">
        <v>469</v>
      </c>
      <c r="J2896" t="s">
        <v>25</v>
      </c>
      <c r="K2896" t="s">
        <v>14918</v>
      </c>
      <c r="L2896">
        <v>0.05</v>
      </c>
      <c r="M2896" t="s">
        <v>14919</v>
      </c>
      <c r="N2896" t="s">
        <v>14920</v>
      </c>
      <c r="O2896" t="s">
        <v>29</v>
      </c>
      <c r="P2896" t="s">
        <v>30</v>
      </c>
      <c r="Q2896" t="s">
        <v>44</v>
      </c>
      <c r="R2896" s="3">
        <v>11183.4569999999</v>
      </c>
    </row>
    <row r="2897" spans="1:18" x14ac:dyDescent="0.3">
      <c r="A2897" t="s">
        <v>14921</v>
      </c>
      <c r="B2897" t="str">
        <f>TEXT(Raw_Data[[#This Row],[Order Date]],"mmm")</f>
        <v>Apr</v>
      </c>
      <c r="C2897" t="s">
        <v>5341</v>
      </c>
      <c r="D2897" t="s">
        <v>14922</v>
      </c>
      <c r="E2897" t="s">
        <v>20</v>
      </c>
      <c r="F2897" t="s">
        <v>21</v>
      </c>
      <c r="G2897" t="s">
        <v>130</v>
      </c>
      <c r="H2897" t="s">
        <v>154</v>
      </c>
      <c r="I2897" t="s">
        <v>237</v>
      </c>
      <c r="J2897" t="s">
        <v>82</v>
      </c>
      <c r="K2897" t="s">
        <v>14923</v>
      </c>
      <c r="L2897">
        <v>0</v>
      </c>
      <c r="M2897" t="s">
        <v>14924</v>
      </c>
      <c r="N2897" t="s">
        <v>14925</v>
      </c>
      <c r="O2897" t="s">
        <v>29</v>
      </c>
      <c r="P2897" t="s">
        <v>159</v>
      </c>
      <c r="Q2897" t="s">
        <v>65</v>
      </c>
      <c r="R2897" s="3">
        <v>37300.800000000003</v>
      </c>
    </row>
    <row r="2898" spans="1:18" x14ac:dyDescent="0.3">
      <c r="A2898" t="s">
        <v>14926</v>
      </c>
      <c r="B2898" t="str">
        <f>TEXT(Raw_Data[[#This Row],[Order Date]],"mmm")</f>
        <v>Nov</v>
      </c>
      <c r="C2898" t="s">
        <v>1198</v>
      </c>
      <c r="D2898" t="s">
        <v>14927</v>
      </c>
      <c r="E2898" t="s">
        <v>48</v>
      </c>
      <c r="F2898" t="s">
        <v>78</v>
      </c>
      <c r="G2898" t="s">
        <v>79</v>
      </c>
      <c r="H2898" t="s">
        <v>23</v>
      </c>
      <c r="I2898" t="s">
        <v>183</v>
      </c>
      <c r="J2898" t="s">
        <v>50</v>
      </c>
      <c r="K2898" t="s">
        <v>14928</v>
      </c>
      <c r="L2898">
        <v>0.05</v>
      </c>
      <c r="M2898" t="s">
        <v>14929</v>
      </c>
      <c r="N2898" t="s">
        <v>14930</v>
      </c>
      <c r="O2898" t="s">
        <v>43</v>
      </c>
      <c r="P2898" t="s">
        <v>159</v>
      </c>
      <c r="Q2898" t="s">
        <v>31</v>
      </c>
      <c r="R2898" s="3">
        <v>66919.462999999902</v>
      </c>
    </row>
    <row r="2899" spans="1:18" x14ac:dyDescent="0.3">
      <c r="A2899" t="s">
        <v>14931</v>
      </c>
      <c r="B2899" t="str">
        <f>TEXT(Raw_Data[[#This Row],[Order Date]],"mmm")</f>
        <v>Dec</v>
      </c>
      <c r="C2899" t="s">
        <v>3180</v>
      </c>
      <c r="D2899" t="s">
        <v>14932</v>
      </c>
      <c r="E2899" t="s">
        <v>48</v>
      </c>
      <c r="F2899" t="s">
        <v>36</v>
      </c>
      <c r="G2899" t="s">
        <v>123</v>
      </c>
      <c r="H2899" t="s">
        <v>107</v>
      </c>
      <c r="I2899" t="s">
        <v>591</v>
      </c>
      <c r="J2899" t="s">
        <v>100</v>
      </c>
      <c r="K2899" t="s">
        <v>14933</v>
      </c>
      <c r="L2899">
        <v>0.15</v>
      </c>
      <c r="M2899" t="s">
        <v>14934</v>
      </c>
      <c r="N2899" t="s">
        <v>14935</v>
      </c>
      <c r="O2899" t="s">
        <v>54</v>
      </c>
      <c r="P2899" t="s">
        <v>30</v>
      </c>
      <c r="Q2899" t="s">
        <v>65</v>
      </c>
      <c r="R2899" s="3">
        <v>35273.869500000001</v>
      </c>
    </row>
    <row r="2900" spans="1:18" x14ac:dyDescent="0.3">
      <c r="A2900" t="s">
        <v>14936</v>
      </c>
      <c r="B2900" t="str">
        <f>TEXT(Raw_Data[[#This Row],[Order Date]],"mmm")</f>
        <v>Sep</v>
      </c>
      <c r="C2900" t="s">
        <v>618</v>
      </c>
      <c r="D2900" t="s">
        <v>14937</v>
      </c>
      <c r="E2900" t="s">
        <v>35</v>
      </c>
      <c r="F2900" t="s">
        <v>106</v>
      </c>
      <c r="G2900" t="s">
        <v>106</v>
      </c>
      <c r="H2900" t="s">
        <v>38</v>
      </c>
      <c r="I2900" t="s">
        <v>223</v>
      </c>
      <c r="J2900" t="s">
        <v>25</v>
      </c>
      <c r="K2900" t="s">
        <v>14938</v>
      </c>
      <c r="L2900">
        <v>0.1</v>
      </c>
      <c r="M2900" t="s">
        <v>14939</v>
      </c>
      <c r="N2900" t="s">
        <v>14940</v>
      </c>
      <c r="O2900" t="s">
        <v>54</v>
      </c>
      <c r="P2900" t="s">
        <v>30</v>
      </c>
      <c r="Q2900" t="s">
        <v>31</v>
      </c>
      <c r="R2900" s="3">
        <v>3164.877</v>
      </c>
    </row>
    <row r="2901" spans="1:18" x14ac:dyDescent="0.3">
      <c r="A2901" t="s">
        <v>14941</v>
      </c>
      <c r="B2901" t="str">
        <f>TEXT(Raw_Data[[#This Row],[Order Date]],"mmm")</f>
        <v>Dec</v>
      </c>
      <c r="C2901" t="s">
        <v>1319</v>
      </c>
      <c r="D2901" t="s">
        <v>14942</v>
      </c>
      <c r="E2901" t="s">
        <v>48</v>
      </c>
      <c r="F2901" t="s">
        <v>58</v>
      </c>
      <c r="G2901" t="s">
        <v>290</v>
      </c>
      <c r="H2901" t="s">
        <v>23</v>
      </c>
      <c r="I2901" t="s">
        <v>24</v>
      </c>
      <c r="J2901" t="s">
        <v>25</v>
      </c>
      <c r="K2901" t="s">
        <v>14943</v>
      </c>
      <c r="L2901">
        <v>0</v>
      </c>
      <c r="M2901" t="s">
        <v>14944</v>
      </c>
      <c r="N2901" t="s">
        <v>14945</v>
      </c>
      <c r="O2901" t="s">
        <v>54</v>
      </c>
      <c r="P2901" t="s">
        <v>30</v>
      </c>
      <c r="Q2901" t="s">
        <v>65</v>
      </c>
      <c r="R2901" s="3">
        <v>14826.51</v>
      </c>
    </row>
    <row r="2902" spans="1:18" x14ac:dyDescent="0.3">
      <c r="A2902" t="s">
        <v>14946</v>
      </c>
      <c r="B2902" t="str">
        <f>TEXT(Raw_Data[[#This Row],[Order Date]],"mmm")</f>
        <v>Jun</v>
      </c>
      <c r="C2902" t="s">
        <v>2758</v>
      </c>
      <c r="D2902" t="s">
        <v>14947</v>
      </c>
      <c r="E2902" t="s">
        <v>20</v>
      </c>
      <c r="F2902" t="s">
        <v>78</v>
      </c>
      <c r="G2902" t="s">
        <v>731</v>
      </c>
      <c r="H2902" t="s">
        <v>154</v>
      </c>
      <c r="I2902" t="s">
        <v>365</v>
      </c>
      <c r="J2902" t="s">
        <v>25</v>
      </c>
      <c r="K2902" t="s">
        <v>14948</v>
      </c>
      <c r="L2902">
        <v>0.1</v>
      </c>
      <c r="M2902" t="s">
        <v>14949</v>
      </c>
      <c r="N2902" t="s">
        <v>14950</v>
      </c>
      <c r="O2902" t="s">
        <v>173</v>
      </c>
      <c r="P2902" t="s">
        <v>30</v>
      </c>
      <c r="Q2902" t="s">
        <v>31</v>
      </c>
      <c r="R2902" s="3">
        <v>1546.0920000000001</v>
      </c>
    </row>
    <row r="2903" spans="1:18" x14ac:dyDescent="0.3">
      <c r="A2903" t="s">
        <v>14951</v>
      </c>
      <c r="B2903" t="str">
        <f>TEXT(Raw_Data[[#This Row],[Order Date]],"mmm")</f>
        <v>Jun</v>
      </c>
      <c r="C2903" t="s">
        <v>3514</v>
      </c>
      <c r="D2903" t="s">
        <v>14952</v>
      </c>
      <c r="E2903" t="s">
        <v>35</v>
      </c>
      <c r="F2903" t="s">
        <v>69</v>
      </c>
      <c r="G2903" t="s">
        <v>70</v>
      </c>
      <c r="H2903" t="s">
        <v>80</v>
      </c>
      <c r="I2903" t="s">
        <v>131</v>
      </c>
      <c r="J2903" t="s">
        <v>25</v>
      </c>
      <c r="K2903" t="s">
        <v>14953</v>
      </c>
      <c r="L2903">
        <v>0.15</v>
      </c>
      <c r="M2903" t="s">
        <v>14954</v>
      </c>
      <c r="N2903" t="s">
        <v>14955</v>
      </c>
      <c r="O2903" t="s">
        <v>43</v>
      </c>
      <c r="P2903" t="s">
        <v>30</v>
      </c>
      <c r="Q2903" t="s">
        <v>65</v>
      </c>
      <c r="R2903" s="3">
        <v>2072.3085000000001</v>
      </c>
    </row>
    <row r="2904" spans="1:18" x14ac:dyDescent="0.3">
      <c r="A2904" t="s">
        <v>14956</v>
      </c>
      <c r="B2904" t="str">
        <f>TEXT(Raw_Data[[#This Row],[Order Date]],"mmm")</f>
        <v>Mar</v>
      </c>
      <c r="C2904" t="s">
        <v>56</v>
      </c>
      <c r="D2904" t="s">
        <v>14957</v>
      </c>
      <c r="E2904" t="s">
        <v>48</v>
      </c>
      <c r="F2904" t="s">
        <v>89</v>
      </c>
      <c r="G2904" t="s">
        <v>99</v>
      </c>
      <c r="H2904" t="s">
        <v>107</v>
      </c>
      <c r="I2904" t="s">
        <v>378</v>
      </c>
      <c r="J2904" t="s">
        <v>25</v>
      </c>
      <c r="K2904" t="s">
        <v>14958</v>
      </c>
      <c r="L2904">
        <v>0.1</v>
      </c>
      <c r="M2904" t="s">
        <v>14959</v>
      </c>
      <c r="N2904" t="s">
        <v>14960</v>
      </c>
      <c r="O2904" t="s">
        <v>29</v>
      </c>
      <c r="P2904" t="s">
        <v>112</v>
      </c>
      <c r="Q2904" t="s">
        <v>65</v>
      </c>
      <c r="R2904" s="3">
        <v>6304.6530000000002</v>
      </c>
    </row>
    <row r="2905" spans="1:18" x14ac:dyDescent="0.3">
      <c r="A2905" t="s">
        <v>14961</v>
      </c>
      <c r="B2905" t="str">
        <f>TEXT(Raw_Data[[#This Row],[Order Date]],"mmm")</f>
        <v>Jun</v>
      </c>
      <c r="C2905" t="s">
        <v>466</v>
      </c>
      <c r="D2905" t="s">
        <v>14962</v>
      </c>
      <c r="E2905" t="s">
        <v>35</v>
      </c>
      <c r="F2905" t="s">
        <v>69</v>
      </c>
      <c r="G2905" t="s">
        <v>139</v>
      </c>
      <c r="H2905" t="s">
        <v>107</v>
      </c>
      <c r="I2905" t="s">
        <v>469</v>
      </c>
      <c r="J2905" t="s">
        <v>25</v>
      </c>
      <c r="K2905" t="s">
        <v>14963</v>
      </c>
      <c r="L2905">
        <v>0.05</v>
      </c>
      <c r="M2905" t="s">
        <v>14964</v>
      </c>
      <c r="N2905" t="s">
        <v>14965</v>
      </c>
      <c r="O2905" t="s">
        <v>54</v>
      </c>
      <c r="P2905" t="s">
        <v>30</v>
      </c>
      <c r="Q2905" t="s">
        <v>65</v>
      </c>
      <c r="R2905" s="3">
        <v>15297.897499999999</v>
      </c>
    </row>
    <row r="2906" spans="1:18" x14ac:dyDescent="0.3">
      <c r="A2906" t="s">
        <v>14966</v>
      </c>
      <c r="B2906" t="str">
        <f>TEXT(Raw_Data[[#This Row],[Order Date]],"mmm")</f>
        <v>Mar</v>
      </c>
      <c r="C2906" t="s">
        <v>1915</v>
      </c>
      <c r="D2906" t="s">
        <v>14967</v>
      </c>
      <c r="E2906" t="s">
        <v>20</v>
      </c>
      <c r="F2906" t="s">
        <v>36</v>
      </c>
      <c r="G2906" t="s">
        <v>196</v>
      </c>
      <c r="H2906" t="s">
        <v>38</v>
      </c>
      <c r="I2906" t="s">
        <v>71</v>
      </c>
      <c r="J2906" t="s">
        <v>50</v>
      </c>
      <c r="K2906" t="s">
        <v>14968</v>
      </c>
      <c r="L2906">
        <v>0.2</v>
      </c>
      <c r="M2906" t="s">
        <v>14969</v>
      </c>
      <c r="N2906" t="s">
        <v>14970</v>
      </c>
      <c r="O2906" t="s">
        <v>64</v>
      </c>
      <c r="P2906" t="s">
        <v>30</v>
      </c>
      <c r="Q2906" t="s">
        <v>31</v>
      </c>
      <c r="R2906" s="3">
        <v>6019.0559999999996</v>
      </c>
    </row>
    <row r="2907" spans="1:18" x14ac:dyDescent="0.3">
      <c r="A2907" t="s">
        <v>14971</v>
      </c>
      <c r="B2907" t="str">
        <f>TEXT(Raw_Data[[#This Row],[Order Date]],"mmm")</f>
        <v>Mar</v>
      </c>
      <c r="C2907" t="s">
        <v>3669</v>
      </c>
      <c r="D2907" t="s">
        <v>14972</v>
      </c>
      <c r="E2907" t="s">
        <v>35</v>
      </c>
      <c r="F2907" t="s">
        <v>69</v>
      </c>
      <c r="G2907" t="s">
        <v>139</v>
      </c>
      <c r="H2907" t="s">
        <v>23</v>
      </c>
      <c r="I2907" t="s">
        <v>24</v>
      </c>
      <c r="J2907" t="s">
        <v>82</v>
      </c>
      <c r="K2907" t="s">
        <v>14973</v>
      </c>
      <c r="L2907">
        <v>0.05</v>
      </c>
      <c r="M2907" t="s">
        <v>14974</v>
      </c>
      <c r="N2907" t="s">
        <v>14975</v>
      </c>
      <c r="O2907" t="s">
        <v>173</v>
      </c>
      <c r="P2907" t="s">
        <v>30</v>
      </c>
      <c r="Q2907" t="s">
        <v>31</v>
      </c>
      <c r="R2907" s="3">
        <v>75321.89</v>
      </c>
    </row>
    <row r="2908" spans="1:18" x14ac:dyDescent="0.3">
      <c r="A2908" t="s">
        <v>14976</v>
      </c>
      <c r="B2908" t="str">
        <f>TEXT(Raw_Data[[#This Row],[Order Date]],"mmm")</f>
        <v>May</v>
      </c>
      <c r="C2908" t="s">
        <v>301</v>
      </c>
      <c r="D2908" t="s">
        <v>14977</v>
      </c>
      <c r="E2908" t="s">
        <v>35</v>
      </c>
      <c r="F2908" t="s">
        <v>215</v>
      </c>
      <c r="G2908" t="s">
        <v>216</v>
      </c>
      <c r="H2908" t="s">
        <v>107</v>
      </c>
      <c r="I2908" t="s">
        <v>277</v>
      </c>
      <c r="J2908" t="s">
        <v>100</v>
      </c>
      <c r="K2908" t="s">
        <v>14978</v>
      </c>
      <c r="L2908">
        <v>0.2</v>
      </c>
      <c r="M2908" t="s">
        <v>14979</v>
      </c>
      <c r="N2908" t="s">
        <v>14980</v>
      </c>
      <c r="O2908" t="s">
        <v>64</v>
      </c>
      <c r="P2908" t="s">
        <v>30</v>
      </c>
      <c r="Q2908" t="s">
        <v>44</v>
      </c>
      <c r="R2908" s="3">
        <v>41664.023999999998</v>
      </c>
    </row>
    <row r="2909" spans="1:18" x14ac:dyDescent="0.3">
      <c r="A2909" t="s">
        <v>14981</v>
      </c>
      <c r="B2909" t="str">
        <f>TEXT(Raw_Data[[#This Row],[Order Date]],"mmm")</f>
        <v>Nov</v>
      </c>
      <c r="C2909" t="s">
        <v>3696</v>
      </c>
      <c r="D2909" t="s">
        <v>14982</v>
      </c>
      <c r="E2909" t="s">
        <v>48</v>
      </c>
      <c r="F2909" t="s">
        <v>58</v>
      </c>
      <c r="G2909" t="s">
        <v>59</v>
      </c>
      <c r="H2909" t="s">
        <v>23</v>
      </c>
      <c r="I2909" t="s">
        <v>341</v>
      </c>
      <c r="J2909" t="s">
        <v>100</v>
      </c>
      <c r="K2909" t="s">
        <v>14983</v>
      </c>
      <c r="L2909">
        <v>0.2</v>
      </c>
      <c r="M2909" t="s">
        <v>14984</v>
      </c>
      <c r="N2909" t="s">
        <v>14985</v>
      </c>
      <c r="O2909" t="s">
        <v>29</v>
      </c>
      <c r="P2909" t="s">
        <v>30</v>
      </c>
      <c r="Q2909" t="s">
        <v>65</v>
      </c>
      <c r="R2909" s="3">
        <v>89758.728000000003</v>
      </c>
    </row>
    <row r="2910" spans="1:18" x14ac:dyDescent="0.3">
      <c r="A2910" t="s">
        <v>14986</v>
      </c>
      <c r="B2910" t="str">
        <f>TEXT(Raw_Data[[#This Row],[Order Date]],"mmm")</f>
        <v>Sep</v>
      </c>
      <c r="C2910" t="s">
        <v>7865</v>
      </c>
      <c r="D2910" t="s">
        <v>14987</v>
      </c>
      <c r="E2910" t="s">
        <v>20</v>
      </c>
      <c r="F2910" t="s">
        <v>69</v>
      </c>
      <c r="G2910" t="s">
        <v>328</v>
      </c>
      <c r="H2910" t="s">
        <v>23</v>
      </c>
      <c r="I2910" t="s">
        <v>183</v>
      </c>
      <c r="J2910" t="s">
        <v>50</v>
      </c>
      <c r="K2910" t="s">
        <v>14988</v>
      </c>
      <c r="L2910">
        <v>0.15</v>
      </c>
      <c r="M2910" t="s">
        <v>14989</v>
      </c>
      <c r="N2910" t="s">
        <v>14990</v>
      </c>
      <c r="O2910" t="s">
        <v>43</v>
      </c>
      <c r="P2910" t="s">
        <v>30</v>
      </c>
      <c r="Q2910" t="s">
        <v>31</v>
      </c>
      <c r="R2910" s="3">
        <v>115529.96</v>
      </c>
    </row>
    <row r="2911" spans="1:18" x14ac:dyDescent="0.3">
      <c r="A2911" t="s">
        <v>14991</v>
      </c>
      <c r="B2911" t="str">
        <f>TEXT(Raw_Data[[#This Row],[Order Date]],"mmm")</f>
        <v>Feb</v>
      </c>
      <c r="C2911" t="s">
        <v>3331</v>
      </c>
      <c r="D2911" t="s">
        <v>14992</v>
      </c>
      <c r="E2911" t="s">
        <v>35</v>
      </c>
      <c r="F2911" t="s">
        <v>78</v>
      </c>
      <c r="G2911" t="s">
        <v>731</v>
      </c>
      <c r="H2911" t="s">
        <v>80</v>
      </c>
      <c r="I2911" t="s">
        <v>91</v>
      </c>
      <c r="J2911" t="s">
        <v>25</v>
      </c>
      <c r="K2911" t="s">
        <v>14993</v>
      </c>
      <c r="L2911">
        <v>0</v>
      </c>
      <c r="M2911" t="s">
        <v>14994</v>
      </c>
      <c r="N2911" t="s">
        <v>14995</v>
      </c>
      <c r="O2911" t="s">
        <v>64</v>
      </c>
      <c r="P2911" t="s">
        <v>95</v>
      </c>
      <c r="Q2911" t="s">
        <v>65</v>
      </c>
      <c r="R2911" s="3">
        <v>6082.42</v>
      </c>
    </row>
    <row r="2912" spans="1:18" x14ac:dyDescent="0.3">
      <c r="A2912" t="s">
        <v>14996</v>
      </c>
      <c r="B2912" t="str">
        <f>TEXT(Raw_Data[[#This Row],[Order Date]],"mmm")</f>
        <v>Oct</v>
      </c>
      <c r="C2912" t="s">
        <v>1991</v>
      </c>
      <c r="D2912" t="s">
        <v>14997</v>
      </c>
      <c r="E2912" t="s">
        <v>48</v>
      </c>
      <c r="F2912" t="s">
        <v>69</v>
      </c>
      <c r="G2912" t="s">
        <v>70</v>
      </c>
      <c r="H2912" t="s">
        <v>107</v>
      </c>
      <c r="I2912" t="s">
        <v>108</v>
      </c>
      <c r="J2912" t="s">
        <v>25</v>
      </c>
      <c r="K2912" t="s">
        <v>14998</v>
      </c>
      <c r="L2912">
        <v>0.15</v>
      </c>
      <c r="M2912" t="s">
        <v>14999</v>
      </c>
      <c r="N2912" t="s">
        <v>15000</v>
      </c>
      <c r="O2912" t="s">
        <v>43</v>
      </c>
      <c r="P2912" t="s">
        <v>30</v>
      </c>
      <c r="Q2912" t="s">
        <v>44</v>
      </c>
      <c r="R2912" s="3">
        <v>4070.0124999999998</v>
      </c>
    </row>
    <row r="2913" spans="1:18" x14ac:dyDescent="0.3">
      <c r="A2913" t="s">
        <v>15001</v>
      </c>
      <c r="B2913" t="str">
        <f>TEXT(Raw_Data[[#This Row],[Order Date]],"mmm")</f>
        <v>Jun</v>
      </c>
      <c r="C2913" t="s">
        <v>3993</v>
      </c>
      <c r="D2913" t="s">
        <v>15002</v>
      </c>
      <c r="E2913" t="s">
        <v>35</v>
      </c>
      <c r="F2913" t="s">
        <v>89</v>
      </c>
      <c r="G2913" t="s">
        <v>90</v>
      </c>
      <c r="H2913" t="s">
        <v>107</v>
      </c>
      <c r="I2913" t="s">
        <v>277</v>
      </c>
      <c r="J2913" t="s">
        <v>100</v>
      </c>
      <c r="K2913" t="s">
        <v>15003</v>
      </c>
      <c r="L2913">
        <v>0.15</v>
      </c>
      <c r="M2913" t="s">
        <v>15004</v>
      </c>
      <c r="N2913" t="s">
        <v>15005</v>
      </c>
      <c r="O2913" t="s">
        <v>2763</v>
      </c>
      <c r="P2913" t="s">
        <v>30</v>
      </c>
      <c r="Q2913" t="s">
        <v>65</v>
      </c>
      <c r="R2913" s="3">
        <v>28738.550999999901</v>
      </c>
    </row>
    <row r="2914" spans="1:18" x14ac:dyDescent="0.3">
      <c r="A2914" t="s">
        <v>15006</v>
      </c>
      <c r="B2914" t="str">
        <f>TEXT(Raw_Data[[#This Row],[Order Date]],"mmm")</f>
        <v>Mar</v>
      </c>
      <c r="C2914" t="s">
        <v>2180</v>
      </c>
      <c r="D2914" t="s">
        <v>15007</v>
      </c>
      <c r="E2914" t="s">
        <v>20</v>
      </c>
      <c r="F2914" t="s">
        <v>36</v>
      </c>
      <c r="G2914" t="s">
        <v>196</v>
      </c>
      <c r="H2914" t="s">
        <v>23</v>
      </c>
      <c r="I2914" t="s">
        <v>24</v>
      </c>
      <c r="J2914" t="s">
        <v>25</v>
      </c>
      <c r="K2914" t="s">
        <v>15008</v>
      </c>
      <c r="L2914">
        <v>0.15</v>
      </c>
      <c r="M2914" t="s">
        <v>15009</v>
      </c>
      <c r="N2914" t="s">
        <v>15010</v>
      </c>
      <c r="O2914" t="s">
        <v>43</v>
      </c>
      <c r="P2914" t="s">
        <v>30</v>
      </c>
      <c r="Q2914" t="s">
        <v>31</v>
      </c>
      <c r="R2914" s="3">
        <v>29356.824000000001</v>
      </c>
    </row>
    <row r="2915" spans="1:18" x14ac:dyDescent="0.3">
      <c r="A2915" t="s">
        <v>15011</v>
      </c>
      <c r="B2915" t="str">
        <f>TEXT(Raw_Data[[#This Row],[Order Date]],"mmm")</f>
        <v>Jun</v>
      </c>
      <c r="C2915" t="s">
        <v>370</v>
      </c>
      <c r="D2915" t="s">
        <v>15012</v>
      </c>
      <c r="E2915" t="s">
        <v>35</v>
      </c>
      <c r="F2915" t="s">
        <v>215</v>
      </c>
      <c r="G2915" t="s">
        <v>276</v>
      </c>
      <c r="H2915" t="s">
        <v>80</v>
      </c>
      <c r="I2915" t="s">
        <v>81</v>
      </c>
      <c r="J2915" t="s">
        <v>25</v>
      </c>
      <c r="K2915" t="s">
        <v>15013</v>
      </c>
      <c r="L2915">
        <v>0.2</v>
      </c>
      <c r="M2915" t="s">
        <v>15014</v>
      </c>
      <c r="N2915" t="s">
        <v>15015</v>
      </c>
      <c r="O2915" t="s">
        <v>54</v>
      </c>
      <c r="P2915" t="s">
        <v>112</v>
      </c>
      <c r="Q2915" t="s">
        <v>44</v>
      </c>
      <c r="R2915" s="3">
        <v>3747.752</v>
      </c>
    </row>
    <row r="2916" spans="1:18" x14ac:dyDescent="0.3">
      <c r="A2916" t="s">
        <v>15016</v>
      </c>
      <c r="B2916" t="str">
        <f>TEXT(Raw_Data[[#This Row],[Order Date]],"mmm")</f>
        <v>Nov</v>
      </c>
      <c r="C2916" t="s">
        <v>4206</v>
      </c>
      <c r="D2916" t="s">
        <v>15017</v>
      </c>
      <c r="E2916" t="s">
        <v>20</v>
      </c>
      <c r="F2916" t="s">
        <v>106</v>
      </c>
      <c r="G2916" t="s">
        <v>163</v>
      </c>
      <c r="H2916" t="s">
        <v>154</v>
      </c>
      <c r="I2916" t="s">
        <v>1061</v>
      </c>
      <c r="J2916" t="s">
        <v>50</v>
      </c>
      <c r="K2916" t="s">
        <v>15018</v>
      </c>
      <c r="L2916">
        <v>0</v>
      </c>
      <c r="M2916" t="s">
        <v>15019</v>
      </c>
      <c r="N2916" t="s">
        <v>15020</v>
      </c>
      <c r="O2916" t="s">
        <v>54</v>
      </c>
      <c r="P2916" t="s">
        <v>30</v>
      </c>
      <c r="Q2916" t="s">
        <v>65</v>
      </c>
      <c r="R2916" s="3">
        <v>20562.88</v>
      </c>
    </row>
    <row r="2917" spans="1:18" x14ac:dyDescent="0.3">
      <c r="A2917" t="s">
        <v>15021</v>
      </c>
      <c r="B2917" t="str">
        <f>TEXT(Raw_Data[[#This Row],[Order Date]],"mmm")</f>
        <v>Apr</v>
      </c>
      <c r="C2917" t="s">
        <v>3090</v>
      </c>
      <c r="D2917" t="s">
        <v>15022</v>
      </c>
      <c r="E2917" t="s">
        <v>20</v>
      </c>
      <c r="F2917" t="s">
        <v>58</v>
      </c>
      <c r="G2917" t="s">
        <v>812</v>
      </c>
      <c r="H2917" t="s">
        <v>23</v>
      </c>
      <c r="I2917" t="s">
        <v>24</v>
      </c>
      <c r="J2917" t="s">
        <v>25</v>
      </c>
      <c r="K2917" t="s">
        <v>15023</v>
      </c>
      <c r="L2917">
        <v>0.2</v>
      </c>
      <c r="M2917" t="s">
        <v>15024</v>
      </c>
      <c r="N2917" t="s">
        <v>15025</v>
      </c>
      <c r="O2917" t="s">
        <v>43</v>
      </c>
      <c r="P2917" t="s">
        <v>30</v>
      </c>
      <c r="Q2917" t="s">
        <v>65</v>
      </c>
      <c r="R2917" s="3">
        <v>33131.360000000001</v>
      </c>
    </row>
    <row r="2918" spans="1:18" x14ac:dyDescent="0.3">
      <c r="A2918" t="s">
        <v>15026</v>
      </c>
      <c r="B2918" t="str">
        <f>TEXT(Raw_Data[[#This Row],[Order Date]],"mmm")</f>
        <v>Mar</v>
      </c>
      <c r="C2918" t="s">
        <v>2959</v>
      </c>
      <c r="D2918" t="s">
        <v>15027</v>
      </c>
      <c r="E2918" t="s">
        <v>20</v>
      </c>
      <c r="F2918" t="s">
        <v>21</v>
      </c>
      <c r="G2918" t="s">
        <v>130</v>
      </c>
      <c r="H2918" t="s">
        <v>107</v>
      </c>
      <c r="I2918" t="s">
        <v>277</v>
      </c>
      <c r="J2918" t="s">
        <v>100</v>
      </c>
      <c r="K2918" t="s">
        <v>15028</v>
      </c>
      <c r="L2918">
        <v>0.1</v>
      </c>
      <c r="M2918" t="s">
        <v>15029</v>
      </c>
      <c r="N2918" t="s">
        <v>15030</v>
      </c>
      <c r="O2918" t="s">
        <v>64</v>
      </c>
      <c r="P2918" t="s">
        <v>159</v>
      </c>
      <c r="Q2918" t="s">
        <v>31</v>
      </c>
      <c r="R2918" s="3">
        <v>24768.936000000002</v>
      </c>
    </row>
    <row r="2919" spans="1:18" x14ac:dyDescent="0.3">
      <c r="A2919" t="s">
        <v>15031</v>
      </c>
      <c r="B2919" t="str">
        <f>TEXT(Raw_Data[[#This Row],[Order Date]],"mmm")</f>
        <v>Apr</v>
      </c>
      <c r="C2919" t="s">
        <v>419</v>
      </c>
      <c r="D2919" t="s">
        <v>15032</v>
      </c>
      <c r="E2919" t="s">
        <v>48</v>
      </c>
      <c r="F2919" t="s">
        <v>106</v>
      </c>
      <c r="G2919" t="s">
        <v>106</v>
      </c>
      <c r="H2919" t="s">
        <v>107</v>
      </c>
      <c r="I2919" t="s">
        <v>469</v>
      </c>
      <c r="J2919" t="s">
        <v>50</v>
      </c>
      <c r="K2919" t="s">
        <v>15033</v>
      </c>
      <c r="L2919">
        <v>0.15</v>
      </c>
      <c r="M2919" t="s">
        <v>15034</v>
      </c>
      <c r="N2919" t="s">
        <v>15035</v>
      </c>
      <c r="O2919" t="s">
        <v>173</v>
      </c>
      <c r="P2919" t="s">
        <v>30</v>
      </c>
      <c r="Q2919" t="s">
        <v>65</v>
      </c>
      <c r="R2919" s="3">
        <v>2967.6559999999999</v>
      </c>
    </row>
    <row r="2920" spans="1:18" x14ac:dyDescent="0.3">
      <c r="A2920" t="s">
        <v>15036</v>
      </c>
      <c r="B2920" t="str">
        <f>TEXT(Raw_Data[[#This Row],[Order Date]],"mmm")</f>
        <v>Aug</v>
      </c>
      <c r="C2920" t="s">
        <v>2139</v>
      </c>
      <c r="D2920" t="s">
        <v>15037</v>
      </c>
      <c r="E2920" t="s">
        <v>20</v>
      </c>
      <c r="F2920" t="s">
        <v>21</v>
      </c>
      <c r="G2920" t="s">
        <v>22</v>
      </c>
      <c r="H2920" t="s">
        <v>107</v>
      </c>
      <c r="I2920" t="s">
        <v>277</v>
      </c>
      <c r="J2920" t="s">
        <v>25</v>
      </c>
      <c r="K2920" t="s">
        <v>15038</v>
      </c>
      <c r="L2920">
        <v>0.05</v>
      </c>
      <c r="M2920" t="s">
        <v>15039</v>
      </c>
      <c r="N2920" t="s">
        <v>15040</v>
      </c>
      <c r="O2920" t="s">
        <v>64</v>
      </c>
      <c r="P2920" t="s">
        <v>159</v>
      </c>
      <c r="Q2920" t="s">
        <v>65</v>
      </c>
      <c r="R2920" s="3">
        <v>2546.0095000000001</v>
      </c>
    </row>
    <row r="2921" spans="1:18" x14ac:dyDescent="0.3">
      <c r="A2921" t="s">
        <v>15041</v>
      </c>
      <c r="B2921" t="str">
        <f>TEXT(Raw_Data[[#This Row],[Order Date]],"mmm")</f>
        <v>Dec</v>
      </c>
      <c r="C2921" t="s">
        <v>573</v>
      </c>
      <c r="D2921" t="s">
        <v>15042</v>
      </c>
      <c r="E2921" t="s">
        <v>48</v>
      </c>
      <c r="F2921" t="s">
        <v>78</v>
      </c>
      <c r="G2921" t="s">
        <v>731</v>
      </c>
      <c r="H2921" t="s">
        <v>107</v>
      </c>
      <c r="I2921" t="s">
        <v>277</v>
      </c>
      <c r="J2921" t="s">
        <v>50</v>
      </c>
      <c r="K2921" t="s">
        <v>15043</v>
      </c>
      <c r="L2921">
        <v>0.1</v>
      </c>
      <c r="M2921" t="s">
        <v>15044</v>
      </c>
      <c r="N2921" t="s">
        <v>15045</v>
      </c>
      <c r="O2921" t="s">
        <v>54</v>
      </c>
      <c r="P2921" t="s">
        <v>30</v>
      </c>
      <c r="Q2921" t="s">
        <v>44</v>
      </c>
      <c r="R2921" s="3">
        <v>5625.63</v>
      </c>
    </row>
    <row r="2922" spans="1:18" x14ac:dyDescent="0.3">
      <c r="A2922" t="s">
        <v>15046</v>
      </c>
      <c r="B2922" t="str">
        <f>TEXT(Raw_Data[[#This Row],[Order Date]],"mmm")</f>
        <v>May</v>
      </c>
      <c r="C2922" t="s">
        <v>1533</v>
      </c>
      <c r="D2922" t="s">
        <v>15047</v>
      </c>
      <c r="E2922" t="s">
        <v>48</v>
      </c>
      <c r="F2922" t="s">
        <v>36</v>
      </c>
      <c r="G2922" t="s">
        <v>37</v>
      </c>
      <c r="H2922" t="s">
        <v>38</v>
      </c>
      <c r="I2922" t="s">
        <v>256</v>
      </c>
      <c r="J2922" t="s">
        <v>25</v>
      </c>
      <c r="K2922" t="s">
        <v>15048</v>
      </c>
      <c r="L2922">
        <v>0</v>
      </c>
      <c r="M2922" t="s">
        <v>15049</v>
      </c>
      <c r="N2922" t="s">
        <v>15050</v>
      </c>
      <c r="O2922" t="s">
        <v>43</v>
      </c>
      <c r="P2922" t="s">
        <v>30</v>
      </c>
      <c r="Q2922" t="s">
        <v>44</v>
      </c>
      <c r="R2922" s="3">
        <v>4609.6400000000003</v>
      </c>
    </row>
    <row r="2923" spans="1:18" x14ac:dyDescent="0.3">
      <c r="A2923" t="s">
        <v>15051</v>
      </c>
      <c r="B2923" t="str">
        <f>TEXT(Raw_Data[[#This Row],[Order Date]],"mmm")</f>
        <v>Apr</v>
      </c>
      <c r="C2923" t="s">
        <v>1448</v>
      </c>
      <c r="D2923" t="s">
        <v>15052</v>
      </c>
      <c r="E2923" t="s">
        <v>20</v>
      </c>
      <c r="F2923" t="s">
        <v>36</v>
      </c>
      <c r="G2923" t="s">
        <v>123</v>
      </c>
      <c r="H2923" t="s">
        <v>80</v>
      </c>
      <c r="I2923" t="s">
        <v>81</v>
      </c>
      <c r="J2923" t="s">
        <v>25</v>
      </c>
      <c r="K2923" t="s">
        <v>15053</v>
      </c>
      <c r="L2923">
        <v>0.05</v>
      </c>
      <c r="M2923" t="s">
        <v>15054</v>
      </c>
      <c r="N2923" t="s">
        <v>15055</v>
      </c>
      <c r="O2923" t="s">
        <v>64</v>
      </c>
      <c r="P2923" t="s">
        <v>30</v>
      </c>
      <c r="Q2923" t="s">
        <v>31</v>
      </c>
      <c r="R2923" s="3">
        <v>5620.5325000000003</v>
      </c>
    </row>
    <row r="2924" spans="1:18" x14ac:dyDescent="0.3">
      <c r="A2924" t="s">
        <v>15056</v>
      </c>
      <c r="B2924" t="str">
        <f>TEXT(Raw_Data[[#This Row],[Order Date]],"mmm")</f>
        <v>Jul</v>
      </c>
      <c r="C2924" t="s">
        <v>522</v>
      </c>
      <c r="D2924" t="s">
        <v>15057</v>
      </c>
      <c r="E2924" t="s">
        <v>35</v>
      </c>
      <c r="F2924" t="s">
        <v>69</v>
      </c>
      <c r="G2924" t="s">
        <v>70</v>
      </c>
      <c r="H2924" t="s">
        <v>154</v>
      </c>
      <c r="I2924" t="s">
        <v>365</v>
      </c>
      <c r="J2924" t="s">
        <v>25</v>
      </c>
      <c r="K2924" t="s">
        <v>15058</v>
      </c>
      <c r="L2924">
        <v>0.05</v>
      </c>
      <c r="M2924" t="s">
        <v>15059</v>
      </c>
      <c r="N2924" t="s">
        <v>15060</v>
      </c>
      <c r="O2924" t="s">
        <v>43</v>
      </c>
      <c r="P2924" t="s">
        <v>30</v>
      </c>
      <c r="Q2924" t="s">
        <v>31</v>
      </c>
      <c r="R2924" s="3">
        <v>5090.9740000000002</v>
      </c>
    </row>
    <row r="2925" spans="1:18" x14ac:dyDescent="0.3">
      <c r="A2925" t="s">
        <v>15061</v>
      </c>
      <c r="B2925" t="str">
        <f>TEXT(Raw_Data[[#This Row],[Order Date]],"mmm")</f>
        <v>Jun</v>
      </c>
      <c r="C2925" t="s">
        <v>764</v>
      </c>
      <c r="D2925" t="s">
        <v>15062</v>
      </c>
      <c r="E2925" t="s">
        <v>48</v>
      </c>
      <c r="F2925" t="s">
        <v>69</v>
      </c>
      <c r="G2925" t="s">
        <v>139</v>
      </c>
      <c r="H2925" t="s">
        <v>107</v>
      </c>
      <c r="I2925" t="s">
        <v>469</v>
      </c>
      <c r="J2925" t="s">
        <v>25</v>
      </c>
      <c r="K2925" t="s">
        <v>15063</v>
      </c>
      <c r="L2925">
        <v>0.1</v>
      </c>
      <c r="M2925" t="s">
        <v>15064</v>
      </c>
      <c r="N2925" t="s">
        <v>15065</v>
      </c>
      <c r="O2925" t="s">
        <v>173</v>
      </c>
      <c r="P2925" t="s">
        <v>30</v>
      </c>
      <c r="Q2925" t="s">
        <v>44</v>
      </c>
      <c r="R2925" s="3">
        <v>4307.3549999999996</v>
      </c>
    </row>
    <row r="2926" spans="1:18" x14ac:dyDescent="0.3">
      <c r="A2926" t="s">
        <v>15066</v>
      </c>
      <c r="B2926" t="str">
        <f>TEXT(Raw_Data[[#This Row],[Order Date]],"mmm")</f>
        <v>Jan</v>
      </c>
      <c r="C2926" t="s">
        <v>1949</v>
      </c>
      <c r="D2926" t="s">
        <v>15067</v>
      </c>
      <c r="E2926" t="s">
        <v>20</v>
      </c>
      <c r="F2926" t="s">
        <v>21</v>
      </c>
      <c r="G2926" t="s">
        <v>130</v>
      </c>
      <c r="H2926" t="s">
        <v>107</v>
      </c>
      <c r="I2926" t="s">
        <v>591</v>
      </c>
      <c r="J2926" t="s">
        <v>100</v>
      </c>
      <c r="K2926" t="s">
        <v>15068</v>
      </c>
      <c r="L2926">
        <v>0</v>
      </c>
      <c r="M2926" t="s">
        <v>15069</v>
      </c>
      <c r="N2926" t="s">
        <v>15070</v>
      </c>
      <c r="O2926" t="s">
        <v>29</v>
      </c>
      <c r="P2926" t="s">
        <v>30</v>
      </c>
      <c r="Q2926" t="s">
        <v>31</v>
      </c>
      <c r="R2926" s="3">
        <v>52547.1</v>
      </c>
    </row>
    <row r="2927" spans="1:18" x14ac:dyDescent="0.3">
      <c r="A2927" t="s">
        <v>15071</v>
      </c>
      <c r="B2927" t="str">
        <f>TEXT(Raw_Data[[#This Row],[Order Date]],"mmm")</f>
        <v>Jul</v>
      </c>
      <c r="C2927" t="s">
        <v>2992</v>
      </c>
      <c r="D2927" t="s">
        <v>15072</v>
      </c>
      <c r="E2927" t="s">
        <v>48</v>
      </c>
      <c r="F2927" t="s">
        <v>69</v>
      </c>
      <c r="G2927" t="s">
        <v>328</v>
      </c>
      <c r="H2927" t="s">
        <v>107</v>
      </c>
      <c r="I2927" t="s">
        <v>591</v>
      </c>
      <c r="J2927" t="s">
        <v>25</v>
      </c>
      <c r="K2927" t="s">
        <v>15073</v>
      </c>
      <c r="L2927">
        <v>0.1</v>
      </c>
      <c r="M2927" t="s">
        <v>15074</v>
      </c>
      <c r="N2927" t="s">
        <v>15075</v>
      </c>
      <c r="O2927" t="s">
        <v>64</v>
      </c>
      <c r="P2927" t="s">
        <v>30</v>
      </c>
      <c r="Q2927" t="s">
        <v>44</v>
      </c>
      <c r="R2927" s="3">
        <v>8560.6560000000009</v>
      </c>
    </row>
    <row r="2928" spans="1:18" x14ac:dyDescent="0.3">
      <c r="A2928" t="s">
        <v>15076</v>
      </c>
      <c r="B2928" t="str">
        <f>TEXT(Raw_Data[[#This Row],[Order Date]],"mmm")</f>
        <v>Jul</v>
      </c>
      <c r="C2928" t="s">
        <v>3916</v>
      </c>
      <c r="D2928" t="s">
        <v>15077</v>
      </c>
      <c r="E2928" t="s">
        <v>20</v>
      </c>
      <c r="F2928" t="s">
        <v>69</v>
      </c>
      <c r="G2928" t="s">
        <v>139</v>
      </c>
      <c r="H2928" t="s">
        <v>80</v>
      </c>
      <c r="I2928" t="s">
        <v>91</v>
      </c>
      <c r="J2928" t="s">
        <v>25</v>
      </c>
      <c r="K2928" t="s">
        <v>15078</v>
      </c>
      <c r="L2928">
        <v>0</v>
      </c>
      <c r="M2928" t="s">
        <v>15079</v>
      </c>
      <c r="N2928" t="s">
        <v>15080</v>
      </c>
      <c r="O2928" t="s">
        <v>54</v>
      </c>
      <c r="P2928" t="s">
        <v>30</v>
      </c>
      <c r="Q2928" t="s">
        <v>44</v>
      </c>
      <c r="R2928" s="3">
        <v>6234.67</v>
      </c>
    </row>
    <row r="2929" spans="1:18" x14ac:dyDescent="0.3">
      <c r="A2929" t="s">
        <v>15081</v>
      </c>
      <c r="B2929" t="str">
        <f>TEXT(Raw_Data[[#This Row],[Order Date]],"mmm")</f>
        <v>Mar</v>
      </c>
      <c r="C2929" t="s">
        <v>282</v>
      </c>
      <c r="D2929" t="s">
        <v>15082</v>
      </c>
      <c r="E2929" t="s">
        <v>48</v>
      </c>
      <c r="F2929" t="s">
        <v>78</v>
      </c>
      <c r="G2929" t="s">
        <v>731</v>
      </c>
      <c r="H2929" t="s">
        <v>107</v>
      </c>
      <c r="I2929" t="s">
        <v>591</v>
      </c>
      <c r="J2929" t="s">
        <v>25</v>
      </c>
      <c r="K2929" t="s">
        <v>15083</v>
      </c>
      <c r="L2929">
        <v>0.05</v>
      </c>
      <c r="M2929" t="s">
        <v>15084</v>
      </c>
      <c r="N2929" t="s">
        <v>15085</v>
      </c>
      <c r="O2929" t="s">
        <v>173</v>
      </c>
      <c r="P2929" t="s">
        <v>95</v>
      </c>
      <c r="Q2929" t="s">
        <v>44</v>
      </c>
      <c r="R2929" s="3">
        <v>14169.316499999901</v>
      </c>
    </row>
    <row r="2930" spans="1:18" x14ac:dyDescent="0.3">
      <c r="A2930" t="s">
        <v>15086</v>
      </c>
      <c r="B2930" t="str">
        <f>TEXT(Raw_Data[[#This Row],[Order Date]],"mmm")</f>
        <v>Apr</v>
      </c>
      <c r="C2930" t="s">
        <v>137</v>
      </c>
      <c r="D2930" t="s">
        <v>15087</v>
      </c>
      <c r="E2930" t="s">
        <v>48</v>
      </c>
      <c r="F2930" t="s">
        <v>58</v>
      </c>
      <c r="G2930" t="s">
        <v>812</v>
      </c>
      <c r="H2930" t="s">
        <v>154</v>
      </c>
      <c r="I2930" t="s">
        <v>237</v>
      </c>
      <c r="J2930" t="s">
        <v>50</v>
      </c>
      <c r="K2930" t="s">
        <v>15088</v>
      </c>
      <c r="L2930">
        <v>0.15</v>
      </c>
      <c r="M2930" t="s">
        <v>15089</v>
      </c>
      <c r="N2930" t="s">
        <v>15090</v>
      </c>
      <c r="O2930" t="s">
        <v>54</v>
      </c>
      <c r="P2930" t="s">
        <v>95</v>
      </c>
      <c r="Q2930" t="s">
        <v>31</v>
      </c>
      <c r="R2930" s="3">
        <v>19833.100999999999</v>
      </c>
    </row>
    <row r="2931" spans="1:18" x14ac:dyDescent="0.3">
      <c r="A2931" t="s">
        <v>15091</v>
      </c>
      <c r="B2931" t="str">
        <f>TEXT(Raw_Data[[#This Row],[Order Date]],"mmm")</f>
        <v>Apr</v>
      </c>
      <c r="C2931" t="s">
        <v>376</v>
      </c>
      <c r="D2931" t="s">
        <v>15092</v>
      </c>
      <c r="E2931" t="s">
        <v>20</v>
      </c>
      <c r="F2931" t="s">
        <v>78</v>
      </c>
      <c r="G2931" t="s">
        <v>79</v>
      </c>
      <c r="H2931" t="s">
        <v>80</v>
      </c>
      <c r="I2931" t="s">
        <v>146</v>
      </c>
      <c r="J2931" t="s">
        <v>25</v>
      </c>
      <c r="K2931" t="s">
        <v>15093</v>
      </c>
      <c r="L2931">
        <v>0.1</v>
      </c>
      <c r="M2931" t="s">
        <v>15094</v>
      </c>
      <c r="N2931" t="s">
        <v>15095</v>
      </c>
      <c r="O2931" t="s">
        <v>43</v>
      </c>
      <c r="P2931" t="s">
        <v>30</v>
      </c>
      <c r="Q2931" t="s">
        <v>44</v>
      </c>
      <c r="R2931" s="3">
        <v>5296.6620000000003</v>
      </c>
    </row>
    <row r="2932" spans="1:18" x14ac:dyDescent="0.3">
      <c r="A2932" t="s">
        <v>15096</v>
      </c>
      <c r="B2932" t="str">
        <f>TEXT(Raw_Data[[#This Row],[Order Date]],"mmm")</f>
        <v>Mar</v>
      </c>
      <c r="C2932" t="s">
        <v>56</v>
      </c>
      <c r="D2932" t="s">
        <v>15097</v>
      </c>
      <c r="E2932" t="s">
        <v>35</v>
      </c>
      <c r="F2932" t="s">
        <v>69</v>
      </c>
      <c r="G2932" t="s">
        <v>70</v>
      </c>
      <c r="H2932" t="s">
        <v>107</v>
      </c>
      <c r="I2932" t="s">
        <v>469</v>
      </c>
      <c r="J2932" t="s">
        <v>25</v>
      </c>
      <c r="K2932" t="s">
        <v>15098</v>
      </c>
      <c r="L2932">
        <v>0</v>
      </c>
      <c r="M2932" t="s">
        <v>15099</v>
      </c>
      <c r="N2932" t="s">
        <v>15100</v>
      </c>
      <c r="O2932" t="s">
        <v>64</v>
      </c>
      <c r="P2932" t="s">
        <v>30</v>
      </c>
      <c r="Q2932" t="s">
        <v>65</v>
      </c>
      <c r="R2932" s="3">
        <v>13482.72</v>
      </c>
    </row>
    <row r="2933" spans="1:18" x14ac:dyDescent="0.3">
      <c r="A2933" t="s">
        <v>15101</v>
      </c>
      <c r="B2933" t="str">
        <f>TEXT(Raw_Data[[#This Row],[Order Date]],"mmm")</f>
        <v>Sep</v>
      </c>
      <c r="C2933" t="s">
        <v>288</v>
      </c>
      <c r="D2933" t="s">
        <v>15102</v>
      </c>
      <c r="E2933" t="s">
        <v>20</v>
      </c>
      <c r="F2933" t="s">
        <v>36</v>
      </c>
      <c r="G2933" t="s">
        <v>37</v>
      </c>
      <c r="H2933" t="s">
        <v>107</v>
      </c>
      <c r="I2933" t="s">
        <v>378</v>
      </c>
      <c r="J2933" t="s">
        <v>25</v>
      </c>
      <c r="K2933" t="s">
        <v>15103</v>
      </c>
      <c r="L2933">
        <v>0.1</v>
      </c>
      <c r="M2933" t="s">
        <v>15104</v>
      </c>
      <c r="N2933" t="s">
        <v>15105</v>
      </c>
      <c r="O2933" t="s">
        <v>43</v>
      </c>
      <c r="P2933" t="s">
        <v>30</v>
      </c>
      <c r="Q2933" t="s">
        <v>65</v>
      </c>
      <c r="R2933" s="3">
        <v>4854.933</v>
      </c>
    </row>
    <row r="2934" spans="1:18" x14ac:dyDescent="0.3">
      <c r="A2934" t="s">
        <v>15106</v>
      </c>
      <c r="B2934" t="str">
        <f>TEXT(Raw_Data[[#This Row],[Order Date]],"mmm")</f>
        <v>Nov</v>
      </c>
      <c r="C2934" t="s">
        <v>5647</v>
      </c>
      <c r="D2934" t="s">
        <v>15107</v>
      </c>
      <c r="E2934" t="s">
        <v>35</v>
      </c>
      <c r="F2934" t="s">
        <v>58</v>
      </c>
      <c r="G2934" t="s">
        <v>290</v>
      </c>
      <c r="H2934" t="s">
        <v>23</v>
      </c>
      <c r="I2934" t="s">
        <v>24</v>
      </c>
      <c r="J2934" t="s">
        <v>25</v>
      </c>
      <c r="K2934" t="s">
        <v>15108</v>
      </c>
      <c r="L2934">
        <v>0.1</v>
      </c>
      <c r="M2934" t="s">
        <v>15109</v>
      </c>
      <c r="N2934" t="s">
        <v>15110</v>
      </c>
      <c r="O2934" t="s">
        <v>43</v>
      </c>
      <c r="P2934" t="s">
        <v>30</v>
      </c>
      <c r="Q2934" t="s">
        <v>31</v>
      </c>
      <c r="R2934" s="3">
        <v>35905.868999999999</v>
      </c>
    </row>
    <row r="2935" spans="1:18" x14ac:dyDescent="0.3">
      <c r="A2935" t="s">
        <v>15111</v>
      </c>
      <c r="B2935" t="str">
        <f>TEXT(Raw_Data[[#This Row],[Order Date]],"mmm")</f>
        <v>Nov</v>
      </c>
      <c r="C2935" t="s">
        <v>851</v>
      </c>
      <c r="D2935" t="s">
        <v>15112</v>
      </c>
      <c r="E2935" t="s">
        <v>20</v>
      </c>
      <c r="F2935" t="s">
        <v>58</v>
      </c>
      <c r="G2935" t="s">
        <v>59</v>
      </c>
      <c r="H2935" t="s">
        <v>154</v>
      </c>
      <c r="I2935" t="s">
        <v>237</v>
      </c>
      <c r="J2935" t="s">
        <v>25</v>
      </c>
      <c r="K2935" t="s">
        <v>15113</v>
      </c>
      <c r="L2935">
        <v>0</v>
      </c>
      <c r="M2935" t="s">
        <v>15114</v>
      </c>
      <c r="N2935" t="s">
        <v>15115</v>
      </c>
      <c r="O2935" t="s">
        <v>64</v>
      </c>
      <c r="P2935" t="s">
        <v>30</v>
      </c>
      <c r="Q2935" t="s">
        <v>44</v>
      </c>
      <c r="R2935" s="3">
        <v>1853.76</v>
      </c>
    </row>
    <row r="2936" spans="1:18" x14ac:dyDescent="0.3">
      <c r="A2936" t="s">
        <v>15116</v>
      </c>
      <c r="B2936" t="str">
        <f>TEXT(Raw_Data[[#This Row],[Order Date]],"mmm")</f>
        <v>Sep</v>
      </c>
      <c r="C2936" t="s">
        <v>339</v>
      </c>
      <c r="D2936" t="s">
        <v>15117</v>
      </c>
      <c r="E2936" t="s">
        <v>48</v>
      </c>
      <c r="F2936" t="s">
        <v>89</v>
      </c>
      <c r="G2936" t="s">
        <v>90</v>
      </c>
      <c r="H2936" t="s">
        <v>23</v>
      </c>
      <c r="I2936" t="s">
        <v>24</v>
      </c>
      <c r="J2936" t="s">
        <v>50</v>
      </c>
      <c r="K2936" t="s">
        <v>15118</v>
      </c>
      <c r="L2936">
        <v>0.1</v>
      </c>
      <c r="M2936" t="s">
        <v>15119</v>
      </c>
      <c r="N2936" t="s">
        <v>15120</v>
      </c>
      <c r="O2936" t="s">
        <v>3684</v>
      </c>
      <c r="P2936" t="s">
        <v>30</v>
      </c>
      <c r="Q2936" t="s">
        <v>44</v>
      </c>
      <c r="R2936" s="3">
        <v>90097.937999999995</v>
      </c>
    </row>
    <row r="2937" spans="1:18" x14ac:dyDescent="0.3">
      <c r="A2937" t="s">
        <v>15121</v>
      </c>
      <c r="B2937" t="str">
        <f>TEXT(Raw_Data[[#This Row],[Order Date]],"mmm")</f>
        <v>May</v>
      </c>
      <c r="C2937" t="s">
        <v>3348</v>
      </c>
      <c r="D2937" t="s">
        <v>15122</v>
      </c>
      <c r="E2937" t="s">
        <v>20</v>
      </c>
      <c r="F2937" t="s">
        <v>58</v>
      </c>
      <c r="G2937" t="s">
        <v>290</v>
      </c>
      <c r="H2937" t="s">
        <v>80</v>
      </c>
      <c r="I2937" t="s">
        <v>81</v>
      </c>
      <c r="J2937" t="s">
        <v>25</v>
      </c>
      <c r="K2937" t="s">
        <v>15123</v>
      </c>
      <c r="L2937">
        <v>0.05</v>
      </c>
      <c r="M2937" t="s">
        <v>15124</v>
      </c>
      <c r="N2937" t="s">
        <v>15125</v>
      </c>
      <c r="O2937" t="s">
        <v>64</v>
      </c>
      <c r="P2937" t="s">
        <v>112</v>
      </c>
      <c r="Q2937" t="s">
        <v>31</v>
      </c>
      <c r="R2937" s="3">
        <v>2250.72099999999</v>
      </c>
    </row>
    <row r="2938" spans="1:18" x14ac:dyDescent="0.3">
      <c r="A2938" t="s">
        <v>15126</v>
      </c>
      <c r="B2938" t="str">
        <f>TEXT(Raw_Data[[#This Row],[Order Date]],"mmm")</f>
        <v>May</v>
      </c>
      <c r="C2938" t="s">
        <v>2089</v>
      </c>
      <c r="D2938" t="s">
        <v>15127</v>
      </c>
      <c r="E2938" t="s">
        <v>35</v>
      </c>
      <c r="F2938" t="s">
        <v>78</v>
      </c>
      <c r="G2938" t="s">
        <v>468</v>
      </c>
      <c r="H2938" t="s">
        <v>154</v>
      </c>
      <c r="I2938" t="s">
        <v>237</v>
      </c>
      <c r="J2938" t="s">
        <v>25</v>
      </c>
      <c r="K2938" t="s">
        <v>15128</v>
      </c>
      <c r="L2938">
        <v>0.2</v>
      </c>
      <c r="M2938" t="s">
        <v>15129</v>
      </c>
      <c r="N2938" t="s">
        <v>15130</v>
      </c>
      <c r="O2938" t="s">
        <v>173</v>
      </c>
      <c r="P2938" t="s">
        <v>30</v>
      </c>
      <c r="Q2938" t="s">
        <v>65</v>
      </c>
      <c r="R2938" s="3">
        <v>2188.9279999999999</v>
      </c>
    </row>
    <row r="2939" spans="1:18" x14ac:dyDescent="0.3">
      <c r="A2939" t="s">
        <v>15131</v>
      </c>
      <c r="B2939" t="str">
        <f>TEXT(Raw_Data[[#This Row],[Order Date]],"mmm")</f>
        <v>Sep</v>
      </c>
      <c r="C2939" t="s">
        <v>1586</v>
      </c>
      <c r="D2939" t="s">
        <v>15132</v>
      </c>
      <c r="E2939" t="s">
        <v>48</v>
      </c>
      <c r="F2939" t="s">
        <v>89</v>
      </c>
      <c r="G2939" t="s">
        <v>90</v>
      </c>
      <c r="H2939" t="s">
        <v>107</v>
      </c>
      <c r="I2939" t="s">
        <v>277</v>
      </c>
      <c r="J2939" t="s">
        <v>50</v>
      </c>
      <c r="K2939" t="s">
        <v>15133</v>
      </c>
      <c r="L2939">
        <v>0.1</v>
      </c>
      <c r="M2939" t="s">
        <v>15134</v>
      </c>
      <c r="N2939" t="s">
        <v>15135</v>
      </c>
      <c r="O2939" t="s">
        <v>54</v>
      </c>
      <c r="P2939" t="s">
        <v>30</v>
      </c>
      <c r="Q2939" t="s">
        <v>65</v>
      </c>
      <c r="R2939" s="3">
        <v>25112.880000000001</v>
      </c>
    </row>
    <row r="2940" spans="1:18" x14ac:dyDescent="0.3">
      <c r="A2940" t="s">
        <v>15136</v>
      </c>
      <c r="B2940" t="str">
        <f>TEXT(Raw_Data[[#This Row],[Order Date]],"mmm")</f>
        <v>Dec</v>
      </c>
      <c r="C2940" t="s">
        <v>2792</v>
      </c>
      <c r="D2940" t="s">
        <v>15137</v>
      </c>
      <c r="E2940" t="s">
        <v>35</v>
      </c>
      <c r="F2940" t="s">
        <v>58</v>
      </c>
      <c r="G2940" t="s">
        <v>812</v>
      </c>
      <c r="H2940" t="s">
        <v>23</v>
      </c>
      <c r="I2940" t="s">
        <v>183</v>
      </c>
      <c r="J2940" t="s">
        <v>82</v>
      </c>
      <c r="K2940" t="s">
        <v>15138</v>
      </c>
      <c r="L2940">
        <v>0.05</v>
      </c>
      <c r="M2940" t="s">
        <v>15139</v>
      </c>
      <c r="N2940" t="s">
        <v>15140</v>
      </c>
      <c r="O2940" t="s">
        <v>173</v>
      </c>
      <c r="P2940" t="s">
        <v>30</v>
      </c>
      <c r="Q2940" t="s">
        <v>44</v>
      </c>
      <c r="R2940" s="3">
        <v>232382.38800000001</v>
      </c>
    </row>
    <row r="2941" spans="1:18" x14ac:dyDescent="0.3">
      <c r="A2941" t="s">
        <v>15141</v>
      </c>
      <c r="B2941" t="str">
        <f>TEXT(Raw_Data[[#This Row],[Order Date]],"mmm")</f>
        <v>Feb</v>
      </c>
      <c r="C2941" t="s">
        <v>3467</v>
      </c>
      <c r="D2941" t="s">
        <v>15142</v>
      </c>
      <c r="E2941" t="s">
        <v>35</v>
      </c>
      <c r="F2941" t="s">
        <v>89</v>
      </c>
      <c r="G2941" t="s">
        <v>90</v>
      </c>
      <c r="H2941" t="s">
        <v>23</v>
      </c>
      <c r="I2941" t="s">
        <v>183</v>
      </c>
      <c r="J2941" t="s">
        <v>25</v>
      </c>
      <c r="K2941" t="s">
        <v>15143</v>
      </c>
      <c r="L2941">
        <v>0.2</v>
      </c>
      <c r="M2941" t="s">
        <v>15144</v>
      </c>
      <c r="N2941" t="s">
        <v>15145</v>
      </c>
      <c r="O2941" t="s">
        <v>173</v>
      </c>
      <c r="P2941" t="s">
        <v>30</v>
      </c>
      <c r="Q2941" t="s">
        <v>44</v>
      </c>
      <c r="R2941" s="3">
        <v>41839.216</v>
      </c>
    </row>
    <row r="2942" spans="1:18" x14ac:dyDescent="0.3">
      <c r="A2942" t="s">
        <v>15146</v>
      </c>
      <c r="B2942" t="str">
        <f>TEXT(Raw_Data[[#This Row],[Order Date]],"mmm")</f>
        <v>Mar</v>
      </c>
      <c r="C2942" t="s">
        <v>395</v>
      </c>
      <c r="D2942" t="s">
        <v>15147</v>
      </c>
      <c r="E2942" t="s">
        <v>35</v>
      </c>
      <c r="F2942" t="s">
        <v>36</v>
      </c>
      <c r="G2942" t="s">
        <v>196</v>
      </c>
      <c r="H2942" t="s">
        <v>23</v>
      </c>
      <c r="I2942" t="s">
        <v>49</v>
      </c>
      <c r="J2942" t="s">
        <v>25</v>
      </c>
      <c r="K2942" t="s">
        <v>15148</v>
      </c>
      <c r="L2942">
        <v>0</v>
      </c>
      <c r="M2942" t="s">
        <v>15149</v>
      </c>
      <c r="N2942" t="s">
        <v>15150</v>
      </c>
      <c r="O2942" t="s">
        <v>54</v>
      </c>
      <c r="P2942" t="s">
        <v>30</v>
      </c>
      <c r="Q2942" t="s">
        <v>31</v>
      </c>
      <c r="R2942" s="3">
        <v>14410.07</v>
      </c>
    </row>
    <row r="2943" spans="1:18" x14ac:dyDescent="0.3">
      <c r="A2943" t="s">
        <v>15151</v>
      </c>
      <c r="B2943" t="str">
        <f>TEXT(Raw_Data[[#This Row],[Order Date]],"mmm")</f>
        <v>Sep</v>
      </c>
      <c r="C2943" t="s">
        <v>339</v>
      </c>
      <c r="D2943" t="s">
        <v>15152</v>
      </c>
      <c r="E2943" t="s">
        <v>20</v>
      </c>
      <c r="F2943" t="s">
        <v>106</v>
      </c>
      <c r="G2943" t="s">
        <v>163</v>
      </c>
      <c r="H2943" t="s">
        <v>38</v>
      </c>
      <c r="I2943" t="s">
        <v>60</v>
      </c>
      <c r="J2943" t="s">
        <v>25</v>
      </c>
      <c r="K2943" t="s">
        <v>15153</v>
      </c>
      <c r="L2943">
        <v>0.1</v>
      </c>
      <c r="M2943" t="s">
        <v>15154</v>
      </c>
      <c r="N2943" t="s">
        <v>15155</v>
      </c>
      <c r="O2943" t="s">
        <v>173</v>
      </c>
      <c r="P2943" t="s">
        <v>30</v>
      </c>
      <c r="Q2943" t="s">
        <v>44</v>
      </c>
      <c r="R2943" s="3">
        <v>1964.106</v>
      </c>
    </row>
    <row r="2944" spans="1:18" x14ac:dyDescent="0.3">
      <c r="A2944" t="s">
        <v>15156</v>
      </c>
      <c r="B2944" t="str">
        <f>TEXT(Raw_Data[[#This Row],[Order Date]],"mmm")</f>
        <v>Mar</v>
      </c>
      <c r="C2944" t="s">
        <v>713</v>
      </c>
      <c r="D2944" t="s">
        <v>15157</v>
      </c>
      <c r="E2944" t="s">
        <v>48</v>
      </c>
      <c r="F2944" t="s">
        <v>21</v>
      </c>
      <c r="G2944" t="s">
        <v>22</v>
      </c>
      <c r="H2944" t="s">
        <v>80</v>
      </c>
      <c r="I2944" t="s">
        <v>146</v>
      </c>
      <c r="J2944" t="s">
        <v>50</v>
      </c>
      <c r="K2944" t="s">
        <v>15158</v>
      </c>
      <c r="L2944">
        <v>0.05</v>
      </c>
      <c r="M2944" t="s">
        <v>15159</v>
      </c>
      <c r="N2944" t="s">
        <v>15160</v>
      </c>
      <c r="O2944" t="s">
        <v>29</v>
      </c>
      <c r="P2944" t="s">
        <v>30</v>
      </c>
      <c r="Q2944" t="s">
        <v>31</v>
      </c>
      <c r="R2944" s="3">
        <v>4393.4269999999997</v>
      </c>
    </row>
    <row r="2945" spans="1:18" x14ac:dyDescent="0.3">
      <c r="A2945" t="s">
        <v>15161</v>
      </c>
      <c r="B2945" t="str">
        <f>TEXT(Raw_Data[[#This Row],[Order Date]],"mmm")</f>
        <v>Oct</v>
      </c>
      <c r="C2945" t="s">
        <v>460</v>
      </c>
      <c r="D2945" t="s">
        <v>15162</v>
      </c>
      <c r="E2945" t="s">
        <v>20</v>
      </c>
      <c r="F2945" t="s">
        <v>89</v>
      </c>
      <c r="G2945" t="s">
        <v>90</v>
      </c>
      <c r="H2945" t="s">
        <v>80</v>
      </c>
      <c r="I2945" t="s">
        <v>81</v>
      </c>
      <c r="J2945" t="s">
        <v>50</v>
      </c>
      <c r="K2945" t="s">
        <v>15163</v>
      </c>
      <c r="L2945">
        <v>0.1</v>
      </c>
      <c r="M2945" t="s">
        <v>15164</v>
      </c>
      <c r="N2945" t="s">
        <v>15165</v>
      </c>
      <c r="O2945" t="s">
        <v>54</v>
      </c>
      <c r="P2945" t="s">
        <v>30</v>
      </c>
      <c r="Q2945" t="s">
        <v>31</v>
      </c>
      <c r="R2945" s="3">
        <v>3186.288</v>
      </c>
    </row>
    <row r="2946" spans="1:18" x14ac:dyDescent="0.3">
      <c r="A2946" t="s">
        <v>15166</v>
      </c>
      <c r="B2946" t="str">
        <f>TEXT(Raw_Data[[#This Row],[Order Date]],"mmm")</f>
        <v>May</v>
      </c>
      <c r="C2946" t="s">
        <v>817</v>
      </c>
      <c r="D2946" t="s">
        <v>15167</v>
      </c>
      <c r="E2946" t="s">
        <v>20</v>
      </c>
      <c r="F2946" t="s">
        <v>78</v>
      </c>
      <c r="G2946" t="s">
        <v>468</v>
      </c>
      <c r="H2946" t="s">
        <v>38</v>
      </c>
      <c r="I2946" t="s">
        <v>71</v>
      </c>
      <c r="J2946" t="s">
        <v>25</v>
      </c>
      <c r="K2946" t="s">
        <v>15168</v>
      </c>
      <c r="L2946">
        <v>0.15</v>
      </c>
      <c r="M2946" t="s">
        <v>15169</v>
      </c>
      <c r="N2946" t="s">
        <v>10214</v>
      </c>
      <c r="O2946" t="s">
        <v>43</v>
      </c>
      <c r="P2946" t="s">
        <v>159</v>
      </c>
      <c r="Q2946" t="s">
        <v>31</v>
      </c>
      <c r="R2946" s="3">
        <v>2441.6675</v>
      </c>
    </row>
    <row r="2947" spans="1:18" x14ac:dyDescent="0.3">
      <c r="A2947" t="s">
        <v>15170</v>
      </c>
      <c r="B2947" t="str">
        <f>TEXT(Raw_Data[[#This Row],[Order Date]],"mmm")</f>
        <v>Nov</v>
      </c>
      <c r="C2947" t="s">
        <v>443</v>
      </c>
      <c r="D2947" t="s">
        <v>15171</v>
      </c>
      <c r="E2947" t="s">
        <v>35</v>
      </c>
      <c r="F2947" t="s">
        <v>69</v>
      </c>
      <c r="G2947" t="s">
        <v>70</v>
      </c>
      <c r="H2947" t="s">
        <v>80</v>
      </c>
      <c r="I2947" t="s">
        <v>81</v>
      </c>
      <c r="J2947" t="s">
        <v>82</v>
      </c>
      <c r="K2947" t="s">
        <v>15172</v>
      </c>
      <c r="L2947">
        <v>0.1</v>
      </c>
      <c r="M2947" t="s">
        <v>15173</v>
      </c>
      <c r="N2947" t="s">
        <v>15174</v>
      </c>
      <c r="O2947" t="s">
        <v>43</v>
      </c>
      <c r="P2947" t="s">
        <v>30</v>
      </c>
      <c r="Q2947" t="s">
        <v>44</v>
      </c>
      <c r="R2947" s="3">
        <v>1499.2559999999901</v>
      </c>
    </row>
    <row r="2948" spans="1:18" x14ac:dyDescent="0.3">
      <c r="A2948" t="s">
        <v>15175</v>
      </c>
      <c r="B2948" t="str">
        <f>TEXT(Raw_Data[[#This Row],[Order Date]],"mmm")</f>
        <v>Jun</v>
      </c>
      <c r="C2948" t="s">
        <v>2223</v>
      </c>
      <c r="D2948" t="s">
        <v>15176</v>
      </c>
      <c r="E2948" t="s">
        <v>48</v>
      </c>
      <c r="F2948" t="s">
        <v>215</v>
      </c>
      <c r="G2948" t="s">
        <v>276</v>
      </c>
      <c r="H2948" t="s">
        <v>38</v>
      </c>
      <c r="I2948" t="s">
        <v>223</v>
      </c>
      <c r="J2948" t="s">
        <v>25</v>
      </c>
      <c r="K2948" t="s">
        <v>15177</v>
      </c>
      <c r="L2948">
        <v>0.05</v>
      </c>
      <c r="M2948" t="s">
        <v>15178</v>
      </c>
      <c r="N2948" t="s">
        <v>15179</v>
      </c>
      <c r="O2948" t="s">
        <v>43</v>
      </c>
      <c r="P2948" t="s">
        <v>30</v>
      </c>
      <c r="Q2948" t="s">
        <v>44</v>
      </c>
      <c r="R2948" s="3">
        <v>2151.5410000000002</v>
      </c>
    </row>
    <row r="2949" spans="1:18" x14ac:dyDescent="0.3">
      <c r="A2949" t="s">
        <v>15180</v>
      </c>
      <c r="B2949" t="str">
        <f>TEXT(Raw_Data[[#This Row],[Order Date]],"mmm")</f>
        <v>Apr</v>
      </c>
      <c r="C2949" t="s">
        <v>2338</v>
      </c>
      <c r="D2949" t="s">
        <v>15181</v>
      </c>
      <c r="E2949" t="s">
        <v>48</v>
      </c>
      <c r="F2949" t="s">
        <v>58</v>
      </c>
      <c r="G2949" t="s">
        <v>59</v>
      </c>
      <c r="H2949" t="s">
        <v>154</v>
      </c>
      <c r="I2949" t="s">
        <v>1061</v>
      </c>
      <c r="J2949" t="s">
        <v>25</v>
      </c>
      <c r="K2949" t="s">
        <v>15182</v>
      </c>
      <c r="L2949">
        <v>0.05</v>
      </c>
      <c r="M2949" t="s">
        <v>15183</v>
      </c>
      <c r="N2949" t="s">
        <v>15184</v>
      </c>
      <c r="O2949" t="s">
        <v>64</v>
      </c>
      <c r="P2949" t="s">
        <v>30</v>
      </c>
      <c r="Q2949" t="s">
        <v>65</v>
      </c>
      <c r="R2949" s="3">
        <v>3652.2464999999902</v>
      </c>
    </row>
    <row r="2950" spans="1:18" x14ac:dyDescent="0.3">
      <c r="A2950" t="s">
        <v>15185</v>
      </c>
      <c r="B2950" t="str">
        <f>TEXT(Raw_Data[[#This Row],[Order Date]],"mmm")</f>
        <v>Feb</v>
      </c>
      <c r="C2950" t="s">
        <v>307</v>
      </c>
      <c r="D2950" t="s">
        <v>15186</v>
      </c>
      <c r="E2950" t="s">
        <v>20</v>
      </c>
      <c r="F2950" t="s">
        <v>78</v>
      </c>
      <c r="G2950" t="s">
        <v>468</v>
      </c>
      <c r="H2950" t="s">
        <v>107</v>
      </c>
      <c r="I2950" t="s">
        <v>591</v>
      </c>
      <c r="J2950" t="s">
        <v>50</v>
      </c>
      <c r="K2950" t="s">
        <v>15187</v>
      </c>
      <c r="L2950">
        <v>0.2</v>
      </c>
      <c r="M2950" t="s">
        <v>15188</v>
      </c>
      <c r="N2950" t="s">
        <v>15189</v>
      </c>
      <c r="O2950" t="s">
        <v>173</v>
      </c>
      <c r="P2950" t="s">
        <v>30</v>
      </c>
      <c r="Q2950" t="s">
        <v>44</v>
      </c>
      <c r="R2950" s="3">
        <v>25086.416000000001</v>
      </c>
    </row>
    <row r="2951" spans="1:18" x14ac:dyDescent="0.3">
      <c r="A2951" t="s">
        <v>15190</v>
      </c>
      <c r="B2951" t="str">
        <f>TEXT(Raw_Data[[#This Row],[Order Date]],"mmm")</f>
        <v>Apr</v>
      </c>
      <c r="C2951" t="s">
        <v>97</v>
      </c>
      <c r="D2951" t="s">
        <v>15191</v>
      </c>
      <c r="E2951" t="s">
        <v>35</v>
      </c>
      <c r="F2951" t="s">
        <v>89</v>
      </c>
      <c r="G2951" t="s">
        <v>99</v>
      </c>
      <c r="H2951" t="s">
        <v>23</v>
      </c>
      <c r="I2951" t="s">
        <v>263</v>
      </c>
      <c r="J2951" t="s">
        <v>50</v>
      </c>
      <c r="K2951" t="s">
        <v>15192</v>
      </c>
      <c r="L2951">
        <v>0</v>
      </c>
      <c r="M2951" t="s">
        <v>15193</v>
      </c>
      <c r="N2951" t="s">
        <v>15194</v>
      </c>
      <c r="O2951" t="s">
        <v>43</v>
      </c>
      <c r="P2951" t="s">
        <v>30</v>
      </c>
      <c r="Q2951" t="s">
        <v>65</v>
      </c>
      <c r="R2951" s="3">
        <v>23170.2</v>
      </c>
    </row>
    <row r="2952" spans="1:18" x14ac:dyDescent="0.3">
      <c r="A2952" t="s">
        <v>15195</v>
      </c>
      <c r="B2952" t="str">
        <f>TEXT(Raw_Data[[#This Row],[Order Date]],"mmm")</f>
        <v>May</v>
      </c>
      <c r="C2952" t="s">
        <v>948</v>
      </c>
      <c r="D2952" t="s">
        <v>15196</v>
      </c>
      <c r="E2952" t="s">
        <v>20</v>
      </c>
      <c r="F2952" t="s">
        <v>69</v>
      </c>
      <c r="G2952" t="s">
        <v>70</v>
      </c>
      <c r="H2952" t="s">
        <v>38</v>
      </c>
      <c r="I2952" t="s">
        <v>71</v>
      </c>
      <c r="J2952" t="s">
        <v>25</v>
      </c>
      <c r="K2952" t="s">
        <v>15197</v>
      </c>
      <c r="L2952">
        <v>0</v>
      </c>
      <c r="M2952" t="s">
        <v>15198</v>
      </c>
      <c r="N2952" t="s">
        <v>15199</v>
      </c>
      <c r="O2952" t="s">
        <v>173</v>
      </c>
      <c r="P2952" t="s">
        <v>30</v>
      </c>
      <c r="Q2952" t="s">
        <v>65</v>
      </c>
      <c r="R2952" s="3">
        <v>2942.96</v>
      </c>
    </row>
    <row r="2953" spans="1:18" x14ac:dyDescent="0.3">
      <c r="A2953" t="s">
        <v>15200</v>
      </c>
      <c r="B2953" t="str">
        <f>TEXT(Raw_Data[[#This Row],[Order Date]],"mmm")</f>
        <v>May</v>
      </c>
      <c r="C2953" t="s">
        <v>2693</v>
      </c>
      <c r="D2953" t="s">
        <v>15201</v>
      </c>
      <c r="E2953" t="s">
        <v>48</v>
      </c>
      <c r="F2953" t="s">
        <v>89</v>
      </c>
      <c r="G2953" t="s">
        <v>230</v>
      </c>
      <c r="H2953" t="s">
        <v>107</v>
      </c>
      <c r="I2953" t="s">
        <v>277</v>
      </c>
      <c r="J2953" t="s">
        <v>25</v>
      </c>
      <c r="K2953" t="s">
        <v>15202</v>
      </c>
      <c r="L2953">
        <v>0</v>
      </c>
      <c r="M2953" t="s">
        <v>15203</v>
      </c>
      <c r="N2953" t="s">
        <v>15204</v>
      </c>
      <c r="O2953" t="s">
        <v>29</v>
      </c>
      <c r="P2953" t="s">
        <v>30</v>
      </c>
      <c r="Q2953" t="s">
        <v>65</v>
      </c>
      <c r="R2953" s="3">
        <v>11153.97</v>
      </c>
    </row>
    <row r="2954" spans="1:18" x14ac:dyDescent="0.3">
      <c r="A2954" t="s">
        <v>15205</v>
      </c>
      <c r="B2954" t="str">
        <f>TEXT(Raw_Data[[#This Row],[Order Date]],"mmm")</f>
        <v>Dec</v>
      </c>
      <c r="C2954" t="s">
        <v>2792</v>
      </c>
      <c r="D2954" t="s">
        <v>15206</v>
      </c>
      <c r="E2954" t="s">
        <v>20</v>
      </c>
      <c r="F2954" t="s">
        <v>21</v>
      </c>
      <c r="G2954" t="s">
        <v>22</v>
      </c>
      <c r="H2954" t="s">
        <v>107</v>
      </c>
      <c r="I2954" t="s">
        <v>277</v>
      </c>
      <c r="J2954" t="s">
        <v>25</v>
      </c>
      <c r="K2954" t="s">
        <v>15207</v>
      </c>
      <c r="L2954">
        <v>0.05</v>
      </c>
      <c r="M2954" t="s">
        <v>15208</v>
      </c>
      <c r="N2954" t="s">
        <v>15209</v>
      </c>
      <c r="O2954" t="s">
        <v>135</v>
      </c>
      <c r="P2954" t="s">
        <v>30</v>
      </c>
      <c r="Q2954" t="s">
        <v>65</v>
      </c>
      <c r="R2954" s="3">
        <v>644.73649999999998</v>
      </c>
    </row>
    <row r="2955" spans="1:18" x14ac:dyDescent="0.3">
      <c r="A2955" t="s">
        <v>15210</v>
      </c>
      <c r="B2955" t="str">
        <f>TEXT(Raw_Data[[#This Row],[Order Date]],"mmm")</f>
        <v>Apr</v>
      </c>
      <c r="C2955" t="s">
        <v>2095</v>
      </c>
      <c r="D2955" t="s">
        <v>15211</v>
      </c>
      <c r="E2955" t="s">
        <v>48</v>
      </c>
      <c r="F2955" t="s">
        <v>89</v>
      </c>
      <c r="G2955" t="s">
        <v>230</v>
      </c>
      <c r="H2955" t="s">
        <v>23</v>
      </c>
      <c r="I2955" t="s">
        <v>24</v>
      </c>
      <c r="J2955" t="s">
        <v>50</v>
      </c>
      <c r="K2955" t="s">
        <v>15212</v>
      </c>
      <c r="L2955">
        <v>0.05</v>
      </c>
      <c r="M2955" t="s">
        <v>15213</v>
      </c>
      <c r="N2955" t="s">
        <v>15214</v>
      </c>
      <c r="O2955" t="s">
        <v>29</v>
      </c>
      <c r="P2955" t="s">
        <v>30</v>
      </c>
      <c r="Q2955" t="s">
        <v>44</v>
      </c>
      <c r="R2955" s="3">
        <v>98590.106999999902</v>
      </c>
    </row>
    <row r="2956" spans="1:18" x14ac:dyDescent="0.3">
      <c r="A2956" t="s">
        <v>15215</v>
      </c>
      <c r="B2956" t="str">
        <f>TEXT(Raw_Data[[#This Row],[Order Date]],"mmm")</f>
        <v>Sep</v>
      </c>
      <c r="C2956" t="s">
        <v>346</v>
      </c>
      <c r="D2956" t="s">
        <v>15216</v>
      </c>
      <c r="E2956" t="s">
        <v>48</v>
      </c>
      <c r="F2956" t="s">
        <v>21</v>
      </c>
      <c r="G2956" t="s">
        <v>22</v>
      </c>
      <c r="H2956" t="s">
        <v>154</v>
      </c>
      <c r="I2956" t="s">
        <v>309</v>
      </c>
      <c r="J2956" t="s">
        <v>100</v>
      </c>
      <c r="K2956" t="s">
        <v>15217</v>
      </c>
      <c r="L2956">
        <v>0.2</v>
      </c>
      <c r="M2956" t="s">
        <v>15218</v>
      </c>
      <c r="N2956" t="s">
        <v>15219</v>
      </c>
      <c r="O2956" t="s">
        <v>43</v>
      </c>
      <c r="P2956" t="s">
        <v>30</v>
      </c>
      <c r="Q2956" t="s">
        <v>65</v>
      </c>
      <c r="R2956" s="3">
        <v>17366.664000000001</v>
      </c>
    </row>
    <row r="2957" spans="1:18" x14ac:dyDescent="0.3">
      <c r="A2957" t="s">
        <v>15220</v>
      </c>
      <c r="B2957" t="str">
        <f>TEXT(Raw_Data[[#This Row],[Order Date]],"mmm")</f>
        <v>Jun</v>
      </c>
      <c r="C2957" t="s">
        <v>3263</v>
      </c>
      <c r="D2957" t="s">
        <v>15221</v>
      </c>
      <c r="E2957" t="s">
        <v>48</v>
      </c>
      <c r="F2957" t="s">
        <v>58</v>
      </c>
      <c r="G2957" t="s">
        <v>290</v>
      </c>
      <c r="H2957" t="s">
        <v>23</v>
      </c>
      <c r="I2957" t="s">
        <v>263</v>
      </c>
      <c r="J2957" t="s">
        <v>25</v>
      </c>
      <c r="K2957" t="s">
        <v>15222</v>
      </c>
      <c r="L2957">
        <v>0.1</v>
      </c>
      <c r="M2957" t="s">
        <v>15223</v>
      </c>
      <c r="N2957" t="s">
        <v>15224</v>
      </c>
      <c r="O2957" t="s">
        <v>29</v>
      </c>
      <c r="P2957" t="s">
        <v>30</v>
      </c>
      <c r="Q2957" t="s">
        <v>44</v>
      </c>
      <c r="R2957" s="3">
        <v>24513.858</v>
      </c>
    </row>
    <row r="2958" spans="1:18" x14ac:dyDescent="0.3">
      <c r="A2958" t="s">
        <v>15225</v>
      </c>
      <c r="B2958" t="str">
        <f>TEXT(Raw_Data[[#This Row],[Order Date]],"mmm")</f>
        <v>Mar</v>
      </c>
      <c r="C2958" t="s">
        <v>56</v>
      </c>
      <c r="D2958" t="s">
        <v>15226</v>
      </c>
      <c r="E2958" t="s">
        <v>35</v>
      </c>
      <c r="F2958" t="s">
        <v>69</v>
      </c>
      <c r="G2958" t="s">
        <v>328</v>
      </c>
      <c r="H2958" t="s">
        <v>23</v>
      </c>
      <c r="I2958" t="s">
        <v>49</v>
      </c>
      <c r="J2958" t="s">
        <v>25</v>
      </c>
      <c r="K2958" t="s">
        <v>15227</v>
      </c>
      <c r="L2958">
        <v>0.1</v>
      </c>
      <c r="M2958" t="s">
        <v>15228</v>
      </c>
      <c r="N2958" t="s">
        <v>15229</v>
      </c>
      <c r="O2958" t="s">
        <v>173</v>
      </c>
      <c r="P2958" t="s">
        <v>95</v>
      </c>
      <c r="Q2958" t="s">
        <v>31</v>
      </c>
      <c r="R2958" s="3">
        <v>10880.46</v>
      </c>
    </row>
    <row r="2959" spans="1:18" x14ac:dyDescent="0.3">
      <c r="A2959" t="s">
        <v>15230</v>
      </c>
      <c r="B2959" t="str">
        <f>TEXT(Raw_Data[[#This Row],[Order Date]],"mmm")</f>
        <v>Apr</v>
      </c>
      <c r="C2959" t="s">
        <v>352</v>
      </c>
      <c r="D2959" t="s">
        <v>15231</v>
      </c>
      <c r="E2959" t="s">
        <v>48</v>
      </c>
      <c r="F2959" t="s">
        <v>106</v>
      </c>
      <c r="G2959" t="s">
        <v>106</v>
      </c>
      <c r="H2959" t="s">
        <v>23</v>
      </c>
      <c r="I2959" t="s">
        <v>263</v>
      </c>
      <c r="J2959" t="s">
        <v>25</v>
      </c>
      <c r="K2959" t="s">
        <v>15232</v>
      </c>
      <c r="L2959">
        <v>0</v>
      </c>
      <c r="M2959" t="s">
        <v>15233</v>
      </c>
      <c r="N2959" t="s">
        <v>15234</v>
      </c>
      <c r="O2959" t="s">
        <v>54</v>
      </c>
      <c r="P2959" t="s">
        <v>30</v>
      </c>
      <c r="Q2959" t="s">
        <v>65</v>
      </c>
      <c r="R2959" s="3">
        <v>67648.39</v>
      </c>
    </row>
    <row r="2960" spans="1:18" x14ac:dyDescent="0.3">
      <c r="A2960" t="s">
        <v>15235</v>
      </c>
      <c r="B2960" t="str">
        <f>TEXT(Raw_Data[[#This Row],[Order Date]],"mmm")</f>
        <v>Apr</v>
      </c>
      <c r="C2960" t="s">
        <v>419</v>
      </c>
      <c r="D2960" t="s">
        <v>15236</v>
      </c>
      <c r="E2960" t="s">
        <v>48</v>
      </c>
      <c r="F2960" t="s">
        <v>78</v>
      </c>
      <c r="G2960" t="s">
        <v>79</v>
      </c>
      <c r="H2960" t="s">
        <v>154</v>
      </c>
      <c r="I2960" t="s">
        <v>237</v>
      </c>
      <c r="J2960" t="s">
        <v>25</v>
      </c>
      <c r="K2960" t="s">
        <v>15237</v>
      </c>
      <c r="L2960">
        <v>0.05</v>
      </c>
      <c r="M2960" t="s">
        <v>15238</v>
      </c>
      <c r="N2960" t="s">
        <v>15239</v>
      </c>
      <c r="O2960" t="s">
        <v>54</v>
      </c>
      <c r="P2960" t="s">
        <v>30</v>
      </c>
      <c r="Q2960" t="s">
        <v>44</v>
      </c>
      <c r="R2960" s="3">
        <v>1162.9425000000001</v>
      </c>
    </row>
    <row r="2961" spans="1:18" x14ac:dyDescent="0.3">
      <c r="A2961" t="s">
        <v>15240</v>
      </c>
      <c r="B2961" t="str">
        <f>TEXT(Raw_Data[[#This Row],[Order Date]],"mmm")</f>
        <v>Apr</v>
      </c>
      <c r="C2961" t="s">
        <v>675</v>
      </c>
      <c r="D2961" t="s">
        <v>15241</v>
      </c>
      <c r="E2961" t="s">
        <v>35</v>
      </c>
      <c r="F2961" t="s">
        <v>21</v>
      </c>
      <c r="G2961" t="s">
        <v>22</v>
      </c>
      <c r="H2961" t="s">
        <v>107</v>
      </c>
      <c r="I2961" t="s">
        <v>277</v>
      </c>
      <c r="J2961" t="s">
        <v>25</v>
      </c>
      <c r="K2961" t="s">
        <v>15242</v>
      </c>
      <c r="L2961">
        <v>0</v>
      </c>
      <c r="M2961" t="s">
        <v>15243</v>
      </c>
      <c r="N2961" t="s">
        <v>15244</v>
      </c>
      <c r="O2961" t="s">
        <v>43</v>
      </c>
      <c r="P2961" t="s">
        <v>30</v>
      </c>
      <c r="Q2961" t="s">
        <v>31</v>
      </c>
      <c r="R2961" s="3">
        <v>5694.11</v>
      </c>
    </row>
    <row r="2962" spans="1:18" x14ac:dyDescent="0.3">
      <c r="A2962" t="s">
        <v>15245</v>
      </c>
      <c r="B2962" t="str">
        <f>TEXT(Raw_Data[[#This Row],[Order Date]],"mmm")</f>
        <v>Nov</v>
      </c>
      <c r="C2962" t="s">
        <v>657</v>
      </c>
      <c r="D2962" t="s">
        <v>15246</v>
      </c>
      <c r="E2962" t="s">
        <v>48</v>
      </c>
      <c r="F2962" t="s">
        <v>89</v>
      </c>
      <c r="G2962" t="s">
        <v>99</v>
      </c>
      <c r="H2962" t="s">
        <v>154</v>
      </c>
      <c r="I2962" t="s">
        <v>1061</v>
      </c>
      <c r="J2962" t="s">
        <v>25</v>
      </c>
      <c r="K2962" t="s">
        <v>15247</v>
      </c>
      <c r="L2962">
        <v>0.1</v>
      </c>
      <c r="M2962" t="s">
        <v>15248</v>
      </c>
      <c r="N2962" t="s">
        <v>15249</v>
      </c>
      <c r="O2962" t="s">
        <v>173</v>
      </c>
      <c r="P2962" t="s">
        <v>30</v>
      </c>
      <c r="Q2962" t="s">
        <v>31</v>
      </c>
      <c r="R2962" s="3">
        <v>950.94899999999996</v>
      </c>
    </row>
    <row r="2963" spans="1:18" x14ac:dyDescent="0.3">
      <c r="A2963" t="s">
        <v>15250</v>
      </c>
      <c r="B2963" t="str">
        <f>TEXT(Raw_Data[[#This Row],[Order Date]],"mmm")</f>
        <v>Jan</v>
      </c>
      <c r="C2963" t="s">
        <v>18</v>
      </c>
      <c r="D2963" t="s">
        <v>15251</v>
      </c>
      <c r="E2963" t="s">
        <v>35</v>
      </c>
      <c r="F2963" t="s">
        <v>21</v>
      </c>
      <c r="G2963" t="s">
        <v>22</v>
      </c>
      <c r="H2963" t="s">
        <v>80</v>
      </c>
      <c r="I2963" t="s">
        <v>116</v>
      </c>
      <c r="J2963" t="s">
        <v>25</v>
      </c>
      <c r="K2963" t="s">
        <v>15252</v>
      </c>
      <c r="L2963">
        <v>0.15</v>
      </c>
      <c r="M2963" t="s">
        <v>15253</v>
      </c>
      <c r="N2963" t="s">
        <v>1430</v>
      </c>
      <c r="O2963" t="s">
        <v>29</v>
      </c>
      <c r="P2963" t="s">
        <v>112</v>
      </c>
      <c r="Q2963" t="s">
        <v>31</v>
      </c>
      <c r="R2963" s="3">
        <v>504.59399999999999</v>
      </c>
    </row>
    <row r="2964" spans="1:18" x14ac:dyDescent="0.3">
      <c r="A2964" t="s">
        <v>15254</v>
      </c>
      <c r="B2964" t="str">
        <f>TEXT(Raw_Data[[#This Row],[Order Date]],"mmm")</f>
        <v>Nov</v>
      </c>
      <c r="C2964" t="s">
        <v>1643</v>
      </c>
      <c r="D2964" t="s">
        <v>15255</v>
      </c>
      <c r="E2964" t="s">
        <v>20</v>
      </c>
      <c r="F2964" t="s">
        <v>215</v>
      </c>
      <c r="G2964" t="s">
        <v>216</v>
      </c>
      <c r="H2964" t="s">
        <v>107</v>
      </c>
      <c r="I2964" t="s">
        <v>378</v>
      </c>
      <c r="J2964" t="s">
        <v>50</v>
      </c>
      <c r="K2964" t="s">
        <v>15256</v>
      </c>
      <c r="L2964">
        <v>0</v>
      </c>
      <c r="M2964" t="s">
        <v>15257</v>
      </c>
      <c r="N2964" t="s">
        <v>15258</v>
      </c>
      <c r="O2964" t="s">
        <v>43</v>
      </c>
      <c r="P2964" t="s">
        <v>30</v>
      </c>
      <c r="Q2964" t="s">
        <v>44</v>
      </c>
      <c r="R2964" s="3">
        <v>31606.6</v>
      </c>
    </row>
    <row r="2965" spans="1:18" x14ac:dyDescent="0.3">
      <c r="A2965" t="s">
        <v>15259</v>
      </c>
      <c r="B2965" t="str">
        <f>TEXT(Raw_Data[[#This Row],[Order Date]],"mmm")</f>
        <v>May</v>
      </c>
      <c r="C2965" t="s">
        <v>2840</v>
      </c>
      <c r="D2965" t="s">
        <v>15260</v>
      </c>
      <c r="E2965" t="s">
        <v>48</v>
      </c>
      <c r="F2965" t="s">
        <v>106</v>
      </c>
      <c r="G2965" t="s">
        <v>163</v>
      </c>
      <c r="H2965" t="s">
        <v>38</v>
      </c>
      <c r="I2965" t="s">
        <v>39</v>
      </c>
      <c r="J2965" t="s">
        <v>50</v>
      </c>
      <c r="K2965" t="s">
        <v>15261</v>
      </c>
      <c r="L2965">
        <v>0.15</v>
      </c>
      <c r="M2965" t="s">
        <v>15262</v>
      </c>
      <c r="N2965" t="s">
        <v>15263</v>
      </c>
      <c r="O2965" t="s">
        <v>54</v>
      </c>
      <c r="P2965" t="s">
        <v>30</v>
      </c>
      <c r="Q2965" t="s">
        <v>65</v>
      </c>
      <c r="R2965" s="3">
        <v>4629.3379999999997</v>
      </c>
    </row>
    <row r="2966" spans="1:18" x14ac:dyDescent="0.3">
      <c r="A2966" t="s">
        <v>15264</v>
      </c>
      <c r="B2966" t="str">
        <f>TEXT(Raw_Data[[#This Row],[Order Date]],"mmm")</f>
        <v>Jan</v>
      </c>
      <c r="C2966" t="s">
        <v>780</v>
      </c>
      <c r="D2966" t="s">
        <v>15265</v>
      </c>
      <c r="E2966" t="s">
        <v>20</v>
      </c>
      <c r="F2966" t="s">
        <v>58</v>
      </c>
      <c r="G2966" t="s">
        <v>812</v>
      </c>
      <c r="H2966" t="s">
        <v>23</v>
      </c>
      <c r="I2966" t="s">
        <v>49</v>
      </c>
      <c r="J2966" t="s">
        <v>25</v>
      </c>
      <c r="K2966" t="s">
        <v>15266</v>
      </c>
      <c r="L2966">
        <v>0.05</v>
      </c>
      <c r="M2966" t="s">
        <v>15267</v>
      </c>
      <c r="N2966" t="s">
        <v>15268</v>
      </c>
      <c r="O2966" t="s">
        <v>173</v>
      </c>
      <c r="P2966" t="s">
        <v>30</v>
      </c>
      <c r="Q2966" t="s">
        <v>44</v>
      </c>
      <c r="R2966" s="3">
        <v>26483.805499999999</v>
      </c>
    </row>
    <row r="2967" spans="1:18" x14ac:dyDescent="0.3">
      <c r="A2967" t="s">
        <v>15269</v>
      </c>
      <c r="B2967" t="str">
        <f>TEXT(Raw_Data[[#This Row],[Order Date]],"mmm")</f>
        <v>Feb</v>
      </c>
      <c r="C2967" t="s">
        <v>862</v>
      </c>
      <c r="D2967" t="s">
        <v>15270</v>
      </c>
      <c r="E2967" t="s">
        <v>35</v>
      </c>
      <c r="F2967" t="s">
        <v>78</v>
      </c>
      <c r="G2967" t="s">
        <v>79</v>
      </c>
      <c r="H2967" t="s">
        <v>80</v>
      </c>
      <c r="I2967" t="s">
        <v>81</v>
      </c>
      <c r="J2967" t="s">
        <v>25</v>
      </c>
      <c r="K2967" t="s">
        <v>15271</v>
      </c>
      <c r="L2967">
        <v>0.1</v>
      </c>
      <c r="M2967" t="s">
        <v>15272</v>
      </c>
      <c r="N2967" t="s">
        <v>15273</v>
      </c>
      <c r="O2967" t="s">
        <v>29</v>
      </c>
      <c r="P2967" t="s">
        <v>30</v>
      </c>
      <c r="Q2967" t="s">
        <v>31</v>
      </c>
      <c r="R2967" s="3">
        <v>3064.527</v>
      </c>
    </row>
    <row r="2968" spans="1:18" x14ac:dyDescent="0.3">
      <c r="A2968" t="s">
        <v>15274</v>
      </c>
      <c r="B2968" t="str">
        <f>TEXT(Raw_Data[[#This Row],[Order Date]],"mmm")</f>
        <v>Nov</v>
      </c>
      <c r="C2968" t="s">
        <v>1330</v>
      </c>
      <c r="D2968" t="s">
        <v>15275</v>
      </c>
      <c r="E2968" t="s">
        <v>48</v>
      </c>
      <c r="F2968" t="s">
        <v>215</v>
      </c>
      <c r="G2968" t="s">
        <v>276</v>
      </c>
      <c r="H2968" t="s">
        <v>154</v>
      </c>
      <c r="I2968" t="s">
        <v>1061</v>
      </c>
      <c r="J2968" t="s">
        <v>50</v>
      </c>
      <c r="K2968" t="s">
        <v>15276</v>
      </c>
      <c r="L2968">
        <v>0.1</v>
      </c>
      <c r="M2968" t="s">
        <v>15277</v>
      </c>
      <c r="N2968" t="s">
        <v>15278</v>
      </c>
      <c r="O2968" t="s">
        <v>173</v>
      </c>
      <c r="P2968" t="s">
        <v>95</v>
      </c>
      <c r="Q2968" t="s">
        <v>65</v>
      </c>
      <c r="R2968" s="3">
        <v>9066.2939999999999</v>
      </c>
    </row>
    <row r="2969" spans="1:18" x14ac:dyDescent="0.3">
      <c r="A2969" t="s">
        <v>15279</v>
      </c>
      <c r="B2969" t="str">
        <f>TEXT(Raw_Data[[#This Row],[Order Date]],"mmm")</f>
        <v>Mar</v>
      </c>
      <c r="C2969" t="s">
        <v>504</v>
      </c>
      <c r="D2969" t="s">
        <v>15280</v>
      </c>
      <c r="E2969" t="s">
        <v>48</v>
      </c>
      <c r="F2969" t="s">
        <v>36</v>
      </c>
      <c r="G2969" t="s">
        <v>153</v>
      </c>
      <c r="H2969" t="s">
        <v>107</v>
      </c>
      <c r="I2969" t="s">
        <v>378</v>
      </c>
      <c r="J2969" t="s">
        <v>25</v>
      </c>
      <c r="K2969" t="s">
        <v>15281</v>
      </c>
      <c r="L2969">
        <v>0.1</v>
      </c>
      <c r="M2969" t="s">
        <v>15282</v>
      </c>
      <c r="N2969" t="s">
        <v>15283</v>
      </c>
      <c r="O2969" t="s">
        <v>173</v>
      </c>
      <c r="P2969" t="s">
        <v>30</v>
      </c>
      <c r="Q2969" t="s">
        <v>44</v>
      </c>
      <c r="R2969" s="3">
        <v>8815.5990000000002</v>
      </c>
    </row>
    <row r="2970" spans="1:18" x14ac:dyDescent="0.3">
      <c r="A2970" t="s">
        <v>15284</v>
      </c>
      <c r="B2970" t="str">
        <f>TEXT(Raw_Data[[#This Row],[Order Date]],"mmm")</f>
        <v>Nov</v>
      </c>
      <c r="C2970" t="s">
        <v>516</v>
      </c>
      <c r="D2970" t="s">
        <v>15285</v>
      </c>
      <c r="E2970" t="s">
        <v>48</v>
      </c>
      <c r="F2970" t="s">
        <v>215</v>
      </c>
      <c r="G2970" t="s">
        <v>216</v>
      </c>
      <c r="H2970" t="s">
        <v>154</v>
      </c>
      <c r="I2970" t="s">
        <v>1061</v>
      </c>
      <c r="J2970" t="s">
        <v>25</v>
      </c>
      <c r="K2970" t="s">
        <v>15286</v>
      </c>
      <c r="L2970">
        <v>0.05</v>
      </c>
      <c r="M2970" t="s">
        <v>15287</v>
      </c>
      <c r="N2970" t="s">
        <v>15288</v>
      </c>
      <c r="O2970" t="s">
        <v>173</v>
      </c>
      <c r="P2970" t="s">
        <v>30</v>
      </c>
      <c r="Q2970" t="s">
        <v>65</v>
      </c>
      <c r="R2970" s="3">
        <v>1969.9295</v>
      </c>
    </row>
    <row r="2971" spans="1:18" x14ac:dyDescent="0.3">
      <c r="A2971" t="s">
        <v>15289</v>
      </c>
      <c r="B2971" t="str">
        <f>TEXT(Raw_Data[[#This Row],[Order Date]],"mmm")</f>
        <v>Apr</v>
      </c>
      <c r="C2971" t="s">
        <v>804</v>
      </c>
      <c r="D2971" t="s">
        <v>15290</v>
      </c>
      <c r="E2971" t="s">
        <v>20</v>
      </c>
      <c r="F2971" t="s">
        <v>106</v>
      </c>
      <c r="G2971" t="s">
        <v>163</v>
      </c>
      <c r="H2971" t="s">
        <v>107</v>
      </c>
      <c r="I2971" t="s">
        <v>108</v>
      </c>
      <c r="J2971" t="s">
        <v>50</v>
      </c>
      <c r="K2971" t="s">
        <v>15291</v>
      </c>
      <c r="L2971">
        <v>0.1</v>
      </c>
      <c r="M2971" t="s">
        <v>15292</v>
      </c>
      <c r="N2971" t="s">
        <v>15293</v>
      </c>
      <c r="O2971" t="s">
        <v>173</v>
      </c>
      <c r="P2971" t="s">
        <v>30</v>
      </c>
      <c r="Q2971" t="s">
        <v>31</v>
      </c>
      <c r="R2971" s="3">
        <v>6164.2439999999997</v>
      </c>
    </row>
    <row r="2972" spans="1:18" x14ac:dyDescent="0.3">
      <c r="A2972" t="s">
        <v>15294</v>
      </c>
      <c r="B2972" t="str">
        <f>TEXT(Raw_Data[[#This Row],[Order Date]],"mmm")</f>
        <v>Jul</v>
      </c>
      <c r="C2972" t="s">
        <v>562</v>
      </c>
      <c r="D2972" t="s">
        <v>15295</v>
      </c>
      <c r="E2972" t="s">
        <v>20</v>
      </c>
      <c r="F2972" t="s">
        <v>58</v>
      </c>
      <c r="G2972" t="s">
        <v>812</v>
      </c>
      <c r="H2972" t="s">
        <v>23</v>
      </c>
      <c r="I2972" t="s">
        <v>341</v>
      </c>
      <c r="J2972" t="s">
        <v>25</v>
      </c>
      <c r="K2972" t="s">
        <v>15296</v>
      </c>
      <c r="L2972">
        <v>0.1</v>
      </c>
      <c r="M2972" t="s">
        <v>15297</v>
      </c>
      <c r="N2972" t="s">
        <v>15298</v>
      </c>
      <c r="O2972" t="s">
        <v>29</v>
      </c>
      <c r="P2972" t="s">
        <v>30</v>
      </c>
      <c r="Q2972" t="s">
        <v>31</v>
      </c>
      <c r="R2972" s="3">
        <v>61176.608999999997</v>
      </c>
    </row>
    <row r="2973" spans="1:18" x14ac:dyDescent="0.3">
      <c r="A2973" t="s">
        <v>15299</v>
      </c>
      <c r="B2973" t="str">
        <f>TEXT(Raw_Data[[#This Row],[Order Date]],"mmm")</f>
        <v>Feb</v>
      </c>
      <c r="C2973" t="s">
        <v>3467</v>
      </c>
      <c r="D2973" t="s">
        <v>15300</v>
      </c>
      <c r="E2973" t="s">
        <v>20</v>
      </c>
      <c r="F2973" t="s">
        <v>58</v>
      </c>
      <c r="G2973" t="s">
        <v>290</v>
      </c>
      <c r="H2973" t="s">
        <v>154</v>
      </c>
      <c r="I2973" t="s">
        <v>155</v>
      </c>
      <c r="J2973" t="s">
        <v>25</v>
      </c>
      <c r="K2973" t="s">
        <v>15301</v>
      </c>
      <c r="L2973">
        <v>0.05</v>
      </c>
      <c r="M2973" t="s">
        <v>15302</v>
      </c>
      <c r="N2973" t="s">
        <v>15303</v>
      </c>
      <c r="O2973" t="s">
        <v>29</v>
      </c>
      <c r="P2973" t="s">
        <v>30</v>
      </c>
      <c r="Q2973" t="s">
        <v>44</v>
      </c>
      <c r="R2973" s="3">
        <v>8667.4579999999896</v>
      </c>
    </row>
    <row r="2974" spans="1:18" x14ac:dyDescent="0.3">
      <c r="A2974" t="s">
        <v>15304</v>
      </c>
      <c r="B2974" t="str">
        <f>TEXT(Raw_Data[[#This Row],[Order Date]],"mmm")</f>
        <v>Feb</v>
      </c>
      <c r="C2974" t="s">
        <v>2676</v>
      </c>
      <c r="D2974" t="s">
        <v>15305</v>
      </c>
      <c r="E2974" t="s">
        <v>20</v>
      </c>
      <c r="F2974" t="s">
        <v>36</v>
      </c>
      <c r="G2974" t="s">
        <v>196</v>
      </c>
      <c r="H2974" t="s">
        <v>80</v>
      </c>
      <c r="I2974" t="s">
        <v>91</v>
      </c>
      <c r="J2974" t="s">
        <v>100</v>
      </c>
      <c r="K2974" t="s">
        <v>15306</v>
      </c>
      <c r="L2974">
        <v>0.05</v>
      </c>
      <c r="M2974" t="s">
        <v>15307</v>
      </c>
      <c r="N2974" t="s">
        <v>15308</v>
      </c>
      <c r="O2974" t="s">
        <v>64</v>
      </c>
      <c r="P2974" t="s">
        <v>30</v>
      </c>
      <c r="Q2974" t="s">
        <v>44</v>
      </c>
      <c r="R2974" s="3">
        <v>15848.137499999901</v>
      </c>
    </row>
    <row r="2975" spans="1:18" x14ac:dyDescent="0.3">
      <c r="A2975" t="s">
        <v>15309</v>
      </c>
      <c r="B2975" t="str">
        <f>TEXT(Raw_Data[[#This Row],[Order Date]],"mmm")</f>
        <v>May</v>
      </c>
      <c r="C2975" t="s">
        <v>1781</v>
      </c>
      <c r="D2975" t="s">
        <v>15310</v>
      </c>
      <c r="E2975" t="s">
        <v>48</v>
      </c>
      <c r="F2975" t="s">
        <v>215</v>
      </c>
      <c r="G2975" t="s">
        <v>276</v>
      </c>
      <c r="H2975" t="s">
        <v>107</v>
      </c>
      <c r="I2975" t="s">
        <v>591</v>
      </c>
      <c r="J2975" t="s">
        <v>100</v>
      </c>
      <c r="K2975" t="s">
        <v>15311</v>
      </c>
      <c r="L2975">
        <v>0.05</v>
      </c>
      <c r="M2975" t="s">
        <v>15312</v>
      </c>
      <c r="N2975" t="s">
        <v>15313</v>
      </c>
      <c r="O2975" t="s">
        <v>54</v>
      </c>
      <c r="P2975" t="s">
        <v>30</v>
      </c>
      <c r="Q2975" t="s">
        <v>65</v>
      </c>
      <c r="R2975" s="3">
        <v>14300.273999999999</v>
      </c>
    </row>
    <row r="2976" spans="1:18" x14ac:dyDescent="0.3">
      <c r="A2976" t="s">
        <v>15314</v>
      </c>
      <c r="B2976" t="str">
        <f>TEXT(Raw_Data[[#This Row],[Order Date]],"mmm")</f>
        <v>Jul</v>
      </c>
      <c r="C2976" t="s">
        <v>2670</v>
      </c>
      <c r="D2976" t="s">
        <v>15315</v>
      </c>
      <c r="E2976" t="s">
        <v>48</v>
      </c>
      <c r="F2976" t="s">
        <v>89</v>
      </c>
      <c r="G2976" t="s">
        <v>230</v>
      </c>
      <c r="H2976" t="s">
        <v>38</v>
      </c>
      <c r="I2976" t="s">
        <v>256</v>
      </c>
      <c r="J2976" t="s">
        <v>50</v>
      </c>
      <c r="K2976" t="s">
        <v>15316</v>
      </c>
      <c r="L2976">
        <v>0.1</v>
      </c>
      <c r="M2976" t="s">
        <v>15317</v>
      </c>
      <c r="N2976" t="s">
        <v>15318</v>
      </c>
      <c r="O2976" t="s">
        <v>173</v>
      </c>
      <c r="P2976" t="s">
        <v>30</v>
      </c>
      <c r="Q2976" t="s">
        <v>44</v>
      </c>
      <c r="R2976" s="3">
        <v>6493.32</v>
      </c>
    </row>
    <row r="2977" spans="1:18" x14ac:dyDescent="0.3">
      <c r="A2977" t="s">
        <v>15319</v>
      </c>
      <c r="B2977" t="str">
        <f>TEXT(Raw_Data[[#This Row],[Order Date]],"mmm")</f>
        <v>Sep</v>
      </c>
      <c r="C2977" t="s">
        <v>1539</v>
      </c>
      <c r="D2977" t="s">
        <v>15320</v>
      </c>
      <c r="E2977" t="s">
        <v>48</v>
      </c>
      <c r="F2977" t="s">
        <v>21</v>
      </c>
      <c r="G2977" t="s">
        <v>130</v>
      </c>
      <c r="H2977" t="s">
        <v>23</v>
      </c>
      <c r="I2977" t="s">
        <v>263</v>
      </c>
      <c r="J2977" t="s">
        <v>25</v>
      </c>
      <c r="K2977" t="s">
        <v>15321</v>
      </c>
      <c r="L2977">
        <v>0.1</v>
      </c>
      <c r="M2977" t="s">
        <v>15322</v>
      </c>
      <c r="N2977" t="s">
        <v>15323</v>
      </c>
      <c r="O2977" t="s">
        <v>2763</v>
      </c>
      <c r="P2977" t="s">
        <v>30</v>
      </c>
      <c r="Q2977" t="s">
        <v>44</v>
      </c>
      <c r="R2977" s="3">
        <v>5937.6779999999999</v>
      </c>
    </row>
    <row r="2978" spans="1:18" x14ac:dyDescent="0.3">
      <c r="A2978" t="s">
        <v>15324</v>
      </c>
      <c r="B2978" t="str">
        <f>TEXT(Raw_Data[[#This Row],[Order Date]],"mmm")</f>
        <v>Feb</v>
      </c>
      <c r="C2978" t="s">
        <v>307</v>
      </c>
      <c r="D2978" t="s">
        <v>15325</v>
      </c>
      <c r="E2978" t="s">
        <v>20</v>
      </c>
      <c r="F2978" t="s">
        <v>215</v>
      </c>
      <c r="G2978" t="s">
        <v>276</v>
      </c>
      <c r="H2978" t="s">
        <v>80</v>
      </c>
      <c r="I2978" t="s">
        <v>116</v>
      </c>
      <c r="J2978" t="s">
        <v>25</v>
      </c>
      <c r="K2978" t="s">
        <v>15326</v>
      </c>
      <c r="L2978">
        <v>0</v>
      </c>
      <c r="M2978" t="s">
        <v>15327</v>
      </c>
      <c r="N2978" t="s">
        <v>15328</v>
      </c>
      <c r="O2978" t="s">
        <v>173</v>
      </c>
      <c r="P2978" t="s">
        <v>30</v>
      </c>
      <c r="Q2978" t="s">
        <v>65</v>
      </c>
      <c r="R2978" s="3">
        <v>3828.05</v>
      </c>
    </row>
    <row r="2979" spans="1:18" x14ac:dyDescent="0.3">
      <c r="A2979" t="s">
        <v>15329</v>
      </c>
      <c r="B2979" t="str">
        <f>TEXT(Raw_Data[[#This Row],[Order Date]],"mmm")</f>
        <v>Dec</v>
      </c>
      <c r="C2979" t="s">
        <v>1515</v>
      </c>
      <c r="D2979" t="s">
        <v>15330</v>
      </c>
      <c r="E2979" t="s">
        <v>48</v>
      </c>
      <c r="F2979" t="s">
        <v>215</v>
      </c>
      <c r="G2979" t="s">
        <v>216</v>
      </c>
      <c r="H2979" t="s">
        <v>107</v>
      </c>
      <c r="I2979" t="s">
        <v>469</v>
      </c>
      <c r="J2979" t="s">
        <v>25</v>
      </c>
      <c r="K2979" t="s">
        <v>15331</v>
      </c>
      <c r="L2979">
        <v>0.15</v>
      </c>
      <c r="M2979" t="s">
        <v>15332</v>
      </c>
      <c r="N2979" t="s">
        <v>15333</v>
      </c>
      <c r="O2979" t="s">
        <v>64</v>
      </c>
      <c r="P2979" t="s">
        <v>30</v>
      </c>
      <c r="Q2979" t="s">
        <v>44</v>
      </c>
      <c r="R2979" s="3">
        <v>11621.6165</v>
      </c>
    </row>
    <row r="2980" spans="1:18" x14ac:dyDescent="0.3">
      <c r="A2980" t="s">
        <v>15334</v>
      </c>
      <c r="B2980" t="str">
        <f>TEXT(Raw_Data[[#This Row],[Order Date]],"mmm")</f>
        <v>Jan</v>
      </c>
      <c r="C2980" t="s">
        <v>254</v>
      </c>
      <c r="D2980" t="s">
        <v>15335</v>
      </c>
      <c r="E2980" t="s">
        <v>20</v>
      </c>
      <c r="F2980" t="s">
        <v>89</v>
      </c>
      <c r="G2980" t="s">
        <v>90</v>
      </c>
      <c r="H2980" t="s">
        <v>38</v>
      </c>
      <c r="I2980" t="s">
        <v>223</v>
      </c>
      <c r="J2980" t="s">
        <v>50</v>
      </c>
      <c r="K2980" t="s">
        <v>15336</v>
      </c>
      <c r="L2980">
        <v>0.05</v>
      </c>
      <c r="M2980" t="s">
        <v>15337</v>
      </c>
      <c r="N2980" t="s">
        <v>15338</v>
      </c>
      <c r="O2980" t="s">
        <v>43</v>
      </c>
      <c r="P2980" t="s">
        <v>30</v>
      </c>
      <c r="Q2980" t="s">
        <v>31</v>
      </c>
      <c r="R2980" s="3">
        <v>8213.7950000000001</v>
      </c>
    </row>
    <row r="2981" spans="1:18" x14ac:dyDescent="0.3">
      <c r="A2981" t="s">
        <v>15339</v>
      </c>
      <c r="B2981" t="str">
        <f>TEXT(Raw_Data[[#This Row],[Order Date]],"mmm")</f>
        <v>Sep</v>
      </c>
      <c r="C2981" t="s">
        <v>2704</v>
      </c>
      <c r="D2981" t="s">
        <v>15340</v>
      </c>
      <c r="E2981" t="s">
        <v>35</v>
      </c>
      <c r="F2981" t="s">
        <v>69</v>
      </c>
      <c r="G2981" t="s">
        <v>328</v>
      </c>
      <c r="H2981" t="s">
        <v>107</v>
      </c>
      <c r="I2981" t="s">
        <v>469</v>
      </c>
      <c r="J2981" t="s">
        <v>82</v>
      </c>
      <c r="K2981" t="s">
        <v>15341</v>
      </c>
      <c r="L2981">
        <v>0</v>
      </c>
      <c r="M2981" t="s">
        <v>15342</v>
      </c>
      <c r="N2981" t="s">
        <v>15343</v>
      </c>
      <c r="O2981" t="s">
        <v>173</v>
      </c>
      <c r="P2981" t="s">
        <v>112</v>
      </c>
      <c r="Q2981" t="s">
        <v>44</v>
      </c>
      <c r="R2981" s="3">
        <v>50858.44</v>
      </c>
    </row>
    <row r="2982" spans="1:18" x14ac:dyDescent="0.3">
      <c r="A2982" t="s">
        <v>15344</v>
      </c>
      <c r="B2982" t="str">
        <f>TEXT(Raw_Data[[#This Row],[Order Date]],"mmm")</f>
        <v>Sep</v>
      </c>
      <c r="C2982" t="s">
        <v>2704</v>
      </c>
      <c r="D2982" t="s">
        <v>15345</v>
      </c>
      <c r="E2982" t="s">
        <v>48</v>
      </c>
      <c r="F2982" t="s">
        <v>69</v>
      </c>
      <c r="G2982" t="s">
        <v>328</v>
      </c>
      <c r="H2982" t="s">
        <v>80</v>
      </c>
      <c r="I2982" t="s">
        <v>91</v>
      </c>
      <c r="J2982" t="s">
        <v>25</v>
      </c>
      <c r="K2982" t="s">
        <v>15346</v>
      </c>
      <c r="L2982">
        <v>0.05</v>
      </c>
      <c r="M2982" t="s">
        <v>15347</v>
      </c>
      <c r="N2982" t="s">
        <v>15348</v>
      </c>
      <c r="O2982" t="s">
        <v>43</v>
      </c>
      <c r="P2982" t="s">
        <v>30</v>
      </c>
      <c r="Q2982" t="s">
        <v>31</v>
      </c>
      <c r="R2982" s="3">
        <v>2168.4319999999998</v>
      </c>
    </row>
    <row r="2983" spans="1:18" x14ac:dyDescent="0.3">
      <c r="A2983" t="s">
        <v>15349</v>
      </c>
      <c r="B2983" t="str">
        <f>TEXT(Raw_Data[[#This Row],[Order Date]],"mmm")</f>
        <v>Jul</v>
      </c>
      <c r="C2983" t="s">
        <v>3354</v>
      </c>
      <c r="D2983" t="s">
        <v>15350</v>
      </c>
      <c r="E2983" t="s">
        <v>35</v>
      </c>
      <c r="F2983" t="s">
        <v>89</v>
      </c>
      <c r="G2983" t="s">
        <v>99</v>
      </c>
      <c r="H2983" t="s">
        <v>23</v>
      </c>
      <c r="I2983" t="s">
        <v>49</v>
      </c>
      <c r="J2983" t="s">
        <v>50</v>
      </c>
      <c r="K2983" t="s">
        <v>15351</v>
      </c>
      <c r="L2983">
        <v>0.2</v>
      </c>
      <c r="M2983" t="s">
        <v>15352</v>
      </c>
      <c r="N2983" t="s">
        <v>15353</v>
      </c>
      <c r="O2983" t="s">
        <v>64</v>
      </c>
      <c r="P2983" t="s">
        <v>30</v>
      </c>
      <c r="Q2983" t="s">
        <v>31</v>
      </c>
      <c r="R2983" s="3">
        <v>66791.312000000005</v>
      </c>
    </row>
    <row r="2984" spans="1:18" x14ac:dyDescent="0.3">
      <c r="A2984" t="s">
        <v>15354</v>
      </c>
      <c r="B2984" t="str">
        <f>TEXT(Raw_Data[[#This Row],[Order Date]],"mmm")</f>
        <v>Aug</v>
      </c>
      <c r="C2984" t="s">
        <v>528</v>
      </c>
      <c r="D2984" t="s">
        <v>15355</v>
      </c>
      <c r="E2984" t="s">
        <v>20</v>
      </c>
      <c r="F2984" t="s">
        <v>58</v>
      </c>
      <c r="G2984" t="s">
        <v>59</v>
      </c>
      <c r="H2984" t="s">
        <v>80</v>
      </c>
      <c r="I2984" t="s">
        <v>91</v>
      </c>
      <c r="J2984" t="s">
        <v>100</v>
      </c>
      <c r="K2984" t="s">
        <v>15356</v>
      </c>
      <c r="L2984">
        <v>0.05</v>
      </c>
      <c r="M2984" t="s">
        <v>15357</v>
      </c>
      <c r="N2984" t="s">
        <v>15358</v>
      </c>
      <c r="O2984" t="s">
        <v>173</v>
      </c>
      <c r="P2984" t="s">
        <v>30</v>
      </c>
      <c r="Q2984" t="s">
        <v>31</v>
      </c>
      <c r="R2984" s="3">
        <v>16952.968499999999</v>
      </c>
    </row>
    <row r="2985" spans="1:18" x14ac:dyDescent="0.3">
      <c r="A2985" t="s">
        <v>15359</v>
      </c>
      <c r="B2985" t="str">
        <f>TEXT(Raw_Data[[#This Row],[Order Date]],"mmm")</f>
        <v>Feb</v>
      </c>
      <c r="C2985" t="s">
        <v>4284</v>
      </c>
      <c r="D2985" t="s">
        <v>15360</v>
      </c>
      <c r="E2985" t="s">
        <v>35</v>
      </c>
      <c r="F2985" t="s">
        <v>89</v>
      </c>
      <c r="G2985" t="s">
        <v>90</v>
      </c>
      <c r="H2985" t="s">
        <v>23</v>
      </c>
      <c r="I2985" t="s">
        <v>183</v>
      </c>
      <c r="J2985" t="s">
        <v>25</v>
      </c>
      <c r="K2985" t="s">
        <v>15361</v>
      </c>
      <c r="L2985">
        <v>0.05</v>
      </c>
      <c r="M2985" t="s">
        <v>15362</v>
      </c>
      <c r="N2985" t="s">
        <v>15363</v>
      </c>
      <c r="O2985" t="s">
        <v>173</v>
      </c>
      <c r="P2985" t="s">
        <v>30</v>
      </c>
      <c r="Q2985" t="s">
        <v>31</v>
      </c>
      <c r="R2985" s="3">
        <v>60614.616999999998</v>
      </c>
    </row>
    <row r="2986" spans="1:18" x14ac:dyDescent="0.3">
      <c r="A2986" t="s">
        <v>15364</v>
      </c>
      <c r="B2986" t="str">
        <f>TEXT(Raw_Data[[#This Row],[Order Date]],"mmm")</f>
        <v>Dec</v>
      </c>
      <c r="C2986" t="s">
        <v>2792</v>
      </c>
      <c r="D2986" t="s">
        <v>15365</v>
      </c>
      <c r="E2986" t="s">
        <v>48</v>
      </c>
      <c r="F2986" t="s">
        <v>89</v>
      </c>
      <c r="G2986" t="s">
        <v>230</v>
      </c>
      <c r="H2986" t="s">
        <v>80</v>
      </c>
      <c r="I2986" t="s">
        <v>131</v>
      </c>
      <c r="J2986" t="s">
        <v>50</v>
      </c>
      <c r="K2986" t="s">
        <v>15366</v>
      </c>
      <c r="L2986">
        <v>0.05</v>
      </c>
      <c r="M2986" t="s">
        <v>15367</v>
      </c>
      <c r="N2986" t="s">
        <v>15368</v>
      </c>
      <c r="O2986" t="s">
        <v>54</v>
      </c>
      <c r="P2986" t="s">
        <v>30</v>
      </c>
      <c r="Q2986" t="s">
        <v>65</v>
      </c>
      <c r="R2986" s="3">
        <v>11896.8309999999</v>
      </c>
    </row>
    <row r="2987" spans="1:18" x14ac:dyDescent="0.3">
      <c r="A2987" t="s">
        <v>15369</v>
      </c>
      <c r="B2987" t="str">
        <f>TEXT(Raw_Data[[#This Row],[Order Date]],"mmm")</f>
        <v>Oct</v>
      </c>
      <c r="C2987" t="s">
        <v>736</v>
      </c>
      <c r="D2987" t="s">
        <v>15370</v>
      </c>
      <c r="E2987" t="s">
        <v>35</v>
      </c>
      <c r="F2987" t="s">
        <v>36</v>
      </c>
      <c r="G2987" t="s">
        <v>123</v>
      </c>
      <c r="H2987" t="s">
        <v>80</v>
      </c>
      <c r="I2987" t="s">
        <v>146</v>
      </c>
      <c r="J2987" t="s">
        <v>82</v>
      </c>
      <c r="K2987" t="s">
        <v>15371</v>
      </c>
      <c r="L2987">
        <v>0.15</v>
      </c>
      <c r="M2987" t="s">
        <v>15372</v>
      </c>
      <c r="N2987" t="s">
        <v>15373</v>
      </c>
      <c r="O2987" t="s">
        <v>64</v>
      </c>
      <c r="P2987" t="s">
        <v>30</v>
      </c>
      <c r="Q2987" t="s">
        <v>31</v>
      </c>
      <c r="R2987" s="3">
        <v>2745.5</v>
      </c>
    </row>
    <row r="2988" spans="1:18" x14ac:dyDescent="0.3">
      <c r="A2988" t="s">
        <v>15374</v>
      </c>
      <c r="B2988" t="str">
        <f>TEXT(Raw_Data[[#This Row],[Order Date]],"mmm")</f>
        <v>Nov</v>
      </c>
      <c r="C2988" t="s">
        <v>3096</v>
      </c>
      <c r="D2988" t="s">
        <v>15375</v>
      </c>
      <c r="E2988" t="s">
        <v>20</v>
      </c>
      <c r="F2988" t="s">
        <v>215</v>
      </c>
      <c r="G2988" t="s">
        <v>276</v>
      </c>
      <c r="H2988" t="s">
        <v>23</v>
      </c>
      <c r="I2988" t="s">
        <v>49</v>
      </c>
      <c r="J2988" t="s">
        <v>50</v>
      </c>
      <c r="K2988" t="s">
        <v>15376</v>
      </c>
      <c r="L2988">
        <v>0.1</v>
      </c>
      <c r="M2988" t="s">
        <v>15377</v>
      </c>
      <c r="N2988" t="s">
        <v>15378</v>
      </c>
      <c r="O2988" t="s">
        <v>64</v>
      </c>
      <c r="P2988" t="s">
        <v>112</v>
      </c>
      <c r="Q2988" t="s">
        <v>65</v>
      </c>
      <c r="R2988" s="3">
        <v>110206.242</v>
      </c>
    </row>
    <row r="2989" spans="1:18" x14ac:dyDescent="0.3">
      <c r="A2989" t="s">
        <v>15379</v>
      </c>
      <c r="B2989" t="str">
        <f>TEXT(Raw_Data[[#This Row],[Order Date]],"mmm")</f>
        <v>Apr</v>
      </c>
      <c r="C2989" t="s">
        <v>1904</v>
      </c>
      <c r="D2989" t="s">
        <v>15380</v>
      </c>
      <c r="E2989" t="s">
        <v>48</v>
      </c>
      <c r="F2989" t="s">
        <v>58</v>
      </c>
      <c r="G2989" t="s">
        <v>59</v>
      </c>
      <c r="H2989" t="s">
        <v>80</v>
      </c>
      <c r="I2989" t="s">
        <v>146</v>
      </c>
      <c r="J2989" t="s">
        <v>25</v>
      </c>
      <c r="K2989" t="s">
        <v>15381</v>
      </c>
      <c r="L2989">
        <v>0</v>
      </c>
      <c r="M2989" t="s">
        <v>2917</v>
      </c>
      <c r="N2989" t="s">
        <v>15382</v>
      </c>
      <c r="O2989" t="s">
        <v>54</v>
      </c>
      <c r="P2989" t="s">
        <v>30</v>
      </c>
      <c r="Q2989" t="s">
        <v>65</v>
      </c>
      <c r="R2989" s="3">
        <v>423.35</v>
      </c>
    </row>
    <row r="2990" spans="1:18" x14ac:dyDescent="0.3">
      <c r="A2990" t="s">
        <v>15383</v>
      </c>
      <c r="B2990" t="str">
        <f>TEXT(Raw_Data[[#This Row],[Order Date]],"mmm")</f>
        <v>Sep</v>
      </c>
      <c r="C2990" t="s">
        <v>5944</v>
      </c>
      <c r="D2990" t="s">
        <v>15384</v>
      </c>
      <c r="E2990" t="s">
        <v>20</v>
      </c>
      <c r="F2990" t="s">
        <v>36</v>
      </c>
      <c r="G2990" t="s">
        <v>196</v>
      </c>
      <c r="H2990" t="s">
        <v>38</v>
      </c>
      <c r="I2990" t="s">
        <v>223</v>
      </c>
      <c r="J2990" t="s">
        <v>25</v>
      </c>
      <c r="K2990" t="s">
        <v>15385</v>
      </c>
      <c r="L2990">
        <v>0.1</v>
      </c>
      <c r="M2990" t="s">
        <v>15386</v>
      </c>
      <c r="N2990" t="s">
        <v>15387</v>
      </c>
      <c r="O2990" t="s">
        <v>29</v>
      </c>
      <c r="P2990" t="s">
        <v>30</v>
      </c>
      <c r="Q2990" t="s">
        <v>65</v>
      </c>
      <c r="R2990" s="3">
        <v>5028.5159999999996</v>
      </c>
    </row>
    <row r="2991" spans="1:18" x14ac:dyDescent="0.3">
      <c r="A2991" t="s">
        <v>15388</v>
      </c>
      <c r="B2991" t="str">
        <f>TEXT(Raw_Data[[#This Row],[Order Date]],"mmm")</f>
        <v>Jun</v>
      </c>
      <c r="C2991" t="s">
        <v>213</v>
      </c>
      <c r="D2991" t="s">
        <v>15389</v>
      </c>
      <c r="E2991" t="s">
        <v>48</v>
      </c>
      <c r="F2991" t="s">
        <v>69</v>
      </c>
      <c r="G2991" t="s">
        <v>70</v>
      </c>
      <c r="H2991" t="s">
        <v>107</v>
      </c>
      <c r="I2991" t="s">
        <v>277</v>
      </c>
      <c r="J2991" t="s">
        <v>100</v>
      </c>
      <c r="K2991" t="s">
        <v>15390</v>
      </c>
      <c r="L2991">
        <v>0.1</v>
      </c>
      <c r="M2991" t="s">
        <v>15391</v>
      </c>
      <c r="N2991" t="s">
        <v>15392</v>
      </c>
      <c r="O2991" t="s">
        <v>64</v>
      </c>
      <c r="P2991" t="s">
        <v>30</v>
      </c>
      <c r="Q2991" t="s">
        <v>44</v>
      </c>
      <c r="R2991" s="3">
        <v>43363.484999999899</v>
      </c>
    </row>
    <row r="2992" spans="1:18" x14ac:dyDescent="0.3">
      <c r="A2992" t="s">
        <v>15393</v>
      </c>
      <c r="B2992" t="str">
        <f>TEXT(Raw_Data[[#This Row],[Order Date]],"mmm")</f>
        <v>Mar</v>
      </c>
      <c r="C2992" t="s">
        <v>2959</v>
      </c>
      <c r="D2992" t="s">
        <v>15394</v>
      </c>
      <c r="E2992" t="s">
        <v>20</v>
      </c>
      <c r="F2992" t="s">
        <v>78</v>
      </c>
      <c r="G2992" t="s">
        <v>731</v>
      </c>
      <c r="H2992" t="s">
        <v>154</v>
      </c>
      <c r="I2992" t="s">
        <v>1061</v>
      </c>
      <c r="J2992" t="s">
        <v>82</v>
      </c>
      <c r="K2992" t="s">
        <v>15395</v>
      </c>
      <c r="L2992">
        <v>0.05</v>
      </c>
      <c r="M2992" t="s">
        <v>15396</v>
      </c>
      <c r="N2992" t="s">
        <v>15397</v>
      </c>
      <c r="O2992" t="s">
        <v>173</v>
      </c>
      <c r="P2992" t="s">
        <v>30</v>
      </c>
      <c r="Q2992" t="s">
        <v>44</v>
      </c>
      <c r="R2992" s="3">
        <v>13100.461999999899</v>
      </c>
    </row>
    <row r="2993" spans="1:18" x14ac:dyDescent="0.3">
      <c r="A2993" t="s">
        <v>15398</v>
      </c>
      <c r="B2993" t="str">
        <f>TEXT(Raw_Data[[#This Row],[Order Date]],"mmm")</f>
        <v>Feb</v>
      </c>
      <c r="C2993" t="s">
        <v>2676</v>
      </c>
      <c r="D2993" t="s">
        <v>15399</v>
      </c>
      <c r="E2993" t="s">
        <v>20</v>
      </c>
      <c r="F2993" t="s">
        <v>69</v>
      </c>
      <c r="G2993" t="s">
        <v>328</v>
      </c>
      <c r="H2993" t="s">
        <v>107</v>
      </c>
      <c r="I2993" t="s">
        <v>469</v>
      </c>
      <c r="J2993" t="s">
        <v>50</v>
      </c>
      <c r="K2993" t="s">
        <v>15400</v>
      </c>
      <c r="L2993">
        <v>0.2</v>
      </c>
      <c r="M2993" t="s">
        <v>15401</v>
      </c>
      <c r="N2993" t="s">
        <v>15402</v>
      </c>
      <c r="O2993" t="s">
        <v>29</v>
      </c>
      <c r="P2993" t="s">
        <v>159</v>
      </c>
      <c r="Q2993" t="s">
        <v>65</v>
      </c>
      <c r="R2993" s="3">
        <v>21572.223999999998</v>
      </c>
    </row>
    <row r="2994" spans="1:18" x14ac:dyDescent="0.3">
      <c r="A2994" t="s">
        <v>15403</v>
      </c>
      <c r="B2994" t="str">
        <f>TEXT(Raw_Data[[#This Row],[Order Date]],"mmm")</f>
        <v>Nov</v>
      </c>
      <c r="C2994" t="s">
        <v>1204</v>
      </c>
      <c r="D2994" t="s">
        <v>15404</v>
      </c>
      <c r="E2994" t="s">
        <v>20</v>
      </c>
      <c r="F2994" t="s">
        <v>78</v>
      </c>
      <c r="G2994" t="s">
        <v>731</v>
      </c>
      <c r="H2994" t="s">
        <v>154</v>
      </c>
      <c r="I2994" t="s">
        <v>155</v>
      </c>
      <c r="J2994" t="s">
        <v>25</v>
      </c>
      <c r="K2994" t="s">
        <v>15405</v>
      </c>
      <c r="L2994">
        <v>0.05</v>
      </c>
      <c r="M2994" t="s">
        <v>15406</v>
      </c>
      <c r="N2994" t="s">
        <v>15407</v>
      </c>
      <c r="O2994" t="s">
        <v>43</v>
      </c>
      <c r="P2994" t="s">
        <v>30</v>
      </c>
      <c r="Q2994" t="s">
        <v>31</v>
      </c>
      <c r="R2994" s="3">
        <v>3521.9349999999999</v>
      </c>
    </row>
    <row r="2995" spans="1:18" x14ac:dyDescent="0.3">
      <c r="A2995" t="s">
        <v>15408</v>
      </c>
      <c r="B2995" t="str">
        <f>TEXT(Raw_Data[[#This Row],[Order Date]],"mmm")</f>
        <v>Sep</v>
      </c>
      <c r="C2995" t="s">
        <v>1539</v>
      </c>
      <c r="D2995" t="s">
        <v>15409</v>
      </c>
      <c r="E2995" t="s">
        <v>35</v>
      </c>
      <c r="F2995" t="s">
        <v>106</v>
      </c>
      <c r="G2995" t="s">
        <v>163</v>
      </c>
      <c r="H2995" t="s">
        <v>80</v>
      </c>
      <c r="I2995" t="s">
        <v>81</v>
      </c>
      <c r="J2995" t="s">
        <v>25</v>
      </c>
      <c r="K2995" t="s">
        <v>15410</v>
      </c>
      <c r="L2995">
        <v>0.15</v>
      </c>
      <c r="M2995" t="s">
        <v>15411</v>
      </c>
      <c r="N2995" t="s">
        <v>15412</v>
      </c>
      <c r="O2995" t="s">
        <v>43</v>
      </c>
      <c r="P2995" t="s">
        <v>30</v>
      </c>
      <c r="Q2995" t="s">
        <v>31</v>
      </c>
      <c r="R2995" s="3">
        <v>1481.278</v>
      </c>
    </row>
    <row r="2996" spans="1:18" x14ac:dyDescent="0.3">
      <c r="A2996" t="s">
        <v>15413</v>
      </c>
      <c r="B2996" t="str">
        <f>TEXT(Raw_Data[[#This Row],[Order Date]],"mmm")</f>
        <v>Apr</v>
      </c>
      <c r="C2996" t="s">
        <v>902</v>
      </c>
      <c r="D2996" t="s">
        <v>15414</v>
      </c>
      <c r="E2996" t="s">
        <v>20</v>
      </c>
      <c r="F2996" t="s">
        <v>78</v>
      </c>
      <c r="G2996" t="s">
        <v>79</v>
      </c>
      <c r="H2996" t="s">
        <v>80</v>
      </c>
      <c r="I2996" t="s">
        <v>146</v>
      </c>
      <c r="J2996" t="s">
        <v>82</v>
      </c>
      <c r="K2996" t="s">
        <v>15415</v>
      </c>
      <c r="L2996">
        <v>0.05</v>
      </c>
      <c r="M2996" t="s">
        <v>15416</v>
      </c>
      <c r="N2996" t="s">
        <v>15417</v>
      </c>
      <c r="O2996" t="s">
        <v>29</v>
      </c>
      <c r="P2996" t="s">
        <v>30</v>
      </c>
      <c r="Q2996" t="s">
        <v>65</v>
      </c>
      <c r="R2996" s="3">
        <v>2617.8579999999902</v>
      </c>
    </row>
    <row r="2997" spans="1:18" x14ac:dyDescent="0.3">
      <c r="A2997" t="s">
        <v>15418</v>
      </c>
      <c r="B2997" t="str">
        <f>TEXT(Raw_Data[[#This Row],[Order Date]],"mmm")</f>
        <v>Jun</v>
      </c>
      <c r="C2997" t="s">
        <v>2223</v>
      </c>
      <c r="D2997" t="s">
        <v>15419</v>
      </c>
      <c r="E2997" t="s">
        <v>48</v>
      </c>
      <c r="F2997" t="s">
        <v>215</v>
      </c>
      <c r="G2997" t="s">
        <v>276</v>
      </c>
      <c r="H2997" t="s">
        <v>38</v>
      </c>
      <c r="I2997" t="s">
        <v>39</v>
      </c>
      <c r="J2997" t="s">
        <v>50</v>
      </c>
      <c r="K2997" t="s">
        <v>15420</v>
      </c>
      <c r="L2997">
        <v>0.05</v>
      </c>
      <c r="M2997" t="s">
        <v>15421</v>
      </c>
      <c r="N2997" t="s">
        <v>15422</v>
      </c>
      <c r="O2997" t="s">
        <v>29</v>
      </c>
      <c r="P2997" t="s">
        <v>30</v>
      </c>
      <c r="Q2997" t="s">
        <v>31</v>
      </c>
      <c r="R2997" s="3">
        <v>8897.643</v>
      </c>
    </row>
    <row r="2998" spans="1:18" x14ac:dyDescent="0.3">
      <c r="A2998" t="s">
        <v>15423</v>
      </c>
      <c r="B2998" t="str">
        <f>TEXT(Raw_Data[[#This Row],[Order Date]],"mmm")</f>
        <v>Mar</v>
      </c>
      <c r="C2998" t="s">
        <v>3718</v>
      </c>
      <c r="D2998" t="s">
        <v>15424</v>
      </c>
      <c r="E2998" t="s">
        <v>20</v>
      </c>
      <c r="F2998" t="s">
        <v>106</v>
      </c>
      <c r="G2998" t="s">
        <v>106</v>
      </c>
      <c r="H2998" t="s">
        <v>23</v>
      </c>
      <c r="I2998" t="s">
        <v>263</v>
      </c>
      <c r="J2998" t="s">
        <v>25</v>
      </c>
      <c r="K2998" t="s">
        <v>15425</v>
      </c>
      <c r="L2998">
        <v>0.1</v>
      </c>
      <c r="M2998" t="s">
        <v>15426</v>
      </c>
      <c r="N2998" t="s">
        <v>15427</v>
      </c>
      <c r="O2998" t="s">
        <v>173</v>
      </c>
      <c r="P2998" t="s">
        <v>30</v>
      </c>
      <c r="Q2998" t="s">
        <v>44</v>
      </c>
      <c r="R2998" s="3">
        <v>65933.351999999999</v>
      </c>
    </row>
    <row r="2999" spans="1:18" x14ac:dyDescent="0.3">
      <c r="A2999" t="s">
        <v>15428</v>
      </c>
      <c r="B2999" t="str">
        <f>TEXT(Raw_Data[[#This Row],[Order Date]],"mmm")</f>
        <v>Jul</v>
      </c>
      <c r="C2999" t="s">
        <v>1210</v>
      </c>
      <c r="D2999" t="s">
        <v>15429</v>
      </c>
      <c r="E2999" t="s">
        <v>48</v>
      </c>
      <c r="F2999" t="s">
        <v>78</v>
      </c>
      <c r="G2999" t="s">
        <v>468</v>
      </c>
      <c r="H2999" t="s">
        <v>23</v>
      </c>
      <c r="I2999" t="s">
        <v>24</v>
      </c>
      <c r="J2999" t="s">
        <v>25</v>
      </c>
      <c r="K2999" t="s">
        <v>15430</v>
      </c>
      <c r="L2999">
        <v>0</v>
      </c>
      <c r="M2999" t="s">
        <v>15431</v>
      </c>
      <c r="N2999" t="s">
        <v>15432</v>
      </c>
      <c r="O2999" t="s">
        <v>29</v>
      </c>
      <c r="P2999" t="s">
        <v>30</v>
      </c>
      <c r="Q2999" t="s">
        <v>31</v>
      </c>
      <c r="R2999" s="3">
        <v>53447.22</v>
      </c>
    </row>
    <row r="3000" spans="1:18" x14ac:dyDescent="0.3">
      <c r="A3000" t="s">
        <v>15433</v>
      </c>
      <c r="B3000" t="str">
        <f>TEXT(Raw_Data[[#This Row],[Order Date]],"mmm")</f>
        <v>Oct</v>
      </c>
      <c r="C3000" t="s">
        <v>3707</v>
      </c>
      <c r="D3000" t="s">
        <v>15434</v>
      </c>
      <c r="E3000" t="s">
        <v>35</v>
      </c>
      <c r="F3000" t="s">
        <v>21</v>
      </c>
      <c r="G3000" t="s">
        <v>22</v>
      </c>
      <c r="H3000" t="s">
        <v>23</v>
      </c>
      <c r="I3000" t="s">
        <v>49</v>
      </c>
      <c r="J3000" t="s">
        <v>25</v>
      </c>
      <c r="K3000" t="s">
        <v>15435</v>
      </c>
      <c r="L3000">
        <v>0.05</v>
      </c>
      <c r="M3000" t="s">
        <v>15436</v>
      </c>
      <c r="N3000" t="s">
        <v>15437</v>
      </c>
      <c r="O3000" t="s">
        <v>54</v>
      </c>
      <c r="P3000" t="s">
        <v>30</v>
      </c>
      <c r="Q3000" t="s">
        <v>65</v>
      </c>
      <c r="R3000" s="3">
        <v>947.57749999999999</v>
      </c>
    </row>
    <row r="3001" spans="1:18" x14ac:dyDescent="0.3">
      <c r="A3001" t="s">
        <v>15438</v>
      </c>
      <c r="B3001" t="str">
        <f>TEXT(Raw_Data[[#This Row],[Order Date]],"mmm")</f>
        <v>Dec</v>
      </c>
      <c r="C3001" t="s">
        <v>1769</v>
      </c>
      <c r="D3001" t="s">
        <v>15439</v>
      </c>
      <c r="E3001" t="s">
        <v>20</v>
      </c>
      <c r="F3001" t="s">
        <v>78</v>
      </c>
      <c r="G3001" t="s">
        <v>468</v>
      </c>
      <c r="H3001" t="s">
        <v>38</v>
      </c>
      <c r="I3001" t="s">
        <v>71</v>
      </c>
      <c r="J3001" t="s">
        <v>25</v>
      </c>
      <c r="K3001" t="s">
        <v>15440</v>
      </c>
      <c r="L3001">
        <v>0.05</v>
      </c>
      <c r="M3001" t="s">
        <v>15441</v>
      </c>
      <c r="N3001" t="s">
        <v>15442</v>
      </c>
      <c r="O3001" t="s">
        <v>29</v>
      </c>
      <c r="P3001" t="s">
        <v>159</v>
      </c>
      <c r="Q3001" t="s">
        <v>65</v>
      </c>
      <c r="R3001" s="3">
        <v>5497.4219999999996</v>
      </c>
    </row>
    <row r="3002" spans="1:18" x14ac:dyDescent="0.3">
      <c r="A3002" t="s">
        <v>15443</v>
      </c>
      <c r="B3002" t="str">
        <f>TEXT(Raw_Data[[#This Row],[Order Date]],"mmm")</f>
        <v>Apr</v>
      </c>
      <c r="C3002" t="s">
        <v>137</v>
      </c>
      <c r="D3002" t="s">
        <v>15444</v>
      </c>
      <c r="E3002" t="s">
        <v>35</v>
      </c>
      <c r="F3002" t="s">
        <v>215</v>
      </c>
      <c r="G3002" t="s">
        <v>216</v>
      </c>
      <c r="H3002" t="s">
        <v>23</v>
      </c>
      <c r="I3002" t="s">
        <v>49</v>
      </c>
      <c r="J3002" t="s">
        <v>25</v>
      </c>
      <c r="K3002" t="s">
        <v>15445</v>
      </c>
      <c r="L3002">
        <v>0</v>
      </c>
      <c r="M3002" t="s">
        <v>15446</v>
      </c>
      <c r="N3002" t="s">
        <v>15447</v>
      </c>
      <c r="O3002" t="s">
        <v>54</v>
      </c>
      <c r="P3002" t="s">
        <v>30</v>
      </c>
      <c r="Q3002" t="s">
        <v>31</v>
      </c>
      <c r="R3002" s="3">
        <v>24523.23</v>
      </c>
    </row>
    <row r="3003" spans="1:18" x14ac:dyDescent="0.3">
      <c r="A3003" t="s">
        <v>15448</v>
      </c>
      <c r="B3003" t="str">
        <f>TEXT(Raw_Data[[#This Row],[Order Date]],"mmm")</f>
        <v>Apr</v>
      </c>
      <c r="C3003" t="s">
        <v>675</v>
      </c>
      <c r="D3003" t="s">
        <v>15449</v>
      </c>
      <c r="E3003" t="s">
        <v>48</v>
      </c>
      <c r="F3003" t="s">
        <v>69</v>
      </c>
      <c r="G3003" t="s">
        <v>328</v>
      </c>
      <c r="H3003" t="s">
        <v>80</v>
      </c>
      <c r="I3003" t="s">
        <v>146</v>
      </c>
      <c r="J3003" t="s">
        <v>25</v>
      </c>
      <c r="K3003" t="s">
        <v>15450</v>
      </c>
      <c r="L3003">
        <v>0.15</v>
      </c>
      <c r="M3003" t="s">
        <v>15451</v>
      </c>
      <c r="N3003" t="s">
        <v>15452</v>
      </c>
      <c r="O3003" t="s">
        <v>173</v>
      </c>
      <c r="P3003" t="s">
        <v>30</v>
      </c>
      <c r="Q3003" t="s">
        <v>44</v>
      </c>
      <c r="R3003" s="3">
        <v>3031.2444999999998</v>
      </c>
    </row>
    <row r="3004" spans="1:18" x14ac:dyDescent="0.3">
      <c r="A3004" t="s">
        <v>15453</v>
      </c>
      <c r="B3004" t="str">
        <f>TEXT(Raw_Data[[#This Row],[Order Date]],"mmm")</f>
        <v>Dec</v>
      </c>
      <c r="C3004" t="s">
        <v>3862</v>
      </c>
      <c r="D3004" t="s">
        <v>15454</v>
      </c>
      <c r="E3004" t="s">
        <v>48</v>
      </c>
      <c r="F3004" t="s">
        <v>58</v>
      </c>
      <c r="G3004" t="s">
        <v>290</v>
      </c>
      <c r="H3004" t="s">
        <v>154</v>
      </c>
      <c r="I3004" t="s">
        <v>237</v>
      </c>
      <c r="J3004" t="s">
        <v>25</v>
      </c>
      <c r="K3004" t="s">
        <v>15455</v>
      </c>
      <c r="L3004">
        <v>0.05</v>
      </c>
      <c r="M3004" t="s">
        <v>15456</v>
      </c>
      <c r="N3004" t="s">
        <v>15457</v>
      </c>
      <c r="O3004" t="s">
        <v>3684</v>
      </c>
      <c r="P3004" t="s">
        <v>30</v>
      </c>
      <c r="Q3004" t="s">
        <v>65</v>
      </c>
      <c r="R3004" s="3">
        <v>10194.2789999999</v>
      </c>
    </row>
    <row r="3005" spans="1:18" x14ac:dyDescent="0.3">
      <c r="A3005" t="s">
        <v>15458</v>
      </c>
      <c r="B3005" t="str">
        <f>TEXT(Raw_Data[[#This Row],[Order Date]],"mmm")</f>
        <v>Jul</v>
      </c>
      <c r="C3005" t="s">
        <v>7058</v>
      </c>
      <c r="D3005" t="s">
        <v>15459</v>
      </c>
      <c r="E3005" t="s">
        <v>20</v>
      </c>
      <c r="F3005" t="s">
        <v>69</v>
      </c>
      <c r="G3005" t="s">
        <v>328</v>
      </c>
      <c r="H3005" t="s">
        <v>80</v>
      </c>
      <c r="I3005" t="s">
        <v>146</v>
      </c>
      <c r="J3005" t="s">
        <v>50</v>
      </c>
      <c r="K3005" t="s">
        <v>15460</v>
      </c>
      <c r="L3005">
        <v>0</v>
      </c>
      <c r="M3005" t="s">
        <v>15461</v>
      </c>
      <c r="N3005" t="s">
        <v>15462</v>
      </c>
      <c r="O3005" t="s">
        <v>173</v>
      </c>
      <c r="P3005" t="s">
        <v>95</v>
      </c>
      <c r="Q3005" t="s">
        <v>31</v>
      </c>
      <c r="R3005" s="3">
        <v>5259.4</v>
      </c>
    </row>
    <row r="3006" spans="1:18" x14ac:dyDescent="0.3">
      <c r="A3006" t="s">
        <v>15463</v>
      </c>
      <c r="B3006" t="str">
        <f>TEXT(Raw_Data[[#This Row],[Order Date]],"mmm")</f>
        <v>Oct</v>
      </c>
      <c r="C3006" t="s">
        <v>828</v>
      </c>
      <c r="D3006" t="s">
        <v>15464</v>
      </c>
      <c r="E3006" t="s">
        <v>20</v>
      </c>
      <c r="F3006" t="s">
        <v>36</v>
      </c>
      <c r="G3006" t="s">
        <v>414</v>
      </c>
      <c r="H3006" t="s">
        <v>80</v>
      </c>
      <c r="I3006" t="s">
        <v>81</v>
      </c>
      <c r="J3006" t="s">
        <v>25</v>
      </c>
      <c r="K3006" t="s">
        <v>15465</v>
      </c>
      <c r="L3006">
        <v>0.05</v>
      </c>
      <c r="M3006" t="s">
        <v>15466</v>
      </c>
      <c r="N3006" t="s">
        <v>15467</v>
      </c>
      <c r="O3006" t="s">
        <v>43</v>
      </c>
      <c r="P3006" t="s">
        <v>30</v>
      </c>
      <c r="Q3006" t="s">
        <v>44</v>
      </c>
      <c r="R3006" s="3">
        <v>4511.0654999999997</v>
      </c>
    </row>
    <row r="3007" spans="1:18" x14ac:dyDescent="0.3">
      <c r="A3007" t="s">
        <v>15468</v>
      </c>
      <c r="B3007" t="str">
        <f>TEXT(Raw_Data[[#This Row],[Order Date]],"mmm")</f>
        <v>Jul</v>
      </c>
      <c r="C3007" t="s">
        <v>2372</v>
      </c>
      <c r="D3007" t="s">
        <v>15469</v>
      </c>
      <c r="E3007" t="s">
        <v>20</v>
      </c>
      <c r="F3007" t="s">
        <v>89</v>
      </c>
      <c r="G3007" t="s">
        <v>230</v>
      </c>
      <c r="H3007" t="s">
        <v>154</v>
      </c>
      <c r="I3007" t="s">
        <v>365</v>
      </c>
      <c r="J3007" t="s">
        <v>25</v>
      </c>
      <c r="K3007" t="s">
        <v>15470</v>
      </c>
      <c r="L3007">
        <v>0.15</v>
      </c>
      <c r="M3007" t="s">
        <v>15471</v>
      </c>
      <c r="N3007" t="s">
        <v>15472</v>
      </c>
      <c r="O3007" t="s">
        <v>64</v>
      </c>
      <c r="P3007" t="s">
        <v>30</v>
      </c>
      <c r="Q3007" t="s">
        <v>44</v>
      </c>
      <c r="R3007" s="3">
        <v>6243.7515000000003</v>
      </c>
    </row>
    <row r="3008" spans="1:18" x14ac:dyDescent="0.3">
      <c r="A3008" t="s">
        <v>15473</v>
      </c>
      <c r="B3008" t="str">
        <f>TEXT(Raw_Data[[#This Row],[Order Date]],"mmm")</f>
        <v>Sep</v>
      </c>
      <c r="C3008" t="s">
        <v>2824</v>
      </c>
      <c r="D3008" t="s">
        <v>15474</v>
      </c>
      <c r="E3008" t="s">
        <v>35</v>
      </c>
      <c r="F3008" t="s">
        <v>69</v>
      </c>
      <c r="G3008" t="s">
        <v>328</v>
      </c>
      <c r="H3008" t="s">
        <v>107</v>
      </c>
      <c r="I3008" t="s">
        <v>591</v>
      </c>
      <c r="J3008" t="s">
        <v>50</v>
      </c>
      <c r="K3008" t="s">
        <v>15475</v>
      </c>
      <c r="L3008">
        <v>0.1</v>
      </c>
      <c r="M3008" t="s">
        <v>15476</v>
      </c>
      <c r="N3008" t="s">
        <v>15477</v>
      </c>
      <c r="O3008" t="s">
        <v>64</v>
      </c>
      <c r="P3008" t="s">
        <v>30</v>
      </c>
      <c r="Q3008" t="s">
        <v>31</v>
      </c>
      <c r="R3008" s="3">
        <v>1330.056</v>
      </c>
    </row>
    <row r="3009" spans="1:18" x14ac:dyDescent="0.3">
      <c r="A3009" t="s">
        <v>15478</v>
      </c>
      <c r="B3009" t="str">
        <f>TEXT(Raw_Data[[#This Row],[Order Date]],"mmm")</f>
        <v>Oct</v>
      </c>
      <c r="C3009" t="s">
        <v>584</v>
      </c>
      <c r="D3009" t="s">
        <v>15479</v>
      </c>
      <c r="E3009" t="s">
        <v>35</v>
      </c>
      <c r="F3009" t="s">
        <v>215</v>
      </c>
      <c r="G3009" t="s">
        <v>216</v>
      </c>
      <c r="H3009" t="s">
        <v>23</v>
      </c>
      <c r="I3009" t="s">
        <v>24</v>
      </c>
      <c r="J3009" t="s">
        <v>25</v>
      </c>
      <c r="K3009" t="s">
        <v>15480</v>
      </c>
      <c r="L3009">
        <v>0.05</v>
      </c>
      <c r="M3009" t="s">
        <v>15481</v>
      </c>
      <c r="N3009" t="s">
        <v>15482</v>
      </c>
      <c r="O3009" t="s">
        <v>54</v>
      </c>
      <c r="P3009" t="s">
        <v>30</v>
      </c>
      <c r="Q3009" t="s">
        <v>65</v>
      </c>
      <c r="R3009" s="3">
        <v>15549.22</v>
      </c>
    </row>
    <row r="3010" spans="1:18" x14ac:dyDescent="0.3">
      <c r="A3010" t="s">
        <v>15483</v>
      </c>
      <c r="B3010" t="str">
        <f>TEXT(Raw_Data[[#This Row],[Order Date]],"mmm")</f>
        <v>May</v>
      </c>
      <c r="C3010" t="s">
        <v>885</v>
      </c>
      <c r="D3010" t="s">
        <v>15484</v>
      </c>
      <c r="E3010" t="s">
        <v>48</v>
      </c>
      <c r="F3010" t="s">
        <v>106</v>
      </c>
      <c r="G3010" t="s">
        <v>163</v>
      </c>
      <c r="H3010" t="s">
        <v>80</v>
      </c>
      <c r="I3010" t="s">
        <v>91</v>
      </c>
      <c r="J3010" t="s">
        <v>50</v>
      </c>
      <c r="K3010" t="s">
        <v>15485</v>
      </c>
      <c r="L3010">
        <v>0</v>
      </c>
      <c r="M3010" t="s">
        <v>15486</v>
      </c>
      <c r="N3010" t="s">
        <v>2347</v>
      </c>
      <c r="O3010" t="s">
        <v>43</v>
      </c>
      <c r="P3010" t="s">
        <v>30</v>
      </c>
      <c r="Q3010" t="s">
        <v>65</v>
      </c>
      <c r="R3010" s="3">
        <v>1052.58</v>
      </c>
    </row>
    <row r="3011" spans="1:18" x14ac:dyDescent="0.3">
      <c r="A3011" t="s">
        <v>15487</v>
      </c>
      <c r="B3011" t="str">
        <f>TEXT(Raw_Data[[#This Row],[Order Date]],"mmm")</f>
        <v>Oct</v>
      </c>
      <c r="C3011" t="s">
        <v>248</v>
      </c>
      <c r="D3011" t="s">
        <v>15488</v>
      </c>
      <c r="E3011" t="s">
        <v>48</v>
      </c>
      <c r="F3011" t="s">
        <v>89</v>
      </c>
      <c r="G3011" t="s">
        <v>230</v>
      </c>
      <c r="H3011" t="s">
        <v>154</v>
      </c>
      <c r="I3011" t="s">
        <v>237</v>
      </c>
      <c r="J3011" t="s">
        <v>82</v>
      </c>
      <c r="K3011" t="s">
        <v>15489</v>
      </c>
      <c r="L3011">
        <v>0.1</v>
      </c>
      <c r="M3011" t="s">
        <v>15490</v>
      </c>
      <c r="N3011" t="s">
        <v>15491</v>
      </c>
      <c r="O3011" t="s">
        <v>64</v>
      </c>
      <c r="P3011" t="s">
        <v>95</v>
      </c>
      <c r="Q3011" t="s">
        <v>31</v>
      </c>
      <c r="R3011" s="3">
        <v>14433.948</v>
      </c>
    </row>
    <row r="3012" spans="1:18" x14ac:dyDescent="0.3">
      <c r="A3012" t="s">
        <v>15492</v>
      </c>
      <c r="B3012" t="str">
        <f>TEXT(Raw_Data[[#This Row],[Order Date]],"mmm")</f>
        <v>Dec</v>
      </c>
      <c r="C3012" t="s">
        <v>168</v>
      </c>
      <c r="D3012" t="s">
        <v>15493</v>
      </c>
      <c r="E3012" t="s">
        <v>48</v>
      </c>
      <c r="F3012" t="s">
        <v>36</v>
      </c>
      <c r="G3012" t="s">
        <v>414</v>
      </c>
      <c r="H3012" t="s">
        <v>80</v>
      </c>
      <c r="I3012" t="s">
        <v>116</v>
      </c>
      <c r="J3012" t="s">
        <v>25</v>
      </c>
      <c r="K3012" t="s">
        <v>15494</v>
      </c>
      <c r="L3012">
        <v>0.05</v>
      </c>
      <c r="M3012" t="s">
        <v>15495</v>
      </c>
      <c r="N3012" t="s">
        <v>15496</v>
      </c>
      <c r="O3012" t="s">
        <v>173</v>
      </c>
      <c r="P3012" t="s">
        <v>30</v>
      </c>
      <c r="Q3012" t="s">
        <v>65</v>
      </c>
      <c r="R3012" s="3">
        <v>2075.75</v>
      </c>
    </row>
    <row r="3013" spans="1:18" x14ac:dyDescent="0.3">
      <c r="A3013" t="s">
        <v>15497</v>
      </c>
      <c r="B3013" t="str">
        <f>TEXT(Raw_Data[[#This Row],[Order Date]],"mmm")</f>
        <v>Mar</v>
      </c>
      <c r="C3013" t="s">
        <v>6452</v>
      </c>
      <c r="D3013" t="s">
        <v>15498</v>
      </c>
      <c r="E3013" t="s">
        <v>48</v>
      </c>
      <c r="F3013" t="s">
        <v>21</v>
      </c>
      <c r="G3013" t="s">
        <v>130</v>
      </c>
      <c r="H3013" t="s">
        <v>23</v>
      </c>
      <c r="I3013" t="s">
        <v>183</v>
      </c>
      <c r="J3013" t="s">
        <v>25</v>
      </c>
      <c r="K3013" t="s">
        <v>15499</v>
      </c>
      <c r="L3013">
        <v>0.15</v>
      </c>
      <c r="M3013" t="s">
        <v>15500</v>
      </c>
      <c r="N3013" t="s">
        <v>15501</v>
      </c>
      <c r="O3013" t="s">
        <v>29</v>
      </c>
      <c r="P3013" t="s">
        <v>30</v>
      </c>
      <c r="Q3013" t="s">
        <v>65</v>
      </c>
      <c r="R3013" s="3">
        <v>23943.6584999999</v>
      </c>
    </row>
    <row r="3014" spans="1:18" x14ac:dyDescent="0.3">
      <c r="A3014" t="s">
        <v>15502</v>
      </c>
      <c r="B3014" t="str">
        <f>TEXT(Raw_Data[[#This Row],[Order Date]],"mmm")</f>
        <v>Dec</v>
      </c>
      <c r="C3014" t="s">
        <v>3862</v>
      </c>
      <c r="D3014" t="s">
        <v>15503</v>
      </c>
      <c r="E3014" t="s">
        <v>20</v>
      </c>
      <c r="F3014" t="s">
        <v>215</v>
      </c>
      <c r="G3014" t="s">
        <v>216</v>
      </c>
      <c r="H3014" t="s">
        <v>107</v>
      </c>
      <c r="I3014" t="s">
        <v>378</v>
      </c>
      <c r="J3014" t="s">
        <v>25</v>
      </c>
      <c r="K3014" t="s">
        <v>15504</v>
      </c>
      <c r="L3014">
        <v>0.05</v>
      </c>
      <c r="M3014" t="s">
        <v>15505</v>
      </c>
      <c r="N3014" t="s">
        <v>15506</v>
      </c>
      <c r="O3014" t="s">
        <v>43</v>
      </c>
      <c r="P3014" t="s">
        <v>95</v>
      </c>
      <c r="Q3014" t="s">
        <v>31</v>
      </c>
      <c r="R3014" s="3">
        <v>2331.1289999999999</v>
      </c>
    </row>
    <row r="3015" spans="1:18" x14ac:dyDescent="0.3">
      <c r="A3015" t="s">
        <v>15507</v>
      </c>
      <c r="B3015" t="str">
        <f>TEXT(Raw_Data[[#This Row],[Order Date]],"mmm")</f>
        <v>Apr</v>
      </c>
      <c r="C3015" t="s">
        <v>3090</v>
      </c>
      <c r="D3015" t="s">
        <v>15508</v>
      </c>
      <c r="E3015" t="s">
        <v>35</v>
      </c>
      <c r="F3015" t="s">
        <v>89</v>
      </c>
      <c r="G3015" t="s">
        <v>230</v>
      </c>
      <c r="H3015" t="s">
        <v>107</v>
      </c>
      <c r="I3015" t="s">
        <v>378</v>
      </c>
      <c r="J3015" t="s">
        <v>50</v>
      </c>
      <c r="K3015" t="s">
        <v>15509</v>
      </c>
      <c r="L3015">
        <v>0.15</v>
      </c>
      <c r="M3015" t="s">
        <v>15510</v>
      </c>
      <c r="N3015" t="s">
        <v>15511</v>
      </c>
      <c r="O3015" t="s">
        <v>173</v>
      </c>
      <c r="P3015" t="s">
        <v>30</v>
      </c>
      <c r="Q3015" t="s">
        <v>65</v>
      </c>
      <c r="R3015" s="3">
        <v>28761.008000000002</v>
      </c>
    </row>
    <row r="3016" spans="1:18" x14ac:dyDescent="0.3">
      <c r="A3016" t="s">
        <v>15512</v>
      </c>
      <c r="B3016" t="str">
        <f>TEXT(Raw_Data[[#This Row],[Order Date]],"mmm")</f>
        <v>Dec</v>
      </c>
      <c r="C3016" t="s">
        <v>168</v>
      </c>
      <c r="D3016" t="s">
        <v>15513</v>
      </c>
      <c r="E3016" t="s">
        <v>35</v>
      </c>
      <c r="F3016" t="s">
        <v>78</v>
      </c>
      <c r="G3016" t="s">
        <v>468</v>
      </c>
      <c r="H3016" t="s">
        <v>154</v>
      </c>
      <c r="I3016" t="s">
        <v>365</v>
      </c>
      <c r="J3016" t="s">
        <v>25</v>
      </c>
      <c r="K3016" t="s">
        <v>15514</v>
      </c>
      <c r="L3016">
        <v>0.15</v>
      </c>
      <c r="M3016" t="s">
        <v>15515</v>
      </c>
      <c r="N3016" t="s">
        <v>15516</v>
      </c>
      <c r="O3016" t="s">
        <v>64</v>
      </c>
      <c r="P3016" t="s">
        <v>112</v>
      </c>
      <c r="Q3016" t="s">
        <v>44</v>
      </c>
      <c r="R3016" s="3">
        <v>9502.8045000000002</v>
      </c>
    </row>
    <row r="3017" spans="1:18" x14ac:dyDescent="0.3">
      <c r="A3017" t="s">
        <v>15517</v>
      </c>
      <c r="B3017" t="str">
        <f>TEXT(Raw_Data[[#This Row],[Order Date]],"mmm")</f>
        <v>Dec</v>
      </c>
      <c r="C3017" t="s">
        <v>868</v>
      </c>
      <c r="D3017" t="s">
        <v>15518</v>
      </c>
      <c r="E3017" t="s">
        <v>20</v>
      </c>
      <c r="F3017" t="s">
        <v>89</v>
      </c>
      <c r="G3017" t="s">
        <v>230</v>
      </c>
      <c r="H3017" t="s">
        <v>23</v>
      </c>
      <c r="I3017" t="s">
        <v>263</v>
      </c>
      <c r="J3017" t="s">
        <v>25</v>
      </c>
      <c r="K3017" t="s">
        <v>15519</v>
      </c>
      <c r="L3017">
        <v>0.05</v>
      </c>
      <c r="M3017" t="s">
        <v>15520</v>
      </c>
      <c r="N3017" t="s">
        <v>15521</v>
      </c>
      <c r="O3017" t="s">
        <v>54</v>
      </c>
      <c r="P3017" t="s">
        <v>30</v>
      </c>
      <c r="Q3017" t="s">
        <v>31</v>
      </c>
      <c r="R3017" s="3">
        <v>63324.957499999997</v>
      </c>
    </row>
    <row r="3018" spans="1:18" x14ac:dyDescent="0.3">
      <c r="A3018" t="s">
        <v>15522</v>
      </c>
      <c r="B3018" t="str">
        <f>TEXT(Raw_Data[[#This Row],[Order Date]],"mmm")</f>
        <v>Mar</v>
      </c>
      <c r="C3018" t="s">
        <v>194</v>
      </c>
      <c r="D3018" t="s">
        <v>15523</v>
      </c>
      <c r="E3018" t="s">
        <v>20</v>
      </c>
      <c r="F3018" t="s">
        <v>106</v>
      </c>
      <c r="G3018" t="s">
        <v>106</v>
      </c>
      <c r="H3018" t="s">
        <v>23</v>
      </c>
      <c r="I3018" t="s">
        <v>49</v>
      </c>
      <c r="J3018" t="s">
        <v>25</v>
      </c>
      <c r="K3018" t="s">
        <v>15524</v>
      </c>
      <c r="L3018">
        <v>0</v>
      </c>
      <c r="M3018" t="s">
        <v>15525</v>
      </c>
      <c r="N3018" t="s">
        <v>15526</v>
      </c>
      <c r="O3018" t="s">
        <v>29</v>
      </c>
      <c r="P3018" t="s">
        <v>159</v>
      </c>
      <c r="Q3018" t="s">
        <v>65</v>
      </c>
      <c r="R3018" s="3">
        <v>6397.2</v>
      </c>
    </row>
    <row r="3019" spans="1:18" x14ac:dyDescent="0.3">
      <c r="A3019" t="s">
        <v>15527</v>
      </c>
      <c r="B3019" t="str">
        <f>TEXT(Raw_Data[[#This Row],[Order Date]],"mmm")</f>
        <v>Aug</v>
      </c>
      <c r="C3019" t="s">
        <v>1426</v>
      </c>
      <c r="D3019" t="s">
        <v>15528</v>
      </c>
      <c r="E3019" t="s">
        <v>20</v>
      </c>
      <c r="F3019" t="s">
        <v>215</v>
      </c>
      <c r="G3019" t="s">
        <v>216</v>
      </c>
      <c r="H3019" t="s">
        <v>107</v>
      </c>
      <c r="I3019" t="s">
        <v>108</v>
      </c>
      <c r="J3019" t="s">
        <v>50</v>
      </c>
      <c r="K3019" t="s">
        <v>15529</v>
      </c>
      <c r="L3019">
        <v>0.15</v>
      </c>
      <c r="M3019" t="s">
        <v>15530</v>
      </c>
      <c r="N3019" t="s">
        <v>15531</v>
      </c>
      <c r="O3019" t="s">
        <v>54</v>
      </c>
      <c r="P3019" t="s">
        <v>112</v>
      </c>
      <c r="Q3019" t="s">
        <v>65</v>
      </c>
      <c r="R3019" s="3">
        <v>18007.93</v>
      </c>
    </row>
    <row r="3020" spans="1:18" x14ac:dyDescent="0.3">
      <c r="A3020" t="s">
        <v>15532</v>
      </c>
      <c r="B3020" t="str">
        <f>TEXT(Raw_Data[[#This Row],[Order Date]],"mmm")</f>
        <v>Jan</v>
      </c>
      <c r="C3020" t="s">
        <v>2765</v>
      </c>
      <c r="D3020" t="s">
        <v>15533</v>
      </c>
      <c r="E3020" t="s">
        <v>48</v>
      </c>
      <c r="F3020" t="s">
        <v>215</v>
      </c>
      <c r="G3020" t="s">
        <v>276</v>
      </c>
      <c r="H3020" t="s">
        <v>23</v>
      </c>
      <c r="I3020" t="s">
        <v>183</v>
      </c>
      <c r="J3020" t="s">
        <v>100</v>
      </c>
      <c r="K3020" t="s">
        <v>15534</v>
      </c>
      <c r="L3020">
        <v>0.15</v>
      </c>
      <c r="M3020" t="s">
        <v>15535</v>
      </c>
      <c r="N3020" t="s">
        <v>15536</v>
      </c>
      <c r="O3020" t="s">
        <v>29</v>
      </c>
      <c r="P3020" t="s">
        <v>30</v>
      </c>
      <c r="Q3020" t="s">
        <v>31</v>
      </c>
      <c r="R3020" s="3">
        <v>2220.3105</v>
      </c>
    </row>
    <row r="3021" spans="1:18" x14ac:dyDescent="0.3">
      <c r="A3021" t="s">
        <v>15537</v>
      </c>
      <c r="B3021" t="str">
        <f>TEXT(Raw_Data[[#This Row],[Order Date]],"mmm")</f>
        <v>Jun</v>
      </c>
      <c r="C3021" t="s">
        <v>370</v>
      </c>
      <c r="D3021" t="s">
        <v>15538</v>
      </c>
      <c r="E3021" t="s">
        <v>48</v>
      </c>
      <c r="F3021" t="s">
        <v>215</v>
      </c>
      <c r="G3021" t="s">
        <v>276</v>
      </c>
      <c r="H3021" t="s">
        <v>23</v>
      </c>
      <c r="I3021" t="s">
        <v>341</v>
      </c>
      <c r="J3021" t="s">
        <v>25</v>
      </c>
      <c r="K3021" t="s">
        <v>15539</v>
      </c>
      <c r="L3021">
        <v>0.15</v>
      </c>
      <c r="M3021" t="s">
        <v>15540</v>
      </c>
      <c r="N3021" t="s">
        <v>15541</v>
      </c>
      <c r="O3021" t="s">
        <v>29</v>
      </c>
      <c r="P3021" t="s">
        <v>30</v>
      </c>
      <c r="Q3021" t="s">
        <v>31</v>
      </c>
      <c r="R3021" s="3">
        <v>62750.688999999998</v>
      </c>
    </row>
    <row r="3022" spans="1:18" x14ac:dyDescent="0.3">
      <c r="A3022" t="s">
        <v>15542</v>
      </c>
      <c r="B3022" t="str">
        <f>TEXT(Raw_Data[[#This Row],[Order Date]],"mmm")</f>
        <v>Jul</v>
      </c>
      <c r="C3022" t="s">
        <v>7058</v>
      </c>
      <c r="D3022" t="s">
        <v>15543</v>
      </c>
      <c r="E3022" t="s">
        <v>48</v>
      </c>
      <c r="F3022" t="s">
        <v>69</v>
      </c>
      <c r="G3022" t="s">
        <v>70</v>
      </c>
      <c r="H3022" t="s">
        <v>23</v>
      </c>
      <c r="I3022" t="s">
        <v>24</v>
      </c>
      <c r="J3022" t="s">
        <v>100</v>
      </c>
      <c r="K3022" t="s">
        <v>15544</v>
      </c>
      <c r="L3022">
        <v>0</v>
      </c>
      <c r="M3022" t="s">
        <v>15545</v>
      </c>
      <c r="N3022" t="s">
        <v>15546</v>
      </c>
      <c r="O3022" t="s">
        <v>54</v>
      </c>
      <c r="P3022" t="s">
        <v>30</v>
      </c>
      <c r="Q3022" t="s">
        <v>44</v>
      </c>
      <c r="R3022" s="3">
        <v>24622.02</v>
      </c>
    </row>
    <row r="3023" spans="1:18" x14ac:dyDescent="0.3">
      <c r="A3023" t="s">
        <v>15547</v>
      </c>
      <c r="B3023" t="str">
        <f>TEXT(Raw_Data[[#This Row],[Order Date]],"mmm")</f>
        <v>Feb</v>
      </c>
      <c r="C3023" t="s">
        <v>307</v>
      </c>
      <c r="D3023" t="s">
        <v>15548</v>
      </c>
      <c r="E3023" t="s">
        <v>48</v>
      </c>
      <c r="F3023" t="s">
        <v>21</v>
      </c>
      <c r="G3023" t="s">
        <v>22</v>
      </c>
      <c r="H3023" t="s">
        <v>23</v>
      </c>
      <c r="I3023" t="s">
        <v>49</v>
      </c>
      <c r="J3023" t="s">
        <v>25</v>
      </c>
      <c r="K3023" t="s">
        <v>15549</v>
      </c>
      <c r="L3023">
        <v>0</v>
      </c>
      <c r="M3023" t="s">
        <v>15550</v>
      </c>
      <c r="N3023" t="s">
        <v>15551</v>
      </c>
      <c r="O3023" t="s">
        <v>2763</v>
      </c>
      <c r="P3023" t="s">
        <v>159</v>
      </c>
      <c r="Q3023" t="s">
        <v>65</v>
      </c>
      <c r="R3023" s="3">
        <v>69664.08</v>
      </c>
    </row>
    <row r="3024" spans="1:18" x14ac:dyDescent="0.3">
      <c r="A3024" t="s">
        <v>15552</v>
      </c>
      <c r="B3024" t="str">
        <f>TEXT(Raw_Data[[#This Row],[Order Date]],"mmm")</f>
        <v>Mar</v>
      </c>
      <c r="C3024" t="s">
        <v>1128</v>
      </c>
      <c r="D3024" t="s">
        <v>15553</v>
      </c>
      <c r="E3024" t="s">
        <v>35</v>
      </c>
      <c r="F3024" t="s">
        <v>21</v>
      </c>
      <c r="G3024" t="s">
        <v>130</v>
      </c>
      <c r="H3024" t="s">
        <v>107</v>
      </c>
      <c r="I3024" t="s">
        <v>108</v>
      </c>
      <c r="J3024" t="s">
        <v>50</v>
      </c>
      <c r="K3024" t="s">
        <v>15554</v>
      </c>
      <c r="L3024">
        <v>0</v>
      </c>
      <c r="M3024" t="s">
        <v>15555</v>
      </c>
      <c r="N3024" t="s">
        <v>15556</v>
      </c>
      <c r="O3024" t="s">
        <v>64</v>
      </c>
      <c r="P3024" t="s">
        <v>30</v>
      </c>
      <c r="Q3024" t="s">
        <v>65</v>
      </c>
      <c r="R3024" s="3">
        <v>32838.26</v>
      </c>
    </row>
    <row r="3025" spans="1:18" x14ac:dyDescent="0.3">
      <c r="A3025" t="s">
        <v>15557</v>
      </c>
      <c r="B3025" t="str">
        <f>TEXT(Raw_Data[[#This Row],[Order Date]],"mmm")</f>
        <v>Jan</v>
      </c>
      <c r="C3025" t="s">
        <v>431</v>
      </c>
      <c r="D3025" t="s">
        <v>15558</v>
      </c>
      <c r="E3025" t="s">
        <v>35</v>
      </c>
      <c r="F3025" t="s">
        <v>215</v>
      </c>
      <c r="G3025" t="s">
        <v>216</v>
      </c>
      <c r="H3025" t="s">
        <v>154</v>
      </c>
      <c r="I3025" t="s">
        <v>237</v>
      </c>
      <c r="J3025" t="s">
        <v>50</v>
      </c>
      <c r="K3025" t="s">
        <v>15559</v>
      </c>
      <c r="L3025">
        <v>0.05</v>
      </c>
      <c r="M3025" t="s">
        <v>15560</v>
      </c>
      <c r="N3025" t="s">
        <v>15561</v>
      </c>
      <c r="O3025" t="s">
        <v>43</v>
      </c>
      <c r="P3025" t="s">
        <v>30</v>
      </c>
      <c r="Q3025" t="s">
        <v>31</v>
      </c>
      <c r="R3025" s="3">
        <v>16253.93</v>
      </c>
    </row>
    <row r="3026" spans="1:18" x14ac:dyDescent="0.3">
      <c r="A3026" t="s">
        <v>15562</v>
      </c>
      <c r="B3026" t="str">
        <f>TEXT(Raw_Data[[#This Row],[Order Date]],"mmm")</f>
        <v>Dec</v>
      </c>
      <c r="C3026" t="s">
        <v>640</v>
      </c>
      <c r="D3026" t="s">
        <v>15563</v>
      </c>
      <c r="E3026" t="s">
        <v>20</v>
      </c>
      <c r="F3026" t="s">
        <v>78</v>
      </c>
      <c r="G3026" t="s">
        <v>468</v>
      </c>
      <c r="H3026" t="s">
        <v>23</v>
      </c>
      <c r="I3026" t="s">
        <v>263</v>
      </c>
      <c r="J3026" t="s">
        <v>25</v>
      </c>
      <c r="K3026" t="s">
        <v>15564</v>
      </c>
      <c r="L3026">
        <v>0.1</v>
      </c>
      <c r="M3026" t="s">
        <v>15565</v>
      </c>
      <c r="N3026" t="s">
        <v>15566</v>
      </c>
      <c r="O3026" t="s">
        <v>173</v>
      </c>
      <c r="P3026" t="s">
        <v>30</v>
      </c>
      <c r="Q3026" t="s">
        <v>31</v>
      </c>
      <c r="R3026" s="3">
        <v>50697.999000000003</v>
      </c>
    </row>
    <row r="3027" spans="1:18" x14ac:dyDescent="0.3">
      <c r="A3027" t="s">
        <v>15567</v>
      </c>
      <c r="B3027" t="str">
        <f>TEXT(Raw_Data[[#This Row],[Order Date]],"mmm")</f>
        <v>Nov</v>
      </c>
      <c r="C3027" t="s">
        <v>443</v>
      </c>
      <c r="D3027" t="s">
        <v>15568</v>
      </c>
      <c r="E3027" t="s">
        <v>35</v>
      </c>
      <c r="F3027" t="s">
        <v>106</v>
      </c>
      <c r="G3027" t="s">
        <v>106</v>
      </c>
      <c r="H3027" t="s">
        <v>80</v>
      </c>
      <c r="I3027" t="s">
        <v>131</v>
      </c>
      <c r="J3027" t="s">
        <v>25</v>
      </c>
      <c r="K3027" t="s">
        <v>15569</v>
      </c>
      <c r="L3027">
        <v>0.05</v>
      </c>
      <c r="M3027" t="s">
        <v>15570</v>
      </c>
      <c r="N3027" t="s">
        <v>15571</v>
      </c>
      <c r="O3027" t="s">
        <v>173</v>
      </c>
      <c r="P3027" t="s">
        <v>490</v>
      </c>
      <c r="Q3027" t="s">
        <v>44</v>
      </c>
      <c r="R3027" s="3">
        <v>5411.9029999999902</v>
      </c>
    </row>
    <row r="3028" spans="1:18" x14ac:dyDescent="0.3">
      <c r="A3028" t="s">
        <v>15572</v>
      </c>
      <c r="B3028" t="str">
        <f>TEXT(Raw_Data[[#This Row],[Order Date]],"mmm")</f>
        <v>Aug</v>
      </c>
      <c r="C3028" t="s">
        <v>528</v>
      </c>
      <c r="D3028" t="s">
        <v>15573</v>
      </c>
      <c r="E3028" t="s">
        <v>35</v>
      </c>
      <c r="F3028" t="s">
        <v>106</v>
      </c>
      <c r="G3028" t="s">
        <v>106</v>
      </c>
      <c r="H3028" t="s">
        <v>107</v>
      </c>
      <c r="I3028" t="s">
        <v>378</v>
      </c>
      <c r="J3028" t="s">
        <v>50</v>
      </c>
      <c r="K3028" t="s">
        <v>15574</v>
      </c>
      <c r="L3028">
        <v>0.15</v>
      </c>
      <c r="M3028" t="s">
        <v>15575</v>
      </c>
      <c r="N3028" t="s">
        <v>15576</v>
      </c>
      <c r="O3028" t="s">
        <v>64</v>
      </c>
      <c r="P3028" t="s">
        <v>30</v>
      </c>
      <c r="Q3028" t="s">
        <v>44</v>
      </c>
      <c r="R3028" s="3">
        <v>14537.822</v>
      </c>
    </row>
    <row r="3029" spans="1:18" x14ac:dyDescent="0.3">
      <c r="A3029" t="s">
        <v>15577</v>
      </c>
      <c r="B3029" t="str">
        <f>TEXT(Raw_Data[[#This Row],[Order Date]],"mmm")</f>
        <v>Jan</v>
      </c>
      <c r="C3029" t="s">
        <v>207</v>
      </c>
      <c r="D3029" t="s">
        <v>15578</v>
      </c>
      <c r="E3029" t="s">
        <v>20</v>
      </c>
      <c r="F3029" t="s">
        <v>58</v>
      </c>
      <c r="G3029" t="s">
        <v>59</v>
      </c>
      <c r="H3029" t="s">
        <v>107</v>
      </c>
      <c r="I3029" t="s">
        <v>277</v>
      </c>
      <c r="J3029" t="s">
        <v>100</v>
      </c>
      <c r="K3029" t="s">
        <v>15579</v>
      </c>
      <c r="L3029">
        <v>0.1</v>
      </c>
      <c r="M3029" t="s">
        <v>15580</v>
      </c>
      <c r="N3029" t="s">
        <v>15581</v>
      </c>
      <c r="O3029" t="s">
        <v>64</v>
      </c>
      <c r="P3029" t="s">
        <v>30</v>
      </c>
      <c r="Q3029" t="s">
        <v>65</v>
      </c>
      <c r="R3029" s="3">
        <v>23380.568999999901</v>
      </c>
    </row>
    <row r="3030" spans="1:18" x14ac:dyDescent="0.3">
      <c r="A3030" t="s">
        <v>15582</v>
      </c>
      <c r="B3030" t="str">
        <f>TEXT(Raw_Data[[#This Row],[Order Date]],"mmm")</f>
        <v>Dec</v>
      </c>
      <c r="C3030" t="s">
        <v>1769</v>
      </c>
      <c r="D3030" t="s">
        <v>15583</v>
      </c>
      <c r="E3030" t="s">
        <v>20</v>
      </c>
      <c r="F3030" t="s">
        <v>89</v>
      </c>
      <c r="G3030" t="s">
        <v>90</v>
      </c>
      <c r="H3030" t="s">
        <v>107</v>
      </c>
      <c r="I3030" t="s">
        <v>108</v>
      </c>
      <c r="J3030" t="s">
        <v>25</v>
      </c>
      <c r="K3030" t="s">
        <v>15584</v>
      </c>
      <c r="L3030">
        <v>0.1</v>
      </c>
      <c r="M3030" t="s">
        <v>15585</v>
      </c>
      <c r="N3030" t="s">
        <v>15586</v>
      </c>
      <c r="O3030" t="s">
        <v>29</v>
      </c>
      <c r="P3030" t="s">
        <v>95</v>
      </c>
      <c r="Q3030" t="s">
        <v>44</v>
      </c>
      <c r="R3030" s="3">
        <v>10394.226000000001</v>
      </c>
    </row>
    <row r="3031" spans="1:18" x14ac:dyDescent="0.3">
      <c r="A3031" t="s">
        <v>15587</v>
      </c>
      <c r="B3031" t="str">
        <f>TEXT(Raw_Data[[#This Row],[Order Date]],"mmm")</f>
        <v>Apr</v>
      </c>
      <c r="C3031" t="s">
        <v>804</v>
      </c>
      <c r="D3031" t="s">
        <v>15588</v>
      </c>
      <c r="E3031" t="s">
        <v>20</v>
      </c>
      <c r="F3031" t="s">
        <v>106</v>
      </c>
      <c r="G3031" t="s">
        <v>163</v>
      </c>
      <c r="H3031" t="s">
        <v>154</v>
      </c>
      <c r="I3031" t="s">
        <v>309</v>
      </c>
      <c r="J3031" t="s">
        <v>25</v>
      </c>
      <c r="K3031" t="s">
        <v>15589</v>
      </c>
      <c r="L3031">
        <v>0.2</v>
      </c>
      <c r="M3031" t="s">
        <v>15590</v>
      </c>
      <c r="N3031" t="s">
        <v>15591</v>
      </c>
      <c r="O3031" t="s">
        <v>135</v>
      </c>
      <c r="P3031" t="s">
        <v>30</v>
      </c>
      <c r="Q3031" t="s">
        <v>65</v>
      </c>
      <c r="R3031" s="3">
        <v>7516.4319999999998</v>
      </c>
    </row>
    <row r="3032" spans="1:18" x14ac:dyDescent="0.3">
      <c r="A3032" t="s">
        <v>15592</v>
      </c>
      <c r="B3032" t="str">
        <f>TEXT(Raw_Data[[#This Row],[Order Date]],"mmm")</f>
        <v>Oct</v>
      </c>
      <c r="C3032" t="s">
        <v>1991</v>
      </c>
      <c r="D3032" t="s">
        <v>15593</v>
      </c>
      <c r="E3032" t="s">
        <v>48</v>
      </c>
      <c r="F3032" t="s">
        <v>58</v>
      </c>
      <c r="G3032" t="s">
        <v>290</v>
      </c>
      <c r="H3032" t="s">
        <v>23</v>
      </c>
      <c r="I3032" t="s">
        <v>24</v>
      </c>
      <c r="J3032" t="s">
        <v>100</v>
      </c>
      <c r="K3032" t="s">
        <v>15594</v>
      </c>
      <c r="L3032">
        <v>0.15</v>
      </c>
      <c r="M3032" t="s">
        <v>15595</v>
      </c>
      <c r="N3032" t="s">
        <v>15596</v>
      </c>
      <c r="O3032" t="s">
        <v>64</v>
      </c>
      <c r="P3032" t="s">
        <v>30</v>
      </c>
      <c r="Q3032" t="s">
        <v>65</v>
      </c>
      <c r="R3032" s="3">
        <v>144561.41250000001</v>
      </c>
    </row>
    <row r="3033" spans="1:18" x14ac:dyDescent="0.3">
      <c r="A3033" t="s">
        <v>15597</v>
      </c>
      <c r="B3033" t="str">
        <f>TEXT(Raw_Data[[#This Row],[Order Date]],"mmm")</f>
        <v>Jul</v>
      </c>
      <c r="C3033" t="s">
        <v>358</v>
      </c>
      <c r="D3033" t="s">
        <v>15598</v>
      </c>
      <c r="E3033" t="s">
        <v>20</v>
      </c>
      <c r="F3033" t="s">
        <v>78</v>
      </c>
      <c r="G3033" t="s">
        <v>79</v>
      </c>
      <c r="H3033" t="s">
        <v>107</v>
      </c>
      <c r="I3033" t="s">
        <v>378</v>
      </c>
      <c r="J3033" t="s">
        <v>25</v>
      </c>
      <c r="K3033" t="s">
        <v>15599</v>
      </c>
      <c r="L3033">
        <v>0.1</v>
      </c>
      <c r="M3033" t="s">
        <v>15600</v>
      </c>
      <c r="N3033" t="s">
        <v>15601</v>
      </c>
      <c r="O3033" t="s">
        <v>64</v>
      </c>
      <c r="P3033" t="s">
        <v>30</v>
      </c>
      <c r="Q3033" t="s">
        <v>44</v>
      </c>
      <c r="R3033" s="3">
        <v>14314.788</v>
      </c>
    </row>
    <row r="3034" spans="1:18" x14ac:dyDescent="0.3">
      <c r="A3034" t="s">
        <v>15602</v>
      </c>
      <c r="B3034" t="str">
        <f>TEXT(Raw_Data[[#This Row],[Order Date]],"mmm")</f>
        <v>Mar</v>
      </c>
      <c r="C3034" t="s">
        <v>2293</v>
      </c>
      <c r="D3034" t="s">
        <v>15603</v>
      </c>
      <c r="E3034" t="s">
        <v>20</v>
      </c>
      <c r="F3034" t="s">
        <v>89</v>
      </c>
      <c r="G3034" t="s">
        <v>99</v>
      </c>
      <c r="H3034" t="s">
        <v>38</v>
      </c>
      <c r="I3034" t="s">
        <v>256</v>
      </c>
      <c r="J3034" t="s">
        <v>25</v>
      </c>
      <c r="K3034" t="s">
        <v>15604</v>
      </c>
      <c r="L3034">
        <v>0.1</v>
      </c>
      <c r="M3034" t="s">
        <v>15605</v>
      </c>
      <c r="N3034" t="s">
        <v>15606</v>
      </c>
      <c r="O3034" t="s">
        <v>64</v>
      </c>
      <c r="P3034" t="s">
        <v>30</v>
      </c>
      <c r="Q3034" t="s">
        <v>65</v>
      </c>
      <c r="R3034" s="3">
        <v>3360.5909999999999</v>
      </c>
    </row>
    <row r="3035" spans="1:18" x14ac:dyDescent="0.3">
      <c r="A3035" t="s">
        <v>15607</v>
      </c>
      <c r="B3035" t="str">
        <f>TEXT(Raw_Data[[#This Row],[Order Date]],"mmm")</f>
        <v>Jul</v>
      </c>
      <c r="C3035" t="s">
        <v>522</v>
      </c>
      <c r="D3035" t="s">
        <v>15608</v>
      </c>
      <c r="E3035" t="s">
        <v>48</v>
      </c>
      <c r="F3035" t="s">
        <v>58</v>
      </c>
      <c r="G3035" t="s">
        <v>290</v>
      </c>
      <c r="H3035" t="s">
        <v>107</v>
      </c>
      <c r="I3035" t="s">
        <v>469</v>
      </c>
      <c r="J3035" t="s">
        <v>25</v>
      </c>
      <c r="K3035" t="s">
        <v>15609</v>
      </c>
      <c r="L3035">
        <v>0</v>
      </c>
      <c r="M3035" t="s">
        <v>15610</v>
      </c>
      <c r="N3035" t="s">
        <v>15611</v>
      </c>
      <c r="O3035" t="s">
        <v>43</v>
      </c>
      <c r="P3035" t="s">
        <v>159</v>
      </c>
      <c r="Q3035" t="s">
        <v>44</v>
      </c>
      <c r="R3035" s="3">
        <v>5531.89</v>
      </c>
    </row>
    <row r="3036" spans="1:18" x14ac:dyDescent="0.3">
      <c r="A3036" t="s">
        <v>15612</v>
      </c>
      <c r="B3036" t="str">
        <f>TEXT(Raw_Data[[#This Row],[Order Date]],"mmm")</f>
        <v>May</v>
      </c>
      <c r="C3036" t="s">
        <v>3102</v>
      </c>
      <c r="D3036" t="s">
        <v>15613</v>
      </c>
      <c r="E3036" t="s">
        <v>48</v>
      </c>
      <c r="F3036" t="s">
        <v>69</v>
      </c>
      <c r="G3036" t="s">
        <v>328</v>
      </c>
      <c r="H3036" t="s">
        <v>154</v>
      </c>
      <c r="I3036" t="s">
        <v>1061</v>
      </c>
      <c r="J3036" t="s">
        <v>50</v>
      </c>
      <c r="K3036" t="s">
        <v>15614</v>
      </c>
      <c r="L3036">
        <v>0.15</v>
      </c>
      <c r="M3036" t="s">
        <v>15615</v>
      </c>
      <c r="N3036" t="s">
        <v>15616</v>
      </c>
      <c r="O3036" t="s">
        <v>29</v>
      </c>
      <c r="P3036" t="s">
        <v>30</v>
      </c>
      <c r="Q3036" t="s">
        <v>65</v>
      </c>
      <c r="R3036" s="3">
        <v>9005.8009999999995</v>
      </c>
    </row>
    <row r="3037" spans="1:18" x14ac:dyDescent="0.3">
      <c r="A3037" t="s">
        <v>15617</v>
      </c>
      <c r="B3037" t="str">
        <f>TEXT(Raw_Data[[#This Row],[Order Date]],"mmm")</f>
        <v>Apr</v>
      </c>
      <c r="C3037" t="s">
        <v>1466</v>
      </c>
      <c r="D3037" t="s">
        <v>15618</v>
      </c>
      <c r="E3037" t="s">
        <v>20</v>
      </c>
      <c r="F3037" t="s">
        <v>89</v>
      </c>
      <c r="G3037" t="s">
        <v>90</v>
      </c>
      <c r="H3037" t="s">
        <v>80</v>
      </c>
      <c r="I3037" t="s">
        <v>81</v>
      </c>
      <c r="J3037" t="s">
        <v>82</v>
      </c>
      <c r="K3037" t="s">
        <v>15619</v>
      </c>
      <c r="L3037">
        <v>0</v>
      </c>
      <c r="M3037" t="s">
        <v>15620</v>
      </c>
      <c r="N3037" t="s">
        <v>15621</v>
      </c>
      <c r="O3037" t="s">
        <v>29</v>
      </c>
      <c r="P3037" t="s">
        <v>30</v>
      </c>
      <c r="Q3037" t="s">
        <v>31</v>
      </c>
      <c r="R3037" s="3">
        <v>10359.76</v>
      </c>
    </row>
    <row r="3038" spans="1:18" x14ac:dyDescent="0.3">
      <c r="A3038" t="s">
        <v>15622</v>
      </c>
      <c r="B3038" t="str">
        <f>TEXT(Raw_Data[[#This Row],[Order Date]],"mmm")</f>
        <v>Apr</v>
      </c>
      <c r="C3038" t="s">
        <v>376</v>
      </c>
      <c r="D3038" t="s">
        <v>15623</v>
      </c>
      <c r="E3038" t="s">
        <v>20</v>
      </c>
      <c r="F3038" t="s">
        <v>215</v>
      </c>
      <c r="G3038" t="s">
        <v>216</v>
      </c>
      <c r="H3038" t="s">
        <v>80</v>
      </c>
      <c r="I3038" t="s">
        <v>116</v>
      </c>
      <c r="J3038" t="s">
        <v>50</v>
      </c>
      <c r="K3038" t="s">
        <v>15624</v>
      </c>
      <c r="L3038">
        <v>0</v>
      </c>
      <c r="M3038" t="s">
        <v>15625</v>
      </c>
      <c r="N3038" t="s">
        <v>15626</v>
      </c>
      <c r="O3038" t="s">
        <v>64</v>
      </c>
      <c r="P3038" t="s">
        <v>30</v>
      </c>
      <c r="Q3038" t="s">
        <v>31</v>
      </c>
      <c r="R3038" s="3">
        <v>1663.04</v>
      </c>
    </row>
    <row r="3039" spans="1:18" x14ac:dyDescent="0.3">
      <c r="A3039" t="s">
        <v>15627</v>
      </c>
      <c r="B3039" t="str">
        <f>TEXT(Raw_Data[[#This Row],[Order Date]],"mmm")</f>
        <v>Jun</v>
      </c>
      <c r="C3039" t="s">
        <v>753</v>
      </c>
      <c r="D3039" t="s">
        <v>15628</v>
      </c>
      <c r="E3039" t="s">
        <v>48</v>
      </c>
      <c r="F3039" t="s">
        <v>106</v>
      </c>
      <c r="G3039" t="s">
        <v>106</v>
      </c>
      <c r="H3039" t="s">
        <v>23</v>
      </c>
      <c r="I3039" t="s">
        <v>49</v>
      </c>
      <c r="J3039" t="s">
        <v>50</v>
      </c>
      <c r="K3039" t="s">
        <v>15629</v>
      </c>
      <c r="L3039">
        <v>0</v>
      </c>
      <c r="M3039" t="s">
        <v>15630</v>
      </c>
      <c r="N3039" t="s">
        <v>15631</v>
      </c>
      <c r="O3039" t="s">
        <v>173</v>
      </c>
      <c r="P3039" t="s">
        <v>30</v>
      </c>
      <c r="Q3039" t="s">
        <v>31</v>
      </c>
      <c r="R3039" s="3">
        <v>24754.36</v>
      </c>
    </row>
    <row r="3040" spans="1:18" x14ac:dyDescent="0.3">
      <c r="A3040" t="s">
        <v>15632</v>
      </c>
      <c r="B3040" t="str">
        <f>TEXT(Raw_Data[[#This Row],[Order Date]],"mmm")</f>
        <v>Oct</v>
      </c>
      <c r="C3040" t="s">
        <v>1239</v>
      </c>
      <c r="D3040" t="s">
        <v>15633</v>
      </c>
      <c r="E3040" t="s">
        <v>35</v>
      </c>
      <c r="F3040" t="s">
        <v>106</v>
      </c>
      <c r="G3040" t="s">
        <v>163</v>
      </c>
      <c r="H3040" t="s">
        <v>80</v>
      </c>
      <c r="I3040" t="s">
        <v>81</v>
      </c>
      <c r="J3040" t="s">
        <v>25</v>
      </c>
      <c r="K3040" t="s">
        <v>15634</v>
      </c>
      <c r="L3040">
        <v>0.1</v>
      </c>
      <c r="M3040" t="s">
        <v>15635</v>
      </c>
      <c r="N3040" t="s">
        <v>15636</v>
      </c>
      <c r="O3040" t="s">
        <v>64</v>
      </c>
      <c r="P3040" t="s">
        <v>30</v>
      </c>
      <c r="Q3040" t="s">
        <v>65</v>
      </c>
      <c r="R3040" s="3">
        <v>4131.6930000000002</v>
      </c>
    </row>
    <row r="3041" spans="1:18" x14ac:dyDescent="0.3">
      <c r="A3041" t="s">
        <v>15637</v>
      </c>
      <c r="B3041" t="str">
        <f>TEXT(Raw_Data[[#This Row],[Order Date]],"mmm")</f>
        <v>Oct</v>
      </c>
      <c r="C3041" t="s">
        <v>314</v>
      </c>
      <c r="D3041" t="s">
        <v>15638</v>
      </c>
      <c r="E3041" t="s">
        <v>35</v>
      </c>
      <c r="F3041" t="s">
        <v>58</v>
      </c>
      <c r="G3041" t="s">
        <v>290</v>
      </c>
      <c r="H3041" t="s">
        <v>154</v>
      </c>
      <c r="I3041" t="s">
        <v>1061</v>
      </c>
      <c r="J3041" t="s">
        <v>25</v>
      </c>
      <c r="K3041" t="s">
        <v>15639</v>
      </c>
      <c r="L3041">
        <v>0.15</v>
      </c>
      <c r="M3041" t="s">
        <v>15640</v>
      </c>
      <c r="N3041" t="s">
        <v>15641</v>
      </c>
      <c r="O3041" t="s">
        <v>43</v>
      </c>
      <c r="P3041" t="s">
        <v>95</v>
      </c>
      <c r="Q3041" t="s">
        <v>65</v>
      </c>
      <c r="R3041" s="3">
        <v>4745.2780000000002</v>
      </c>
    </row>
    <row r="3042" spans="1:18" x14ac:dyDescent="0.3">
      <c r="A3042" t="s">
        <v>15642</v>
      </c>
      <c r="B3042" t="str">
        <f>TEXT(Raw_Data[[#This Row],[Order Date]],"mmm")</f>
        <v>Nov</v>
      </c>
      <c r="C3042" t="s">
        <v>3305</v>
      </c>
      <c r="D3042" t="s">
        <v>15643</v>
      </c>
      <c r="E3042" t="s">
        <v>48</v>
      </c>
      <c r="F3042" t="s">
        <v>78</v>
      </c>
      <c r="G3042" t="s">
        <v>731</v>
      </c>
      <c r="H3042" t="s">
        <v>23</v>
      </c>
      <c r="I3042" t="s">
        <v>183</v>
      </c>
      <c r="J3042" t="s">
        <v>25</v>
      </c>
      <c r="K3042" t="s">
        <v>15644</v>
      </c>
      <c r="L3042">
        <v>0.05</v>
      </c>
      <c r="M3042" t="s">
        <v>15645</v>
      </c>
      <c r="N3042" t="s">
        <v>15646</v>
      </c>
      <c r="O3042" t="s">
        <v>54</v>
      </c>
      <c r="P3042" t="s">
        <v>30</v>
      </c>
      <c r="Q3042" t="s">
        <v>31</v>
      </c>
      <c r="R3042" s="3">
        <v>8065.5569999999898</v>
      </c>
    </row>
    <row r="3043" spans="1:18" x14ac:dyDescent="0.3">
      <c r="A3043" t="s">
        <v>15647</v>
      </c>
      <c r="B3043" t="str">
        <f>TEXT(Raw_Data[[#This Row],[Order Date]],"mmm")</f>
        <v>Nov</v>
      </c>
      <c r="C3043" t="s">
        <v>3096</v>
      </c>
      <c r="D3043" t="s">
        <v>15648</v>
      </c>
      <c r="E3043" t="s">
        <v>35</v>
      </c>
      <c r="F3043" t="s">
        <v>89</v>
      </c>
      <c r="G3043" t="s">
        <v>230</v>
      </c>
      <c r="H3043" t="s">
        <v>80</v>
      </c>
      <c r="I3043" t="s">
        <v>146</v>
      </c>
      <c r="J3043" t="s">
        <v>25</v>
      </c>
      <c r="K3043" t="s">
        <v>15649</v>
      </c>
      <c r="L3043">
        <v>0.15</v>
      </c>
      <c r="M3043" t="s">
        <v>15650</v>
      </c>
      <c r="N3043" t="s">
        <v>15651</v>
      </c>
      <c r="O3043" t="s">
        <v>173</v>
      </c>
      <c r="P3043" t="s">
        <v>30</v>
      </c>
      <c r="Q3043" t="s">
        <v>65</v>
      </c>
      <c r="R3043" s="3">
        <v>5182.0164999999997</v>
      </c>
    </row>
    <row r="3044" spans="1:18" x14ac:dyDescent="0.3">
      <c r="A3044" t="s">
        <v>15652</v>
      </c>
      <c r="B3044" t="str">
        <f>TEXT(Raw_Data[[#This Row],[Order Date]],"mmm")</f>
        <v>Aug</v>
      </c>
      <c r="C3044" t="s">
        <v>971</v>
      </c>
      <c r="D3044" t="s">
        <v>15653</v>
      </c>
      <c r="E3044" t="s">
        <v>35</v>
      </c>
      <c r="F3044" t="s">
        <v>69</v>
      </c>
      <c r="G3044" t="s">
        <v>70</v>
      </c>
      <c r="H3044" t="s">
        <v>38</v>
      </c>
      <c r="I3044" t="s">
        <v>256</v>
      </c>
      <c r="J3044" t="s">
        <v>50</v>
      </c>
      <c r="K3044" t="s">
        <v>15654</v>
      </c>
      <c r="L3044">
        <v>0</v>
      </c>
      <c r="M3044" t="s">
        <v>15655</v>
      </c>
      <c r="N3044" t="s">
        <v>15656</v>
      </c>
      <c r="O3044" t="s">
        <v>64</v>
      </c>
      <c r="P3044" t="s">
        <v>95</v>
      </c>
      <c r="Q3044" t="s">
        <v>44</v>
      </c>
      <c r="R3044" s="3">
        <v>2409.06</v>
      </c>
    </row>
    <row r="3045" spans="1:18" x14ac:dyDescent="0.3">
      <c r="A3045" t="s">
        <v>15657</v>
      </c>
      <c r="B3045" t="str">
        <f>TEXT(Raw_Data[[#This Row],[Order Date]],"mmm")</f>
        <v>Mar</v>
      </c>
      <c r="C3045" t="s">
        <v>3284</v>
      </c>
      <c r="D3045" t="s">
        <v>15658</v>
      </c>
      <c r="E3045" t="s">
        <v>20</v>
      </c>
      <c r="F3045" t="s">
        <v>78</v>
      </c>
      <c r="G3045" t="s">
        <v>79</v>
      </c>
      <c r="H3045" t="s">
        <v>154</v>
      </c>
      <c r="I3045" t="s">
        <v>237</v>
      </c>
      <c r="J3045" t="s">
        <v>25</v>
      </c>
      <c r="K3045" t="s">
        <v>15659</v>
      </c>
      <c r="L3045">
        <v>0.05</v>
      </c>
      <c r="M3045" t="s">
        <v>15660</v>
      </c>
      <c r="N3045" t="s">
        <v>15661</v>
      </c>
      <c r="O3045" t="s">
        <v>29</v>
      </c>
      <c r="P3045" t="s">
        <v>112</v>
      </c>
      <c r="Q3045" t="s">
        <v>44</v>
      </c>
      <c r="R3045" s="3">
        <v>1444.2090000000001</v>
      </c>
    </row>
    <row r="3046" spans="1:18" x14ac:dyDescent="0.3">
      <c r="A3046" t="s">
        <v>15662</v>
      </c>
      <c r="B3046" t="str">
        <f>TEXT(Raw_Data[[#This Row],[Order Date]],"mmm")</f>
        <v>Oct</v>
      </c>
      <c r="C3046" t="s">
        <v>460</v>
      </c>
      <c r="D3046" t="s">
        <v>15663</v>
      </c>
      <c r="E3046" t="s">
        <v>20</v>
      </c>
      <c r="F3046" t="s">
        <v>89</v>
      </c>
      <c r="G3046" t="s">
        <v>90</v>
      </c>
      <c r="H3046" t="s">
        <v>107</v>
      </c>
      <c r="I3046" t="s">
        <v>469</v>
      </c>
      <c r="J3046" t="s">
        <v>25</v>
      </c>
      <c r="K3046" t="s">
        <v>15664</v>
      </c>
      <c r="L3046">
        <v>0.15</v>
      </c>
      <c r="M3046" t="s">
        <v>15665</v>
      </c>
      <c r="N3046" t="s">
        <v>15666</v>
      </c>
      <c r="O3046" t="s">
        <v>64</v>
      </c>
      <c r="P3046" t="s">
        <v>30</v>
      </c>
      <c r="Q3046" t="s">
        <v>65</v>
      </c>
      <c r="R3046" s="3">
        <v>3406.3664999999901</v>
      </c>
    </row>
    <row r="3047" spans="1:18" x14ac:dyDescent="0.3">
      <c r="A3047" t="s">
        <v>15667</v>
      </c>
      <c r="B3047" t="str">
        <f>TEXT(Raw_Data[[#This Row],[Order Date]],"mmm")</f>
        <v>Jul</v>
      </c>
      <c r="C3047" t="s">
        <v>333</v>
      </c>
      <c r="D3047" t="s">
        <v>15668</v>
      </c>
      <c r="E3047" t="s">
        <v>35</v>
      </c>
      <c r="F3047" t="s">
        <v>58</v>
      </c>
      <c r="G3047" t="s">
        <v>59</v>
      </c>
      <c r="H3047" t="s">
        <v>38</v>
      </c>
      <c r="I3047" t="s">
        <v>60</v>
      </c>
      <c r="J3047" t="s">
        <v>100</v>
      </c>
      <c r="K3047" t="s">
        <v>15669</v>
      </c>
      <c r="L3047">
        <v>0.05</v>
      </c>
      <c r="M3047" t="s">
        <v>15670</v>
      </c>
      <c r="N3047" t="s">
        <v>15671</v>
      </c>
      <c r="O3047" t="s">
        <v>43</v>
      </c>
      <c r="P3047" t="s">
        <v>30</v>
      </c>
      <c r="Q3047" t="s">
        <v>31</v>
      </c>
      <c r="R3047" s="3">
        <v>11477.861999999999</v>
      </c>
    </row>
    <row r="3048" spans="1:18" x14ac:dyDescent="0.3">
      <c r="A3048" t="s">
        <v>15672</v>
      </c>
      <c r="B3048" t="str">
        <f>TEXT(Raw_Data[[#This Row],[Order Date]],"mmm")</f>
        <v>Aug</v>
      </c>
      <c r="C3048" t="s">
        <v>1680</v>
      </c>
      <c r="D3048" t="s">
        <v>15673</v>
      </c>
      <c r="E3048" t="s">
        <v>20</v>
      </c>
      <c r="F3048" t="s">
        <v>215</v>
      </c>
      <c r="G3048" t="s">
        <v>216</v>
      </c>
      <c r="H3048" t="s">
        <v>107</v>
      </c>
      <c r="I3048" t="s">
        <v>469</v>
      </c>
      <c r="J3048" t="s">
        <v>50</v>
      </c>
      <c r="K3048" t="s">
        <v>15674</v>
      </c>
      <c r="L3048">
        <v>0.05</v>
      </c>
      <c r="M3048" t="s">
        <v>15675</v>
      </c>
      <c r="N3048" t="s">
        <v>15676</v>
      </c>
      <c r="O3048" t="s">
        <v>173</v>
      </c>
      <c r="P3048" t="s">
        <v>30</v>
      </c>
      <c r="Q3048" t="s">
        <v>31</v>
      </c>
      <c r="R3048" s="3">
        <v>10149.553</v>
      </c>
    </row>
    <row r="3049" spans="1:18" x14ac:dyDescent="0.3">
      <c r="A3049" t="s">
        <v>15677</v>
      </c>
      <c r="B3049" t="str">
        <f>TEXT(Raw_Data[[#This Row],[Order Date]],"mmm")</f>
        <v>Mar</v>
      </c>
      <c r="C3049" t="s">
        <v>9097</v>
      </c>
      <c r="D3049" t="s">
        <v>15678</v>
      </c>
      <c r="E3049" t="s">
        <v>48</v>
      </c>
      <c r="F3049" t="s">
        <v>36</v>
      </c>
      <c r="G3049" t="s">
        <v>123</v>
      </c>
      <c r="H3049" t="s">
        <v>80</v>
      </c>
      <c r="I3049" t="s">
        <v>116</v>
      </c>
      <c r="J3049" t="s">
        <v>25</v>
      </c>
      <c r="K3049" t="s">
        <v>15679</v>
      </c>
      <c r="L3049">
        <v>0.05</v>
      </c>
      <c r="M3049" t="s">
        <v>15680</v>
      </c>
      <c r="N3049" t="s">
        <v>15681</v>
      </c>
      <c r="O3049" t="s">
        <v>64</v>
      </c>
      <c r="P3049" t="s">
        <v>30</v>
      </c>
      <c r="Q3049" t="s">
        <v>44</v>
      </c>
      <c r="R3049" s="3">
        <v>6574.7029999999904</v>
      </c>
    </row>
    <row r="3050" spans="1:18" x14ac:dyDescent="0.3">
      <c r="A3050" t="s">
        <v>15682</v>
      </c>
      <c r="B3050" t="str">
        <f>TEXT(Raw_Data[[#This Row],[Order Date]],"mmm")</f>
        <v>Aug</v>
      </c>
      <c r="C3050" t="s">
        <v>954</v>
      </c>
      <c r="D3050" t="s">
        <v>15683</v>
      </c>
      <c r="E3050" t="s">
        <v>48</v>
      </c>
      <c r="F3050" t="s">
        <v>215</v>
      </c>
      <c r="G3050" t="s">
        <v>216</v>
      </c>
      <c r="H3050" t="s">
        <v>107</v>
      </c>
      <c r="I3050" t="s">
        <v>469</v>
      </c>
      <c r="J3050" t="s">
        <v>25</v>
      </c>
      <c r="K3050" t="s">
        <v>15684</v>
      </c>
      <c r="L3050">
        <v>0.1</v>
      </c>
      <c r="M3050" t="s">
        <v>15685</v>
      </c>
      <c r="N3050" t="s">
        <v>15686</v>
      </c>
      <c r="O3050" t="s">
        <v>64</v>
      </c>
      <c r="P3050" t="s">
        <v>112</v>
      </c>
      <c r="Q3050" t="s">
        <v>65</v>
      </c>
      <c r="R3050" s="3">
        <v>10232.874</v>
      </c>
    </row>
    <row r="3051" spans="1:18" x14ac:dyDescent="0.3">
      <c r="A3051" t="s">
        <v>15687</v>
      </c>
      <c r="B3051" t="str">
        <f>TEXT(Raw_Data[[#This Row],[Order Date]],"mmm")</f>
        <v>Sep</v>
      </c>
      <c r="C3051" t="s">
        <v>2704</v>
      </c>
      <c r="D3051" t="s">
        <v>15688</v>
      </c>
      <c r="E3051" t="s">
        <v>48</v>
      </c>
      <c r="F3051" t="s">
        <v>89</v>
      </c>
      <c r="G3051" t="s">
        <v>90</v>
      </c>
      <c r="H3051" t="s">
        <v>80</v>
      </c>
      <c r="I3051" t="s">
        <v>131</v>
      </c>
      <c r="J3051" t="s">
        <v>50</v>
      </c>
      <c r="K3051" t="s">
        <v>15689</v>
      </c>
      <c r="L3051">
        <v>0.15</v>
      </c>
      <c r="M3051" t="s">
        <v>15690</v>
      </c>
      <c r="N3051" t="s">
        <v>15691</v>
      </c>
      <c r="O3051" t="s">
        <v>43</v>
      </c>
      <c r="P3051" t="s">
        <v>95</v>
      </c>
      <c r="Q3051" t="s">
        <v>44</v>
      </c>
      <c r="R3051" s="3">
        <v>1858.3720000000001</v>
      </c>
    </row>
    <row r="3052" spans="1:18" x14ac:dyDescent="0.3">
      <c r="A3052" t="s">
        <v>15692</v>
      </c>
      <c r="B3052" t="str">
        <f>TEXT(Raw_Data[[#This Row],[Order Date]],"mmm")</f>
        <v>Apr</v>
      </c>
      <c r="C3052" t="s">
        <v>2338</v>
      </c>
      <c r="D3052" t="s">
        <v>15693</v>
      </c>
      <c r="E3052" t="s">
        <v>48</v>
      </c>
      <c r="F3052" t="s">
        <v>106</v>
      </c>
      <c r="G3052" t="s">
        <v>106</v>
      </c>
      <c r="H3052" t="s">
        <v>38</v>
      </c>
      <c r="I3052" t="s">
        <v>39</v>
      </c>
      <c r="J3052" t="s">
        <v>82</v>
      </c>
      <c r="K3052" t="s">
        <v>15694</v>
      </c>
      <c r="L3052">
        <v>0.15</v>
      </c>
      <c r="M3052" t="s">
        <v>15695</v>
      </c>
      <c r="N3052" t="s">
        <v>15696</v>
      </c>
      <c r="O3052" t="s">
        <v>64</v>
      </c>
      <c r="P3052" t="s">
        <v>30</v>
      </c>
      <c r="Q3052" t="s">
        <v>44</v>
      </c>
      <c r="R3052" s="3">
        <v>6635.0320000000002</v>
      </c>
    </row>
    <row r="3053" spans="1:18" x14ac:dyDescent="0.3">
      <c r="A3053" t="s">
        <v>15697</v>
      </c>
      <c r="B3053" t="str">
        <f>TEXT(Raw_Data[[#This Row],[Order Date]],"mmm")</f>
        <v>Aug</v>
      </c>
      <c r="C3053" t="s">
        <v>1053</v>
      </c>
      <c r="D3053" t="s">
        <v>15698</v>
      </c>
      <c r="E3053" t="s">
        <v>20</v>
      </c>
      <c r="F3053" t="s">
        <v>89</v>
      </c>
      <c r="G3053" t="s">
        <v>99</v>
      </c>
      <c r="H3053" t="s">
        <v>80</v>
      </c>
      <c r="I3053" t="s">
        <v>91</v>
      </c>
      <c r="J3053" t="s">
        <v>25</v>
      </c>
      <c r="K3053" t="s">
        <v>15699</v>
      </c>
      <c r="L3053">
        <v>0.05</v>
      </c>
      <c r="M3053" t="s">
        <v>15700</v>
      </c>
      <c r="N3053" t="s">
        <v>15701</v>
      </c>
      <c r="O3053" t="s">
        <v>43</v>
      </c>
      <c r="P3053" t="s">
        <v>30</v>
      </c>
      <c r="Q3053" t="s">
        <v>44</v>
      </c>
      <c r="R3053" s="3">
        <v>1462.7055</v>
      </c>
    </row>
    <row r="3054" spans="1:18" x14ac:dyDescent="0.3">
      <c r="A3054" t="s">
        <v>15702</v>
      </c>
      <c r="B3054" t="str">
        <f>TEXT(Raw_Data[[#This Row],[Order Date]],"mmm")</f>
        <v>Oct</v>
      </c>
      <c r="C3054" t="s">
        <v>1802</v>
      </c>
      <c r="D3054" t="s">
        <v>15703</v>
      </c>
      <c r="E3054" t="s">
        <v>48</v>
      </c>
      <c r="F3054" t="s">
        <v>89</v>
      </c>
      <c r="G3054" t="s">
        <v>90</v>
      </c>
      <c r="H3054" t="s">
        <v>38</v>
      </c>
      <c r="I3054" t="s">
        <v>223</v>
      </c>
      <c r="J3054" t="s">
        <v>50</v>
      </c>
      <c r="K3054" t="s">
        <v>15704</v>
      </c>
      <c r="L3054">
        <v>0.05</v>
      </c>
      <c r="M3054" t="s">
        <v>15705</v>
      </c>
      <c r="N3054" t="s">
        <v>15706</v>
      </c>
      <c r="O3054" t="s">
        <v>64</v>
      </c>
      <c r="P3054" t="s">
        <v>30</v>
      </c>
      <c r="Q3054" t="s">
        <v>31</v>
      </c>
      <c r="R3054" s="3">
        <v>6760.5609999999997</v>
      </c>
    </row>
    <row r="3055" spans="1:18" x14ac:dyDescent="0.3">
      <c r="A3055" t="s">
        <v>15707</v>
      </c>
      <c r="B3055" t="str">
        <f>TEXT(Raw_Data[[#This Row],[Order Date]],"mmm")</f>
        <v>Jun</v>
      </c>
      <c r="C3055" t="s">
        <v>753</v>
      </c>
      <c r="D3055" t="s">
        <v>15708</v>
      </c>
      <c r="E3055" t="s">
        <v>48</v>
      </c>
      <c r="F3055" t="s">
        <v>78</v>
      </c>
      <c r="G3055" t="s">
        <v>79</v>
      </c>
      <c r="H3055" t="s">
        <v>80</v>
      </c>
      <c r="I3055" t="s">
        <v>91</v>
      </c>
      <c r="J3055" t="s">
        <v>82</v>
      </c>
      <c r="K3055" t="s">
        <v>15709</v>
      </c>
      <c r="L3055">
        <v>0.1</v>
      </c>
      <c r="M3055" t="s">
        <v>15710</v>
      </c>
      <c r="N3055" t="s">
        <v>15711</v>
      </c>
      <c r="O3055" t="s">
        <v>173</v>
      </c>
      <c r="P3055" t="s">
        <v>30</v>
      </c>
      <c r="Q3055" t="s">
        <v>65</v>
      </c>
      <c r="R3055" s="3">
        <v>18474.624</v>
      </c>
    </row>
    <row r="3056" spans="1:18" x14ac:dyDescent="0.3">
      <c r="A3056" t="s">
        <v>15712</v>
      </c>
      <c r="B3056" t="str">
        <f>TEXT(Raw_Data[[#This Row],[Order Date]],"mmm")</f>
        <v>Sep</v>
      </c>
      <c r="C3056" t="s">
        <v>1714</v>
      </c>
      <c r="D3056" t="s">
        <v>15713</v>
      </c>
      <c r="E3056" t="s">
        <v>20</v>
      </c>
      <c r="F3056" t="s">
        <v>89</v>
      </c>
      <c r="G3056" t="s">
        <v>99</v>
      </c>
      <c r="H3056" t="s">
        <v>38</v>
      </c>
      <c r="I3056" t="s">
        <v>39</v>
      </c>
      <c r="J3056" t="s">
        <v>25</v>
      </c>
      <c r="K3056" t="s">
        <v>15714</v>
      </c>
      <c r="L3056">
        <v>0.1</v>
      </c>
      <c r="M3056" t="s">
        <v>15715</v>
      </c>
      <c r="N3056" t="s">
        <v>15716</v>
      </c>
      <c r="O3056" t="s">
        <v>173</v>
      </c>
      <c r="P3056" t="s">
        <v>159</v>
      </c>
      <c r="Q3056" t="s">
        <v>31</v>
      </c>
      <c r="R3056" s="3">
        <v>4068.6030000000001</v>
      </c>
    </row>
    <row r="3057" spans="1:18" x14ac:dyDescent="0.3">
      <c r="A3057" t="s">
        <v>15717</v>
      </c>
      <c r="B3057" t="str">
        <f>TEXT(Raw_Data[[#This Row],[Order Date]],"mmm")</f>
        <v>Oct</v>
      </c>
      <c r="C3057" t="s">
        <v>1386</v>
      </c>
      <c r="D3057" t="s">
        <v>15718</v>
      </c>
      <c r="E3057" t="s">
        <v>20</v>
      </c>
      <c r="F3057" t="s">
        <v>21</v>
      </c>
      <c r="G3057" t="s">
        <v>130</v>
      </c>
      <c r="H3057" t="s">
        <v>23</v>
      </c>
      <c r="I3057" t="s">
        <v>49</v>
      </c>
      <c r="J3057" t="s">
        <v>50</v>
      </c>
      <c r="K3057" t="s">
        <v>15719</v>
      </c>
      <c r="L3057">
        <v>0.15</v>
      </c>
      <c r="M3057" t="s">
        <v>15720</v>
      </c>
      <c r="N3057" t="s">
        <v>15721</v>
      </c>
      <c r="O3057" t="s">
        <v>43</v>
      </c>
      <c r="P3057" t="s">
        <v>30</v>
      </c>
      <c r="Q3057" t="s">
        <v>65</v>
      </c>
      <c r="R3057" s="3">
        <v>22803.647000000001</v>
      </c>
    </row>
    <row r="3058" spans="1:18" x14ac:dyDescent="0.3">
      <c r="A3058" t="s">
        <v>15722</v>
      </c>
      <c r="B3058" t="str">
        <f>TEXT(Raw_Data[[#This Row],[Order Date]],"mmm")</f>
        <v>Apr</v>
      </c>
      <c r="C3058" t="s">
        <v>596</v>
      </c>
      <c r="D3058" t="s">
        <v>15723</v>
      </c>
      <c r="E3058" t="s">
        <v>48</v>
      </c>
      <c r="F3058" t="s">
        <v>21</v>
      </c>
      <c r="G3058" t="s">
        <v>130</v>
      </c>
      <c r="H3058" t="s">
        <v>107</v>
      </c>
      <c r="I3058" t="s">
        <v>591</v>
      </c>
      <c r="J3058" t="s">
        <v>100</v>
      </c>
      <c r="K3058" t="s">
        <v>15724</v>
      </c>
      <c r="L3058">
        <v>0</v>
      </c>
      <c r="M3058" t="s">
        <v>15725</v>
      </c>
      <c r="N3058" t="s">
        <v>15726</v>
      </c>
      <c r="O3058" t="s">
        <v>64</v>
      </c>
      <c r="P3058" t="s">
        <v>30</v>
      </c>
      <c r="Q3058" t="s">
        <v>31</v>
      </c>
      <c r="R3058" s="3">
        <v>9679.7099999999991</v>
      </c>
    </row>
    <row r="3059" spans="1:18" x14ac:dyDescent="0.3">
      <c r="A3059" t="s">
        <v>15727</v>
      </c>
      <c r="B3059" t="str">
        <f>TEXT(Raw_Data[[#This Row],[Order Date]],"mmm")</f>
        <v>May</v>
      </c>
      <c r="C3059" t="s">
        <v>4485</v>
      </c>
      <c r="D3059" t="s">
        <v>15728</v>
      </c>
      <c r="E3059" t="s">
        <v>35</v>
      </c>
      <c r="F3059" t="s">
        <v>69</v>
      </c>
      <c r="G3059" t="s">
        <v>139</v>
      </c>
      <c r="H3059" t="s">
        <v>23</v>
      </c>
      <c r="I3059" t="s">
        <v>341</v>
      </c>
      <c r="J3059" t="s">
        <v>100</v>
      </c>
      <c r="K3059" t="s">
        <v>15729</v>
      </c>
      <c r="L3059">
        <v>0</v>
      </c>
      <c r="M3059" t="s">
        <v>15730</v>
      </c>
      <c r="N3059" t="s">
        <v>15731</v>
      </c>
      <c r="O3059" t="s">
        <v>43</v>
      </c>
      <c r="P3059" t="s">
        <v>112</v>
      </c>
      <c r="Q3059" t="s">
        <v>31</v>
      </c>
      <c r="R3059" s="3">
        <v>67390.44</v>
      </c>
    </row>
    <row r="3060" spans="1:18" x14ac:dyDescent="0.3">
      <c r="A3060" t="s">
        <v>15732</v>
      </c>
      <c r="B3060" t="str">
        <f>TEXT(Raw_Data[[#This Row],[Order Date]],"mmm")</f>
        <v>Dec</v>
      </c>
      <c r="C3060" t="s">
        <v>1769</v>
      </c>
      <c r="D3060" t="s">
        <v>15733</v>
      </c>
      <c r="E3060" t="s">
        <v>20</v>
      </c>
      <c r="F3060" t="s">
        <v>36</v>
      </c>
      <c r="G3060" t="s">
        <v>153</v>
      </c>
      <c r="H3060" t="s">
        <v>80</v>
      </c>
      <c r="I3060" t="s">
        <v>146</v>
      </c>
      <c r="J3060" t="s">
        <v>25</v>
      </c>
      <c r="K3060" t="s">
        <v>15734</v>
      </c>
      <c r="L3060">
        <v>0.05</v>
      </c>
      <c r="M3060" t="s">
        <v>15735</v>
      </c>
      <c r="N3060" t="s">
        <v>15736</v>
      </c>
      <c r="O3060" t="s">
        <v>29</v>
      </c>
      <c r="P3060" t="s">
        <v>95</v>
      </c>
      <c r="Q3060" t="s">
        <v>31</v>
      </c>
      <c r="R3060" s="3">
        <v>991.80949999999996</v>
      </c>
    </row>
    <row r="3061" spans="1:18" x14ac:dyDescent="0.3">
      <c r="A3061" t="s">
        <v>15737</v>
      </c>
      <c r="B3061" t="str">
        <f>TEXT(Raw_Data[[#This Row],[Order Date]],"mmm")</f>
        <v>Jul</v>
      </c>
      <c r="C3061" t="s">
        <v>358</v>
      </c>
      <c r="D3061" t="s">
        <v>15738</v>
      </c>
      <c r="E3061" t="s">
        <v>48</v>
      </c>
      <c r="F3061" t="s">
        <v>215</v>
      </c>
      <c r="G3061" t="s">
        <v>216</v>
      </c>
      <c r="H3061" t="s">
        <v>23</v>
      </c>
      <c r="I3061" t="s">
        <v>263</v>
      </c>
      <c r="J3061" t="s">
        <v>25</v>
      </c>
      <c r="K3061" t="s">
        <v>15739</v>
      </c>
      <c r="L3061">
        <v>0.1</v>
      </c>
      <c r="M3061" t="s">
        <v>15740</v>
      </c>
      <c r="N3061" t="s">
        <v>15741</v>
      </c>
      <c r="O3061" t="s">
        <v>64</v>
      </c>
      <c r="P3061" t="s">
        <v>30</v>
      </c>
      <c r="Q3061" t="s">
        <v>65</v>
      </c>
      <c r="R3061" s="3">
        <v>4060.1879999999901</v>
      </c>
    </row>
    <row r="3062" spans="1:18" x14ac:dyDescent="0.3">
      <c r="A3062" t="s">
        <v>15742</v>
      </c>
      <c r="B3062" t="str">
        <f>TEXT(Raw_Data[[#This Row],[Order Date]],"mmm")</f>
        <v>Jul</v>
      </c>
      <c r="C3062" t="s">
        <v>2416</v>
      </c>
      <c r="D3062" t="s">
        <v>15743</v>
      </c>
      <c r="E3062" t="s">
        <v>48</v>
      </c>
      <c r="F3062" t="s">
        <v>58</v>
      </c>
      <c r="G3062" t="s">
        <v>290</v>
      </c>
      <c r="H3062" t="s">
        <v>23</v>
      </c>
      <c r="I3062" t="s">
        <v>263</v>
      </c>
      <c r="J3062" t="s">
        <v>25</v>
      </c>
      <c r="K3062" t="s">
        <v>15744</v>
      </c>
      <c r="L3062">
        <v>0.1</v>
      </c>
      <c r="M3062" t="s">
        <v>15745</v>
      </c>
      <c r="N3062" t="s">
        <v>15746</v>
      </c>
      <c r="O3062" t="s">
        <v>173</v>
      </c>
      <c r="P3062" t="s">
        <v>30</v>
      </c>
      <c r="Q3062" t="s">
        <v>31</v>
      </c>
      <c r="R3062" s="3">
        <v>24890.705999999998</v>
      </c>
    </row>
    <row r="3063" spans="1:18" x14ac:dyDescent="0.3">
      <c r="A3063" t="s">
        <v>15747</v>
      </c>
      <c r="B3063" t="str">
        <f>TEXT(Raw_Data[[#This Row],[Order Date]],"mmm")</f>
        <v>Apr</v>
      </c>
      <c r="C3063" t="s">
        <v>902</v>
      </c>
      <c r="D3063" t="s">
        <v>15748</v>
      </c>
      <c r="E3063" t="s">
        <v>35</v>
      </c>
      <c r="F3063" t="s">
        <v>21</v>
      </c>
      <c r="G3063" t="s">
        <v>130</v>
      </c>
      <c r="H3063" t="s">
        <v>107</v>
      </c>
      <c r="I3063" t="s">
        <v>469</v>
      </c>
      <c r="J3063" t="s">
        <v>50</v>
      </c>
      <c r="K3063" t="s">
        <v>15749</v>
      </c>
      <c r="L3063">
        <v>0.1</v>
      </c>
      <c r="M3063" t="s">
        <v>15750</v>
      </c>
      <c r="N3063" t="s">
        <v>15751</v>
      </c>
      <c r="O3063" t="s">
        <v>43</v>
      </c>
      <c r="P3063" t="s">
        <v>30</v>
      </c>
      <c r="Q3063" t="s">
        <v>44</v>
      </c>
      <c r="R3063" s="3">
        <v>8915.1659999999993</v>
      </c>
    </row>
    <row r="3064" spans="1:18" x14ac:dyDescent="0.3">
      <c r="A3064" t="s">
        <v>15752</v>
      </c>
      <c r="B3064" t="str">
        <f>TEXT(Raw_Data[[#This Row],[Order Date]],"mmm")</f>
        <v>Apr</v>
      </c>
      <c r="C3064" t="s">
        <v>1904</v>
      </c>
      <c r="D3064" t="s">
        <v>15753</v>
      </c>
      <c r="E3064" t="s">
        <v>48</v>
      </c>
      <c r="F3064" t="s">
        <v>21</v>
      </c>
      <c r="G3064" t="s">
        <v>22</v>
      </c>
      <c r="H3064" t="s">
        <v>107</v>
      </c>
      <c r="I3064" t="s">
        <v>591</v>
      </c>
      <c r="J3064" t="s">
        <v>100</v>
      </c>
      <c r="K3064" t="s">
        <v>15754</v>
      </c>
      <c r="L3064">
        <v>0.15</v>
      </c>
      <c r="M3064" t="s">
        <v>15755</v>
      </c>
      <c r="N3064" t="s">
        <v>15756</v>
      </c>
      <c r="O3064" t="s">
        <v>54</v>
      </c>
      <c r="P3064" t="s">
        <v>30</v>
      </c>
      <c r="Q3064" t="s">
        <v>65</v>
      </c>
      <c r="R3064" s="3">
        <v>1939.65749999999</v>
      </c>
    </row>
    <row r="3065" spans="1:18" x14ac:dyDescent="0.3">
      <c r="A3065" t="s">
        <v>15757</v>
      </c>
      <c r="B3065" t="str">
        <f>TEXT(Raw_Data[[#This Row],[Order Date]],"mmm")</f>
        <v>Jun</v>
      </c>
      <c r="C3065" t="s">
        <v>2546</v>
      </c>
      <c r="D3065" t="s">
        <v>15758</v>
      </c>
      <c r="E3065" t="s">
        <v>48</v>
      </c>
      <c r="F3065" t="s">
        <v>89</v>
      </c>
      <c r="G3065" t="s">
        <v>230</v>
      </c>
      <c r="H3065" t="s">
        <v>80</v>
      </c>
      <c r="I3065" t="s">
        <v>131</v>
      </c>
      <c r="J3065" t="s">
        <v>25</v>
      </c>
      <c r="K3065" t="s">
        <v>15759</v>
      </c>
      <c r="L3065">
        <v>0.1</v>
      </c>
      <c r="M3065" t="s">
        <v>15760</v>
      </c>
      <c r="N3065" t="s">
        <v>15761</v>
      </c>
      <c r="O3065" t="s">
        <v>54</v>
      </c>
      <c r="P3065" t="s">
        <v>159</v>
      </c>
      <c r="Q3065" t="s">
        <v>31</v>
      </c>
      <c r="R3065" s="3">
        <v>5887.4669999999996</v>
      </c>
    </row>
    <row r="3066" spans="1:18" x14ac:dyDescent="0.3">
      <c r="A3066" t="s">
        <v>15762</v>
      </c>
      <c r="B3066" t="str">
        <f>TEXT(Raw_Data[[#This Row],[Order Date]],"mmm")</f>
        <v>Apr</v>
      </c>
      <c r="C3066" t="s">
        <v>4059</v>
      </c>
      <c r="D3066" t="s">
        <v>15763</v>
      </c>
      <c r="E3066" t="s">
        <v>48</v>
      </c>
      <c r="F3066" t="s">
        <v>69</v>
      </c>
      <c r="G3066" t="s">
        <v>139</v>
      </c>
      <c r="H3066" t="s">
        <v>80</v>
      </c>
      <c r="I3066" t="s">
        <v>81</v>
      </c>
      <c r="J3066" t="s">
        <v>50</v>
      </c>
      <c r="K3066" t="s">
        <v>15764</v>
      </c>
      <c r="L3066">
        <v>0.05</v>
      </c>
      <c r="M3066" t="s">
        <v>15765</v>
      </c>
      <c r="N3066" t="s">
        <v>15766</v>
      </c>
      <c r="O3066" t="s">
        <v>54</v>
      </c>
      <c r="P3066" t="s">
        <v>159</v>
      </c>
      <c r="Q3066" t="s">
        <v>31</v>
      </c>
      <c r="R3066" s="3">
        <v>12597.075999999999</v>
      </c>
    </row>
    <row r="3067" spans="1:18" x14ac:dyDescent="0.3">
      <c r="A3067" t="s">
        <v>15767</v>
      </c>
      <c r="B3067" t="str">
        <f>TEXT(Raw_Data[[#This Row],[Order Date]],"mmm")</f>
        <v>Jan</v>
      </c>
      <c r="C3067" t="s">
        <v>261</v>
      </c>
      <c r="D3067" t="s">
        <v>15768</v>
      </c>
      <c r="E3067" t="s">
        <v>48</v>
      </c>
      <c r="F3067" t="s">
        <v>36</v>
      </c>
      <c r="G3067" t="s">
        <v>414</v>
      </c>
      <c r="H3067" t="s">
        <v>23</v>
      </c>
      <c r="I3067" t="s">
        <v>49</v>
      </c>
      <c r="J3067" t="s">
        <v>25</v>
      </c>
      <c r="K3067" t="s">
        <v>15769</v>
      </c>
      <c r="L3067">
        <v>0.15</v>
      </c>
      <c r="M3067" t="s">
        <v>15770</v>
      </c>
      <c r="N3067" t="s">
        <v>15771</v>
      </c>
      <c r="O3067" t="s">
        <v>29</v>
      </c>
      <c r="P3067" t="s">
        <v>30</v>
      </c>
      <c r="Q3067" t="s">
        <v>65</v>
      </c>
      <c r="R3067" s="3">
        <v>13991.076499999999</v>
      </c>
    </row>
    <row r="3068" spans="1:18" x14ac:dyDescent="0.3">
      <c r="A3068" t="s">
        <v>15772</v>
      </c>
      <c r="B3068" t="str">
        <f>TEXT(Raw_Data[[#This Row],[Order Date]],"mmm")</f>
        <v>Oct</v>
      </c>
      <c r="C3068" t="s">
        <v>1076</v>
      </c>
      <c r="D3068" t="s">
        <v>15773</v>
      </c>
      <c r="E3068" t="s">
        <v>35</v>
      </c>
      <c r="F3068" t="s">
        <v>36</v>
      </c>
      <c r="G3068" t="s">
        <v>123</v>
      </c>
      <c r="H3068" t="s">
        <v>107</v>
      </c>
      <c r="I3068" t="s">
        <v>277</v>
      </c>
      <c r="J3068" t="s">
        <v>82</v>
      </c>
      <c r="K3068" t="s">
        <v>15774</v>
      </c>
      <c r="L3068">
        <v>0.1</v>
      </c>
      <c r="M3068" t="s">
        <v>15775</v>
      </c>
      <c r="N3068" t="s">
        <v>15776</v>
      </c>
      <c r="O3068" t="s">
        <v>43</v>
      </c>
      <c r="P3068" t="s">
        <v>30</v>
      </c>
      <c r="Q3068" t="s">
        <v>65</v>
      </c>
      <c r="R3068" s="3">
        <v>27691.919999999998</v>
      </c>
    </row>
    <row r="3069" spans="1:18" x14ac:dyDescent="0.3">
      <c r="A3069" t="s">
        <v>15777</v>
      </c>
      <c r="B3069" t="str">
        <f>TEXT(Raw_Data[[#This Row],[Order Date]],"mmm")</f>
        <v>Mar</v>
      </c>
      <c r="C3069" t="s">
        <v>1128</v>
      </c>
      <c r="D3069" t="s">
        <v>15778</v>
      </c>
      <c r="E3069" t="s">
        <v>20</v>
      </c>
      <c r="F3069" t="s">
        <v>89</v>
      </c>
      <c r="G3069" t="s">
        <v>230</v>
      </c>
      <c r="H3069" t="s">
        <v>23</v>
      </c>
      <c r="I3069" t="s">
        <v>263</v>
      </c>
      <c r="J3069" t="s">
        <v>82</v>
      </c>
      <c r="K3069" t="s">
        <v>15779</v>
      </c>
      <c r="L3069">
        <v>0.05</v>
      </c>
      <c r="M3069" t="s">
        <v>15780</v>
      </c>
      <c r="N3069" t="s">
        <v>15781</v>
      </c>
      <c r="O3069" t="s">
        <v>54</v>
      </c>
      <c r="P3069" t="s">
        <v>30</v>
      </c>
      <c r="Q3069" t="s">
        <v>44</v>
      </c>
      <c r="R3069" s="3">
        <v>36977.381999999998</v>
      </c>
    </row>
    <row r="3070" spans="1:18" x14ac:dyDescent="0.3">
      <c r="A3070" t="s">
        <v>15782</v>
      </c>
      <c r="B3070" t="str">
        <f>TEXT(Raw_Data[[#This Row],[Order Date]],"mmm")</f>
        <v>Jul</v>
      </c>
      <c r="C3070" t="s">
        <v>3049</v>
      </c>
      <c r="D3070" t="s">
        <v>15783</v>
      </c>
      <c r="E3070" t="s">
        <v>35</v>
      </c>
      <c r="F3070" t="s">
        <v>36</v>
      </c>
      <c r="G3070" t="s">
        <v>196</v>
      </c>
      <c r="H3070" t="s">
        <v>154</v>
      </c>
      <c r="I3070" t="s">
        <v>237</v>
      </c>
      <c r="J3070" t="s">
        <v>25</v>
      </c>
      <c r="K3070" t="s">
        <v>15784</v>
      </c>
      <c r="L3070">
        <v>0.05</v>
      </c>
      <c r="M3070" t="s">
        <v>15785</v>
      </c>
      <c r="N3070" t="s">
        <v>157</v>
      </c>
      <c r="O3070" t="s">
        <v>43</v>
      </c>
      <c r="P3070" t="s">
        <v>30</v>
      </c>
      <c r="Q3070" t="s">
        <v>44</v>
      </c>
      <c r="R3070" s="3">
        <v>2522.40199999999</v>
      </c>
    </row>
    <row r="3071" spans="1:18" x14ac:dyDescent="0.3">
      <c r="A3071" t="s">
        <v>15786</v>
      </c>
      <c r="B3071" t="str">
        <f>TEXT(Raw_Data[[#This Row],[Order Date]],"mmm")</f>
        <v>Apr</v>
      </c>
      <c r="C3071" t="s">
        <v>1904</v>
      </c>
      <c r="D3071" t="s">
        <v>15787</v>
      </c>
      <c r="E3071" t="s">
        <v>48</v>
      </c>
      <c r="F3071" t="s">
        <v>106</v>
      </c>
      <c r="G3071" t="s">
        <v>163</v>
      </c>
      <c r="H3071" t="s">
        <v>80</v>
      </c>
      <c r="I3071" t="s">
        <v>131</v>
      </c>
      <c r="J3071" t="s">
        <v>50</v>
      </c>
      <c r="K3071" t="s">
        <v>15788</v>
      </c>
      <c r="L3071">
        <v>0.2</v>
      </c>
      <c r="M3071" t="s">
        <v>15789</v>
      </c>
      <c r="N3071" t="s">
        <v>15790</v>
      </c>
      <c r="O3071" t="s">
        <v>64</v>
      </c>
      <c r="P3071" t="s">
        <v>30</v>
      </c>
      <c r="Q3071" t="s">
        <v>31</v>
      </c>
      <c r="R3071" s="3">
        <v>5214.6080000000002</v>
      </c>
    </row>
    <row r="3072" spans="1:18" x14ac:dyDescent="0.3">
      <c r="A3072" t="s">
        <v>15791</v>
      </c>
      <c r="B3072" t="str">
        <f>TEXT(Raw_Data[[#This Row],[Order Date]],"mmm")</f>
        <v>Dec</v>
      </c>
      <c r="C3072" t="s">
        <v>1515</v>
      </c>
      <c r="D3072" t="s">
        <v>15792</v>
      </c>
      <c r="E3072" t="s">
        <v>20</v>
      </c>
      <c r="F3072" t="s">
        <v>78</v>
      </c>
      <c r="G3072" t="s">
        <v>79</v>
      </c>
      <c r="H3072" t="s">
        <v>23</v>
      </c>
      <c r="I3072" t="s">
        <v>263</v>
      </c>
      <c r="J3072" t="s">
        <v>25</v>
      </c>
      <c r="K3072" t="s">
        <v>15793</v>
      </c>
      <c r="L3072">
        <v>0.1</v>
      </c>
      <c r="M3072" t="s">
        <v>15794</v>
      </c>
      <c r="N3072" t="s">
        <v>15795</v>
      </c>
      <c r="O3072" t="s">
        <v>54</v>
      </c>
      <c r="P3072" t="s">
        <v>112</v>
      </c>
      <c r="Q3072" t="s">
        <v>65</v>
      </c>
      <c r="R3072" s="3">
        <v>47715.983999999997</v>
      </c>
    </row>
    <row r="3073" spans="1:18" x14ac:dyDescent="0.3">
      <c r="A3073" t="s">
        <v>15796</v>
      </c>
      <c r="B3073" t="str">
        <f>TEXT(Raw_Data[[#This Row],[Order Date]],"mmm")</f>
        <v>Dec</v>
      </c>
      <c r="C3073" t="s">
        <v>2558</v>
      </c>
      <c r="D3073" t="s">
        <v>15797</v>
      </c>
      <c r="E3073" t="s">
        <v>20</v>
      </c>
      <c r="F3073" t="s">
        <v>78</v>
      </c>
      <c r="G3073" t="s">
        <v>79</v>
      </c>
      <c r="H3073" t="s">
        <v>38</v>
      </c>
      <c r="I3073" t="s">
        <v>256</v>
      </c>
      <c r="J3073" t="s">
        <v>50</v>
      </c>
      <c r="K3073" t="s">
        <v>15798</v>
      </c>
      <c r="L3073">
        <v>0.15</v>
      </c>
      <c r="M3073" t="s">
        <v>15799</v>
      </c>
      <c r="N3073" t="s">
        <v>15800</v>
      </c>
      <c r="O3073" t="s">
        <v>64</v>
      </c>
      <c r="P3073" t="s">
        <v>30</v>
      </c>
      <c r="Q3073" t="s">
        <v>65</v>
      </c>
      <c r="R3073" s="3">
        <v>9783.8060000000005</v>
      </c>
    </row>
    <row r="3074" spans="1:18" x14ac:dyDescent="0.3">
      <c r="A3074" t="s">
        <v>15801</v>
      </c>
      <c r="B3074" t="str">
        <f>TEXT(Raw_Data[[#This Row],[Order Date]],"mmm")</f>
        <v>Feb</v>
      </c>
      <c r="C3074" t="s">
        <v>4453</v>
      </c>
      <c r="D3074" t="s">
        <v>15802</v>
      </c>
      <c r="E3074" t="s">
        <v>20</v>
      </c>
      <c r="F3074" t="s">
        <v>89</v>
      </c>
      <c r="G3074" t="s">
        <v>99</v>
      </c>
      <c r="H3074" t="s">
        <v>154</v>
      </c>
      <c r="I3074" t="s">
        <v>365</v>
      </c>
      <c r="J3074" t="s">
        <v>25</v>
      </c>
      <c r="K3074" t="s">
        <v>15803</v>
      </c>
      <c r="L3074">
        <v>0.1</v>
      </c>
      <c r="M3074" t="s">
        <v>15804</v>
      </c>
      <c r="N3074" t="s">
        <v>15805</v>
      </c>
      <c r="O3074" t="s">
        <v>54</v>
      </c>
      <c r="P3074" t="s">
        <v>30</v>
      </c>
      <c r="Q3074" t="s">
        <v>44</v>
      </c>
      <c r="R3074" s="3">
        <v>5011.4070000000002</v>
      </c>
    </row>
    <row r="3075" spans="1:18" x14ac:dyDescent="0.3">
      <c r="A3075" t="s">
        <v>15806</v>
      </c>
      <c r="B3075" t="str">
        <f>TEXT(Raw_Data[[#This Row],[Order Date]],"mmm")</f>
        <v>Jul</v>
      </c>
      <c r="C3075" t="s">
        <v>3916</v>
      </c>
      <c r="D3075" t="s">
        <v>15807</v>
      </c>
      <c r="E3075" t="s">
        <v>48</v>
      </c>
      <c r="F3075" t="s">
        <v>36</v>
      </c>
      <c r="G3075" t="s">
        <v>123</v>
      </c>
      <c r="H3075" t="s">
        <v>23</v>
      </c>
      <c r="I3075" t="s">
        <v>183</v>
      </c>
      <c r="J3075" t="s">
        <v>25</v>
      </c>
      <c r="K3075" t="s">
        <v>15808</v>
      </c>
      <c r="L3075">
        <v>0.1</v>
      </c>
      <c r="M3075" t="s">
        <v>15809</v>
      </c>
      <c r="N3075" t="s">
        <v>15810</v>
      </c>
      <c r="O3075" t="s">
        <v>43</v>
      </c>
      <c r="P3075" t="s">
        <v>30</v>
      </c>
      <c r="Q3075" t="s">
        <v>44</v>
      </c>
      <c r="R3075" s="3">
        <v>21214.197</v>
      </c>
    </row>
    <row r="3076" spans="1:18" x14ac:dyDescent="0.3">
      <c r="A3076" t="s">
        <v>15811</v>
      </c>
      <c r="B3076" t="str">
        <f>TEXT(Raw_Data[[#This Row],[Order Date]],"mmm")</f>
        <v>Oct</v>
      </c>
      <c r="C3076" t="s">
        <v>2052</v>
      </c>
      <c r="D3076" t="s">
        <v>15812</v>
      </c>
      <c r="E3076" t="s">
        <v>48</v>
      </c>
      <c r="F3076" t="s">
        <v>89</v>
      </c>
      <c r="G3076" t="s">
        <v>230</v>
      </c>
      <c r="H3076" t="s">
        <v>154</v>
      </c>
      <c r="I3076" t="s">
        <v>155</v>
      </c>
      <c r="J3076" t="s">
        <v>100</v>
      </c>
      <c r="K3076" t="s">
        <v>15813</v>
      </c>
      <c r="L3076">
        <v>0.1</v>
      </c>
      <c r="M3076" t="s">
        <v>15814</v>
      </c>
      <c r="N3076" t="s">
        <v>15815</v>
      </c>
      <c r="O3076" t="s">
        <v>64</v>
      </c>
      <c r="P3076" t="s">
        <v>30</v>
      </c>
      <c r="Q3076" t="s">
        <v>65</v>
      </c>
      <c r="R3076" s="3">
        <v>30259.871999999999</v>
      </c>
    </row>
    <row r="3077" spans="1:18" x14ac:dyDescent="0.3">
      <c r="A3077" t="s">
        <v>15816</v>
      </c>
      <c r="B3077" t="str">
        <f>TEXT(Raw_Data[[#This Row],[Order Date]],"mmm")</f>
        <v>Dec</v>
      </c>
      <c r="C3077" t="s">
        <v>3862</v>
      </c>
      <c r="D3077" t="s">
        <v>15817</v>
      </c>
      <c r="E3077" t="s">
        <v>48</v>
      </c>
      <c r="F3077" t="s">
        <v>69</v>
      </c>
      <c r="G3077" t="s">
        <v>70</v>
      </c>
      <c r="H3077" t="s">
        <v>154</v>
      </c>
      <c r="I3077" t="s">
        <v>155</v>
      </c>
      <c r="J3077" t="s">
        <v>25</v>
      </c>
      <c r="K3077" t="s">
        <v>15818</v>
      </c>
      <c r="L3077">
        <v>0.2</v>
      </c>
      <c r="M3077" t="s">
        <v>15819</v>
      </c>
      <c r="N3077" t="s">
        <v>15820</v>
      </c>
      <c r="O3077" t="s">
        <v>54</v>
      </c>
      <c r="P3077" t="s">
        <v>30</v>
      </c>
      <c r="Q3077" t="s">
        <v>44</v>
      </c>
      <c r="R3077" s="3">
        <v>987.30399999999997</v>
      </c>
    </row>
    <row r="3078" spans="1:18" x14ac:dyDescent="0.3">
      <c r="A3078" t="s">
        <v>15821</v>
      </c>
      <c r="B3078" t="str">
        <f>TEXT(Raw_Data[[#This Row],[Order Date]],"mmm")</f>
        <v>Jun</v>
      </c>
      <c r="C3078" t="s">
        <v>181</v>
      </c>
      <c r="D3078" t="s">
        <v>15822</v>
      </c>
      <c r="E3078" t="s">
        <v>35</v>
      </c>
      <c r="F3078" t="s">
        <v>21</v>
      </c>
      <c r="G3078" t="s">
        <v>130</v>
      </c>
      <c r="H3078" t="s">
        <v>23</v>
      </c>
      <c r="I3078" t="s">
        <v>183</v>
      </c>
      <c r="J3078" t="s">
        <v>50</v>
      </c>
      <c r="K3078" t="s">
        <v>15823</v>
      </c>
      <c r="L3078">
        <v>0.1</v>
      </c>
      <c r="M3078" t="s">
        <v>15824</v>
      </c>
      <c r="N3078" t="s">
        <v>15825</v>
      </c>
      <c r="O3078" t="s">
        <v>64</v>
      </c>
      <c r="P3078" t="s">
        <v>30</v>
      </c>
      <c r="Q3078" t="s">
        <v>44</v>
      </c>
      <c r="R3078" s="3">
        <v>60152.148000000001</v>
      </c>
    </row>
    <row r="3079" spans="1:18" x14ac:dyDescent="0.3">
      <c r="A3079" t="s">
        <v>15826</v>
      </c>
      <c r="B3079" t="str">
        <f>TEXT(Raw_Data[[#This Row],[Order Date]],"mmm")</f>
        <v>Feb</v>
      </c>
      <c r="C3079" t="s">
        <v>1336</v>
      </c>
      <c r="D3079" t="s">
        <v>15827</v>
      </c>
      <c r="E3079" t="s">
        <v>20</v>
      </c>
      <c r="F3079" t="s">
        <v>215</v>
      </c>
      <c r="G3079" t="s">
        <v>276</v>
      </c>
      <c r="H3079" t="s">
        <v>80</v>
      </c>
      <c r="I3079" t="s">
        <v>81</v>
      </c>
      <c r="J3079" t="s">
        <v>25</v>
      </c>
      <c r="K3079" t="s">
        <v>15828</v>
      </c>
      <c r="L3079">
        <v>0.1</v>
      </c>
      <c r="M3079" t="s">
        <v>15829</v>
      </c>
      <c r="N3079" t="s">
        <v>15830</v>
      </c>
      <c r="O3079" t="s">
        <v>29</v>
      </c>
      <c r="P3079" t="s">
        <v>30</v>
      </c>
      <c r="Q3079" t="s">
        <v>31</v>
      </c>
      <c r="R3079" s="3">
        <v>1851.894</v>
      </c>
    </row>
    <row r="3080" spans="1:18" x14ac:dyDescent="0.3">
      <c r="A3080" t="s">
        <v>15831</v>
      </c>
      <c r="B3080" t="str">
        <f>TEXT(Raw_Data[[#This Row],[Order Date]],"mmm")</f>
        <v>Dec</v>
      </c>
      <c r="C3080" t="s">
        <v>3003</v>
      </c>
      <c r="D3080" t="s">
        <v>15832</v>
      </c>
      <c r="E3080" t="s">
        <v>48</v>
      </c>
      <c r="F3080" t="s">
        <v>215</v>
      </c>
      <c r="G3080" t="s">
        <v>276</v>
      </c>
      <c r="H3080" t="s">
        <v>23</v>
      </c>
      <c r="I3080" t="s">
        <v>183</v>
      </c>
      <c r="J3080" t="s">
        <v>100</v>
      </c>
      <c r="K3080" t="s">
        <v>15833</v>
      </c>
      <c r="L3080">
        <v>0.15</v>
      </c>
      <c r="M3080" t="s">
        <v>15834</v>
      </c>
      <c r="N3080" t="s">
        <v>15835</v>
      </c>
      <c r="O3080" t="s">
        <v>29</v>
      </c>
      <c r="P3080" t="s">
        <v>30</v>
      </c>
      <c r="Q3080" t="s">
        <v>65</v>
      </c>
      <c r="R3080" s="3">
        <v>35539.069499999998</v>
      </c>
    </row>
    <row r="3081" spans="1:18" x14ac:dyDescent="0.3">
      <c r="A3081" t="s">
        <v>15836</v>
      </c>
      <c r="B3081" t="str">
        <f>TEXT(Raw_Data[[#This Row],[Order Date]],"mmm")</f>
        <v>Dec</v>
      </c>
      <c r="C3081" t="s">
        <v>1819</v>
      </c>
      <c r="D3081" t="s">
        <v>15837</v>
      </c>
      <c r="E3081" t="s">
        <v>35</v>
      </c>
      <c r="F3081" t="s">
        <v>36</v>
      </c>
      <c r="G3081" t="s">
        <v>196</v>
      </c>
      <c r="H3081" t="s">
        <v>154</v>
      </c>
      <c r="I3081" t="s">
        <v>237</v>
      </c>
      <c r="J3081" t="s">
        <v>25</v>
      </c>
      <c r="K3081" t="s">
        <v>15838</v>
      </c>
      <c r="L3081">
        <v>0</v>
      </c>
      <c r="M3081" t="s">
        <v>15839</v>
      </c>
      <c r="N3081" t="s">
        <v>15840</v>
      </c>
      <c r="O3081" t="s">
        <v>29</v>
      </c>
      <c r="P3081" t="s">
        <v>30</v>
      </c>
      <c r="Q3081" t="s">
        <v>44</v>
      </c>
      <c r="R3081" s="3">
        <v>11890.91</v>
      </c>
    </row>
    <row r="3082" spans="1:18" x14ac:dyDescent="0.3">
      <c r="A3082" t="s">
        <v>15841</v>
      </c>
      <c r="B3082" t="str">
        <f>TEXT(Raw_Data[[#This Row],[Order Date]],"mmm")</f>
        <v>Nov</v>
      </c>
      <c r="C3082" t="s">
        <v>1122</v>
      </c>
      <c r="D3082" t="s">
        <v>15842</v>
      </c>
      <c r="E3082" t="s">
        <v>20</v>
      </c>
      <c r="F3082" t="s">
        <v>58</v>
      </c>
      <c r="G3082" t="s">
        <v>59</v>
      </c>
      <c r="H3082" t="s">
        <v>107</v>
      </c>
      <c r="I3082" t="s">
        <v>469</v>
      </c>
      <c r="J3082" t="s">
        <v>50</v>
      </c>
      <c r="K3082" t="s">
        <v>15843</v>
      </c>
      <c r="L3082">
        <v>0.05</v>
      </c>
      <c r="M3082" t="s">
        <v>15844</v>
      </c>
      <c r="N3082" t="s">
        <v>15845</v>
      </c>
      <c r="O3082" t="s">
        <v>54</v>
      </c>
      <c r="P3082" t="s">
        <v>30</v>
      </c>
      <c r="Q3082" t="s">
        <v>31</v>
      </c>
      <c r="R3082" s="3">
        <v>6578.75</v>
      </c>
    </row>
    <row r="3083" spans="1:18" x14ac:dyDescent="0.3">
      <c r="A3083" t="s">
        <v>15846</v>
      </c>
      <c r="B3083" t="str">
        <f>TEXT(Raw_Data[[#This Row],[Order Date]],"mmm")</f>
        <v>Sep</v>
      </c>
      <c r="C3083" t="s">
        <v>401</v>
      </c>
      <c r="D3083" t="s">
        <v>15847</v>
      </c>
      <c r="E3083" t="s">
        <v>20</v>
      </c>
      <c r="F3083" t="s">
        <v>89</v>
      </c>
      <c r="G3083" t="s">
        <v>230</v>
      </c>
      <c r="H3083" t="s">
        <v>154</v>
      </c>
      <c r="I3083" t="s">
        <v>237</v>
      </c>
      <c r="J3083" t="s">
        <v>25</v>
      </c>
      <c r="K3083" t="s">
        <v>15848</v>
      </c>
      <c r="L3083">
        <v>0.2</v>
      </c>
      <c r="M3083" t="s">
        <v>15849</v>
      </c>
      <c r="N3083" t="s">
        <v>15850</v>
      </c>
      <c r="O3083" t="s">
        <v>43</v>
      </c>
      <c r="P3083" t="s">
        <v>30</v>
      </c>
      <c r="Q3083" t="s">
        <v>65</v>
      </c>
      <c r="R3083" s="3">
        <v>8904.5920000000006</v>
      </c>
    </row>
    <row r="3084" spans="1:18" x14ac:dyDescent="0.3">
      <c r="A3084" t="s">
        <v>15851</v>
      </c>
      <c r="B3084" t="str">
        <f>TEXT(Raw_Data[[#This Row],[Order Date]],"mmm")</f>
        <v>Jul</v>
      </c>
      <c r="C3084" t="s">
        <v>389</v>
      </c>
      <c r="D3084" t="s">
        <v>15852</v>
      </c>
      <c r="E3084" t="s">
        <v>48</v>
      </c>
      <c r="F3084" t="s">
        <v>106</v>
      </c>
      <c r="G3084" t="s">
        <v>106</v>
      </c>
      <c r="H3084" t="s">
        <v>38</v>
      </c>
      <c r="I3084" t="s">
        <v>256</v>
      </c>
      <c r="J3084" t="s">
        <v>25</v>
      </c>
      <c r="K3084" t="s">
        <v>15853</v>
      </c>
      <c r="L3084">
        <v>0</v>
      </c>
      <c r="M3084" t="s">
        <v>15854</v>
      </c>
      <c r="N3084" t="s">
        <v>15855</v>
      </c>
      <c r="O3084" t="s">
        <v>64</v>
      </c>
      <c r="P3084" t="s">
        <v>30</v>
      </c>
      <c r="Q3084" t="s">
        <v>44</v>
      </c>
      <c r="R3084" s="3">
        <v>5629.79</v>
      </c>
    </row>
    <row r="3085" spans="1:18" x14ac:dyDescent="0.3">
      <c r="A3085" t="s">
        <v>15856</v>
      </c>
      <c r="B3085" t="str">
        <f>TEXT(Raw_Data[[#This Row],[Order Date]],"mmm")</f>
        <v>Jun</v>
      </c>
      <c r="C3085" t="s">
        <v>2157</v>
      </c>
      <c r="D3085" t="s">
        <v>15857</v>
      </c>
      <c r="E3085" t="s">
        <v>20</v>
      </c>
      <c r="F3085" t="s">
        <v>106</v>
      </c>
      <c r="G3085" t="s">
        <v>106</v>
      </c>
      <c r="H3085" t="s">
        <v>80</v>
      </c>
      <c r="I3085" t="s">
        <v>131</v>
      </c>
      <c r="J3085" t="s">
        <v>25</v>
      </c>
      <c r="K3085" t="s">
        <v>15858</v>
      </c>
      <c r="L3085">
        <v>0.1</v>
      </c>
      <c r="M3085" t="s">
        <v>15859</v>
      </c>
      <c r="N3085" t="s">
        <v>15860</v>
      </c>
      <c r="O3085" t="s">
        <v>29</v>
      </c>
      <c r="P3085" t="s">
        <v>30</v>
      </c>
      <c r="Q3085" t="s">
        <v>44</v>
      </c>
      <c r="R3085" s="3">
        <v>1638.585</v>
      </c>
    </row>
    <row r="3086" spans="1:18" x14ac:dyDescent="0.3">
      <c r="A3086" t="s">
        <v>15861</v>
      </c>
      <c r="B3086" t="str">
        <f>TEXT(Raw_Data[[#This Row],[Order Date]],"mmm")</f>
        <v>Feb</v>
      </c>
      <c r="C3086" t="s">
        <v>2133</v>
      </c>
      <c r="D3086" t="s">
        <v>15862</v>
      </c>
      <c r="E3086" t="s">
        <v>35</v>
      </c>
      <c r="F3086" t="s">
        <v>36</v>
      </c>
      <c r="G3086" t="s">
        <v>37</v>
      </c>
      <c r="H3086" t="s">
        <v>23</v>
      </c>
      <c r="I3086" t="s">
        <v>49</v>
      </c>
      <c r="J3086" t="s">
        <v>25</v>
      </c>
      <c r="K3086" t="s">
        <v>15863</v>
      </c>
      <c r="L3086">
        <v>0.1</v>
      </c>
      <c r="M3086" t="s">
        <v>15864</v>
      </c>
      <c r="N3086" t="s">
        <v>15865</v>
      </c>
      <c r="O3086" t="s">
        <v>29</v>
      </c>
      <c r="P3086" t="s">
        <v>30</v>
      </c>
      <c r="Q3086" t="s">
        <v>31</v>
      </c>
      <c r="R3086" s="3">
        <v>15726.843000000001</v>
      </c>
    </row>
    <row r="3087" spans="1:18" x14ac:dyDescent="0.3">
      <c r="A3087" t="s">
        <v>15866</v>
      </c>
      <c r="B3087" t="str">
        <f>TEXT(Raw_Data[[#This Row],[Order Date]],"mmm")</f>
        <v>Jun</v>
      </c>
      <c r="C3087" t="s">
        <v>1047</v>
      </c>
      <c r="D3087" t="s">
        <v>15867</v>
      </c>
      <c r="E3087" t="s">
        <v>20</v>
      </c>
      <c r="F3087" t="s">
        <v>58</v>
      </c>
      <c r="G3087" t="s">
        <v>290</v>
      </c>
      <c r="H3087" t="s">
        <v>107</v>
      </c>
      <c r="I3087" t="s">
        <v>378</v>
      </c>
      <c r="J3087" t="s">
        <v>25</v>
      </c>
      <c r="K3087" t="s">
        <v>15868</v>
      </c>
      <c r="L3087">
        <v>0.2</v>
      </c>
      <c r="M3087" t="s">
        <v>15869</v>
      </c>
      <c r="N3087" t="s">
        <v>15870</v>
      </c>
      <c r="O3087" t="s">
        <v>29</v>
      </c>
      <c r="P3087" t="s">
        <v>30</v>
      </c>
      <c r="Q3087" t="s">
        <v>65</v>
      </c>
      <c r="R3087" s="3">
        <v>4737.8</v>
      </c>
    </row>
    <row r="3088" spans="1:18" x14ac:dyDescent="0.3">
      <c r="A3088" t="s">
        <v>15871</v>
      </c>
      <c r="B3088" t="str">
        <f>TEXT(Raw_Data[[#This Row],[Order Date]],"mmm")</f>
        <v>Mar</v>
      </c>
      <c r="C3088" t="s">
        <v>1128</v>
      </c>
      <c r="D3088" t="s">
        <v>15872</v>
      </c>
      <c r="E3088" t="s">
        <v>20</v>
      </c>
      <c r="F3088" t="s">
        <v>89</v>
      </c>
      <c r="G3088" t="s">
        <v>230</v>
      </c>
      <c r="H3088" t="s">
        <v>80</v>
      </c>
      <c r="I3088" t="s">
        <v>146</v>
      </c>
      <c r="J3088" t="s">
        <v>50</v>
      </c>
      <c r="K3088" t="s">
        <v>15873</v>
      </c>
      <c r="L3088">
        <v>0.05</v>
      </c>
      <c r="M3088" t="s">
        <v>15874</v>
      </c>
      <c r="N3088" t="s">
        <v>15875</v>
      </c>
      <c r="O3088" t="s">
        <v>54</v>
      </c>
      <c r="P3088" t="s">
        <v>30</v>
      </c>
      <c r="Q3088" t="s">
        <v>65</v>
      </c>
      <c r="R3088" s="3">
        <v>6608.77</v>
      </c>
    </row>
    <row r="3089" spans="1:18" x14ac:dyDescent="0.3">
      <c r="A3089" t="s">
        <v>15876</v>
      </c>
      <c r="B3089" t="str">
        <f>TEXT(Raw_Data[[#This Row],[Order Date]],"mmm")</f>
        <v>Feb</v>
      </c>
      <c r="C3089" t="s">
        <v>1087</v>
      </c>
      <c r="D3089" t="s">
        <v>15877</v>
      </c>
      <c r="E3089" t="s">
        <v>48</v>
      </c>
      <c r="F3089" t="s">
        <v>21</v>
      </c>
      <c r="G3089" t="s">
        <v>130</v>
      </c>
      <c r="H3089" t="s">
        <v>80</v>
      </c>
      <c r="I3089" t="s">
        <v>146</v>
      </c>
      <c r="J3089" t="s">
        <v>82</v>
      </c>
      <c r="K3089" t="s">
        <v>15878</v>
      </c>
      <c r="L3089">
        <v>0.15</v>
      </c>
      <c r="M3089" t="s">
        <v>15879</v>
      </c>
      <c r="N3089" t="s">
        <v>15880</v>
      </c>
      <c r="O3089" t="s">
        <v>64</v>
      </c>
      <c r="P3089" t="s">
        <v>30</v>
      </c>
      <c r="Q3089" t="s">
        <v>65</v>
      </c>
      <c r="R3089" s="3">
        <v>8644.3979999999992</v>
      </c>
    </row>
    <row r="3090" spans="1:18" x14ac:dyDescent="0.3">
      <c r="A3090" t="s">
        <v>15881</v>
      </c>
      <c r="B3090" t="str">
        <f>TEXT(Raw_Data[[#This Row],[Order Date]],"mmm")</f>
        <v>Apr</v>
      </c>
      <c r="C3090" t="s">
        <v>1686</v>
      </c>
      <c r="D3090" t="s">
        <v>15882</v>
      </c>
      <c r="E3090" t="s">
        <v>35</v>
      </c>
      <c r="F3090" t="s">
        <v>215</v>
      </c>
      <c r="G3090" t="s">
        <v>216</v>
      </c>
      <c r="H3090" t="s">
        <v>23</v>
      </c>
      <c r="I3090" t="s">
        <v>341</v>
      </c>
      <c r="J3090" t="s">
        <v>50</v>
      </c>
      <c r="K3090" t="s">
        <v>15883</v>
      </c>
      <c r="L3090">
        <v>0.1</v>
      </c>
      <c r="M3090" t="s">
        <v>15884</v>
      </c>
      <c r="N3090" t="s">
        <v>15885</v>
      </c>
      <c r="O3090" t="s">
        <v>64</v>
      </c>
      <c r="P3090" t="s">
        <v>30</v>
      </c>
      <c r="Q3090" t="s">
        <v>44</v>
      </c>
      <c r="R3090" s="3">
        <v>81106.974000000002</v>
      </c>
    </row>
    <row r="3091" spans="1:18" x14ac:dyDescent="0.3">
      <c r="A3091" t="s">
        <v>15886</v>
      </c>
      <c r="B3091" t="str">
        <f>TEXT(Raw_Data[[#This Row],[Order Date]],"mmm")</f>
        <v>Mar</v>
      </c>
      <c r="C3091" t="s">
        <v>602</v>
      </c>
      <c r="D3091" t="s">
        <v>15887</v>
      </c>
      <c r="E3091" t="s">
        <v>48</v>
      </c>
      <c r="F3091" t="s">
        <v>36</v>
      </c>
      <c r="G3091" t="s">
        <v>37</v>
      </c>
      <c r="H3091" t="s">
        <v>154</v>
      </c>
      <c r="I3091" t="s">
        <v>365</v>
      </c>
      <c r="J3091" t="s">
        <v>25</v>
      </c>
      <c r="K3091" t="s">
        <v>15888</v>
      </c>
      <c r="L3091">
        <v>0</v>
      </c>
      <c r="M3091" t="s">
        <v>15889</v>
      </c>
      <c r="N3091" t="s">
        <v>15890</v>
      </c>
      <c r="O3091" t="s">
        <v>173</v>
      </c>
      <c r="P3091" t="s">
        <v>30</v>
      </c>
      <c r="Q3091" t="s">
        <v>65</v>
      </c>
      <c r="R3091" s="3">
        <v>5958.55</v>
      </c>
    </row>
    <row r="3092" spans="1:18" x14ac:dyDescent="0.3">
      <c r="A3092" t="s">
        <v>15891</v>
      </c>
      <c r="B3092" t="str">
        <f>TEXT(Raw_Data[[#This Row],[Order Date]],"mmm")</f>
        <v>Oct</v>
      </c>
      <c r="C3092" t="s">
        <v>1076</v>
      </c>
      <c r="D3092" t="s">
        <v>15892</v>
      </c>
      <c r="E3092" t="s">
        <v>35</v>
      </c>
      <c r="F3092" t="s">
        <v>89</v>
      </c>
      <c r="G3092" t="s">
        <v>230</v>
      </c>
      <c r="H3092" t="s">
        <v>80</v>
      </c>
      <c r="I3092" t="s">
        <v>116</v>
      </c>
      <c r="J3092" t="s">
        <v>25</v>
      </c>
      <c r="K3092" t="s">
        <v>15893</v>
      </c>
      <c r="L3092">
        <v>0.1</v>
      </c>
      <c r="M3092" t="s">
        <v>15894</v>
      </c>
      <c r="N3092" t="s">
        <v>15895</v>
      </c>
      <c r="O3092" t="s">
        <v>43</v>
      </c>
      <c r="P3092" t="s">
        <v>30</v>
      </c>
      <c r="Q3092" t="s">
        <v>44</v>
      </c>
      <c r="R3092" s="3">
        <v>1359.6210000000001</v>
      </c>
    </row>
    <row r="3093" spans="1:18" x14ac:dyDescent="0.3">
      <c r="A3093" t="s">
        <v>15896</v>
      </c>
      <c r="B3093" t="str">
        <f>TEXT(Raw_Data[[#This Row],[Order Date]],"mmm")</f>
        <v>Dec</v>
      </c>
      <c r="C3093" t="s">
        <v>1003</v>
      </c>
      <c r="D3093" t="s">
        <v>15897</v>
      </c>
      <c r="E3093" t="s">
        <v>35</v>
      </c>
      <c r="F3093" t="s">
        <v>69</v>
      </c>
      <c r="G3093" t="s">
        <v>70</v>
      </c>
      <c r="H3093" t="s">
        <v>23</v>
      </c>
      <c r="I3093" t="s">
        <v>49</v>
      </c>
      <c r="J3093" t="s">
        <v>82</v>
      </c>
      <c r="K3093" t="s">
        <v>15898</v>
      </c>
      <c r="L3093">
        <v>0.1</v>
      </c>
      <c r="M3093" t="s">
        <v>15899</v>
      </c>
      <c r="N3093" t="s">
        <v>15900</v>
      </c>
      <c r="O3093" t="s">
        <v>54</v>
      </c>
      <c r="P3093" t="s">
        <v>30</v>
      </c>
      <c r="Q3093" t="s">
        <v>44</v>
      </c>
      <c r="R3093" s="3">
        <v>191134.11600000001</v>
      </c>
    </row>
    <row r="3094" spans="1:18" x14ac:dyDescent="0.3">
      <c r="A3094" t="s">
        <v>15901</v>
      </c>
      <c r="B3094" t="str">
        <f>TEXT(Raw_Data[[#This Row],[Order Date]],"mmm")</f>
        <v>Mar</v>
      </c>
      <c r="C3094" t="s">
        <v>194</v>
      </c>
      <c r="D3094" t="s">
        <v>15902</v>
      </c>
      <c r="E3094" t="s">
        <v>48</v>
      </c>
      <c r="F3094" t="s">
        <v>69</v>
      </c>
      <c r="G3094" t="s">
        <v>328</v>
      </c>
      <c r="H3094" t="s">
        <v>23</v>
      </c>
      <c r="I3094" t="s">
        <v>183</v>
      </c>
      <c r="J3094" t="s">
        <v>100</v>
      </c>
      <c r="K3094" t="s">
        <v>15903</v>
      </c>
      <c r="L3094">
        <v>0.1</v>
      </c>
      <c r="M3094" t="s">
        <v>15904</v>
      </c>
      <c r="N3094" t="s">
        <v>15905</v>
      </c>
      <c r="O3094" t="s">
        <v>29</v>
      </c>
      <c r="P3094" t="s">
        <v>30</v>
      </c>
      <c r="Q3094" t="s">
        <v>31</v>
      </c>
      <c r="R3094" s="3">
        <v>111044.196</v>
      </c>
    </row>
    <row r="3095" spans="1:18" x14ac:dyDescent="0.3">
      <c r="A3095" t="s">
        <v>15906</v>
      </c>
      <c r="B3095" t="str">
        <f>TEXT(Raw_Data[[#This Row],[Order Date]],"mmm")</f>
        <v>Aug</v>
      </c>
      <c r="C3095" t="s">
        <v>4824</v>
      </c>
      <c r="D3095" t="s">
        <v>15907</v>
      </c>
      <c r="E3095" t="s">
        <v>48</v>
      </c>
      <c r="F3095" t="s">
        <v>58</v>
      </c>
      <c r="G3095" t="s">
        <v>59</v>
      </c>
      <c r="H3095" t="s">
        <v>23</v>
      </c>
      <c r="I3095" t="s">
        <v>49</v>
      </c>
      <c r="J3095" t="s">
        <v>25</v>
      </c>
      <c r="K3095" t="s">
        <v>15908</v>
      </c>
      <c r="L3095">
        <v>0.05</v>
      </c>
      <c r="M3095" t="s">
        <v>15909</v>
      </c>
      <c r="N3095" t="s">
        <v>15910</v>
      </c>
      <c r="O3095" t="s">
        <v>54</v>
      </c>
      <c r="P3095" t="s">
        <v>30</v>
      </c>
      <c r="Q3095" t="s">
        <v>31</v>
      </c>
      <c r="R3095" s="3">
        <v>28904.101499999899</v>
      </c>
    </row>
    <row r="3096" spans="1:18" x14ac:dyDescent="0.3">
      <c r="A3096" t="s">
        <v>15911</v>
      </c>
      <c r="B3096" t="str">
        <f>TEXT(Raw_Data[[#This Row],[Order Date]],"mmm")</f>
        <v>Aug</v>
      </c>
      <c r="C3096" t="s">
        <v>971</v>
      </c>
      <c r="D3096" t="s">
        <v>15912</v>
      </c>
      <c r="E3096" t="s">
        <v>48</v>
      </c>
      <c r="F3096" t="s">
        <v>58</v>
      </c>
      <c r="G3096" t="s">
        <v>812</v>
      </c>
      <c r="H3096" t="s">
        <v>23</v>
      </c>
      <c r="I3096" t="s">
        <v>341</v>
      </c>
      <c r="J3096" t="s">
        <v>25</v>
      </c>
      <c r="K3096" t="s">
        <v>15913</v>
      </c>
      <c r="L3096">
        <v>0.1</v>
      </c>
      <c r="M3096" t="s">
        <v>15914</v>
      </c>
      <c r="N3096" t="s">
        <v>15915</v>
      </c>
      <c r="O3096" t="s">
        <v>29</v>
      </c>
      <c r="P3096" t="s">
        <v>30</v>
      </c>
      <c r="Q3096" t="s">
        <v>65</v>
      </c>
      <c r="R3096" s="3">
        <v>23001.345000000001</v>
      </c>
    </row>
    <row r="3097" spans="1:18" x14ac:dyDescent="0.3">
      <c r="A3097" t="s">
        <v>15916</v>
      </c>
      <c r="B3097" t="str">
        <f>TEXT(Raw_Data[[#This Row],[Order Date]],"mmm")</f>
        <v>Jun</v>
      </c>
      <c r="C3097" t="s">
        <v>2378</v>
      </c>
      <c r="D3097" t="s">
        <v>15917</v>
      </c>
      <c r="E3097" t="s">
        <v>35</v>
      </c>
      <c r="F3097" t="s">
        <v>78</v>
      </c>
      <c r="G3097" t="s">
        <v>468</v>
      </c>
      <c r="H3097" t="s">
        <v>23</v>
      </c>
      <c r="I3097" t="s">
        <v>183</v>
      </c>
      <c r="J3097" t="s">
        <v>25</v>
      </c>
      <c r="K3097" t="s">
        <v>15918</v>
      </c>
      <c r="L3097">
        <v>0.1</v>
      </c>
      <c r="M3097" t="s">
        <v>15919</v>
      </c>
      <c r="N3097" t="s">
        <v>15920</v>
      </c>
      <c r="O3097" t="s">
        <v>29</v>
      </c>
      <c r="P3097" t="s">
        <v>30</v>
      </c>
      <c r="Q3097" t="s">
        <v>44</v>
      </c>
      <c r="R3097" s="3">
        <v>39817.845000000001</v>
      </c>
    </row>
    <row r="3098" spans="1:18" x14ac:dyDescent="0.3">
      <c r="A3098" t="s">
        <v>15921</v>
      </c>
      <c r="B3098" t="str">
        <f>TEXT(Raw_Data[[#This Row],[Order Date]],"mmm")</f>
        <v>Sep</v>
      </c>
      <c r="C3098" t="s">
        <v>76</v>
      </c>
      <c r="D3098" t="s">
        <v>15922</v>
      </c>
      <c r="E3098" t="s">
        <v>35</v>
      </c>
      <c r="F3098" t="s">
        <v>106</v>
      </c>
      <c r="G3098" t="s">
        <v>106</v>
      </c>
      <c r="H3098" t="s">
        <v>107</v>
      </c>
      <c r="I3098" t="s">
        <v>469</v>
      </c>
      <c r="J3098" t="s">
        <v>25</v>
      </c>
      <c r="K3098" t="s">
        <v>15923</v>
      </c>
      <c r="L3098">
        <v>0.05</v>
      </c>
      <c r="M3098" t="s">
        <v>15924</v>
      </c>
      <c r="N3098" t="s">
        <v>15925</v>
      </c>
      <c r="O3098" t="s">
        <v>173</v>
      </c>
      <c r="P3098" t="s">
        <v>30</v>
      </c>
      <c r="Q3098" t="s">
        <v>31</v>
      </c>
      <c r="R3098" s="3">
        <v>9224.6139999999996</v>
      </c>
    </row>
    <row r="3099" spans="1:18" x14ac:dyDescent="0.3">
      <c r="A3099" t="s">
        <v>15926</v>
      </c>
      <c r="B3099" t="str">
        <f>TEXT(Raw_Data[[#This Row],[Order Date]],"mmm")</f>
        <v>Oct</v>
      </c>
      <c r="C3099" t="s">
        <v>1227</v>
      </c>
      <c r="D3099" t="s">
        <v>15927</v>
      </c>
      <c r="E3099" t="s">
        <v>48</v>
      </c>
      <c r="F3099" t="s">
        <v>58</v>
      </c>
      <c r="G3099" t="s">
        <v>290</v>
      </c>
      <c r="H3099" t="s">
        <v>107</v>
      </c>
      <c r="I3099" t="s">
        <v>378</v>
      </c>
      <c r="J3099" t="s">
        <v>100</v>
      </c>
      <c r="K3099" t="s">
        <v>15928</v>
      </c>
      <c r="L3099">
        <v>0.15</v>
      </c>
      <c r="M3099" t="s">
        <v>15929</v>
      </c>
      <c r="N3099" t="s">
        <v>15930</v>
      </c>
      <c r="O3099" t="s">
        <v>29</v>
      </c>
      <c r="P3099" t="s">
        <v>30</v>
      </c>
      <c r="Q3099" t="s">
        <v>65</v>
      </c>
      <c r="R3099" s="3">
        <v>37300.991999999998</v>
      </c>
    </row>
    <row r="3100" spans="1:18" x14ac:dyDescent="0.3">
      <c r="A3100" t="s">
        <v>15931</v>
      </c>
      <c r="B3100" t="str">
        <f>TEXT(Raw_Data[[#This Row],[Order Date]],"mmm")</f>
        <v>May</v>
      </c>
      <c r="C3100" t="s">
        <v>1420</v>
      </c>
      <c r="D3100" t="s">
        <v>15932</v>
      </c>
      <c r="E3100" t="s">
        <v>48</v>
      </c>
      <c r="F3100" t="s">
        <v>58</v>
      </c>
      <c r="G3100" t="s">
        <v>59</v>
      </c>
      <c r="H3100" t="s">
        <v>80</v>
      </c>
      <c r="I3100" t="s">
        <v>146</v>
      </c>
      <c r="J3100" t="s">
        <v>50</v>
      </c>
      <c r="K3100" t="s">
        <v>15933</v>
      </c>
      <c r="L3100">
        <v>0.1</v>
      </c>
      <c r="M3100" t="s">
        <v>15934</v>
      </c>
      <c r="N3100" t="s">
        <v>15935</v>
      </c>
      <c r="O3100" t="s">
        <v>29</v>
      </c>
      <c r="P3100" t="s">
        <v>95</v>
      </c>
      <c r="Q3100" t="s">
        <v>65</v>
      </c>
      <c r="R3100" s="3">
        <v>2550.2399999999998</v>
      </c>
    </row>
    <row r="3101" spans="1:18" x14ac:dyDescent="0.3">
      <c r="A3101" t="s">
        <v>15936</v>
      </c>
      <c r="B3101" t="str">
        <f>TEXT(Raw_Data[[#This Row],[Order Date]],"mmm")</f>
        <v>Nov</v>
      </c>
      <c r="C3101" t="s">
        <v>8567</v>
      </c>
      <c r="D3101" t="s">
        <v>15937</v>
      </c>
      <c r="E3101" t="s">
        <v>35</v>
      </c>
      <c r="F3101" t="s">
        <v>215</v>
      </c>
      <c r="G3101" t="s">
        <v>276</v>
      </c>
      <c r="H3101" t="s">
        <v>107</v>
      </c>
      <c r="I3101" t="s">
        <v>108</v>
      </c>
      <c r="J3101" t="s">
        <v>100</v>
      </c>
      <c r="K3101" t="s">
        <v>15938</v>
      </c>
      <c r="L3101">
        <v>0.05</v>
      </c>
      <c r="M3101" t="s">
        <v>15939</v>
      </c>
      <c r="N3101" t="s">
        <v>15940</v>
      </c>
      <c r="O3101" t="s">
        <v>29</v>
      </c>
      <c r="P3101" t="s">
        <v>30</v>
      </c>
      <c r="Q3101" t="s">
        <v>44</v>
      </c>
      <c r="R3101" s="3">
        <v>37392.370499999997</v>
      </c>
    </row>
    <row r="3102" spans="1:18" x14ac:dyDescent="0.3">
      <c r="A3102" t="s">
        <v>15941</v>
      </c>
      <c r="B3102" t="str">
        <f>TEXT(Raw_Data[[#This Row],[Order Date]],"mmm")</f>
        <v>Sep</v>
      </c>
      <c r="C3102" t="s">
        <v>5944</v>
      </c>
      <c r="D3102" t="s">
        <v>15942</v>
      </c>
      <c r="E3102" t="s">
        <v>20</v>
      </c>
      <c r="F3102" t="s">
        <v>58</v>
      </c>
      <c r="G3102" t="s">
        <v>59</v>
      </c>
      <c r="H3102" t="s">
        <v>154</v>
      </c>
      <c r="I3102" t="s">
        <v>237</v>
      </c>
      <c r="J3102" t="s">
        <v>50</v>
      </c>
      <c r="K3102" t="s">
        <v>15943</v>
      </c>
      <c r="L3102">
        <v>0.15</v>
      </c>
      <c r="M3102" t="s">
        <v>15944</v>
      </c>
      <c r="N3102" t="s">
        <v>15945</v>
      </c>
      <c r="O3102" t="s">
        <v>54</v>
      </c>
      <c r="P3102" t="s">
        <v>30</v>
      </c>
      <c r="Q3102" t="s">
        <v>44</v>
      </c>
      <c r="R3102" s="3">
        <v>12515.502</v>
      </c>
    </row>
    <row r="3103" spans="1:18" x14ac:dyDescent="0.3">
      <c r="A3103" t="s">
        <v>15946</v>
      </c>
      <c r="B3103" t="str">
        <f>TEXT(Raw_Data[[#This Row],[Order Date]],"mmm")</f>
        <v>Feb</v>
      </c>
      <c r="C3103" t="s">
        <v>1336</v>
      </c>
      <c r="D3103" t="s">
        <v>15947</v>
      </c>
      <c r="E3103" t="s">
        <v>35</v>
      </c>
      <c r="F3103" t="s">
        <v>215</v>
      </c>
      <c r="G3103" t="s">
        <v>276</v>
      </c>
      <c r="H3103" t="s">
        <v>80</v>
      </c>
      <c r="I3103" t="s">
        <v>81</v>
      </c>
      <c r="J3103" t="s">
        <v>25</v>
      </c>
      <c r="K3103" t="s">
        <v>15948</v>
      </c>
      <c r="L3103">
        <v>0.05</v>
      </c>
      <c r="M3103" t="s">
        <v>15949</v>
      </c>
      <c r="N3103" t="s">
        <v>15950</v>
      </c>
      <c r="O3103" t="s">
        <v>64</v>
      </c>
      <c r="P3103" t="s">
        <v>95</v>
      </c>
      <c r="Q3103" t="s">
        <v>44</v>
      </c>
      <c r="R3103" s="3">
        <v>3062.9234999999999</v>
      </c>
    </row>
    <row r="3104" spans="1:18" x14ac:dyDescent="0.3">
      <c r="A3104" t="s">
        <v>15951</v>
      </c>
      <c r="B3104" t="str">
        <f>TEXT(Raw_Data[[#This Row],[Order Date]],"mmm")</f>
        <v>Jul</v>
      </c>
      <c r="C3104" t="s">
        <v>522</v>
      </c>
      <c r="D3104" t="s">
        <v>15952</v>
      </c>
      <c r="E3104" t="s">
        <v>48</v>
      </c>
      <c r="F3104" t="s">
        <v>215</v>
      </c>
      <c r="G3104" t="s">
        <v>216</v>
      </c>
      <c r="H3104" t="s">
        <v>23</v>
      </c>
      <c r="I3104" t="s">
        <v>183</v>
      </c>
      <c r="J3104" t="s">
        <v>50</v>
      </c>
      <c r="K3104" t="s">
        <v>15953</v>
      </c>
      <c r="L3104">
        <v>0.05</v>
      </c>
      <c r="M3104" t="s">
        <v>15954</v>
      </c>
      <c r="N3104" t="s">
        <v>15955</v>
      </c>
      <c r="O3104" t="s">
        <v>43</v>
      </c>
      <c r="P3104" t="s">
        <v>30</v>
      </c>
      <c r="Q3104" t="s">
        <v>65</v>
      </c>
      <c r="R3104" s="3">
        <v>59780.383999999998</v>
      </c>
    </row>
    <row r="3105" spans="1:18" x14ac:dyDescent="0.3">
      <c r="A3105" t="s">
        <v>15956</v>
      </c>
      <c r="B3105" t="str">
        <f>TEXT(Raw_Data[[#This Row],[Order Date]],"mmm")</f>
        <v>Dec</v>
      </c>
      <c r="C3105" t="s">
        <v>646</v>
      </c>
      <c r="D3105" t="s">
        <v>15957</v>
      </c>
      <c r="E3105" t="s">
        <v>35</v>
      </c>
      <c r="F3105" t="s">
        <v>21</v>
      </c>
      <c r="G3105" t="s">
        <v>130</v>
      </c>
      <c r="H3105" t="s">
        <v>107</v>
      </c>
      <c r="I3105" t="s">
        <v>277</v>
      </c>
      <c r="J3105" t="s">
        <v>50</v>
      </c>
      <c r="K3105" t="s">
        <v>15958</v>
      </c>
      <c r="L3105">
        <v>0.05</v>
      </c>
      <c r="M3105" t="s">
        <v>15959</v>
      </c>
      <c r="N3105" t="s">
        <v>15960</v>
      </c>
      <c r="O3105" t="s">
        <v>54</v>
      </c>
      <c r="P3105" t="s">
        <v>30</v>
      </c>
      <c r="Q3105" t="s">
        <v>65</v>
      </c>
      <c r="R3105" s="3">
        <v>34000.993999999999</v>
      </c>
    </row>
    <row r="3106" spans="1:18" x14ac:dyDescent="0.3">
      <c r="A3106" t="s">
        <v>15961</v>
      </c>
      <c r="B3106" t="str">
        <f>TEXT(Raw_Data[[#This Row],[Order Date]],"mmm")</f>
        <v>Feb</v>
      </c>
      <c r="C3106" t="s">
        <v>2361</v>
      </c>
      <c r="D3106" t="s">
        <v>15962</v>
      </c>
      <c r="E3106" t="s">
        <v>48</v>
      </c>
      <c r="F3106" t="s">
        <v>215</v>
      </c>
      <c r="G3106" t="s">
        <v>216</v>
      </c>
      <c r="H3106" t="s">
        <v>80</v>
      </c>
      <c r="I3106" t="s">
        <v>116</v>
      </c>
      <c r="J3106" t="s">
        <v>25</v>
      </c>
      <c r="K3106" t="s">
        <v>15963</v>
      </c>
      <c r="L3106">
        <v>0</v>
      </c>
      <c r="M3106" t="s">
        <v>15964</v>
      </c>
      <c r="N3106" t="s">
        <v>15965</v>
      </c>
      <c r="O3106" t="s">
        <v>64</v>
      </c>
      <c r="P3106" t="s">
        <v>30</v>
      </c>
      <c r="Q3106" t="s">
        <v>65</v>
      </c>
      <c r="R3106" s="3">
        <v>6491.42</v>
      </c>
    </row>
    <row r="3107" spans="1:18" x14ac:dyDescent="0.3">
      <c r="A3107" t="s">
        <v>15966</v>
      </c>
      <c r="B3107" t="str">
        <f>TEXT(Raw_Data[[#This Row],[Order Date]],"mmm")</f>
        <v>Jun</v>
      </c>
      <c r="C3107" t="s">
        <v>2223</v>
      </c>
      <c r="D3107" t="s">
        <v>15967</v>
      </c>
      <c r="E3107" t="s">
        <v>35</v>
      </c>
      <c r="F3107" t="s">
        <v>36</v>
      </c>
      <c r="G3107" t="s">
        <v>196</v>
      </c>
      <c r="H3107" t="s">
        <v>80</v>
      </c>
      <c r="I3107" t="s">
        <v>146</v>
      </c>
      <c r="J3107" t="s">
        <v>25</v>
      </c>
      <c r="K3107" t="s">
        <v>15968</v>
      </c>
      <c r="L3107">
        <v>0.1</v>
      </c>
      <c r="M3107" t="s">
        <v>15969</v>
      </c>
      <c r="N3107" t="s">
        <v>15970</v>
      </c>
      <c r="O3107" t="s">
        <v>43</v>
      </c>
      <c r="P3107" t="s">
        <v>30</v>
      </c>
      <c r="Q3107" t="s">
        <v>44</v>
      </c>
      <c r="R3107" s="3">
        <v>360.036</v>
      </c>
    </row>
    <row r="3108" spans="1:18" x14ac:dyDescent="0.3">
      <c r="A3108" t="s">
        <v>15971</v>
      </c>
      <c r="B3108" t="str">
        <f>TEXT(Raw_Data[[#This Row],[Order Date]],"mmm")</f>
        <v>Dec</v>
      </c>
      <c r="C3108" t="s">
        <v>3003</v>
      </c>
      <c r="D3108" t="s">
        <v>15972</v>
      </c>
      <c r="E3108" t="s">
        <v>20</v>
      </c>
      <c r="F3108" t="s">
        <v>36</v>
      </c>
      <c r="G3108" t="s">
        <v>123</v>
      </c>
      <c r="H3108" t="s">
        <v>23</v>
      </c>
      <c r="I3108" t="s">
        <v>263</v>
      </c>
      <c r="J3108" t="s">
        <v>25</v>
      </c>
      <c r="K3108" t="s">
        <v>15973</v>
      </c>
      <c r="L3108">
        <v>0.2</v>
      </c>
      <c r="M3108" t="s">
        <v>15974</v>
      </c>
      <c r="N3108" t="s">
        <v>15975</v>
      </c>
      <c r="O3108" t="s">
        <v>54</v>
      </c>
      <c r="P3108" t="s">
        <v>30</v>
      </c>
      <c r="Q3108" t="s">
        <v>65</v>
      </c>
      <c r="R3108" s="3">
        <v>35235.847999999998</v>
      </c>
    </row>
    <row r="3109" spans="1:18" x14ac:dyDescent="0.3">
      <c r="A3109" t="s">
        <v>15976</v>
      </c>
      <c r="B3109" t="str">
        <f>TEXT(Raw_Data[[#This Row],[Order Date]],"mmm")</f>
        <v>Feb</v>
      </c>
      <c r="C3109" t="s">
        <v>2399</v>
      </c>
      <c r="D3109" t="s">
        <v>15977</v>
      </c>
      <c r="E3109" t="s">
        <v>20</v>
      </c>
      <c r="F3109" t="s">
        <v>58</v>
      </c>
      <c r="G3109" t="s">
        <v>290</v>
      </c>
      <c r="H3109" t="s">
        <v>107</v>
      </c>
      <c r="I3109" t="s">
        <v>378</v>
      </c>
      <c r="J3109" t="s">
        <v>25</v>
      </c>
      <c r="K3109" t="s">
        <v>15978</v>
      </c>
      <c r="L3109">
        <v>0</v>
      </c>
      <c r="M3109" t="s">
        <v>15979</v>
      </c>
      <c r="N3109" t="s">
        <v>15980</v>
      </c>
      <c r="O3109" t="s">
        <v>43</v>
      </c>
      <c r="P3109" t="s">
        <v>30</v>
      </c>
      <c r="Q3109" t="s">
        <v>31</v>
      </c>
      <c r="R3109" s="3">
        <v>8383.5300000000007</v>
      </c>
    </row>
    <row r="3110" spans="1:18" x14ac:dyDescent="0.3">
      <c r="A3110" t="s">
        <v>15981</v>
      </c>
      <c r="B3110" t="str">
        <f>TEXT(Raw_Data[[#This Row],[Order Date]],"mmm")</f>
        <v>May</v>
      </c>
      <c r="C3110" t="s">
        <v>2355</v>
      </c>
      <c r="D3110" t="s">
        <v>15982</v>
      </c>
      <c r="E3110" t="s">
        <v>35</v>
      </c>
      <c r="F3110" t="s">
        <v>36</v>
      </c>
      <c r="G3110" t="s">
        <v>196</v>
      </c>
      <c r="H3110" t="s">
        <v>23</v>
      </c>
      <c r="I3110" t="s">
        <v>341</v>
      </c>
      <c r="J3110" t="s">
        <v>25</v>
      </c>
      <c r="K3110" t="s">
        <v>15983</v>
      </c>
      <c r="L3110">
        <v>0</v>
      </c>
      <c r="M3110" t="s">
        <v>15984</v>
      </c>
      <c r="N3110" t="s">
        <v>15985</v>
      </c>
      <c r="O3110" t="s">
        <v>173</v>
      </c>
      <c r="P3110" t="s">
        <v>30</v>
      </c>
      <c r="Q3110" t="s">
        <v>65</v>
      </c>
      <c r="R3110" s="3">
        <v>59161.760000000002</v>
      </c>
    </row>
    <row r="3111" spans="1:18" x14ac:dyDescent="0.3">
      <c r="A3111" t="s">
        <v>15986</v>
      </c>
      <c r="B3111" t="str">
        <f>TEXT(Raw_Data[[#This Row],[Order Date]],"mmm")</f>
        <v>Sep</v>
      </c>
      <c r="C3111" t="s">
        <v>2704</v>
      </c>
      <c r="D3111" t="s">
        <v>15987</v>
      </c>
      <c r="E3111" t="s">
        <v>20</v>
      </c>
      <c r="F3111" t="s">
        <v>58</v>
      </c>
      <c r="G3111" t="s">
        <v>59</v>
      </c>
      <c r="H3111" t="s">
        <v>23</v>
      </c>
      <c r="I3111" t="s">
        <v>341</v>
      </c>
      <c r="J3111" t="s">
        <v>50</v>
      </c>
      <c r="K3111" t="s">
        <v>15988</v>
      </c>
      <c r="L3111">
        <v>0</v>
      </c>
      <c r="M3111" t="s">
        <v>15989</v>
      </c>
      <c r="N3111" t="s">
        <v>15990</v>
      </c>
      <c r="O3111" t="s">
        <v>64</v>
      </c>
      <c r="P3111" t="s">
        <v>30</v>
      </c>
      <c r="Q3111" t="s">
        <v>44</v>
      </c>
      <c r="R3111" s="3">
        <v>60908.82</v>
      </c>
    </row>
    <row r="3112" spans="1:18" x14ac:dyDescent="0.3">
      <c r="A3112" t="s">
        <v>15991</v>
      </c>
      <c r="B3112" t="str">
        <f>TEXT(Raw_Data[[#This Row],[Order Date]],"mmm")</f>
        <v>Mar</v>
      </c>
      <c r="C3112" t="s">
        <v>2293</v>
      </c>
      <c r="D3112" t="s">
        <v>15992</v>
      </c>
      <c r="E3112" t="s">
        <v>20</v>
      </c>
      <c r="F3112" t="s">
        <v>215</v>
      </c>
      <c r="G3112" t="s">
        <v>276</v>
      </c>
      <c r="H3112" t="s">
        <v>23</v>
      </c>
      <c r="I3112" t="s">
        <v>24</v>
      </c>
      <c r="J3112" t="s">
        <v>25</v>
      </c>
      <c r="K3112" t="s">
        <v>15993</v>
      </c>
      <c r="L3112">
        <v>0</v>
      </c>
      <c r="M3112" t="s">
        <v>15994</v>
      </c>
      <c r="N3112" t="s">
        <v>15995</v>
      </c>
      <c r="O3112" t="s">
        <v>64</v>
      </c>
      <c r="P3112" t="s">
        <v>30</v>
      </c>
      <c r="Q3112" t="s">
        <v>65</v>
      </c>
      <c r="R3112" s="3">
        <v>52751.14</v>
      </c>
    </row>
    <row r="3113" spans="1:18" x14ac:dyDescent="0.3">
      <c r="A3113" t="s">
        <v>15996</v>
      </c>
      <c r="B3113" t="str">
        <f>TEXT(Raw_Data[[#This Row],[Order Date]],"mmm")</f>
        <v>Nov</v>
      </c>
      <c r="C3113" t="s">
        <v>3096</v>
      </c>
      <c r="D3113" t="s">
        <v>15997</v>
      </c>
      <c r="E3113" t="s">
        <v>20</v>
      </c>
      <c r="F3113" t="s">
        <v>89</v>
      </c>
      <c r="G3113" t="s">
        <v>99</v>
      </c>
      <c r="H3113" t="s">
        <v>107</v>
      </c>
      <c r="I3113" t="s">
        <v>108</v>
      </c>
      <c r="J3113" t="s">
        <v>100</v>
      </c>
      <c r="K3113" t="s">
        <v>15998</v>
      </c>
      <c r="L3113">
        <v>0.1</v>
      </c>
      <c r="M3113" t="s">
        <v>15999</v>
      </c>
      <c r="N3113" t="s">
        <v>16000</v>
      </c>
      <c r="O3113" t="s">
        <v>64</v>
      </c>
      <c r="P3113" t="s">
        <v>30</v>
      </c>
      <c r="Q3113" t="s">
        <v>44</v>
      </c>
      <c r="R3113" s="3">
        <v>27997.704000000002</v>
      </c>
    </row>
    <row r="3114" spans="1:18" x14ac:dyDescent="0.3">
      <c r="A3114" t="s">
        <v>16001</v>
      </c>
      <c r="B3114" t="str">
        <f>TEXT(Raw_Data[[#This Row],[Order Date]],"mmm")</f>
        <v>Feb</v>
      </c>
      <c r="C3114" t="s">
        <v>1336</v>
      </c>
      <c r="D3114" t="s">
        <v>16002</v>
      </c>
      <c r="E3114" t="s">
        <v>48</v>
      </c>
      <c r="F3114" t="s">
        <v>58</v>
      </c>
      <c r="G3114" t="s">
        <v>59</v>
      </c>
      <c r="H3114" t="s">
        <v>107</v>
      </c>
      <c r="I3114" t="s">
        <v>277</v>
      </c>
      <c r="J3114" t="s">
        <v>50</v>
      </c>
      <c r="K3114" t="s">
        <v>16003</v>
      </c>
      <c r="L3114">
        <v>0</v>
      </c>
      <c r="M3114" t="s">
        <v>16004</v>
      </c>
      <c r="N3114" t="s">
        <v>16005</v>
      </c>
      <c r="O3114" t="s">
        <v>29</v>
      </c>
      <c r="P3114" t="s">
        <v>30</v>
      </c>
      <c r="Q3114" t="s">
        <v>65</v>
      </c>
      <c r="R3114" s="3">
        <v>31213.279999999999</v>
      </c>
    </row>
    <row r="3115" spans="1:18" x14ac:dyDescent="0.3">
      <c r="A3115" t="s">
        <v>16006</v>
      </c>
      <c r="B3115" t="str">
        <f>TEXT(Raw_Data[[#This Row],[Order Date]],"mmm")</f>
        <v>Aug</v>
      </c>
      <c r="C3115" t="s">
        <v>3133</v>
      </c>
      <c r="D3115" t="s">
        <v>16007</v>
      </c>
      <c r="E3115" t="s">
        <v>48</v>
      </c>
      <c r="F3115" t="s">
        <v>58</v>
      </c>
      <c r="G3115" t="s">
        <v>812</v>
      </c>
      <c r="H3115" t="s">
        <v>23</v>
      </c>
      <c r="I3115" t="s">
        <v>24</v>
      </c>
      <c r="J3115" t="s">
        <v>100</v>
      </c>
      <c r="K3115" t="s">
        <v>16008</v>
      </c>
      <c r="L3115">
        <v>0</v>
      </c>
      <c r="M3115" t="s">
        <v>16009</v>
      </c>
      <c r="N3115" t="s">
        <v>16010</v>
      </c>
      <c r="O3115" t="s">
        <v>54</v>
      </c>
      <c r="P3115" t="s">
        <v>30</v>
      </c>
      <c r="Q3115" t="s">
        <v>44</v>
      </c>
      <c r="R3115" s="3">
        <v>162274.62</v>
      </c>
    </row>
    <row r="3116" spans="1:18" x14ac:dyDescent="0.3">
      <c r="A3116" t="s">
        <v>16011</v>
      </c>
      <c r="B3116" t="str">
        <f>TEXT(Raw_Data[[#This Row],[Order Date]],"mmm")</f>
        <v>Mar</v>
      </c>
      <c r="C3116" t="s">
        <v>326</v>
      </c>
      <c r="D3116" t="s">
        <v>16012</v>
      </c>
      <c r="E3116" t="s">
        <v>48</v>
      </c>
      <c r="F3116" t="s">
        <v>215</v>
      </c>
      <c r="G3116" t="s">
        <v>216</v>
      </c>
      <c r="H3116" t="s">
        <v>107</v>
      </c>
      <c r="I3116" t="s">
        <v>591</v>
      </c>
      <c r="J3116" t="s">
        <v>25</v>
      </c>
      <c r="K3116" t="s">
        <v>16013</v>
      </c>
      <c r="L3116">
        <v>0.1</v>
      </c>
      <c r="M3116" t="s">
        <v>16014</v>
      </c>
      <c r="N3116" t="s">
        <v>16015</v>
      </c>
      <c r="O3116" t="s">
        <v>173</v>
      </c>
      <c r="P3116" t="s">
        <v>30</v>
      </c>
      <c r="Q3116" t="s">
        <v>65</v>
      </c>
      <c r="R3116" s="3">
        <v>8050.5720000000001</v>
      </c>
    </row>
    <row r="3117" spans="1:18" x14ac:dyDescent="0.3">
      <c r="A3117" t="s">
        <v>16016</v>
      </c>
      <c r="B3117" t="str">
        <f>TEXT(Raw_Data[[#This Row],[Order Date]],"mmm")</f>
        <v>Oct</v>
      </c>
      <c r="C3117" t="s">
        <v>1846</v>
      </c>
      <c r="D3117" t="s">
        <v>16017</v>
      </c>
      <c r="E3117" t="s">
        <v>35</v>
      </c>
      <c r="F3117" t="s">
        <v>21</v>
      </c>
      <c r="G3117" t="s">
        <v>130</v>
      </c>
      <c r="H3117" t="s">
        <v>38</v>
      </c>
      <c r="I3117" t="s">
        <v>223</v>
      </c>
      <c r="J3117" t="s">
        <v>25</v>
      </c>
      <c r="K3117" t="s">
        <v>16018</v>
      </c>
      <c r="L3117">
        <v>0</v>
      </c>
      <c r="M3117" t="s">
        <v>16019</v>
      </c>
      <c r="N3117" t="s">
        <v>16020</v>
      </c>
      <c r="O3117" t="s">
        <v>54</v>
      </c>
      <c r="P3117" t="s">
        <v>30</v>
      </c>
      <c r="Q3117" t="s">
        <v>31</v>
      </c>
      <c r="R3117" s="3">
        <v>1796.16</v>
      </c>
    </row>
    <row r="3118" spans="1:18" x14ac:dyDescent="0.3">
      <c r="A3118" t="s">
        <v>16021</v>
      </c>
      <c r="B3118" t="str">
        <f>TEXT(Raw_Data[[#This Row],[Order Date]],"mmm")</f>
        <v>Aug</v>
      </c>
      <c r="C3118" t="s">
        <v>1840</v>
      </c>
      <c r="D3118" t="s">
        <v>16022</v>
      </c>
      <c r="E3118" t="s">
        <v>35</v>
      </c>
      <c r="F3118" t="s">
        <v>58</v>
      </c>
      <c r="G3118" t="s">
        <v>59</v>
      </c>
      <c r="H3118" t="s">
        <v>80</v>
      </c>
      <c r="I3118" t="s">
        <v>91</v>
      </c>
      <c r="J3118" t="s">
        <v>25</v>
      </c>
      <c r="K3118" t="s">
        <v>16023</v>
      </c>
      <c r="L3118">
        <v>0.15</v>
      </c>
      <c r="M3118" t="s">
        <v>16024</v>
      </c>
      <c r="N3118" t="s">
        <v>16025</v>
      </c>
      <c r="O3118" t="s">
        <v>43</v>
      </c>
      <c r="P3118" t="s">
        <v>30</v>
      </c>
      <c r="Q3118" t="s">
        <v>31</v>
      </c>
      <c r="R3118" s="3">
        <v>1032.0954999999999</v>
      </c>
    </row>
    <row r="3119" spans="1:18" x14ac:dyDescent="0.3">
      <c r="A3119" t="s">
        <v>16026</v>
      </c>
      <c r="B3119" t="str">
        <f>TEXT(Raw_Data[[#This Row],[Order Date]],"mmm")</f>
        <v>Sep</v>
      </c>
      <c r="C3119" t="s">
        <v>742</v>
      </c>
      <c r="D3119" t="s">
        <v>16027</v>
      </c>
      <c r="E3119" t="s">
        <v>35</v>
      </c>
      <c r="F3119" t="s">
        <v>89</v>
      </c>
      <c r="G3119" t="s">
        <v>99</v>
      </c>
      <c r="H3119" t="s">
        <v>154</v>
      </c>
      <c r="I3119" t="s">
        <v>365</v>
      </c>
      <c r="J3119" t="s">
        <v>25</v>
      </c>
      <c r="K3119" t="s">
        <v>16028</v>
      </c>
      <c r="L3119">
        <v>0.1</v>
      </c>
      <c r="M3119" t="s">
        <v>16029</v>
      </c>
      <c r="N3119" t="s">
        <v>16030</v>
      </c>
      <c r="O3119" t="s">
        <v>64</v>
      </c>
      <c r="P3119" t="s">
        <v>159</v>
      </c>
      <c r="Q3119" t="s">
        <v>65</v>
      </c>
      <c r="R3119" s="3">
        <v>701.96400000000006</v>
      </c>
    </row>
    <row r="3120" spans="1:18" x14ac:dyDescent="0.3">
      <c r="A3120" t="s">
        <v>16031</v>
      </c>
      <c r="B3120" t="str">
        <f>TEXT(Raw_Data[[#This Row],[Order Date]],"mmm")</f>
        <v>Jan</v>
      </c>
      <c r="C3120" t="s">
        <v>4365</v>
      </c>
      <c r="D3120" t="s">
        <v>16032</v>
      </c>
      <c r="E3120" t="s">
        <v>20</v>
      </c>
      <c r="F3120" t="s">
        <v>69</v>
      </c>
      <c r="G3120" t="s">
        <v>70</v>
      </c>
      <c r="H3120" t="s">
        <v>107</v>
      </c>
      <c r="I3120" t="s">
        <v>591</v>
      </c>
      <c r="J3120" t="s">
        <v>25</v>
      </c>
      <c r="K3120" t="s">
        <v>16033</v>
      </c>
      <c r="L3120">
        <v>0</v>
      </c>
      <c r="M3120" t="s">
        <v>16034</v>
      </c>
      <c r="N3120" t="s">
        <v>16035</v>
      </c>
      <c r="O3120" t="s">
        <v>2763</v>
      </c>
      <c r="P3120" t="s">
        <v>30</v>
      </c>
      <c r="Q3120" t="s">
        <v>65</v>
      </c>
      <c r="R3120" s="3">
        <v>4005.43</v>
      </c>
    </row>
    <row r="3121" spans="1:18" x14ac:dyDescent="0.3">
      <c r="A3121" t="s">
        <v>16036</v>
      </c>
      <c r="B3121" t="str">
        <f>TEXT(Raw_Data[[#This Row],[Order Date]],"mmm")</f>
        <v>Jun</v>
      </c>
      <c r="C3121" t="s">
        <v>3993</v>
      </c>
      <c r="D3121" t="s">
        <v>16037</v>
      </c>
      <c r="E3121" t="s">
        <v>48</v>
      </c>
      <c r="F3121" t="s">
        <v>69</v>
      </c>
      <c r="G3121" t="s">
        <v>139</v>
      </c>
      <c r="H3121" t="s">
        <v>154</v>
      </c>
      <c r="I3121" t="s">
        <v>155</v>
      </c>
      <c r="J3121" t="s">
        <v>25</v>
      </c>
      <c r="K3121" t="s">
        <v>16038</v>
      </c>
      <c r="L3121">
        <v>0.15</v>
      </c>
      <c r="M3121" t="s">
        <v>16039</v>
      </c>
      <c r="N3121" t="s">
        <v>16040</v>
      </c>
      <c r="O3121" t="s">
        <v>43</v>
      </c>
      <c r="P3121" t="s">
        <v>159</v>
      </c>
      <c r="Q3121" t="s">
        <v>44</v>
      </c>
      <c r="R3121" s="3">
        <v>4139.1089999999904</v>
      </c>
    </row>
    <row r="3122" spans="1:18" x14ac:dyDescent="0.3">
      <c r="A3122" t="s">
        <v>16041</v>
      </c>
      <c r="B3122" t="str">
        <f>TEXT(Raw_Data[[#This Row],[Order Date]],"mmm")</f>
        <v>May</v>
      </c>
      <c r="C3122" t="s">
        <v>1533</v>
      </c>
      <c r="D3122" t="s">
        <v>16042</v>
      </c>
      <c r="E3122" t="s">
        <v>35</v>
      </c>
      <c r="F3122" t="s">
        <v>215</v>
      </c>
      <c r="G3122" t="s">
        <v>216</v>
      </c>
      <c r="H3122" t="s">
        <v>80</v>
      </c>
      <c r="I3122" t="s">
        <v>81</v>
      </c>
      <c r="J3122" t="s">
        <v>25</v>
      </c>
      <c r="K3122" t="s">
        <v>16043</v>
      </c>
      <c r="L3122">
        <v>0.15</v>
      </c>
      <c r="M3122" t="s">
        <v>16044</v>
      </c>
      <c r="N3122" t="s">
        <v>16045</v>
      </c>
      <c r="O3122" t="s">
        <v>29</v>
      </c>
      <c r="P3122" t="s">
        <v>30</v>
      </c>
      <c r="Q3122" t="s">
        <v>31</v>
      </c>
      <c r="R3122" s="3">
        <v>5784.5474999999997</v>
      </c>
    </row>
    <row r="3123" spans="1:18" x14ac:dyDescent="0.3">
      <c r="A3123" t="s">
        <v>16046</v>
      </c>
      <c r="B3123" t="str">
        <f>TEXT(Raw_Data[[#This Row],[Order Date]],"mmm")</f>
        <v>Apr</v>
      </c>
      <c r="C3123" t="s">
        <v>419</v>
      </c>
      <c r="D3123" t="s">
        <v>16047</v>
      </c>
      <c r="E3123" t="s">
        <v>48</v>
      </c>
      <c r="F3123" t="s">
        <v>215</v>
      </c>
      <c r="G3123" t="s">
        <v>276</v>
      </c>
      <c r="H3123" t="s">
        <v>80</v>
      </c>
      <c r="I3123" t="s">
        <v>116</v>
      </c>
      <c r="J3123" t="s">
        <v>25</v>
      </c>
      <c r="K3123" t="s">
        <v>16048</v>
      </c>
      <c r="L3123">
        <v>0</v>
      </c>
      <c r="M3123" t="s">
        <v>16049</v>
      </c>
      <c r="N3123" t="s">
        <v>16050</v>
      </c>
      <c r="O3123" t="s">
        <v>43</v>
      </c>
      <c r="P3123" t="s">
        <v>30</v>
      </c>
      <c r="Q3123" t="s">
        <v>44</v>
      </c>
      <c r="R3123" s="3">
        <v>3228.91</v>
      </c>
    </row>
    <row r="3124" spans="1:18" x14ac:dyDescent="0.3">
      <c r="A3124" t="s">
        <v>16051</v>
      </c>
      <c r="B3124" t="str">
        <f>TEXT(Raw_Data[[#This Row],[Order Date]],"mmm")</f>
        <v>May</v>
      </c>
      <c r="C3124" t="s">
        <v>1937</v>
      </c>
      <c r="D3124" t="s">
        <v>16052</v>
      </c>
      <c r="E3124" t="s">
        <v>20</v>
      </c>
      <c r="F3124" t="s">
        <v>21</v>
      </c>
      <c r="G3124" t="s">
        <v>130</v>
      </c>
      <c r="H3124" t="s">
        <v>80</v>
      </c>
      <c r="I3124" t="s">
        <v>91</v>
      </c>
      <c r="J3124" t="s">
        <v>50</v>
      </c>
      <c r="K3124" t="s">
        <v>16053</v>
      </c>
      <c r="L3124">
        <v>0.1</v>
      </c>
      <c r="M3124" t="s">
        <v>16054</v>
      </c>
      <c r="N3124" t="s">
        <v>16055</v>
      </c>
      <c r="O3124" t="s">
        <v>64</v>
      </c>
      <c r="P3124" t="s">
        <v>112</v>
      </c>
      <c r="Q3124" t="s">
        <v>44</v>
      </c>
      <c r="R3124" s="3">
        <v>7270.92</v>
      </c>
    </row>
    <row r="3125" spans="1:18" x14ac:dyDescent="0.3">
      <c r="A3125" t="s">
        <v>16056</v>
      </c>
      <c r="B3125" t="str">
        <f>TEXT(Raw_Data[[#This Row],[Order Date]],"mmm")</f>
        <v>Mar</v>
      </c>
      <c r="C3125" t="s">
        <v>1460</v>
      </c>
      <c r="D3125" t="s">
        <v>16057</v>
      </c>
      <c r="E3125" t="s">
        <v>20</v>
      </c>
      <c r="F3125" t="s">
        <v>69</v>
      </c>
      <c r="G3125" t="s">
        <v>70</v>
      </c>
      <c r="H3125" t="s">
        <v>154</v>
      </c>
      <c r="I3125" t="s">
        <v>155</v>
      </c>
      <c r="J3125" t="s">
        <v>25</v>
      </c>
      <c r="K3125" t="s">
        <v>16058</v>
      </c>
      <c r="L3125">
        <v>0.2</v>
      </c>
      <c r="M3125" t="s">
        <v>16059</v>
      </c>
      <c r="N3125" t="s">
        <v>16060</v>
      </c>
      <c r="O3125" t="s">
        <v>29</v>
      </c>
      <c r="P3125" t="s">
        <v>30</v>
      </c>
      <c r="Q3125" t="s">
        <v>44</v>
      </c>
      <c r="R3125" s="3">
        <v>6270.5119999999997</v>
      </c>
    </row>
    <row r="3126" spans="1:18" x14ac:dyDescent="0.3">
      <c r="A3126" t="s">
        <v>16061</v>
      </c>
      <c r="B3126" t="str">
        <f>TEXT(Raw_Data[[#This Row],[Order Date]],"mmm")</f>
        <v>Nov</v>
      </c>
      <c r="C3126" t="s">
        <v>1643</v>
      </c>
      <c r="D3126" t="s">
        <v>16062</v>
      </c>
      <c r="E3126" t="s">
        <v>35</v>
      </c>
      <c r="F3126" t="s">
        <v>215</v>
      </c>
      <c r="G3126" t="s">
        <v>276</v>
      </c>
      <c r="H3126" t="s">
        <v>80</v>
      </c>
      <c r="I3126" t="s">
        <v>91</v>
      </c>
      <c r="J3126" t="s">
        <v>25</v>
      </c>
      <c r="K3126" t="s">
        <v>16063</v>
      </c>
      <c r="L3126">
        <v>0.1</v>
      </c>
      <c r="M3126" t="s">
        <v>16064</v>
      </c>
      <c r="N3126" t="s">
        <v>9536</v>
      </c>
      <c r="O3126" t="s">
        <v>64</v>
      </c>
      <c r="P3126" t="s">
        <v>30</v>
      </c>
      <c r="Q3126" t="s">
        <v>44</v>
      </c>
      <c r="R3126" s="3">
        <v>4293.2879999999996</v>
      </c>
    </row>
    <row r="3127" spans="1:18" x14ac:dyDescent="0.3">
      <c r="A3127" t="s">
        <v>16065</v>
      </c>
      <c r="B3127" t="str">
        <f>TEXT(Raw_Data[[#This Row],[Order Date]],"mmm")</f>
        <v>May</v>
      </c>
      <c r="C3127" t="s">
        <v>3102</v>
      </c>
      <c r="D3127" t="s">
        <v>16066</v>
      </c>
      <c r="E3127" t="s">
        <v>35</v>
      </c>
      <c r="F3127" t="s">
        <v>21</v>
      </c>
      <c r="G3127" t="s">
        <v>22</v>
      </c>
      <c r="H3127" t="s">
        <v>107</v>
      </c>
      <c r="I3127" t="s">
        <v>469</v>
      </c>
      <c r="J3127" t="s">
        <v>25</v>
      </c>
      <c r="K3127" t="s">
        <v>16067</v>
      </c>
      <c r="L3127">
        <v>0.1</v>
      </c>
      <c r="M3127" t="s">
        <v>16068</v>
      </c>
      <c r="N3127" t="s">
        <v>16069</v>
      </c>
      <c r="O3127" t="s">
        <v>43</v>
      </c>
      <c r="P3127" t="s">
        <v>112</v>
      </c>
      <c r="Q3127" t="s">
        <v>31</v>
      </c>
      <c r="R3127" s="3">
        <v>1907.7570000000001</v>
      </c>
    </row>
    <row r="3128" spans="1:18" x14ac:dyDescent="0.3">
      <c r="A3128" t="s">
        <v>16070</v>
      </c>
      <c r="B3128" t="str">
        <f>TEXT(Raw_Data[[#This Row],[Order Date]],"mmm")</f>
        <v>Feb</v>
      </c>
      <c r="C3128" t="s">
        <v>1087</v>
      </c>
      <c r="D3128" t="s">
        <v>16071</v>
      </c>
      <c r="E3128" t="s">
        <v>48</v>
      </c>
      <c r="F3128" t="s">
        <v>69</v>
      </c>
      <c r="G3128" t="s">
        <v>70</v>
      </c>
      <c r="H3128" t="s">
        <v>23</v>
      </c>
      <c r="I3128" t="s">
        <v>341</v>
      </c>
      <c r="J3128" t="s">
        <v>25</v>
      </c>
      <c r="K3128" t="s">
        <v>16072</v>
      </c>
      <c r="L3128">
        <v>0.1</v>
      </c>
      <c r="M3128" t="s">
        <v>16073</v>
      </c>
      <c r="N3128" t="s">
        <v>16074</v>
      </c>
      <c r="O3128" t="s">
        <v>135</v>
      </c>
      <c r="P3128" t="s">
        <v>30</v>
      </c>
      <c r="Q3128" t="s">
        <v>31</v>
      </c>
      <c r="R3128" s="3">
        <v>35970.453000000001</v>
      </c>
    </row>
    <row r="3129" spans="1:18" x14ac:dyDescent="0.3">
      <c r="A3129" t="s">
        <v>16075</v>
      </c>
      <c r="B3129" t="str">
        <f>TEXT(Raw_Data[[#This Row],[Order Date]],"mmm")</f>
        <v>Sep</v>
      </c>
      <c r="C3129" t="s">
        <v>1539</v>
      </c>
      <c r="D3129" t="s">
        <v>16076</v>
      </c>
      <c r="E3129" t="s">
        <v>48</v>
      </c>
      <c r="F3129" t="s">
        <v>106</v>
      </c>
      <c r="G3129" t="s">
        <v>163</v>
      </c>
      <c r="H3129" t="s">
        <v>107</v>
      </c>
      <c r="I3129" t="s">
        <v>108</v>
      </c>
      <c r="J3129" t="s">
        <v>25</v>
      </c>
      <c r="K3129" t="s">
        <v>16077</v>
      </c>
      <c r="L3129">
        <v>0.15</v>
      </c>
      <c r="M3129" t="s">
        <v>16078</v>
      </c>
      <c r="N3129" t="s">
        <v>16079</v>
      </c>
      <c r="O3129" t="s">
        <v>54</v>
      </c>
      <c r="P3129" t="s">
        <v>30</v>
      </c>
      <c r="Q3129" t="s">
        <v>65</v>
      </c>
      <c r="R3129" s="3">
        <v>8579.0074999999997</v>
      </c>
    </row>
    <row r="3130" spans="1:18" x14ac:dyDescent="0.3">
      <c r="A3130" t="s">
        <v>16080</v>
      </c>
      <c r="B3130" t="str">
        <f>TEXT(Raw_Data[[#This Row],[Order Date]],"mmm")</f>
        <v>Aug</v>
      </c>
      <c r="C3130" t="s">
        <v>6777</v>
      </c>
      <c r="D3130" t="s">
        <v>16081</v>
      </c>
      <c r="E3130" t="s">
        <v>48</v>
      </c>
      <c r="F3130" t="s">
        <v>89</v>
      </c>
      <c r="G3130" t="s">
        <v>230</v>
      </c>
      <c r="H3130" t="s">
        <v>23</v>
      </c>
      <c r="I3130" t="s">
        <v>183</v>
      </c>
      <c r="J3130" t="s">
        <v>25</v>
      </c>
      <c r="K3130" t="s">
        <v>16082</v>
      </c>
      <c r="L3130">
        <v>0.1</v>
      </c>
      <c r="M3130" t="s">
        <v>16083</v>
      </c>
      <c r="N3130" t="s">
        <v>16084</v>
      </c>
      <c r="O3130" t="s">
        <v>173</v>
      </c>
      <c r="P3130" t="s">
        <v>30</v>
      </c>
      <c r="Q3130" t="s">
        <v>31</v>
      </c>
      <c r="R3130" s="3">
        <v>55201.697999999997</v>
      </c>
    </row>
    <row r="3131" spans="1:18" x14ac:dyDescent="0.3">
      <c r="A3131" t="s">
        <v>16085</v>
      </c>
      <c r="B3131" t="str">
        <f>TEXT(Raw_Data[[#This Row],[Order Date]],"mmm")</f>
        <v>Jul</v>
      </c>
      <c r="C3131" t="s">
        <v>3916</v>
      </c>
      <c r="D3131" t="s">
        <v>16086</v>
      </c>
      <c r="E3131" t="s">
        <v>20</v>
      </c>
      <c r="F3131" t="s">
        <v>69</v>
      </c>
      <c r="G3131" t="s">
        <v>328</v>
      </c>
      <c r="H3131" t="s">
        <v>107</v>
      </c>
      <c r="I3131" t="s">
        <v>108</v>
      </c>
      <c r="J3131" t="s">
        <v>25</v>
      </c>
      <c r="K3131" t="s">
        <v>16087</v>
      </c>
      <c r="L3131">
        <v>0.1</v>
      </c>
      <c r="M3131" t="s">
        <v>16088</v>
      </c>
      <c r="N3131" t="s">
        <v>16089</v>
      </c>
      <c r="O3131" t="s">
        <v>54</v>
      </c>
      <c r="P3131" t="s">
        <v>95</v>
      </c>
      <c r="Q3131" t="s">
        <v>31</v>
      </c>
      <c r="R3131" s="3">
        <v>4514.4809999999998</v>
      </c>
    </row>
    <row r="3132" spans="1:18" x14ac:dyDescent="0.3">
      <c r="A3132" t="s">
        <v>16090</v>
      </c>
      <c r="B3132" t="str">
        <f>TEXT(Raw_Data[[#This Row],[Order Date]],"mmm")</f>
        <v>Aug</v>
      </c>
      <c r="C3132" t="s">
        <v>954</v>
      </c>
      <c r="D3132" t="s">
        <v>16091</v>
      </c>
      <c r="E3132" t="s">
        <v>35</v>
      </c>
      <c r="F3132" t="s">
        <v>89</v>
      </c>
      <c r="G3132" t="s">
        <v>99</v>
      </c>
      <c r="H3132" t="s">
        <v>80</v>
      </c>
      <c r="I3132" t="s">
        <v>131</v>
      </c>
      <c r="J3132" t="s">
        <v>50</v>
      </c>
      <c r="K3132" t="s">
        <v>16092</v>
      </c>
      <c r="L3132">
        <v>0.15</v>
      </c>
      <c r="M3132" t="s">
        <v>16093</v>
      </c>
      <c r="N3132" t="s">
        <v>16094</v>
      </c>
      <c r="O3132" t="s">
        <v>54</v>
      </c>
      <c r="P3132" t="s">
        <v>112</v>
      </c>
      <c r="Q3132" t="s">
        <v>65</v>
      </c>
      <c r="R3132" s="3">
        <v>11095.509</v>
      </c>
    </row>
    <row r="3133" spans="1:18" x14ac:dyDescent="0.3">
      <c r="A3133" t="s">
        <v>16095</v>
      </c>
      <c r="B3133" t="str">
        <f>TEXT(Raw_Data[[#This Row],[Order Date]],"mmm")</f>
        <v>May</v>
      </c>
      <c r="C3133" t="s">
        <v>498</v>
      </c>
      <c r="D3133" t="s">
        <v>16096</v>
      </c>
      <c r="E3133" t="s">
        <v>35</v>
      </c>
      <c r="F3133" t="s">
        <v>215</v>
      </c>
      <c r="G3133" t="s">
        <v>276</v>
      </c>
      <c r="H3133" t="s">
        <v>80</v>
      </c>
      <c r="I3133" t="s">
        <v>146</v>
      </c>
      <c r="J3133" t="s">
        <v>100</v>
      </c>
      <c r="K3133" t="s">
        <v>16097</v>
      </c>
      <c r="L3133">
        <v>0</v>
      </c>
      <c r="M3133" t="s">
        <v>16098</v>
      </c>
      <c r="N3133" t="s">
        <v>16099</v>
      </c>
      <c r="O3133" t="s">
        <v>173</v>
      </c>
      <c r="P3133" t="s">
        <v>30</v>
      </c>
      <c r="Q3133" t="s">
        <v>44</v>
      </c>
      <c r="R3133" s="3">
        <v>14763.21</v>
      </c>
    </row>
    <row r="3134" spans="1:18" x14ac:dyDescent="0.3">
      <c r="A3134" t="s">
        <v>16100</v>
      </c>
      <c r="B3134" t="str">
        <f>TEXT(Raw_Data[[#This Row],[Order Date]],"mmm")</f>
        <v>Nov</v>
      </c>
      <c r="C3134" t="s">
        <v>221</v>
      </c>
      <c r="D3134" t="s">
        <v>16101</v>
      </c>
      <c r="E3134" t="s">
        <v>20</v>
      </c>
      <c r="F3134" t="s">
        <v>58</v>
      </c>
      <c r="G3134" t="s">
        <v>290</v>
      </c>
      <c r="H3134" t="s">
        <v>23</v>
      </c>
      <c r="I3134" t="s">
        <v>263</v>
      </c>
      <c r="J3134" t="s">
        <v>25</v>
      </c>
      <c r="K3134" t="s">
        <v>16102</v>
      </c>
      <c r="L3134">
        <v>0.1</v>
      </c>
      <c r="M3134" t="s">
        <v>16103</v>
      </c>
      <c r="N3134" t="s">
        <v>16104</v>
      </c>
      <c r="O3134" t="s">
        <v>173</v>
      </c>
      <c r="P3134" t="s">
        <v>30</v>
      </c>
      <c r="Q3134" t="s">
        <v>65</v>
      </c>
      <c r="R3134" s="3">
        <v>64171.368000000002</v>
      </c>
    </row>
    <row r="3135" spans="1:18" x14ac:dyDescent="0.3">
      <c r="A3135" t="s">
        <v>16105</v>
      </c>
      <c r="B3135" t="str">
        <f>TEXT(Raw_Data[[#This Row],[Order Date]],"mmm")</f>
        <v>Feb</v>
      </c>
      <c r="C3135" t="s">
        <v>2892</v>
      </c>
      <c r="D3135" t="s">
        <v>16106</v>
      </c>
      <c r="E3135" t="s">
        <v>20</v>
      </c>
      <c r="F3135" t="s">
        <v>89</v>
      </c>
      <c r="G3135" t="s">
        <v>99</v>
      </c>
      <c r="H3135" t="s">
        <v>80</v>
      </c>
      <c r="I3135" t="s">
        <v>91</v>
      </c>
      <c r="J3135" t="s">
        <v>100</v>
      </c>
      <c r="K3135" t="s">
        <v>16107</v>
      </c>
      <c r="L3135">
        <v>0.2</v>
      </c>
      <c r="M3135" t="s">
        <v>16108</v>
      </c>
      <c r="N3135" t="s">
        <v>16109</v>
      </c>
      <c r="O3135" t="s">
        <v>64</v>
      </c>
      <c r="P3135" t="s">
        <v>159</v>
      </c>
      <c r="Q3135" t="s">
        <v>44</v>
      </c>
      <c r="R3135" s="3">
        <v>14437.608</v>
      </c>
    </row>
    <row r="3136" spans="1:18" x14ac:dyDescent="0.3">
      <c r="A3136" t="s">
        <v>16110</v>
      </c>
      <c r="B3136" t="str">
        <f>TEXT(Raw_Data[[#This Row],[Order Date]],"mmm")</f>
        <v>Sep</v>
      </c>
      <c r="C3136" t="s">
        <v>1714</v>
      </c>
      <c r="D3136" t="s">
        <v>16111</v>
      </c>
      <c r="E3136" t="s">
        <v>35</v>
      </c>
      <c r="F3136" t="s">
        <v>36</v>
      </c>
      <c r="G3136" t="s">
        <v>123</v>
      </c>
      <c r="H3136" t="s">
        <v>107</v>
      </c>
      <c r="I3136" t="s">
        <v>378</v>
      </c>
      <c r="J3136" t="s">
        <v>25</v>
      </c>
      <c r="K3136" t="s">
        <v>16112</v>
      </c>
      <c r="L3136">
        <v>0</v>
      </c>
      <c r="M3136" t="s">
        <v>16113</v>
      </c>
      <c r="N3136" t="s">
        <v>16114</v>
      </c>
      <c r="O3136" t="s">
        <v>43</v>
      </c>
      <c r="P3136" t="s">
        <v>30</v>
      </c>
      <c r="Q3136" t="s">
        <v>65</v>
      </c>
      <c r="R3136" s="3">
        <v>8290.42</v>
      </c>
    </row>
    <row r="3137" spans="1:18" x14ac:dyDescent="0.3">
      <c r="A3137" t="s">
        <v>16115</v>
      </c>
      <c r="B3137" t="str">
        <f>TEXT(Raw_Data[[#This Row],[Order Date]],"mmm")</f>
        <v>Jun</v>
      </c>
      <c r="C3137" t="s">
        <v>2798</v>
      </c>
      <c r="D3137" t="s">
        <v>16116</v>
      </c>
      <c r="E3137" t="s">
        <v>20</v>
      </c>
      <c r="F3137" t="s">
        <v>58</v>
      </c>
      <c r="G3137" t="s">
        <v>290</v>
      </c>
      <c r="H3137" t="s">
        <v>107</v>
      </c>
      <c r="I3137" t="s">
        <v>108</v>
      </c>
      <c r="J3137" t="s">
        <v>25</v>
      </c>
      <c r="K3137" t="s">
        <v>16117</v>
      </c>
      <c r="L3137">
        <v>0.05</v>
      </c>
      <c r="M3137" t="s">
        <v>16118</v>
      </c>
      <c r="N3137" t="s">
        <v>16119</v>
      </c>
      <c r="O3137" t="s">
        <v>29</v>
      </c>
      <c r="P3137" t="s">
        <v>112</v>
      </c>
      <c r="Q3137" t="s">
        <v>31</v>
      </c>
      <c r="R3137" s="3">
        <v>4474.12949999999</v>
      </c>
    </row>
    <row r="3138" spans="1:18" x14ac:dyDescent="0.3">
      <c r="A3138" t="s">
        <v>16120</v>
      </c>
      <c r="B3138" t="str">
        <f>TEXT(Raw_Data[[#This Row],[Order Date]],"mmm")</f>
        <v>Feb</v>
      </c>
      <c r="C3138" t="s">
        <v>1336</v>
      </c>
      <c r="D3138" t="s">
        <v>16121</v>
      </c>
      <c r="E3138" t="s">
        <v>35</v>
      </c>
      <c r="F3138" t="s">
        <v>89</v>
      </c>
      <c r="G3138" t="s">
        <v>99</v>
      </c>
      <c r="H3138" t="s">
        <v>23</v>
      </c>
      <c r="I3138" t="s">
        <v>24</v>
      </c>
      <c r="J3138" t="s">
        <v>100</v>
      </c>
      <c r="K3138" t="s">
        <v>16122</v>
      </c>
      <c r="L3138">
        <v>0.1</v>
      </c>
      <c r="M3138" t="s">
        <v>16123</v>
      </c>
      <c r="N3138" t="s">
        <v>16124</v>
      </c>
      <c r="O3138" t="s">
        <v>43</v>
      </c>
      <c r="P3138" t="s">
        <v>30</v>
      </c>
      <c r="Q3138" t="s">
        <v>65</v>
      </c>
      <c r="R3138" s="3">
        <v>29318.409</v>
      </c>
    </row>
    <row r="3139" spans="1:18" x14ac:dyDescent="0.3">
      <c r="A3139" t="s">
        <v>16125</v>
      </c>
      <c r="B3139" t="str">
        <f>TEXT(Raw_Data[[#This Row],[Order Date]],"mmm")</f>
        <v>May</v>
      </c>
      <c r="C3139" t="s">
        <v>1509</v>
      </c>
      <c r="D3139" t="s">
        <v>16126</v>
      </c>
      <c r="E3139" t="s">
        <v>20</v>
      </c>
      <c r="F3139" t="s">
        <v>106</v>
      </c>
      <c r="G3139" t="s">
        <v>106</v>
      </c>
      <c r="H3139" t="s">
        <v>107</v>
      </c>
      <c r="I3139" t="s">
        <v>378</v>
      </c>
      <c r="J3139" t="s">
        <v>25</v>
      </c>
      <c r="K3139" t="s">
        <v>16127</v>
      </c>
      <c r="L3139">
        <v>0.1</v>
      </c>
      <c r="M3139" t="s">
        <v>16128</v>
      </c>
      <c r="N3139" t="s">
        <v>16129</v>
      </c>
      <c r="O3139" t="s">
        <v>64</v>
      </c>
      <c r="P3139" t="s">
        <v>112</v>
      </c>
      <c r="Q3139" t="s">
        <v>31</v>
      </c>
      <c r="R3139" s="3">
        <v>13388.454</v>
      </c>
    </row>
    <row r="3140" spans="1:18" x14ac:dyDescent="0.3">
      <c r="A3140" t="s">
        <v>16130</v>
      </c>
      <c r="B3140" t="str">
        <f>TEXT(Raw_Data[[#This Row],[Order Date]],"mmm")</f>
        <v>Jul</v>
      </c>
      <c r="C3140" t="s">
        <v>3354</v>
      </c>
      <c r="D3140" t="s">
        <v>16131</v>
      </c>
      <c r="E3140" t="s">
        <v>20</v>
      </c>
      <c r="F3140" t="s">
        <v>215</v>
      </c>
      <c r="G3140" t="s">
        <v>216</v>
      </c>
      <c r="H3140" t="s">
        <v>23</v>
      </c>
      <c r="I3140" t="s">
        <v>183</v>
      </c>
      <c r="J3140" t="s">
        <v>25</v>
      </c>
      <c r="K3140" t="s">
        <v>16132</v>
      </c>
      <c r="L3140">
        <v>0</v>
      </c>
      <c r="M3140" t="s">
        <v>16133</v>
      </c>
      <c r="N3140" t="s">
        <v>16134</v>
      </c>
      <c r="O3140" t="s">
        <v>173</v>
      </c>
      <c r="P3140" t="s">
        <v>30</v>
      </c>
      <c r="Q3140" t="s">
        <v>31</v>
      </c>
      <c r="R3140" s="3">
        <v>70646.83</v>
      </c>
    </row>
    <row r="3141" spans="1:18" x14ac:dyDescent="0.3">
      <c r="A3141" t="s">
        <v>16135</v>
      </c>
      <c r="B3141" t="str">
        <f>TEXT(Raw_Data[[#This Row],[Order Date]],"mmm")</f>
        <v>Jun</v>
      </c>
      <c r="C3141" t="s">
        <v>2546</v>
      </c>
      <c r="D3141" t="s">
        <v>16136</v>
      </c>
      <c r="E3141" t="s">
        <v>20</v>
      </c>
      <c r="F3141" t="s">
        <v>58</v>
      </c>
      <c r="G3141" t="s">
        <v>812</v>
      </c>
      <c r="H3141" t="s">
        <v>107</v>
      </c>
      <c r="I3141" t="s">
        <v>469</v>
      </c>
      <c r="J3141" t="s">
        <v>50</v>
      </c>
      <c r="K3141" t="s">
        <v>16137</v>
      </c>
      <c r="L3141">
        <v>0</v>
      </c>
      <c r="M3141" t="s">
        <v>16138</v>
      </c>
      <c r="N3141" t="s">
        <v>16139</v>
      </c>
      <c r="O3141" t="s">
        <v>43</v>
      </c>
      <c r="P3141" t="s">
        <v>30</v>
      </c>
      <c r="Q3141" t="s">
        <v>44</v>
      </c>
      <c r="R3141" s="3">
        <v>28577.9</v>
      </c>
    </row>
    <row r="3142" spans="1:18" x14ac:dyDescent="0.3">
      <c r="A3142" t="s">
        <v>16140</v>
      </c>
      <c r="B3142" t="str">
        <f>TEXT(Raw_Data[[#This Row],[Order Date]],"mmm")</f>
        <v>Oct</v>
      </c>
      <c r="C3142" t="s">
        <v>1227</v>
      </c>
      <c r="D3142" t="s">
        <v>16141</v>
      </c>
      <c r="E3142" t="s">
        <v>20</v>
      </c>
      <c r="F3142" t="s">
        <v>69</v>
      </c>
      <c r="G3142" t="s">
        <v>328</v>
      </c>
      <c r="H3142" t="s">
        <v>80</v>
      </c>
      <c r="I3142" t="s">
        <v>116</v>
      </c>
      <c r="J3142" t="s">
        <v>25</v>
      </c>
      <c r="K3142" t="s">
        <v>16142</v>
      </c>
      <c r="L3142">
        <v>0.2</v>
      </c>
      <c r="M3142" t="s">
        <v>16143</v>
      </c>
      <c r="N3142" t="s">
        <v>16144</v>
      </c>
      <c r="O3142" t="s">
        <v>173</v>
      </c>
      <c r="P3142" t="s">
        <v>30</v>
      </c>
      <c r="Q3142" t="s">
        <v>65</v>
      </c>
      <c r="R3142" s="3">
        <v>1074.472</v>
      </c>
    </row>
    <row r="3143" spans="1:18" x14ac:dyDescent="0.3">
      <c r="A3143" t="s">
        <v>16145</v>
      </c>
      <c r="B3143" t="str">
        <f>TEXT(Raw_Data[[#This Row],[Order Date]],"mmm")</f>
        <v>Jun</v>
      </c>
      <c r="C3143" t="s">
        <v>764</v>
      </c>
      <c r="D3143" t="s">
        <v>16146</v>
      </c>
      <c r="E3143" t="s">
        <v>35</v>
      </c>
      <c r="F3143" t="s">
        <v>78</v>
      </c>
      <c r="G3143" t="s">
        <v>731</v>
      </c>
      <c r="H3143" t="s">
        <v>80</v>
      </c>
      <c r="I3143" t="s">
        <v>591</v>
      </c>
      <c r="J3143" t="s">
        <v>25</v>
      </c>
      <c r="K3143" t="s">
        <v>16147</v>
      </c>
      <c r="L3143">
        <v>0</v>
      </c>
      <c r="M3143" t="s">
        <v>16148</v>
      </c>
      <c r="N3143" t="s">
        <v>16149</v>
      </c>
      <c r="O3143" t="s">
        <v>135</v>
      </c>
      <c r="P3143" t="s">
        <v>30</v>
      </c>
      <c r="Q3143" t="s">
        <v>44</v>
      </c>
      <c r="R3143" s="3">
        <v>17455.89</v>
      </c>
    </row>
    <row r="3144" spans="1:18" x14ac:dyDescent="0.3">
      <c r="A3144" t="s">
        <v>16150</v>
      </c>
      <c r="B3144" t="str">
        <f>TEXT(Raw_Data[[#This Row],[Order Date]],"mmm")</f>
        <v>May</v>
      </c>
      <c r="C3144" t="s">
        <v>948</v>
      </c>
      <c r="D3144" t="s">
        <v>16151</v>
      </c>
      <c r="E3144" t="s">
        <v>20</v>
      </c>
      <c r="F3144" t="s">
        <v>69</v>
      </c>
      <c r="G3144" t="s">
        <v>328</v>
      </c>
      <c r="H3144" t="s">
        <v>80</v>
      </c>
      <c r="I3144" t="s">
        <v>131</v>
      </c>
      <c r="J3144" t="s">
        <v>50</v>
      </c>
      <c r="K3144" t="s">
        <v>16152</v>
      </c>
      <c r="L3144">
        <v>0</v>
      </c>
      <c r="M3144" t="s">
        <v>16153</v>
      </c>
      <c r="N3144" t="s">
        <v>16154</v>
      </c>
      <c r="O3144" t="s">
        <v>64</v>
      </c>
      <c r="P3144" t="s">
        <v>30</v>
      </c>
      <c r="Q3144" t="s">
        <v>44</v>
      </c>
      <c r="R3144" s="3">
        <v>12356.78</v>
      </c>
    </row>
    <row r="3145" spans="1:18" x14ac:dyDescent="0.3">
      <c r="A3145" t="s">
        <v>16155</v>
      </c>
      <c r="B3145" t="str">
        <f>TEXT(Raw_Data[[#This Row],[Order Date]],"mmm")</f>
        <v>Mar</v>
      </c>
      <c r="C3145" t="s">
        <v>425</v>
      </c>
      <c r="D3145" t="s">
        <v>16156</v>
      </c>
      <c r="E3145" t="s">
        <v>35</v>
      </c>
      <c r="F3145" t="s">
        <v>36</v>
      </c>
      <c r="G3145" t="s">
        <v>37</v>
      </c>
      <c r="H3145" t="s">
        <v>107</v>
      </c>
      <c r="I3145" t="s">
        <v>378</v>
      </c>
      <c r="J3145" t="s">
        <v>25</v>
      </c>
      <c r="K3145" t="s">
        <v>16157</v>
      </c>
      <c r="L3145">
        <v>0.05</v>
      </c>
      <c r="M3145" t="s">
        <v>16158</v>
      </c>
      <c r="N3145" t="s">
        <v>16159</v>
      </c>
      <c r="O3145" t="s">
        <v>29</v>
      </c>
      <c r="P3145" t="s">
        <v>159</v>
      </c>
      <c r="Q3145" t="s">
        <v>44</v>
      </c>
      <c r="R3145" s="3">
        <v>13805.97</v>
      </c>
    </row>
    <row r="3146" spans="1:18" x14ac:dyDescent="0.3">
      <c r="A3146" t="s">
        <v>16160</v>
      </c>
      <c r="B3146" t="str">
        <f>TEXT(Raw_Data[[#This Row],[Order Date]],"mmm")</f>
        <v>Jun</v>
      </c>
      <c r="C3146" t="s">
        <v>3993</v>
      </c>
      <c r="D3146" t="s">
        <v>16161</v>
      </c>
      <c r="E3146" t="s">
        <v>20</v>
      </c>
      <c r="F3146" t="s">
        <v>215</v>
      </c>
      <c r="G3146" t="s">
        <v>216</v>
      </c>
      <c r="H3146" t="s">
        <v>107</v>
      </c>
      <c r="I3146" t="s">
        <v>378</v>
      </c>
      <c r="J3146" t="s">
        <v>100</v>
      </c>
      <c r="K3146" t="s">
        <v>16162</v>
      </c>
      <c r="L3146">
        <v>0.1</v>
      </c>
      <c r="M3146" t="s">
        <v>16163</v>
      </c>
      <c r="N3146" t="s">
        <v>16164</v>
      </c>
      <c r="O3146" t="s">
        <v>43</v>
      </c>
      <c r="P3146" t="s">
        <v>112</v>
      </c>
      <c r="Q3146" t="s">
        <v>65</v>
      </c>
      <c r="R3146" s="3">
        <v>45417.671999999999</v>
      </c>
    </row>
    <row r="3147" spans="1:18" x14ac:dyDescent="0.3">
      <c r="A3147" t="s">
        <v>16165</v>
      </c>
      <c r="B3147" t="str">
        <f>TEXT(Raw_Data[[#This Row],[Order Date]],"mmm")</f>
        <v>Jan</v>
      </c>
      <c r="C3147" t="s">
        <v>2886</v>
      </c>
      <c r="D3147" t="s">
        <v>16166</v>
      </c>
      <c r="E3147" t="s">
        <v>48</v>
      </c>
      <c r="F3147" t="s">
        <v>78</v>
      </c>
      <c r="G3147" t="s">
        <v>731</v>
      </c>
      <c r="H3147" t="s">
        <v>80</v>
      </c>
      <c r="I3147" t="s">
        <v>131</v>
      </c>
      <c r="J3147" t="s">
        <v>25</v>
      </c>
      <c r="K3147" t="s">
        <v>16167</v>
      </c>
      <c r="L3147">
        <v>0.05</v>
      </c>
      <c r="M3147" t="s">
        <v>16168</v>
      </c>
      <c r="N3147" t="s">
        <v>16169</v>
      </c>
      <c r="O3147" t="s">
        <v>54</v>
      </c>
      <c r="P3147" t="s">
        <v>30</v>
      </c>
      <c r="Q3147" t="s">
        <v>65</v>
      </c>
      <c r="R3147" s="3">
        <v>4719.6570000000002</v>
      </c>
    </row>
    <row r="3148" spans="1:18" x14ac:dyDescent="0.3">
      <c r="A3148" t="s">
        <v>16170</v>
      </c>
      <c r="B3148" t="str">
        <f>TEXT(Raw_Data[[#This Row],[Order Date]],"mmm")</f>
        <v>Dec</v>
      </c>
      <c r="C3148" t="s">
        <v>1769</v>
      </c>
      <c r="D3148" t="s">
        <v>16171</v>
      </c>
      <c r="E3148" t="s">
        <v>35</v>
      </c>
      <c r="F3148" t="s">
        <v>36</v>
      </c>
      <c r="G3148" t="s">
        <v>196</v>
      </c>
      <c r="H3148" t="s">
        <v>38</v>
      </c>
      <c r="I3148" t="s">
        <v>223</v>
      </c>
      <c r="J3148" t="s">
        <v>100</v>
      </c>
      <c r="K3148" t="s">
        <v>16172</v>
      </c>
      <c r="L3148">
        <v>0.15</v>
      </c>
      <c r="M3148" t="s">
        <v>16173</v>
      </c>
      <c r="N3148" t="s">
        <v>16174</v>
      </c>
      <c r="O3148" t="s">
        <v>43</v>
      </c>
      <c r="P3148" t="s">
        <v>30</v>
      </c>
      <c r="Q3148" t="s">
        <v>44</v>
      </c>
      <c r="R3148" s="3">
        <v>11291.782499999999</v>
      </c>
    </row>
    <row r="3149" spans="1:18" x14ac:dyDescent="0.3">
      <c r="A3149" t="s">
        <v>16175</v>
      </c>
      <c r="B3149" t="str">
        <f>TEXT(Raw_Data[[#This Row],[Order Date]],"mmm")</f>
        <v>Jan</v>
      </c>
      <c r="C3149" t="s">
        <v>3337</v>
      </c>
      <c r="D3149" t="s">
        <v>16176</v>
      </c>
      <c r="E3149" t="s">
        <v>20</v>
      </c>
      <c r="F3149" t="s">
        <v>106</v>
      </c>
      <c r="G3149" t="s">
        <v>163</v>
      </c>
      <c r="H3149" t="s">
        <v>80</v>
      </c>
      <c r="I3149" t="s">
        <v>81</v>
      </c>
      <c r="J3149" t="s">
        <v>50</v>
      </c>
      <c r="K3149" t="s">
        <v>16177</v>
      </c>
      <c r="L3149">
        <v>0.1</v>
      </c>
      <c r="M3149" t="s">
        <v>16178</v>
      </c>
      <c r="N3149" t="s">
        <v>16179</v>
      </c>
      <c r="O3149" t="s">
        <v>64</v>
      </c>
      <c r="P3149" t="s">
        <v>30</v>
      </c>
      <c r="Q3149" t="s">
        <v>44</v>
      </c>
      <c r="R3149" s="3">
        <v>8115.19199999999</v>
      </c>
    </row>
    <row r="3150" spans="1:18" x14ac:dyDescent="0.3">
      <c r="A3150" t="s">
        <v>16180</v>
      </c>
      <c r="B3150" t="str">
        <f>TEXT(Raw_Data[[#This Row],[Order Date]],"mmm")</f>
        <v>May</v>
      </c>
      <c r="C3150" t="s">
        <v>1781</v>
      </c>
      <c r="D3150" t="s">
        <v>16181</v>
      </c>
      <c r="E3150" t="s">
        <v>20</v>
      </c>
      <c r="F3150" t="s">
        <v>21</v>
      </c>
      <c r="G3150" t="s">
        <v>22</v>
      </c>
      <c r="H3150" t="s">
        <v>80</v>
      </c>
      <c r="I3150" t="s">
        <v>146</v>
      </c>
      <c r="J3150" t="s">
        <v>25</v>
      </c>
      <c r="K3150" t="s">
        <v>16182</v>
      </c>
      <c r="L3150">
        <v>0.1</v>
      </c>
      <c r="M3150" t="s">
        <v>16183</v>
      </c>
      <c r="N3150" t="s">
        <v>16184</v>
      </c>
      <c r="O3150" t="s">
        <v>29</v>
      </c>
      <c r="P3150" t="s">
        <v>112</v>
      </c>
      <c r="Q3150" t="s">
        <v>65</v>
      </c>
      <c r="R3150" s="3">
        <v>5250.4380000000001</v>
      </c>
    </row>
    <row r="3151" spans="1:18" x14ac:dyDescent="0.3">
      <c r="A3151" t="s">
        <v>16185</v>
      </c>
      <c r="B3151" t="str">
        <f>TEXT(Raw_Data[[#This Row],[Order Date]],"mmm")</f>
        <v>Jun</v>
      </c>
      <c r="C3151" t="s">
        <v>3638</v>
      </c>
      <c r="D3151" t="s">
        <v>16186</v>
      </c>
      <c r="E3151" t="s">
        <v>20</v>
      </c>
      <c r="F3151" t="s">
        <v>215</v>
      </c>
      <c r="G3151" t="s">
        <v>216</v>
      </c>
      <c r="H3151" t="s">
        <v>107</v>
      </c>
      <c r="I3151" t="s">
        <v>378</v>
      </c>
      <c r="J3151" t="s">
        <v>25</v>
      </c>
      <c r="K3151" t="s">
        <v>16187</v>
      </c>
      <c r="L3151">
        <v>0.15</v>
      </c>
      <c r="M3151" t="s">
        <v>16188</v>
      </c>
      <c r="N3151" t="s">
        <v>16189</v>
      </c>
      <c r="O3151" t="s">
        <v>43</v>
      </c>
      <c r="P3151" t="s">
        <v>30</v>
      </c>
      <c r="Q3151" t="s">
        <v>31</v>
      </c>
      <c r="R3151" s="3">
        <v>5026.3984999999902</v>
      </c>
    </row>
    <row r="3152" spans="1:18" x14ac:dyDescent="0.3">
      <c r="A3152" t="s">
        <v>16190</v>
      </c>
      <c r="B3152" t="str">
        <f>TEXT(Raw_Data[[#This Row],[Order Date]],"mmm")</f>
        <v>Apr</v>
      </c>
      <c r="C3152" t="s">
        <v>2095</v>
      </c>
      <c r="D3152" t="s">
        <v>16191</v>
      </c>
      <c r="E3152" t="s">
        <v>20</v>
      </c>
      <c r="F3152" t="s">
        <v>78</v>
      </c>
      <c r="G3152" t="s">
        <v>731</v>
      </c>
      <c r="H3152" t="s">
        <v>154</v>
      </c>
      <c r="I3152" t="s">
        <v>309</v>
      </c>
      <c r="J3152" t="s">
        <v>50</v>
      </c>
      <c r="K3152" t="s">
        <v>16192</v>
      </c>
      <c r="L3152">
        <v>0.1</v>
      </c>
      <c r="M3152" t="s">
        <v>16193</v>
      </c>
      <c r="N3152" t="s">
        <v>16194</v>
      </c>
      <c r="O3152" t="s">
        <v>29</v>
      </c>
      <c r="P3152" t="s">
        <v>30</v>
      </c>
      <c r="Q3152" t="s">
        <v>31</v>
      </c>
      <c r="R3152" s="3">
        <v>6367.41</v>
      </c>
    </row>
    <row r="3153" spans="1:18" x14ac:dyDescent="0.3">
      <c r="A3153" t="s">
        <v>16195</v>
      </c>
      <c r="B3153" t="str">
        <f>TEXT(Raw_Data[[#This Row],[Order Date]],"mmm")</f>
        <v>Jun</v>
      </c>
      <c r="C3153" t="s">
        <v>1274</v>
      </c>
      <c r="D3153" t="s">
        <v>16196</v>
      </c>
      <c r="E3153" t="s">
        <v>20</v>
      </c>
      <c r="F3153" t="s">
        <v>78</v>
      </c>
      <c r="G3153" t="s">
        <v>468</v>
      </c>
      <c r="H3153" t="s">
        <v>154</v>
      </c>
      <c r="I3153" t="s">
        <v>237</v>
      </c>
      <c r="J3153" t="s">
        <v>25</v>
      </c>
      <c r="K3153" t="s">
        <v>16197</v>
      </c>
      <c r="L3153">
        <v>0.2</v>
      </c>
      <c r="M3153" t="s">
        <v>16198</v>
      </c>
      <c r="N3153" t="s">
        <v>16199</v>
      </c>
      <c r="O3153" t="s">
        <v>29</v>
      </c>
      <c r="P3153" t="s">
        <v>95</v>
      </c>
      <c r="Q3153" t="s">
        <v>65</v>
      </c>
      <c r="R3153" s="3">
        <v>7259.576</v>
      </c>
    </row>
    <row r="3154" spans="1:18" x14ac:dyDescent="0.3">
      <c r="A3154" t="s">
        <v>16200</v>
      </c>
      <c r="B3154" t="str">
        <f>TEXT(Raw_Data[[#This Row],[Order Date]],"mmm")</f>
        <v>Jun</v>
      </c>
      <c r="C3154" t="s">
        <v>4510</v>
      </c>
      <c r="D3154" t="s">
        <v>16201</v>
      </c>
      <c r="E3154" t="s">
        <v>20</v>
      </c>
      <c r="F3154" t="s">
        <v>78</v>
      </c>
      <c r="G3154" t="s">
        <v>468</v>
      </c>
      <c r="H3154" t="s">
        <v>107</v>
      </c>
      <c r="I3154" t="s">
        <v>378</v>
      </c>
      <c r="J3154" t="s">
        <v>25</v>
      </c>
      <c r="K3154" t="s">
        <v>16202</v>
      </c>
      <c r="L3154">
        <v>0.1</v>
      </c>
      <c r="M3154" t="s">
        <v>16203</v>
      </c>
      <c r="N3154" t="s">
        <v>16204</v>
      </c>
      <c r="O3154" t="s">
        <v>64</v>
      </c>
      <c r="P3154" t="s">
        <v>112</v>
      </c>
      <c r="Q3154" t="s">
        <v>31</v>
      </c>
      <c r="R3154" s="3">
        <v>5194.7550000000001</v>
      </c>
    </row>
    <row r="3155" spans="1:18" x14ac:dyDescent="0.3">
      <c r="A3155" t="s">
        <v>16205</v>
      </c>
      <c r="B3155" t="str">
        <f>TEXT(Raw_Data[[#This Row],[Order Date]],"mmm")</f>
        <v>Nov</v>
      </c>
      <c r="C3155" t="s">
        <v>1144</v>
      </c>
      <c r="D3155" t="s">
        <v>16206</v>
      </c>
      <c r="E3155" t="s">
        <v>35</v>
      </c>
      <c r="F3155" t="s">
        <v>106</v>
      </c>
      <c r="G3155" t="s">
        <v>163</v>
      </c>
      <c r="H3155" t="s">
        <v>80</v>
      </c>
      <c r="I3155" t="s">
        <v>146</v>
      </c>
      <c r="J3155" t="s">
        <v>25</v>
      </c>
      <c r="K3155" t="s">
        <v>16207</v>
      </c>
      <c r="L3155">
        <v>0.2</v>
      </c>
      <c r="M3155" t="s">
        <v>16208</v>
      </c>
      <c r="N3155" t="s">
        <v>16209</v>
      </c>
      <c r="O3155" t="s">
        <v>43</v>
      </c>
      <c r="P3155" t="s">
        <v>159</v>
      </c>
      <c r="Q3155" t="s">
        <v>31</v>
      </c>
      <c r="R3155" s="3">
        <v>3948.96</v>
      </c>
    </row>
    <row r="3156" spans="1:18" x14ac:dyDescent="0.3">
      <c r="A3156" t="s">
        <v>16210</v>
      </c>
      <c r="B3156" t="str">
        <f>TEXT(Raw_Data[[#This Row],[Order Date]],"mmm")</f>
        <v>Feb</v>
      </c>
      <c r="C3156" t="s">
        <v>1087</v>
      </c>
      <c r="D3156" t="s">
        <v>16211</v>
      </c>
      <c r="E3156" t="s">
        <v>48</v>
      </c>
      <c r="F3156" t="s">
        <v>106</v>
      </c>
      <c r="G3156" t="s">
        <v>106</v>
      </c>
      <c r="H3156" t="s">
        <v>154</v>
      </c>
      <c r="I3156" t="s">
        <v>309</v>
      </c>
      <c r="J3156" t="s">
        <v>82</v>
      </c>
      <c r="K3156" t="s">
        <v>16212</v>
      </c>
      <c r="L3156">
        <v>0.1</v>
      </c>
      <c r="M3156" t="s">
        <v>16213</v>
      </c>
      <c r="N3156" t="s">
        <v>16214</v>
      </c>
      <c r="O3156" t="s">
        <v>173</v>
      </c>
      <c r="P3156" t="s">
        <v>30</v>
      </c>
      <c r="Q3156" t="s">
        <v>31</v>
      </c>
      <c r="R3156" s="3">
        <v>15404.868</v>
      </c>
    </row>
    <row r="3157" spans="1:18" x14ac:dyDescent="0.3">
      <c r="A3157" t="s">
        <v>16215</v>
      </c>
      <c r="B3157" t="str">
        <f>TEXT(Raw_Data[[#This Row],[Order Date]],"mmm")</f>
        <v>Feb</v>
      </c>
      <c r="C3157" t="s">
        <v>2133</v>
      </c>
      <c r="D3157" t="s">
        <v>16216</v>
      </c>
      <c r="E3157" t="s">
        <v>35</v>
      </c>
      <c r="F3157" t="s">
        <v>215</v>
      </c>
      <c r="G3157" t="s">
        <v>216</v>
      </c>
      <c r="H3157" t="s">
        <v>80</v>
      </c>
      <c r="I3157" t="s">
        <v>146</v>
      </c>
      <c r="J3157" t="s">
        <v>25</v>
      </c>
      <c r="K3157" t="s">
        <v>16217</v>
      </c>
      <c r="L3157">
        <v>0</v>
      </c>
      <c r="M3157" t="s">
        <v>16218</v>
      </c>
      <c r="N3157" t="s">
        <v>16219</v>
      </c>
      <c r="O3157" t="s">
        <v>54</v>
      </c>
      <c r="P3157" t="s">
        <v>112</v>
      </c>
      <c r="Q3157" t="s">
        <v>44</v>
      </c>
      <c r="R3157" s="3">
        <v>4802.6000000000004</v>
      </c>
    </row>
    <row r="3158" spans="1:18" x14ac:dyDescent="0.3">
      <c r="A3158" t="s">
        <v>16220</v>
      </c>
      <c r="B3158" t="str">
        <f>TEXT(Raw_Data[[#This Row],[Order Date]],"mmm")</f>
        <v>Jan</v>
      </c>
      <c r="C3158" t="s">
        <v>2602</v>
      </c>
      <c r="D3158" t="s">
        <v>16221</v>
      </c>
      <c r="E3158" t="s">
        <v>35</v>
      </c>
      <c r="F3158" t="s">
        <v>106</v>
      </c>
      <c r="G3158" t="s">
        <v>163</v>
      </c>
      <c r="H3158" t="s">
        <v>80</v>
      </c>
      <c r="I3158" t="s">
        <v>91</v>
      </c>
      <c r="J3158" t="s">
        <v>25</v>
      </c>
      <c r="K3158" t="s">
        <v>16222</v>
      </c>
      <c r="L3158">
        <v>0</v>
      </c>
      <c r="M3158" t="s">
        <v>16223</v>
      </c>
      <c r="N3158" t="s">
        <v>16224</v>
      </c>
      <c r="O3158" t="s">
        <v>64</v>
      </c>
      <c r="P3158" t="s">
        <v>30</v>
      </c>
      <c r="Q3158" t="s">
        <v>65</v>
      </c>
      <c r="R3158" s="3">
        <v>532.4</v>
      </c>
    </row>
    <row r="3159" spans="1:18" x14ac:dyDescent="0.3">
      <c r="A3159" t="s">
        <v>16225</v>
      </c>
      <c r="B3159" t="str">
        <f>TEXT(Raw_Data[[#This Row],[Order Date]],"mmm")</f>
        <v>Apr</v>
      </c>
      <c r="C3159" t="s">
        <v>1686</v>
      </c>
      <c r="D3159" t="s">
        <v>16226</v>
      </c>
      <c r="E3159" t="s">
        <v>20</v>
      </c>
      <c r="F3159" t="s">
        <v>106</v>
      </c>
      <c r="G3159" t="s">
        <v>163</v>
      </c>
      <c r="H3159" t="s">
        <v>23</v>
      </c>
      <c r="I3159" t="s">
        <v>49</v>
      </c>
      <c r="J3159" t="s">
        <v>100</v>
      </c>
      <c r="K3159" t="s">
        <v>16227</v>
      </c>
      <c r="L3159">
        <v>0.1</v>
      </c>
      <c r="M3159" t="s">
        <v>16228</v>
      </c>
      <c r="N3159" t="s">
        <v>16229</v>
      </c>
      <c r="O3159" t="s">
        <v>43</v>
      </c>
      <c r="P3159" t="s">
        <v>30</v>
      </c>
      <c r="Q3159" t="s">
        <v>44</v>
      </c>
      <c r="R3159" s="3">
        <v>156053.46599999999</v>
      </c>
    </row>
    <row r="3160" spans="1:18" x14ac:dyDescent="0.3">
      <c r="A3160" t="s">
        <v>16230</v>
      </c>
      <c r="B3160" t="str">
        <f>TEXT(Raw_Data[[#This Row],[Order Date]],"mmm")</f>
        <v>Aug</v>
      </c>
      <c r="C3160" t="s">
        <v>151</v>
      </c>
      <c r="D3160" t="s">
        <v>16231</v>
      </c>
      <c r="E3160" t="s">
        <v>35</v>
      </c>
      <c r="F3160" t="s">
        <v>78</v>
      </c>
      <c r="G3160" t="s">
        <v>731</v>
      </c>
      <c r="H3160" t="s">
        <v>107</v>
      </c>
      <c r="I3160" t="s">
        <v>108</v>
      </c>
      <c r="J3160" t="s">
        <v>50</v>
      </c>
      <c r="K3160" t="s">
        <v>16232</v>
      </c>
      <c r="L3160">
        <v>0</v>
      </c>
      <c r="M3160" t="s">
        <v>16233</v>
      </c>
      <c r="N3160" t="s">
        <v>16234</v>
      </c>
      <c r="O3160" t="s">
        <v>54</v>
      </c>
      <c r="P3160" t="s">
        <v>95</v>
      </c>
      <c r="Q3160" t="s">
        <v>31</v>
      </c>
      <c r="R3160" s="3">
        <v>2374.7199999999998</v>
      </c>
    </row>
    <row r="3161" spans="1:18" x14ac:dyDescent="0.3">
      <c r="A3161" t="s">
        <v>16235</v>
      </c>
      <c r="B3161" t="str">
        <f>TEXT(Raw_Data[[#This Row],[Order Date]],"mmm")</f>
        <v>Jan</v>
      </c>
      <c r="C3161" t="s">
        <v>2970</v>
      </c>
      <c r="D3161" t="s">
        <v>16236</v>
      </c>
      <c r="E3161" t="s">
        <v>20</v>
      </c>
      <c r="F3161" t="s">
        <v>89</v>
      </c>
      <c r="G3161" t="s">
        <v>99</v>
      </c>
      <c r="H3161" t="s">
        <v>38</v>
      </c>
      <c r="I3161" t="s">
        <v>71</v>
      </c>
      <c r="J3161" t="s">
        <v>25</v>
      </c>
      <c r="K3161" t="s">
        <v>16237</v>
      </c>
      <c r="L3161">
        <v>0.1</v>
      </c>
      <c r="M3161" t="s">
        <v>16238</v>
      </c>
      <c r="N3161" t="s">
        <v>16239</v>
      </c>
      <c r="O3161" t="s">
        <v>54</v>
      </c>
      <c r="P3161" t="s">
        <v>30</v>
      </c>
      <c r="Q3161" t="s">
        <v>31</v>
      </c>
      <c r="R3161" s="3">
        <v>5053.8959999999997</v>
      </c>
    </row>
    <row r="3162" spans="1:18" x14ac:dyDescent="0.3">
      <c r="A3162" t="s">
        <v>16240</v>
      </c>
      <c r="B3162" t="str">
        <f>TEXT(Raw_Data[[#This Row],[Order Date]],"mmm")</f>
        <v>Nov</v>
      </c>
      <c r="C3162" t="s">
        <v>4206</v>
      </c>
      <c r="D3162" t="s">
        <v>16241</v>
      </c>
      <c r="E3162" t="s">
        <v>48</v>
      </c>
      <c r="F3162" t="s">
        <v>69</v>
      </c>
      <c r="G3162" t="s">
        <v>139</v>
      </c>
      <c r="H3162" t="s">
        <v>23</v>
      </c>
      <c r="I3162" t="s">
        <v>341</v>
      </c>
      <c r="J3162" t="s">
        <v>25</v>
      </c>
      <c r="K3162" t="s">
        <v>16242</v>
      </c>
      <c r="L3162">
        <v>0</v>
      </c>
      <c r="M3162" t="s">
        <v>16243</v>
      </c>
      <c r="N3162" t="s">
        <v>16244</v>
      </c>
      <c r="O3162" t="s">
        <v>43</v>
      </c>
      <c r="P3162" t="s">
        <v>30</v>
      </c>
      <c r="Q3162" t="s">
        <v>65</v>
      </c>
      <c r="R3162" s="3">
        <v>27744.62</v>
      </c>
    </row>
    <row r="3163" spans="1:18" x14ac:dyDescent="0.3">
      <c r="A3163" t="s">
        <v>16245</v>
      </c>
      <c r="B3163" t="str">
        <f>TEXT(Raw_Data[[#This Row],[Order Date]],"mmm")</f>
        <v>Feb</v>
      </c>
      <c r="C3163" t="s">
        <v>2145</v>
      </c>
      <c r="D3163" t="s">
        <v>16246</v>
      </c>
      <c r="E3163" t="s">
        <v>35</v>
      </c>
      <c r="F3163" t="s">
        <v>69</v>
      </c>
      <c r="G3163" t="s">
        <v>328</v>
      </c>
      <c r="H3163" t="s">
        <v>107</v>
      </c>
      <c r="I3163" t="s">
        <v>378</v>
      </c>
      <c r="J3163" t="s">
        <v>25</v>
      </c>
      <c r="K3163" t="s">
        <v>16247</v>
      </c>
      <c r="L3163">
        <v>0.05</v>
      </c>
      <c r="M3163" t="s">
        <v>16248</v>
      </c>
      <c r="N3163" t="s">
        <v>16249</v>
      </c>
      <c r="O3163" t="s">
        <v>54</v>
      </c>
      <c r="P3163" t="s">
        <v>30</v>
      </c>
      <c r="Q3163" t="s">
        <v>31</v>
      </c>
      <c r="R3163" s="3">
        <v>2796.0589999999902</v>
      </c>
    </row>
    <row r="3164" spans="1:18" x14ac:dyDescent="0.3">
      <c r="A3164" t="s">
        <v>16250</v>
      </c>
      <c r="B3164" t="str">
        <f>TEXT(Raw_Data[[#This Row],[Order Date]],"mmm")</f>
        <v>Feb</v>
      </c>
      <c r="C3164" t="s">
        <v>201</v>
      </c>
      <c r="D3164" t="s">
        <v>16251</v>
      </c>
      <c r="E3164" t="s">
        <v>48</v>
      </c>
      <c r="F3164" t="s">
        <v>215</v>
      </c>
      <c r="G3164" t="s">
        <v>276</v>
      </c>
      <c r="H3164" t="s">
        <v>154</v>
      </c>
      <c r="I3164" t="s">
        <v>237</v>
      </c>
      <c r="J3164" t="s">
        <v>50</v>
      </c>
      <c r="K3164" t="s">
        <v>16252</v>
      </c>
      <c r="L3164">
        <v>0</v>
      </c>
      <c r="M3164" t="s">
        <v>16253</v>
      </c>
      <c r="N3164" t="s">
        <v>16254</v>
      </c>
      <c r="O3164" t="s">
        <v>43</v>
      </c>
      <c r="P3164" t="s">
        <v>30</v>
      </c>
      <c r="Q3164" t="s">
        <v>65</v>
      </c>
      <c r="R3164" s="3">
        <v>12945.64</v>
      </c>
    </row>
    <row r="3165" spans="1:18" x14ac:dyDescent="0.3">
      <c r="A3165" t="s">
        <v>16255</v>
      </c>
      <c r="B3165" t="str">
        <f>TEXT(Raw_Data[[#This Row],[Order Date]],"mmm")</f>
        <v>Dec</v>
      </c>
      <c r="C3165" t="s">
        <v>168</v>
      </c>
      <c r="D3165" t="s">
        <v>16256</v>
      </c>
      <c r="E3165" t="s">
        <v>48</v>
      </c>
      <c r="F3165" t="s">
        <v>58</v>
      </c>
      <c r="G3165" t="s">
        <v>812</v>
      </c>
      <c r="H3165" t="s">
        <v>154</v>
      </c>
      <c r="I3165" t="s">
        <v>1061</v>
      </c>
      <c r="J3165" t="s">
        <v>100</v>
      </c>
      <c r="K3165" t="s">
        <v>16257</v>
      </c>
      <c r="L3165">
        <v>0.1</v>
      </c>
      <c r="M3165" t="s">
        <v>16258</v>
      </c>
      <c r="N3165" t="s">
        <v>16259</v>
      </c>
      <c r="O3165" t="s">
        <v>173</v>
      </c>
      <c r="P3165" t="s">
        <v>30</v>
      </c>
      <c r="Q3165" t="s">
        <v>65</v>
      </c>
      <c r="R3165" s="3">
        <v>10838.016</v>
      </c>
    </row>
    <row r="3166" spans="1:18" x14ac:dyDescent="0.3">
      <c r="A3166" t="s">
        <v>16260</v>
      </c>
      <c r="B3166" t="str">
        <f>TEXT(Raw_Data[[#This Row],[Order Date]],"mmm")</f>
        <v>Apr</v>
      </c>
      <c r="C3166" t="s">
        <v>1686</v>
      </c>
      <c r="D3166" t="s">
        <v>16261</v>
      </c>
      <c r="E3166" t="s">
        <v>35</v>
      </c>
      <c r="F3166" t="s">
        <v>106</v>
      </c>
      <c r="G3166" t="s">
        <v>106</v>
      </c>
      <c r="H3166" t="s">
        <v>80</v>
      </c>
      <c r="I3166" t="s">
        <v>81</v>
      </c>
      <c r="J3166" t="s">
        <v>25</v>
      </c>
      <c r="K3166" t="s">
        <v>16262</v>
      </c>
      <c r="L3166">
        <v>0</v>
      </c>
      <c r="M3166" t="s">
        <v>16263</v>
      </c>
      <c r="N3166" t="s">
        <v>16264</v>
      </c>
      <c r="O3166" t="s">
        <v>54</v>
      </c>
      <c r="P3166" t="s">
        <v>30</v>
      </c>
      <c r="Q3166" t="s">
        <v>65</v>
      </c>
      <c r="R3166" s="3">
        <v>4472.38</v>
      </c>
    </row>
    <row r="3167" spans="1:18" x14ac:dyDescent="0.3">
      <c r="A3167" t="s">
        <v>16265</v>
      </c>
      <c r="B3167" t="str">
        <f>TEXT(Raw_Data[[#This Row],[Order Date]],"mmm")</f>
        <v>Aug</v>
      </c>
      <c r="C3167" t="s">
        <v>6777</v>
      </c>
      <c r="D3167" t="s">
        <v>16266</v>
      </c>
      <c r="E3167" t="s">
        <v>35</v>
      </c>
      <c r="F3167" t="s">
        <v>69</v>
      </c>
      <c r="G3167" t="s">
        <v>139</v>
      </c>
      <c r="H3167" t="s">
        <v>80</v>
      </c>
      <c r="I3167" t="s">
        <v>131</v>
      </c>
      <c r="J3167" t="s">
        <v>50</v>
      </c>
      <c r="K3167" t="s">
        <v>16267</v>
      </c>
      <c r="L3167">
        <v>0.1</v>
      </c>
      <c r="M3167" t="s">
        <v>16268</v>
      </c>
      <c r="N3167" t="s">
        <v>16269</v>
      </c>
      <c r="O3167" t="s">
        <v>43</v>
      </c>
      <c r="P3167" t="s">
        <v>30</v>
      </c>
      <c r="Q3167" t="s">
        <v>31</v>
      </c>
      <c r="R3167" s="3">
        <v>8916.6419999999998</v>
      </c>
    </row>
    <row r="3168" spans="1:18" x14ac:dyDescent="0.3">
      <c r="A3168" t="s">
        <v>16270</v>
      </c>
      <c r="B3168" t="str">
        <f>TEXT(Raw_Data[[#This Row],[Order Date]],"mmm")</f>
        <v>Mar</v>
      </c>
      <c r="C3168" t="s">
        <v>2731</v>
      </c>
      <c r="D3168" t="s">
        <v>16271</v>
      </c>
      <c r="E3168" t="s">
        <v>20</v>
      </c>
      <c r="F3168" t="s">
        <v>21</v>
      </c>
      <c r="G3168" t="s">
        <v>22</v>
      </c>
      <c r="H3168" t="s">
        <v>154</v>
      </c>
      <c r="I3168" t="s">
        <v>309</v>
      </c>
      <c r="J3168" t="s">
        <v>25</v>
      </c>
      <c r="K3168" t="s">
        <v>16272</v>
      </c>
      <c r="L3168">
        <v>0.1</v>
      </c>
      <c r="M3168" t="s">
        <v>16273</v>
      </c>
      <c r="N3168" t="s">
        <v>16274</v>
      </c>
      <c r="O3168" t="s">
        <v>64</v>
      </c>
      <c r="P3168" t="s">
        <v>30</v>
      </c>
      <c r="Q3168" t="s">
        <v>65</v>
      </c>
      <c r="R3168" s="3">
        <v>1953.126</v>
      </c>
    </row>
    <row r="3169" spans="1:18" x14ac:dyDescent="0.3">
      <c r="A3169" t="s">
        <v>16275</v>
      </c>
      <c r="B3169" t="str">
        <f>TEXT(Raw_Data[[#This Row],[Order Date]],"mmm")</f>
        <v>Jan</v>
      </c>
      <c r="C3169" t="s">
        <v>320</v>
      </c>
      <c r="D3169" t="s">
        <v>16276</v>
      </c>
      <c r="E3169" t="s">
        <v>20</v>
      </c>
      <c r="F3169" t="s">
        <v>215</v>
      </c>
      <c r="G3169" t="s">
        <v>216</v>
      </c>
      <c r="H3169" t="s">
        <v>107</v>
      </c>
      <c r="I3169" t="s">
        <v>378</v>
      </c>
      <c r="J3169" t="s">
        <v>25</v>
      </c>
      <c r="K3169" t="s">
        <v>16277</v>
      </c>
      <c r="L3169">
        <v>0.05</v>
      </c>
      <c r="M3169" t="s">
        <v>16278</v>
      </c>
      <c r="N3169" t="s">
        <v>16279</v>
      </c>
      <c r="O3169" t="s">
        <v>43</v>
      </c>
      <c r="P3169" t="s">
        <v>159</v>
      </c>
      <c r="Q3169" t="s">
        <v>65</v>
      </c>
      <c r="R3169" s="3">
        <v>10396.324999999901</v>
      </c>
    </row>
    <row r="3170" spans="1:18" x14ac:dyDescent="0.3">
      <c r="A3170" t="s">
        <v>16280</v>
      </c>
      <c r="B3170" t="str">
        <f>TEXT(Raw_Data[[#This Row],[Order Date]],"mmm")</f>
        <v>Nov</v>
      </c>
      <c r="C3170" t="s">
        <v>4206</v>
      </c>
      <c r="D3170" t="s">
        <v>16281</v>
      </c>
      <c r="E3170" t="s">
        <v>48</v>
      </c>
      <c r="F3170" t="s">
        <v>89</v>
      </c>
      <c r="G3170" t="s">
        <v>230</v>
      </c>
      <c r="H3170" t="s">
        <v>107</v>
      </c>
      <c r="I3170" t="s">
        <v>108</v>
      </c>
      <c r="J3170" t="s">
        <v>25</v>
      </c>
      <c r="K3170" t="s">
        <v>16282</v>
      </c>
      <c r="L3170">
        <v>0.15</v>
      </c>
      <c r="M3170" t="s">
        <v>16283</v>
      </c>
      <c r="N3170" t="s">
        <v>16284</v>
      </c>
      <c r="O3170" t="s">
        <v>43</v>
      </c>
      <c r="P3170" t="s">
        <v>30</v>
      </c>
      <c r="Q3170" t="s">
        <v>31</v>
      </c>
      <c r="R3170" s="3">
        <v>6455.2569999999996</v>
      </c>
    </row>
    <row r="3171" spans="1:18" x14ac:dyDescent="0.3">
      <c r="A3171" t="s">
        <v>16285</v>
      </c>
      <c r="B3171" t="str">
        <f>TEXT(Raw_Data[[#This Row],[Order Date]],"mmm")</f>
        <v>Dec</v>
      </c>
      <c r="C3171" t="s">
        <v>242</v>
      </c>
      <c r="D3171" t="s">
        <v>16286</v>
      </c>
      <c r="E3171" t="s">
        <v>20</v>
      </c>
      <c r="F3171" t="s">
        <v>78</v>
      </c>
      <c r="G3171" t="s">
        <v>731</v>
      </c>
      <c r="H3171" t="s">
        <v>23</v>
      </c>
      <c r="I3171" t="s">
        <v>24</v>
      </c>
      <c r="J3171" t="s">
        <v>25</v>
      </c>
      <c r="K3171" t="s">
        <v>16287</v>
      </c>
      <c r="L3171">
        <v>0.05</v>
      </c>
      <c r="M3171" t="s">
        <v>16288</v>
      </c>
      <c r="N3171" t="s">
        <v>16289</v>
      </c>
      <c r="O3171" t="s">
        <v>64</v>
      </c>
      <c r="P3171" t="s">
        <v>159</v>
      </c>
      <c r="Q3171" t="s">
        <v>65</v>
      </c>
      <c r="R3171" s="3">
        <v>27617.0795</v>
      </c>
    </row>
    <row r="3172" spans="1:18" x14ac:dyDescent="0.3">
      <c r="A3172" t="s">
        <v>16290</v>
      </c>
      <c r="B3172" t="str">
        <f>TEXT(Raw_Data[[#This Row],[Order Date]],"mmm")</f>
        <v>Jul</v>
      </c>
      <c r="C3172" t="s">
        <v>389</v>
      </c>
      <c r="D3172" t="s">
        <v>16291</v>
      </c>
      <c r="E3172" t="s">
        <v>35</v>
      </c>
      <c r="F3172" t="s">
        <v>106</v>
      </c>
      <c r="G3172" t="s">
        <v>163</v>
      </c>
      <c r="H3172" t="s">
        <v>107</v>
      </c>
      <c r="I3172" t="s">
        <v>591</v>
      </c>
      <c r="J3172" t="s">
        <v>50</v>
      </c>
      <c r="K3172" t="s">
        <v>16292</v>
      </c>
      <c r="L3172">
        <v>0.1</v>
      </c>
      <c r="M3172" t="s">
        <v>16293</v>
      </c>
      <c r="N3172" t="s">
        <v>16294</v>
      </c>
      <c r="O3172" t="s">
        <v>173</v>
      </c>
      <c r="P3172" t="s">
        <v>159</v>
      </c>
      <c r="Q3172" t="s">
        <v>31</v>
      </c>
      <c r="R3172" s="3">
        <v>2701.6019999999999</v>
      </c>
    </row>
    <row r="3173" spans="1:18" x14ac:dyDescent="0.3">
      <c r="A3173" t="s">
        <v>16295</v>
      </c>
      <c r="B3173" t="str">
        <f>TEXT(Raw_Data[[#This Row],[Order Date]],"mmm")</f>
        <v>Sep</v>
      </c>
      <c r="C3173" t="s">
        <v>7865</v>
      </c>
      <c r="D3173" t="s">
        <v>16296</v>
      </c>
      <c r="E3173" t="s">
        <v>35</v>
      </c>
      <c r="F3173" t="s">
        <v>106</v>
      </c>
      <c r="G3173" t="s">
        <v>106</v>
      </c>
      <c r="H3173" t="s">
        <v>154</v>
      </c>
      <c r="I3173" t="s">
        <v>365</v>
      </c>
      <c r="J3173" t="s">
        <v>50</v>
      </c>
      <c r="K3173" t="s">
        <v>16297</v>
      </c>
      <c r="L3173">
        <v>0.2</v>
      </c>
      <c r="M3173" t="s">
        <v>16298</v>
      </c>
      <c r="N3173" t="s">
        <v>16299</v>
      </c>
      <c r="O3173" t="s">
        <v>54</v>
      </c>
      <c r="P3173" t="s">
        <v>30</v>
      </c>
      <c r="Q3173" t="s">
        <v>44</v>
      </c>
      <c r="R3173" s="3">
        <v>7686.4319999999998</v>
      </c>
    </row>
    <row r="3174" spans="1:18" x14ac:dyDescent="0.3">
      <c r="A3174" t="s">
        <v>16300</v>
      </c>
      <c r="B3174" t="str">
        <f>TEXT(Raw_Data[[#This Row],[Order Date]],"mmm")</f>
        <v>Aug</v>
      </c>
      <c r="C3174" t="s">
        <v>954</v>
      </c>
      <c r="D3174" t="s">
        <v>16301</v>
      </c>
      <c r="E3174" t="s">
        <v>20</v>
      </c>
      <c r="F3174" t="s">
        <v>215</v>
      </c>
      <c r="G3174" t="s">
        <v>216</v>
      </c>
      <c r="H3174" t="s">
        <v>107</v>
      </c>
      <c r="I3174" t="s">
        <v>591</v>
      </c>
      <c r="J3174" t="s">
        <v>25</v>
      </c>
      <c r="K3174" t="s">
        <v>16302</v>
      </c>
      <c r="L3174">
        <v>0.2</v>
      </c>
      <c r="M3174" t="s">
        <v>16303</v>
      </c>
      <c r="N3174" t="s">
        <v>16304</v>
      </c>
      <c r="O3174" t="s">
        <v>173</v>
      </c>
      <c r="P3174" t="s">
        <v>95</v>
      </c>
      <c r="Q3174" t="s">
        <v>31</v>
      </c>
      <c r="R3174" s="3">
        <v>10343.008</v>
      </c>
    </row>
    <row r="3175" spans="1:18" x14ac:dyDescent="0.3">
      <c r="A3175" t="s">
        <v>16305</v>
      </c>
      <c r="B3175" t="str">
        <f>TEXT(Raw_Data[[#This Row],[Order Date]],"mmm")</f>
        <v>May</v>
      </c>
      <c r="C3175" t="s">
        <v>4485</v>
      </c>
      <c r="D3175" t="s">
        <v>16306</v>
      </c>
      <c r="E3175" t="s">
        <v>35</v>
      </c>
      <c r="F3175" t="s">
        <v>36</v>
      </c>
      <c r="G3175" t="s">
        <v>153</v>
      </c>
      <c r="H3175" t="s">
        <v>80</v>
      </c>
      <c r="I3175" t="s">
        <v>116</v>
      </c>
      <c r="J3175" t="s">
        <v>25</v>
      </c>
      <c r="K3175" t="s">
        <v>16307</v>
      </c>
      <c r="L3175">
        <v>0.1</v>
      </c>
      <c r="M3175" t="s">
        <v>16308</v>
      </c>
      <c r="N3175" t="s">
        <v>16309</v>
      </c>
      <c r="O3175" t="s">
        <v>54</v>
      </c>
      <c r="P3175" t="s">
        <v>30</v>
      </c>
      <c r="Q3175" t="s">
        <v>31</v>
      </c>
      <c r="R3175" s="3">
        <v>2471.1659999999902</v>
      </c>
    </row>
    <row r="3176" spans="1:18" x14ac:dyDescent="0.3">
      <c r="A3176" t="s">
        <v>16310</v>
      </c>
      <c r="B3176" t="str">
        <f>TEXT(Raw_Data[[#This Row],[Order Date]],"mmm")</f>
        <v>Apr</v>
      </c>
      <c r="C3176" t="s">
        <v>5341</v>
      </c>
      <c r="D3176" t="s">
        <v>16311</v>
      </c>
      <c r="E3176" t="s">
        <v>20</v>
      </c>
      <c r="F3176" t="s">
        <v>21</v>
      </c>
      <c r="G3176" t="s">
        <v>130</v>
      </c>
      <c r="H3176" t="s">
        <v>23</v>
      </c>
      <c r="I3176" t="s">
        <v>341</v>
      </c>
      <c r="J3176" t="s">
        <v>50</v>
      </c>
      <c r="K3176" t="s">
        <v>16312</v>
      </c>
      <c r="L3176">
        <v>0.1</v>
      </c>
      <c r="M3176" t="s">
        <v>16313</v>
      </c>
      <c r="N3176" t="s">
        <v>16314</v>
      </c>
      <c r="O3176" t="s">
        <v>29</v>
      </c>
      <c r="P3176" t="s">
        <v>30</v>
      </c>
      <c r="Q3176" t="s">
        <v>31</v>
      </c>
      <c r="R3176" s="3">
        <v>45472.59</v>
      </c>
    </row>
    <row r="3177" spans="1:18" x14ac:dyDescent="0.3">
      <c r="A3177" t="s">
        <v>16315</v>
      </c>
      <c r="B3177" t="str">
        <f>TEXT(Raw_Data[[#This Row],[Order Date]],"mmm")</f>
        <v>Jan</v>
      </c>
      <c r="C3177" t="s">
        <v>780</v>
      </c>
      <c r="D3177" t="s">
        <v>16316</v>
      </c>
      <c r="E3177" t="s">
        <v>48</v>
      </c>
      <c r="F3177" t="s">
        <v>215</v>
      </c>
      <c r="G3177" t="s">
        <v>216</v>
      </c>
      <c r="H3177" t="s">
        <v>38</v>
      </c>
      <c r="I3177" t="s">
        <v>223</v>
      </c>
      <c r="J3177" t="s">
        <v>25</v>
      </c>
      <c r="K3177" t="s">
        <v>16317</v>
      </c>
      <c r="L3177">
        <v>0</v>
      </c>
      <c r="M3177" t="s">
        <v>16318</v>
      </c>
      <c r="O3177" t="s">
        <v>64</v>
      </c>
      <c r="P3177" t="s">
        <v>30</v>
      </c>
      <c r="Q3177" t="s">
        <v>65</v>
      </c>
      <c r="R3177" s="3">
        <v>2479.16</v>
      </c>
    </row>
    <row r="3178" spans="1:18" x14ac:dyDescent="0.3">
      <c r="A3178" t="s">
        <v>16319</v>
      </c>
      <c r="B3178" t="str">
        <f>TEXT(Raw_Data[[#This Row],[Order Date]],"mmm")</f>
        <v>Jul</v>
      </c>
      <c r="C3178" t="s">
        <v>333</v>
      </c>
      <c r="D3178" t="s">
        <v>16320</v>
      </c>
      <c r="E3178" t="s">
        <v>20</v>
      </c>
      <c r="F3178" t="s">
        <v>215</v>
      </c>
      <c r="G3178" t="s">
        <v>276</v>
      </c>
      <c r="H3178" t="s">
        <v>80</v>
      </c>
      <c r="I3178" t="s">
        <v>131</v>
      </c>
      <c r="J3178" t="s">
        <v>25</v>
      </c>
      <c r="K3178" t="s">
        <v>16321</v>
      </c>
      <c r="L3178">
        <v>0</v>
      </c>
      <c r="M3178" t="s">
        <v>16322</v>
      </c>
      <c r="N3178" t="s">
        <v>16323</v>
      </c>
      <c r="O3178" t="s">
        <v>173</v>
      </c>
      <c r="P3178" t="s">
        <v>30</v>
      </c>
      <c r="Q3178" t="s">
        <v>44</v>
      </c>
      <c r="R3178" s="3">
        <v>1221.71</v>
      </c>
    </row>
    <row r="3179" spans="1:18" x14ac:dyDescent="0.3">
      <c r="A3179" t="s">
        <v>16324</v>
      </c>
      <c r="B3179" t="str">
        <f>TEXT(Raw_Data[[#This Row],[Order Date]],"mmm")</f>
        <v>Nov</v>
      </c>
      <c r="C3179" t="s">
        <v>1330</v>
      </c>
      <c r="D3179" t="s">
        <v>16325</v>
      </c>
      <c r="E3179" t="s">
        <v>48</v>
      </c>
      <c r="F3179" t="s">
        <v>21</v>
      </c>
      <c r="G3179" t="s">
        <v>22</v>
      </c>
      <c r="H3179" t="s">
        <v>80</v>
      </c>
      <c r="I3179" t="s">
        <v>146</v>
      </c>
      <c r="J3179" t="s">
        <v>50</v>
      </c>
      <c r="K3179" t="s">
        <v>16326</v>
      </c>
      <c r="L3179">
        <v>0</v>
      </c>
      <c r="M3179" t="s">
        <v>16327</v>
      </c>
      <c r="N3179" t="s">
        <v>16328</v>
      </c>
      <c r="O3179" t="s">
        <v>173</v>
      </c>
      <c r="P3179" t="s">
        <v>30</v>
      </c>
      <c r="Q3179" t="s">
        <v>44</v>
      </c>
      <c r="R3179" s="3">
        <v>13431.14</v>
      </c>
    </row>
    <row r="3180" spans="1:18" x14ac:dyDescent="0.3">
      <c r="A3180" t="s">
        <v>16329</v>
      </c>
      <c r="B3180" t="str">
        <f>TEXT(Raw_Data[[#This Row],[Order Date]],"mmm")</f>
        <v>Jul</v>
      </c>
      <c r="C3180" t="s">
        <v>2992</v>
      </c>
      <c r="D3180" t="s">
        <v>16330</v>
      </c>
      <c r="E3180" t="s">
        <v>48</v>
      </c>
      <c r="F3180" t="s">
        <v>58</v>
      </c>
      <c r="G3180" t="s">
        <v>290</v>
      </c>
      <c r="H3180" t="s">
        <v>107</v>
      </c>
      <c r="I3180" t="s">
        <v>591</v>
      </c>
      <c r="J3180" t="s">
        <v>50</v>
      </c>
      <c r="K3180" t="s">
        <v>16331</v>
      </c>
      <c r="L3180">
        <v>0.15</v>
      </c>
      <c r="M3180" t="s">
        <v>16332</v>
      </c>
      <c r="N3180" t="s">
        <v>16333</v>
      </c>
      <c r="O3180" t="s">
        <v>54</v>
      </c>
      <c r="P3180" t="s">
        <v>30</v>
      </c>
      <c r="Q3180" t="s">
        <v>31</v>
      </c>
      <c r="R3180" s="3">
        <v>24305.716</v>
      </c>
    </row>
    <row r="3181" spans="1:18" x14ac:dyDescent="0.3">
      <c r="A3181" t="s">
        <v>16334</v>
      </c>
      <c r="B3181" t="str">
        <f>TEXT(Raw_Data[[#This Row],[Order Date]],"mmm")</f>
        <v>Mar</v>
      </c>
      <c r="C3181" t="s">
        <v>2244</v>
      </c>
      <c r="D3181" t="s">
        <v>16335</v>
      </c>
      <c r="E3181" t="s">
        <v>20</v>
      </c>
      <c r="F3181" t="s">
        <v>36</v>
      </c>
      <c r="G3181" t="s">
        <v>123</v>
      </c>
      <c r="H3181" t="s">
        <v>23</v>
      </c>
      <c r="I3181" t="s">
        <v>263</v>
      </c>
      <c r="J3181" t="s">
        <v>25</v>
      </c>
      <c r="K3181" t="s">
        <v>16336</v>
      </c>
      <c r="L3181">
        <v>0.1</v>
      </c>
      <c r="M3181" t="s">
        <v>16337</v>
      </c>
      <c r="N3181" t="s">
        <v>16338</v>
      </c>
      <c r="O3181" t="s">
        <v>43</v>
      </c>
      <c r="P3181" t="s">
        <v>112</v>
      </c>
      <c r="Q3181" t="s">
        <v>65</v>
      </c>
      <c r="R3181" s="3">
        <v>35779.805999999997</v>
      </c>
    </row>
    <row r="3182" spans="1:18" x14ac:dyDescent="0.3">
      <c r="A3182" t="s">
        <v>16339</v>
      </c>
      <c r="B3182" t="str">
        <f>TEXT(Raw_Data[[#This Row],[Order Date]],"mmm")</f>
        <v>Jan</v>
      </c>
      <c r="C3182" t="s">
        <v>1949</v>
      </c>
      <c r="D3182" t="s">
        <v>16340</v>
      </c>
      <c r="E3182" t="s">
        <v>20</v>
      </c>
      <c r="F3182" t="s">
        <v>78</v>
      </c>
      <c r="G3182" t="s">
        <v>468</v>
      </c>
      <c r="H3182" t="s">
        <v>107</v>
      </c>
      <c r="I3182" t="s">
        <v>378</v>
      </c>
      <c r="J3182" t="s">
        <v>50</v>
      </c>
      <c r="K3182" t="s">
        <v>16341</v>
      </c>
      <c r="L3182">
        <v>0</v>
      </c>
      <c r="M3182" t="s">
        <v>16342</v>
      </c>
      <c r="N3182" t="s">
        <v>16343</v>
      </c>
      <c r="O3182" t="s">
        <v>29</v>
      </c>
      <c r="P3182" t="s">
        <v>159</v>
      </c>
      <c r="Q3182" t="s">
        <v>31</v>
      </c>
      <c r="R3182" s="3">
        <v>25715.72</v>
      </c>
    </row>
    <row r="3183" spans="1:18" x14ac:dyDescent="0.3">
      <c r="A3183" t="s">
        <v>16344</v>
      </c>
      <c r="B3183" t="str">
        <f>TEXT(Raw_Data[[#This Row],[Order Date]],"mmm")</f>
        <v>Nov</v>
      </c>
      <c r="C3183" t="s">
        <v>4386</v>
      </c>
      <c r="D3183" t="s">
        <v>16345</v>
      </c>
      <c r="E3183" t="s">
        <v>48</v>
      </c>
      <c r="F3183" t="s">
        <v>78</v>
      </c>
      <c r="G3183" t="s">
        <v>79</v>
      </c>
      <c r="H3183" t="s">
        <v>80</v>
      </c>
      <c r="I3183" t="s">
        <v>81</v>
      </c>
      <c r="J3183" t="s">
        <v>82</v>
      </c>
      <c r="K3183" t="s">
        <v>16346</v>
      </c>
      <c r="L3183">
        <v>0.1</v>
      </c>
      <c r="M3183" t="s">
        <v>16347</v>
      </c>
      <c r="N3183" t="s">
        <v>16348</v>
      </c>
      <c r="O3183" t="s">
        <v>29</v>
      </c>
      <c r="P3183" t="s">
        <v>30</v>
      </c>
      <c r="Q3183" t="s">
        <v>65</v>
      </c>
      <c r="R3183" s="3">
        <v>9181.2240000000002</v>
      </c>
    </row>
    <row r="3184" spans="1:18" x14ac:dyDescent="0.3">
      <c r="A3184" t="s">
        <v>16349</v>
      </c>
      <c r="B3184" t="str">
        <f>TEXT(Raw_Data[[#This Row],[Order Date]],"mmm")</f>
        <v>Apr</v>
      </c>
      <c r="C3184" t="s">
        <v>902</v>
      </c>
      <c r="D3184" t="s">
        <v>16350</v>
      </c>
      <c r="E3184" t="s">
        <v>35</v>
      </c>
      <c r="F3184" t="s">
        <v>106</v>
      </c>
      <c r="G3184" t="s">
        <v>106</v>
      </c>
      <c r="H3184" t="s">
        <v>154</v>
      </c>
      <c r="I3184" t="s">
        <v>155</v>
      </c>
      <c r="J3184" t="s">
        <v>25</v>
      </c>
      <c r="K3184" t="s">
        <v>16351</v>
      </c>
      <c r="L3184">
        <v>0.1</v>
      </c>
      <c r="M3184" t="s">
        <v>16352</v>
      </c>
      <c r="N3184" t="s">
        <v>16353</v>
      </c>
      <c r="O3184" t="s">
        <v>43</v>
      </c>
      <c r="P3184" t="s">
        <v>30</v>
      </c>
      <c r="Q3184" t="s">
        <v>31</v>
      </c>
      <c r="R3184" s="3">
        <v>3466.2420000000002</v>
      </c>
    </row>
    <row r="3185" spans="1:18" x14ac:dyDescent="0.3">
      <c r="A3185" t="s">
        <v>16354</v>
      </c>
      <c r="B3185" t="str">
        <f>TEXT(Raw_Data[[#This Row],[Order Date]],"mmm")</f>
        <v>Mar</v>
      </c>
      <c r="C3185" t="s">
        <v>713</v>
      </c>
      <c r="D3185" t="s">
        <v>16355</v>
      </c>
      <c r="E3185" t="s">
        <v>48</v>
      </c>
      <c r="F3185" t="s">
        <v>89</v>
      </c>
      <c r="G3185" t="s">
        <v>99</v>
      </c>
      <c r="H3185" t="s">
        <v>80</v>
      </c>
      <c r="I3185" t="s">
        <v>131</v>
      </c>
      <c r="J3185" t="s">
        <v>25</v>
      </c>
      <c r="K3185" t="s">
        <v>16356</v>
      </c>
      <c r="L3185">
        <v>0.05</v>
      </c>
      <c r="M3185" t="s">
        <v>16357</v>
      </c>
      <c r="N3185" t="s">
        <v>16358</v>
      </c>
      <c r="O3185" t="s">
        <v>64</v>
      </c>
      <c r="P3185" t="s">
        <v>30</v>
      </c>
      <c r="Q3185" t="s">
        <v>31</v>
      </c>
      <c r="R3185" s="3">
        <v>880.412499999999</v>
      </c>
    </row>
    <row r="3186" spans="1:18" x14ac:dyDescent="0.3">
      <c r="A3186" t="s">
        <v>16359</v>
      </c>
      <c r="B3186" t="str">
        <f>TEXT(Raw_Data[[#This Row],[Order Date]],"mmm")</f>
        <v>Aug</v>
      </c>
      <c r="C3186" t="s">
        <v>1757</v>
      </c>
      <c r="D3186" t="s">
        <v>16360</v>
      </c>
      <c r="E3186" t="s">
        <v>35</v>
      </c>
      <c r="F3186" t="s">
        <v>36</v>
      </c>
      <c r="G3186" t="s">
        <v>196</v>
      </c>
      <c r="H3186" t="s">
        <v>107</v>
      </c>
      <c r="I3186" t="s">
        <v>108</v>
      </c>
      <c r="J3186" t="s">
        <v>25</v>
      </c>
      <c r="K3186" t="s">
        <v>16361</v>
      </c>
      <c r="L3186">
        <v>0</v>
      </c>
      <c r="M3186" t="s">
        <v>16362</v>
      </c>
      <c r="N3186" t="s">
        <v>16363</v>
      </c>
      <c r="O3186" t="s">
        <v>173</v>
      </c>
      <c r="P3186" t="s">
        <v>30</v>
      </c>
      <c r="Q3186" t="s">
        <v>65</v>
      </c>
      <c r="R3186" s="3">
        <v>3212.36</v>
      </c>
    </row>
    <row r="3187" spans="1:18" x14ac:dyDescent="0.3">
      <c r="A3187" t="s">
        <v>16364</v>
      </c>
      <c r="B3187" t="str">
        <f>TEXT(Raw_Data[[#This Row],[Order Date]],"mmm")</f>
        <v>Sep</v>
      </c>
      <c r="C3187" t="s">
        <v>1539</v>
      </c>
      <c r="D3187" t="s">
        <v>16365</v>
      </c>
      <c r="E3187" t="s">
        <v>20</v>
      </c>
      <c r="F3187" t="s">
        <v>69</v>
      </c>
      <c r="G3187" t="s">
        <v>70</v>
      </c>
      <c r="H3187" t="s">
        <v>23</v>
      </c>
      <c r="I3187" t="s">
        <v>183</v>
      </c>
      <c r="J3187" t="s">
        <v>82</v>
      </c>
      <c r="K3187" t="s">
        <v>16366</v>
      </c>
      <c r="L3187">
        <v>0</v>
      </c>
      <c r="M3187" t="s">
        <v>16367</v>
      </c>
      <c r="N3187" t="s">
        <v>16368</v>
      </c>
      <c r="O3187" t="s">
        <v>43</v>
      </c>
      <c r="P3187" t="s">
        <v>30</v>
      </c>
      <c r="Q3187" t="s">
        <v>44</v>
      </c>
      <c r="R3187" s="3">
        <v>73637.08</v>
      </c>
    </row>
    <row r="3188" spans="1:18" x14ac:dyDescent="0.3">
      <c r="A3188" t="s">
        <v>16369</v>
      </c>
      <c r="B3188" t="str">
        <f>TEXT(Raw_Data[[#This Row],[Order Date]],"mmm")</f>
        <v>Aug</v>
      </c>
      <c r="C3188" t="s">
        <v>1104</v>
      </c>
      <c r="D3188" t="s">
        <v>16370</v>
      </c>
      <c r="E3188" t="s">
        <v>35</v>
      </c>
      <c r="F3188" t="s">
        <v>106</v>
      </c>
      <c r="G3188" t="s">
        <v>106</v>
      </c>
      <c r="H3188" t="s">
        <v>23</v>
      </c>
      <c r="I3188" t="s">
        <v>183</v>
      </c>
      <c r="J3188" t="s">
        <v>25</v>
      </c>
      <c r="K3188" t="s">
        <v>16371</v>
      </c>
      <c r="L3188">
        <v>0.15</v>
      </c>
      <c r="M3188" t="s">
        <v>16372</v>
      </c>
      <c r="N3188" t="s">
        <v>16373</v>
      </c>
      <c r="O3188" t="s">
        <v>173</v>
      </c>
      <c r="P3188" t="s">
        <v>30</v>
      </c>
      <c r="Q3188" t="s">
        <v>31</v>
      </c>
      <c r="R3188" s="3">
        <v>5393.5559999999996</v>
      </c>
    </row>
    <row r="3189" spans="1:18" x14ac:dyDescent="0.3">
      <c r="A3189" t="s">
        <v>16374</v>
      </c>
      <c r="B3189" t="str">
        <f>TEXT(Raw_Data[[#This Row],[Order Date]],"mmm")</f>
        <v>Apr</v>
      </c>
      <c r="C3189" t="s">
        <v>1307</v>
      </c>
      <c r="D3189" t="s">
        <v>16375</v>
      </c>
      <c r="E3189" t="s">
        <v>20</v>
      </c>
      <c r="F3189" t="s">
        <v>58</v>
      </c>
      <c r="G3189" t="s">
        <v>59</v>
      </c>
      <c r="H3189" t="s">
        <v>107</v>
      </c>
      <c r="I3189" t="s">
        <v>591</v>
      </c>
      <c r="J3189" t="s">
        <v>50</v>
      </c>
      <c r="K3189" t="s">
        <v>16376</v>
      </c>
      <c r="L3189">
        <v>0</v>
      </c>
      <c r="M3189" t="s">
        <v>16377</v>
      </c>
      <c r="N3189" t="s">
        <v>16378</v>
      </c>
      <c r="O3189" t="s">
        <v>173</v>
      </c>
      <c r="P3189" t="s">
        <v>30</v>
      </c>
      <c r="Q3189" t="s">
        <v>31</v>
      </c>
      <c r="R3189" s="3">
        <v>18714.52</v>
      </c>
    </row>
    <row r="3190" spans="1:18" x14ac:dyDescent="0.3">
      <c r="A3190" t="s">
        <v>16379</v>
      </c>
      <c r="B3190" t="str">
        <f>TEXT(Raw_Data[[#This Row],[Order Date]],"mmm")</f>
        <v>Aug</v>
      </c>
      <c r="C3190" t="s">
        <v>1053</v>
      </c>
      <c r="D3190" t="s">
        <v>16380</v>
      </c>
      <c r="E3190" t="s">
        <v>20</v>
      </c>
      <c r="F3190" t="s">
        <v>78</v>
      </c>
      <c r="G3190" t="s">
        <v>468</v>
      </c>
      <c r="H3190" t="s">
        <v>154</v>
      </c>
      <c r="I3190" t="s">
        <v>237</v>
      </c>
      <c r="J3190" t="s">
        <v>82</v>
      </c>
      <c r="K3190" t="s">
        <v>16381</v>
      </c>
      <c r="L3190">
        <v>0.1</v>
      </c>
      <c r="M3190" t="s">
        <v>16382</v>
      </c>
      <c r="N3190" t="s">
        <v>16383</v>
      </c>
      <c r="O3190" t="s">
        <v>43</v>
      </c>
      <c r="P3190" t="s">
        <v>30</v>
      </c>
      <c r="Q3190" t="s">
        <v>44</v>
      </c>
      <c r="R3190" s="3">
        <v>32257.763999999999</v>
      </c>
    </row>
    <row r="3191" spans="1:18" x14ac:dyDescent="0.3">
      <c r="A3191" t="s">
        <v>16384</v>
      </c>
      <c r="B3191" t="str">
        <f>TEXT(Raw_Data[[#This Row],[Order Date]],"mmm")</f>
        <v>Sep</v>
      </c>
      <c r="C3191" t="s">
        <v>7865</v>
      </c>
      <c r="D3191" t="s">
        <v>16385</v>
      </c>
      <c r="E3191" t="s">
        <v>35</v>
      </c>
      <c r="F3191" t="s">
        <v>215</v>
      </c>
      <c r="G3191" t="s">
        <v>216</v>
      </c>
      <c r="H3191" t="s">
        <v>38</v>
      </c>
      <c r="I3191" t="s">
        <v>223</v>
      </c>
      <c r="J3191" t="s">
        <v>25</v>
      </c>
      <c r="K3191" t="s">
        <v>16386</v>
      </c>
      <c r="L3191">
        <v>0.1</v>
      </c>
      <c r="M3191" t="s">
        <v>16387</v>
      </c>
      <c r="N3191" t="s">
        <v>16388</v>
      </c>
      <c r="O3191" t="s">
        <v>29</v>
      </c>
      <c r="P3191" t="s">
        <v>95</v>
      </c>
      <c r="Q3191" t="s">
        <v>31</v>
      </c>
      <c r="R3191" s="3">
        <v>4654.26</v>
      </c>
    </row>
    <row r="3192" spans="1:18" x14ac:dyDescent="0.3">
      <c r="A3192" t="s">
        <v>16389</v>
      </c>
      <c r="B3192" t="str">
        <f>TEXT(Raw_Data[[#This Row],[Order Date]],"mmm")</f>
        <v>Nov</v>
      </c>
      <c r="C3192" t="s">
        <v>3696</v>
      </c>
      <c r="D3192" t="s">
        <v>16390</v>
      </c>
      <c r="E3192" t="s">
        <v>48</v>
      </c>
      <c r="F3192" t="s">
        <v>106</v>
      </c>
      <c r="G3192" t="s">
        <v>106</v>
      </c>
      <c r="H3192" t="s">
        <v>23</v>
      </c>
      <c r="I3192" t="s">
        <v>183</v>
      </c>
      <c r="J3192" t="s">
        <v>25</v>
      </c>
      <c r="K3192" t="s">
        <v>16391</v>
      </c>
      <c r="L3192">
        <v>0.15</v>
      </c>
      <c r="M3192" t="s">
        <v>16392</v>
      </c>
      <c r="N3192" t="s">
        <v>16393</v>
      </c>
      <c r="O3192" t="s">
        <v>54</v>
      </c>
      <c r="P3192" t="s">
        <v>30</v>
      </c>
      <c r="Q3192" t="s">
        <v>65</v>
      </c>
      <c r="R3192" s="3">
        <v>62662.501499999998</v>
      </c>
    </row>
    <row r="3193" spans="1:18" x14ac:dyDescent="0.3">
      <c r="A3193" t="s">
        <v>16394</v>
      </c>
      <c r="B3193" t="str">
        <f>TEXT(Raw_Data[[#This Row],[Order Date]],"mmm")</f>
        <v>Dec</v>
      </c>
      <c r="C3193" t="s">
        <v>1319</v>
      </c>
      <c r="D3193" t="s">
        <v>16395</v>
      </c>
      <c r="E3193" t="s">
        <v>48</v>
      </c>
      <c r="F3193" t="s">
        <v>89</v>
      </c>
      <c r="G3193" t="s">
        <v>90</v>
      </c>
      <c r="H3193" t="s">
        <v>38</v>
      </c>
      <c r="I3193" t="s">
        <v>60</v>
      </c>
      <c r="J3193" t="s">
        <v>25</v>
      </c>
      <c r="K3193" t="s">
        <v>16396</v>
      </c>
      <c r="L3193">
        <v>0</v>
      </c>
      <c r="M3193" t="s">
        <v>16397</v>
      </c>
      <c r="N3193" t="s">
        <v>16398</v>
      </c>
      <c r="O3193" t="s">
        <v>43</v>
      </c>
      <c r="P3193" t="s">
        <v>30</v>
      </c>
      <c r="Q3193" t="s">
        <v>65</v>
      </c>
      <c r="R3193" s="3">
        <v>1325.49</v>
      </c>
    </row>
    <row r="3194" spans="1:18" x14ac:dyDescent="0.3">
      <c r="A3194" t="s">
        <v>16399</v>
      </c>
      <c r="B3194" t="str">
        <f>TEXT(Raw_Data[[#This Row],[Order Date]],"mmm")</f>
        <v>Feb</v>
      </c>
      <c r="C3194" t="s">
        <v>3493</v>
      </c>
      <c r="D3194" t="s">
        <v>16400</v>
      </c>
      <c r="E3194" t="s">
        <v>20</v>
      </c>
      <c r="F3194" t="s">
        <v>69</v>
      </c>
      <c r="G3194" t="s">
        <v>70</v>
      </c>
      <c r="H3194" t="s">
        <v>23</v>
      </c>
      <c r="I3194" t="s">
        <v>341</v>
      </c>
      <c r="J3194" t="s">
        <v>25</v>
      </c>
      <c r="K3194" t="s">
        <v>16401</v>
      </c>
      <c r="L3194">
        <v>0.2</v>
      </c>
      <c r="M3194" t="s">
        <v>16402</v>
      </c>
      <c r="N3194" t="s">
        <v>16403</v>
      </c>
      <c r="O3194" t="s">
        <v>29</v>
      </c>
      <c r="P3194" t="s">
        <v>30</v>
      </c>
      <c r="Q3194" t="s">
        <v>65</v>
      </c>
      <c r="R3194" s="3">
        <v>31634.328000000001</v>
      </c>
    </row>
    <row r="3195" spans="1:18" x14ac:dyDescent="0.3">
      <c r="A3195" t="s">
        <v>16404</v>
      </c>
      <c r="B3195" t="str">
        <f>TEXT(Raw_Data[[#This Row],[Order Date]],"mmm")</f>
        <v>Jan</v>
      </c>
      <c r="C3195" t="s">
        <v>2464</v>
      </c>
      <c r="D3195" t="s">
        <v>16405</v>
      </c>
      <c r="E3195" t="s">
        <v>20</v>
      </c>
      <c r="F3195" t="s">
        <v>69</v>
      </c>
      <c r="G3195" t="s">
        <v>328</v>
      </c>
      <c r="H3195" t="s">
        <v>23</v>
      </c>
      <c r="I3195" t="s">
        <v>341</v>
      </c>
      <c r="J3195" t="s">
        <v>25</v>
      </c>
      <c r="K3195" t="s">
        <v>16406</v>
      </c>
      <c r="L3195">
        <v>0</v>
      </c>
      <c r="M3195" t="s">
        <v>16407</v>
      </c>
      <c r="N3195" t="s">
        <v>16408</v>
      </c>
      <c r="O3195" t="s">
        <v>43</v>
      </c>
      <c r="P3195" t="s">
        <v>30</v>
      </c>
      <c r="Q3195" t="s">
        <v>44</v>
      </c>
      <c r="R3195" s="3">
        <v>15119.05</v>
      </c>
    </row>
    <row r="3196" spans="1:18" x14ac:dyDescent="0.3">
      <c r="A3196" t="s">
        <v>16409</v>
      </c>
      <c r="B3196" t="str">
        <f>TEXT(Raw_Data[[#This Row],[Order Date]],"mmm")</f>
        <v>Mar</v>
      </c>
      <c r="C3196" t="s">
        <v>1128</v>
      </c>
      <c r="D3196" t="s">
        <v>16410</v>
      </c>
      <c r="E3196" t="s">
        <v>35</v>
      </c>
      <c r="F3196" t="s">
        <v>78</v>
      </c>
      <c r="G3196" t="s">
        <v>731</v>
      </c>
      <c r="H3196" t="s">
        <v>23</v>
      </c>
      <c r="I3196" t="s">
        <v>183</v>
      </c>
      <c r="J3196" t="s">
        <v>25</v>
      </c>
      <c r="K3196" t="s">
        <v>16411</v>
      </c>
      <c r="L3196">
        <v>0.15</v>
      </c>
      <c r="M3196" t="s">
        <v>16412</v>
      </c>
      <c r="N3196" t="s">
        <v>16413</v>
      </c>
      <c r="O3196" t="s">
        <v>43</v>
      </c>
      <c r="P3196" t="s">
        <v>30</v>
      </c>
      <c r="Q3196" t="s">
        <v>44</v>
      </c>
      <c r="R3196" s="3">
        <v>46661.463999999898</v>
      </c>
    </row>
    <row r="3197" spans="1:18" x14ac:dyDescent="0.3">
      <c r="A3197" t="s">
        <v>16414</v>
      </c>
      <c r="B3197" t="str">
        <f>TEXT(Raw_Data[[#This Row],[Order Date]],"mmm")</f>
        <v>Jun</v>
      </c>
      <c r="C3197" t="s">
        <v>2758</v>
      </c>
      <c r="D3197" t="s">
        <v>16415</v>
      </c>
      <c r="E3197" t="s">
        <v>48</v>
      </c>
      <c r="F3197" t="s">
        <v>36</v>
      </c>
      <c r="G3197" t="s">
        <v>123</v>
      </c>
      <c r="H3197" t="s">
        <v>23</v>
      </c>
      <c r="I3197" t="s">
        <v>49</v>
      </c>
      <c r="J3197" t="s">
        <v>50</v>
      </c>
      <c r="K3197" t="s">
        <v>16416</v>
      </c>
      <c r="L3197">
        <v>0.1</v>
      </c>
      <c r="M3197" t="s">
        <v>16417</v>
      </c>
      <c r="N3197" t="s">
        <v>16418</v>
      </c>
      <c r="O3197" t="s">
        <v>29</v>
      </c>
      <c r="P3197" t="s">
        <v>30</v>
      </c>
      <c r="Q3197" t="s">
        <v>31</v>
      </c>
      <c r="R3197" s="3">
        <v>57736.836000000003</v>
      </c>
    </row>
    <row r="3198" spans="1:18" x14ac:dyDescent="0.3">
      <c r="A3198" t="s">
        <v>16419</v>
      </c>
      <c r="B3198" t="str">
        <f>TEXT(Raw_Data[[#This Row],[Order Date]],"mmm")</f>
        <v>Jun</v>
      </c>
      <c r="C3198" t="s">
        <v>1725</v>
      </c>
      <c r="D3198" t="s">
        <v>16420</v>
      </c>
      <c r="E3198" t="s">
        <v>48</v>
      </c>
      <c r="F3198" t="s">
        <v>106</v>
      </c>
      <c r="G3198" t="s">
        <v>163</v>
      </c>
      <c r="H3198" t="s">
        <v>80</v>
      </c>
      <c r="I3198" t="s">
        <v>81</v>
      </c>
      <c r="J3198" t="s">
        <v>25</v>
      </c>
      <c r="K3198" t="s">
        <v>16421</v>
      </c>
      <c r="L3198">
        <v>0.1</v>
      </c>
      <c r="M3198" t="s">
        <v>16422</v>
      </c>
      <c r="N3198" t="s">
        <v>16423</v>
      </c>
      <c r="O3198" t="s">
        <v>29</v>
      </c>
      <c r="P3198" t="s">
        <v>30</v>
      </c>
      <c r="Q3198" t="s">
        <v>31</v>
      </c>
      <c r="R3198" s="3">
        <v>2241.6390000000001</v>
      </c>
    </row>
    <row r="3199" spans="1:18" x14ac:dyDescent="0.3">
      <c r="A3199" t="s">
        <v>16424</v>
      </c>
      <c r="B3199" t="str">
        <f>TEXT(Raw_Data[[#This Row],[Order Date]],"mmm")</f>
        <v>Oct</v>
      </c>
      <c r="C3199" t="s">
        <v>383</v>
      </c>
      <c r="D3199" t="s">
        <v>16425</v>
      </c>
      <c r="E3199" t="s">
        <v>35</v>
      </c>
      <c r="F3199" t="s">
        <v>89</v>
      </c>
      <c r="G3199" t="s">
        <v>90</v>
      </c>
      <c r="H3199" t="s">
        <v>80</v>
      </c>
      <c r="I3199" t="s">
        <v>81</v>
      </c>
      <c r="J3199" t="s">
        <v>50</v>
      </c>
      <c r="K3199" t="s">
        <v>16426</v>
      </c>
      <c r="L3199">
        <v>0.15</v>
      </c>
      <c r="M3199" t="s">
        <v>16427</v>
      </c>
      <c r="N3199" t="s">
        <v>16428</v>
      </c>
      <c r="O3199" t="s">
        <v>43</v>
      </c>
      <c r="P3199" t="s">
        <v>30</v>
      </c>
      <c r="Q3199" t="s">
        <v>31</v>
      </c>
      <c r="R3199" s="3">
        <v>530.62099999999998</v>
      </c>
    </row>
    <row r="3200" spans="1:18" x14ac:dyDescent="0.3">
      <c r="A3200" t="s">
        <v>16429</v>
      </c>
      <c r="B3200" t="str">
        <f>TEXT(Raw_Data[[#This Row],[Order Date]],"mmm")</f>
        <v>Jan</v>
      </c>
      <c r="C3200" t="s">
        <v>431</v>
      </c>
      <c r="D3200" t="s">
        <v>16430</v>
      </c>
      <c r="E3200" t="s">
        <v>35</v>
      </c>
      <c r="F3200" t="s">
        <v>78</v>
      </c>
      <c r="G3200" t="s">
        <v>79</v>
      </c>
      <c r="H3200" t="s">
        <v>80</v>
      </c>
      <c r="I3200" t="s">
        <v>116</v>
      </c>
      <c r="J3200" t="s">
        <v>25</v>
      </c>
      <c r="K3200" t="s">
        <v>16431</v>
      </c>
      <c r="L3200">
        <v>0.15</v>
      </c>
      <c r="M3200" t="s">
        <v>16432</v>
      </c>
      <c r="N3200" t="s">
        <v>16433</v>
      </c>
      <c r="O3200" t="s">
        <v>54</v>
      </c>
      <c r="P3200" t="s">
        <v>112</v>
      </c>
      <c r="Q3200" t="s">
        <v>31</v>
      </c>
      <c r="R3200" s="3">
        <v>548.17349999999999</v>
      </c>
    </row>
    <row r="3201" spans="1:18" x14ac:dyDescent="0.3">
      <c r="A3201" t="s">
        <v>16434</v>
      </c>
      <c r="B3201" t="str">
        <f>TEXT(Raw_Data[[#This Row],[Order Date]],"mmm")</f>
        <v>Dec</v>
      </c>
      <c r="C3201" t="s">
        <v>646</v>
      </c>
      <c r="D3201" t="s">
        <v>16435</v>
      </c>
      <c r="E3201" t="s">
        <v>48</v>
      </c>
      <c r="F3201" t="s">
        <v>58</v>
      </c>
      <c r="G3201" t="s">
        <v>812</v>
      </c>
      <c r="H3201" t="s">
        <v>107</v>
      </c>
      <c r="I3201" t="s">
        <v>277</v>
      </c>
      <c r="J3201" t="s">
        <v>50</v>
      </c>
      <c r="K3201" t="s">
        <v>16436</v>
      </c>
      <c r="L3201">
        <v>0.15</v>
      </c>
      <c r="M3201" t="s">
        <v>16437</v>
      </c>
      <c r="N3201" t="s">
        <v>16438</v>
      </c>
      <c r="O3201" t="s">
        <v>54</v>
      </c>
      <c r="P3201" t="s">
        <v>30</v>
      </c>
      <c r="Q3201" t="s">
        <v>65</v>
      </c>
      <c r="R3201" s="3">
        <v>5740.866</v>
      </c>
    </row>
    <row r="3202" spans="1:18" x14ac:dyDescent="0.3">
      <c r="A3202" t="s">
        <v>16439</v>
      </c>
      <c r="B3202" t="str">
        <f>TEXT(Raw_Data[[#This Row],[Order Date]],"mmm")</f>
        <v>May</v>
      </c>
      <c r="C3202" t="s">
        <v>2299</v>
      </c>
      <c r="D3202" t="s">
        <v>16440</v>
      </c>
      <c r="E3202" t="s">
        <v>20</v>
      </c>
      <c r="F3202" t="s">
        <v>89</v>
      </c>
      <c r="G3202" t="s">
        <v>99</v>
      </c>
      <c r="H3202" t="s">
        <v>107</v>
      </c>
      <c r="I3202" t="s">
        <v>277</v>
      </c>
      <c r="J3202" t="s">
        <v>25</v>
      </c>
      <c r="K3202" t="s">
        <v>16441</v>
      </c>
      <c r="L3202">
        <v>0.1</v>
      </c>
      <c r="M3202" t="s">
        <v>16442</v>
      </c>
      <c r="N3202" t="s">
        <v>16443</v>
      </c>
      <c r="O3202" t="s">
        <v>54</v>
      </c>
      <c r="P3202" t="s">
        <v>112</v>
      </c>
      <c r="Q3202" t="s">
        <v>44</v>
      </c>
      <c r="R3202" s="3">
        <v>3956.8589999999999</v>
      </c>
    </row>
    <row r="3203" spans="1:18" x14ac:dyDescent="0.3">
      <c r="A3203" t="s">
        <v>16444</v>
      </c>
      <c r="B3203" t="str">
        <f>TEXT(Raw_Data[[#This Row],[Order Date]],"mmm")</f>
        <v>Apr</v>
      </c>
      <c r="C3203" t="s">
        <v>675</v>
      </c>
      <c r="D3203" t="s">
        <v>16445</v>
      </c>
      <c r="E3203" t="s">
        <v>48</v>
      </c>
      <c r="F3203" t="s">
        <v>106</v>
      </c>
      <c r="G3203" t="s">
        <v>163</v>
      </c>
      <c r="H3203" t="s">
        <v>154</v>
      </c>
      <c r="I3203" t="s">
        <v>1061</v>
      </c>
      <c r="J3203" t="s">
        <v>50</v>
      </c>
      <c r="K3203" t="s">
        <v>16446</v>
      </c>
      <c r="L3203">
        <v>0.1</v>
      </c>
      <c r="M3203" t="s">
        <v>16447</v>
      </c>
      <c r="N3203" t="s">
        <v>16448</v>
      </c>
      <c r="O3203" t="s">
        <v>173</v>
      </c>
      <c r="P3203" t="s">
        <v>30</v>
      </c>
      <c r="Q3203" t="s">
        <v>65</v>
      </c>
      <c r="R3203" s="3">
        <v>4342.5540000000001</v>
      </c>
    </row>
    <row r="3204" spans="1:18" x14ac:dyDescent="0.3">
      <c r="A3204" t="s">
        <v>16449</v>
      </c>
      <c r="B3204" t="str">
        <f>TEXT(Raw_Data[[#This Row],[Order Date]],"mmm")</f>
        <v>Jul</v>
      </c>
      <c r="C3204" t="s">
        <v>3354</v>
      </c>
      <c r="D3204" t="s">
        <v>16450</v>
      </c>
      <c r="E3204" t="s">
        <v>48</v>
      </c>
      <c r="F3204" t="s">
        <v>215</v>
      </c>
      <c r="G3204" t="s">
        <v>276</v>
      </c>
      <c r="H3204" t="s">
        <v>154</v>
      </c>
      <c r="I3204" t="s">
        <v>237</v>
      </c>
      <c r="J3204" t="s">
        <v>50</v>
      </c>
      <c r="K3204" t="s">
        <v>16451</v>
      </c>
      <c r="L3204">
        <v>0.1</v>
      </c>
      <c r="M3204" t="s">
        <v>16452</v>
      </c>
      <c r="N3204" t="s">
        <v>16453</v>
      </c>
      <c r="O3204" t="s">
        <v>173</v>
      </c>
      <c r="P3204" t="s">
        <v>30</v>
      </c>
      <c r="Q3204" t="s">
        <v>65</v>
      </c>
      <c r="R3204" s="3">
        <v>10311.912</v>
      </c>
    </row>
    <row r="3205" spans="1:18" x14ac:dyDescent="0.3">
      <c r="A3205" t="s">
        <v>16454</v>
      </c>
      <c r="B3205" t="str">
        <f>TEXT(Raw_Data[[#This Row],[Order Date]],"mmm")</f>
        <v>Nov</v>
      </c>
      <c r="C3205" t="s">
        <v>510</v>
      </c>
      <c r="D3205" t="s">
        <v>16455</v>
      </c>
      <c r="E3205" t="s">
        <v>35</v>
      </c>
      <c r="F3205" t="s">
        <v>69</v>
      </c>
      <c r="G3205" t="s">
        <v>70</v>
      </c>
      <c r="H3205" t="s">
        <v>107</v>
      </c>
      <c r="I3205" t="s">
        <v>591</v>
      </c>
      <c r="J3205" t="s">
        <v>25</v>
      </c>
      <c r="K3205" t="s">
        <v>16456</v>
      </c>
      <c r="L3205">
        <v>0.1</v>
      </c>
      <c r="M3205" t="s">
        <v>16457</v>
      </c>
      <c r="N3205" t="s">
        <v>16458</v>
      </c>
      <c r="O3205" t="s">
        <v>29</v>
      </c>
      <c r="P3205" t="s">
        <v>30</v>
      </c>
      <c r="Q3205" t="s">
        <v>65</v>
      </c>
      <c r="R3205" s="3">
        <v>12759.308999999999</v>
      </c>
    </row>
    <row r="3206" spans="1:18" x14ac:dyDescent="0.3">
      <c r="A3206" t="s">
        <v>16459</v>
      </c>
      <c r="B3206" t="str">
        <f>TEXT(Raw_Data[[#This Row],[Order Date]],"mmm")</f>
        <v>May</v>
      </c>
      <c r="C3206" t="s">
        <v>1472</v>
      </c>
      <c r="D3206" t="s">
        <v>16460</v>
      </c>
      <c r="E3206" t="s">
        <v>35</v>
      </c>
      <c r="F3206" t="s">
        <v>69</v>
      </c>
      <c r="G3206" t="s">
        <v>328</v>
      </c>
      <c r="H3206" t="s">
        <v>23</v>
      </c>
      <c r="I3206" t="s">
        <v>263</v>
      </c>
      <c r="J3206" t="s">
        <v>25</v>
      </c>
      <c r="K3206" t="s">
        <v>16461</v>
      </c>
      <c r="L3206">
        <v>0.15</v>
      </c>
      <c r="M3206" t="s">
        <v>16462</v>
      </c>
      <c r="N3206" t="s">
        <v>16463</v>
      </c>
      <c r="O3206" t="s">
        <v>54</v>
      </c>
      <c r="P3206" t="s">
        <v>112</v>
      </c>
      <c r="Q3206" t="s">
        <v>44</v>
      </c>
      <c r="R3206" s="3">
        <v>17270.6145</v>
      </c>
    </row>
    <row r="3207" spans="1:18" x14ac:dyDescent="0.3">
      <c r="A3207" t="s">
        <v>16464</v>
      </c>
      <c r="B3207" t="str">
        <f>TEXT(Raw_Data[[#This Row],[Order Date]],"mmm")</f>
        <v>Aug</v>
      </c>
      <c r="C3207" t="s">
        <v>3133</v>
      </c>
      <c r="D3207" t="s">
        <v>16465</v>
      </c>
      <c r="E3207" t="s">
        <v>35</v>
      </c>
      <c r="F3207" t="s">
        <v>106</v>
      </c>
      <c r="G3207" t="s">
        <v>163</v>
      </c>
      <c r="H3207" t="s">
        <v>1111</v>
      </c>
      <c r="I3207" t="s">
        <v>1061</v>
      </c>
      <c r="J3207" t="s">
        <v>50</v>
      </c>
      <c r="K3207" t="s">
        <v>16466</v>
      </c>
      <c r="L3207">
        <v>0.1</v>
      </c>
      <c r="M3207" t="s">
        <v>16467</v>
      </c>
      <c r="N3207" t="s">
        <v>16468</v>
      </c>
      <c r="O3207" t="s">
        <v>43</v>
      </c>
      <c r="P3207" t="s">
        <v>159</v>
      </c>
      <c r="Q3207" t="s">
        <v>65</v>
      </c>
      <c r="R3207" s="3">
        <v>20801.736000000001</v>
      </c>
    </row>
    <row r="3208" spans="1:18" x14ac:dyDescent="0.3">
      <c r="A3208" t="s">
        <v>16469</v>
      </c>
      <c r="B3208" t="str">
        <f>TEXT(Raw_Data[[#This Row],[Order Date]],"mmm")</f>
        <v>Jan</v>
      </c>
      <c r="C3208" t="s">
        <v>2765</v>
      </c>
      <c r="D3208" t="s">
        <v>16470</v>
      </c>
      <c r="E3208" t="s">
        <v>48</v>
      </c>
      <c r="F3208" t="s">
        <v>89</v>
      </c>
      <c r="G3208" t="s">
        <v>90</v>
      </c>
      <c r="H3208" t="s">
        <v>80</v>
      </c>
      <c r="I3208" t="s">
        <v>91</v>
      </c>
      <c r="J3208" t="s">
        <v>25</v>
      </c>
      <c r="K3208" t="s">
        <v>16471</v>
      </c>
      <c r="L3208">
        <v>0.1</v>
      </c>
      <c r="M3208" t="s">
        <v>16472</v>
      </c>
      <c r="N3208" t="s">
        <v>16473</v>
      </c>
      <c r="O3208" t="s">
        <v>29</v>
      </c>
      <c r="P3208" t="s">
        <v>30</v>
      </c>
      <c r="Q3208" t="s">
        <v>44</v>
      </c>
      <c r="R3208" s="3">
        <v>2523.2399999999998</v>
      </c>
    </row>
    <row r="3209" spans="1:18" x14ac:dyDescent="0.3">
      <c r="A3209" t="s">
        <v>16474</v>
      </c>
      <c r="B3209" t="str">
        <f>TEXT(Raw_Data[[#This Row],[Order Date]],"mmm")</f>
        <v>Jul</v>
      </c>
      <c r="C3209" t="s">
        <v>389</v>
      </c>
      <c r="D3209" t="s">
        <v>16475</v>
      </c>
      <c r="E3209" t="s">
        <v>35</v>
      </c>
      <c r="F3209" t="s">
        <v>58</v>
      </c>
      <c r="G3209" t="s">
        <v>812</v>
      </c>
      <c r="H3209" t="s">
        <v>23</v>
      </c>
      <c r="I3209" t="s">
        <v>24</v>
      </c>
      <c r="J3209" t="s">
        <v>25</v>
      </c>
      <c r="K3209" t="s">
        <v>16476</v>
      </c>
      <c r="L3209">
        <v>0.1</v>
      </c>
      <c r="M3209" t="s">
        <v>16477</v>
      </c>
      <c r="N3209" t="s">
        <v>16478</v>
      </c>
      <c r="O3209" t="s">
        <v>54</v>
      </c>
      <c r="P3209" t="s">
        <v>30</v>
      </c>
      <c r="Q3209" t="s">
        <v>65</v>
      </c>
      <c r="R3209" s="3">
        <v>66520.422000000006</v>
      </c>
    </row>
    <row r="3210" spans="1:18" x14ac:dyDescent="0.3">
      <c r="A3210" t="s">
        <v>16479</v>
      </c>
      <c r="B3210" t="str">
        <f>TEXT(Raw_Data[[#This Row],[Order Date]],"mmm")</f>
        <v>Nov</v>
      </c>
      <c r="C3210" t="s">
        <v>3696</v>
      </c>
      <c r="D3210" t="s">
        <v>16480</v>
      </c>
      <c r="E3210" t="s">
        <v>48</v>
      </c>
      <c r="F3210" t="s">
        <v>89</v>
      </c>
      <c r="G3210" t="s">
        <v>90</v>
      </c>
      <c r="H3210" t="s">
        <v>80</v>
      </c>
      <c r="I3210" t="s">
        <v>146</v>
      </c>
      <c r="J3210" t="s">
        <v>25</v>
      </c>
      <c r="K3210" t="s">
        <v>16481</v>
      </c>
      <c r="L3210">
        <v>0.1</v>
      </c>
      <c r="M3210" t="s">
        <v>16482</v>
      </c>
      <c r="N3210" t="s">
        <v>16483</v>
      </c>
      <c r="O3210" t="s">
        <v>29</v>
      </c>
      <c r="P3210" t="s">
        <v>30</v>
      </c>
      <c r="Q3210" t="s">
        <v>65</v>
      </c>
      <c r="R3210" s="3">
        <v>1289.268</v>
      </c>
    </row>
    <row r="3211" spans="1:18" x14ac:dyDescent="0.3">
      <c r="A3211" t="s">
        <v>16484</v>
      </c>
      <c r="B3211" t="str">
        <f>TEXT(Raw_Data[[#This Row],[Order Date]],"mmm")</f>
        <v>Jul</v>
      </c>
      <c r="C3211" t="s">
        <v>522</v>
      </c>
      <c r="D3211" t="s">
        <v>16485</v>
      </c>
      <c r="E3211" t="s">
        <v>48</v>
      </c>
      <c r="F3211" t="s">
        <v>89</v>
      </c>
      <c r="G3211" t="s">
        <v>230</v>
      </c>
      <c r="H3211" t="s">
        <v>80</v>
      </c>
      <c r="I3211" t="s">
        <v>116</v>
      </c>
      <c r="J3211" t="s">
        <v>100</v>
      </c>
      <c r="K3211" t="s">
        <v>16486</v>
      </c>
      <c r="L3211">
        <v>0.05</v>
      </c>
      <c r="M3211" t="s">
        <v>16487</v>
      </c>
      <c r="N3211" t="s">
        <v>16488</v>
      </c>
      <c r="O3211" t="s">
        <v>64</v>
      </c>
      <c r="P3211" t="s">
        <v>30</v>
      </c>
      <c r="Q3211" t="s">
        <v>31</v>
      </c>
      <c r="R3211" s="3">
        <v>3303.3494999999998</v>
      </c>
    </row>
    <row r="3212" spans="1:18" x14ac:dyDescent="0.3">
      <c r="A3212" t="s">
        <v>16489</v>
      </c>
      <c r="B3212" t="str">
        <f>TEXT(Raw_Data[[#This Row],[Order Date]],"mmm")</f>
        <v>May</v>
      </c>
      <c r="C3212" t="s">
        <v>874</v>
      </c>
      <c r="D3212" t="s">
        <v>16490</v>
      </c>
      <c r="E3212" t="s">
        <v>48</v>
      </c>
      <c r="F3212" t="s">
        <v>58</v>
      </c>
      <c r="G3212" t="s">
        <v>290</v>
      </c>
      <c r="H3212" t="s">
        <v>38</v>
      </c>
      <c r="I3212" t="s">
        <v>256</v>
      </c>
      <c r="J3212" t="s">
        <v>25</v>
      </c>
      <c r="K3212" t="s">
        <v>16491</v>
      </c>
      <c r="L3212">
        <v>0</v>
      </c>
      <c r="M3212" t="s">
        <v>16492</v>
      </c>
      <c r="N3212" t="s">
        <v>16493</v>
      </c>
      <c r="O3212" t="s">
        <v>54</v>
      </c>
      <c r="P3212" t="s">
        <v>30</v>
      </c>
      <c r="Q3212" t="s">
        <v>44</v>
      </c>
      <c r="R3212" s="3">
        <v>5773.77</v>
      </c>
    </row>
    <row r="3213" spans="1:18" x14ac:dyDescent="0.3">
      <c r="A3213" t="s">
        <v>16494</v>
      </c>
      <c r="B3213" t="str">
        <f>TEXT(Raw_Data[[#This Row],[Order Date]],"mmm")</f>
        <v>Nov</v>
      </c>
      <c r="C3213" t="s">
        <v>11165</v>
      </c>
      <c r="D3213" t="s">
        <v>16495</v>
      </c>
      <c r="E3213" t="s">
        <v>20</v>
      </c>
      <c r="F3213" t="s">
        <v>106</v>
      </c>
      <c r="G3213" t="s">
        <v>106</v>
      </c>
      <c r="H3213" t="s">
        <v>107</v>
      </c>
      <c r="I3213" t="s">
        <v>108</v>
      </c>
      <c r="J3213" t="s">
        <v>50</v>
      </c>
      <c r="K3213" t="s">
        <v>16496</v>
      </c>
      <c r="L3213">
        <v>0.2</v>
      </c>
      <c r="M3213" t="s">
        <v>16497</v>
      </c>
      <c r="N3213" t="s">
        <v>16498</v>
      </c>
      <c r="O3213" t="s">
        <v>64</v>
      </c>
      <c r="P3213" t="s">
        <v>30</v>
      </c>
      <c r="Q3213" t="s">
        <v>65</v>
      </c>
      <c r="R3213" s="3">
        <v>2909.1840000000002</v>
      </c>
    </row>
    <row r="3214" spans="1:18" x14ac:dyDescent="0.3">
      <c r="A3214" t="s">
        <v>16499</v>
      </c>
      <c r="B3214" t="str">
        <f>TEXT(Raw_Data[[#This Row],[Order Date]],"mmm")</f>
        <v>Mar</v>
      </c>
      <c r="C3214" t="s">
        <v>2293</v>
      </c>
      <c r="D3214" t="s">
        <v>16500</v>
      </c>
      <c r="E3214" t="s">
        <v>35</v>
      </c>
      <c r="F3214" t="s">
        <v>215</v>
      </c>
      <c r="G3214" t="s">
        <v>216</v>
      </c>
      <c r="H3214" t="s">
        <v>154</v>
      </c>
      <c r="I3214" t="s">
        <v>237</v>
      </c>
      <c r="J3214" t="s">
        <v>25</v>
      </c>
      <c r="K3214" t="s">
        <v>16501</v>
      </c>
      <c r="L3214">
        <v>0.1</v>
      </c>
      <c r="M3214" t="s">
        <v>16502</v>
      </c>
      <c r="N3214" t="s">
        <v>16503</v>
      </c>
      <c r="O3214" t="s">
        <v>43</v>
      </c>
      <c r="P3214" t="s">
        <v>30</v>
      </c>
      <c r="Q3214" t="s">
        <v>31</v>
      </c>
      <c r="R3214" s="3">
        <v>2584.3319999999999</v>
      </c>
    </row>
    <row r="3215" spans="1:18" x14ac:dyDescent="0.3">
      <c r="A3215" t="s">
        <v>16504</v>
      </c>
      <c r="B3215" t="str">
        <f>TEXT(Raw_Data[[#This Row],[Order Date]],"mmm")</f>
        <v>Apr</v>
      </c>
      <c r="C3215" t="s">
        <v>2903</v>
      </c>
      <c r="D3215" t="s">
        <v>16505</v>
      </c>
      <c r="E3215" t="s">
        <v>35</v>
      </c>
      <c r="F3215" t="s">
        <v>215</v>
      </c>
      <c r="G3215" t="s">
        <v>276</v>
      </c>
      <c r="H3215" t="s">
        <v>80</v>
      </c>
      <c r="I3215" t="s">
        <v>146</v>
      </c>
      <c r="J3215" t="s">
        <v>25</v>
      </c>
      <c r="K3215" t="s">
        <v>16506</v>
      </c>
      <c r="L3215">
        <v>0.05</v>
      </c>
      <c r="M3215" t="s">
        <v>16507</v>
      </c>
      <c r="N3215" t="s">
        <v>16508</v>
      </c>
      <c r="O3215" t="s">
        <v>173</v>
      </c>
      <c r="P3215" t="s">
        <v>30</v>
      </c>
      <c r="Q3215" t="s">
        <v>44</v>
      </c>
      <c r="R3215" s="3">
        <v>5221.0384999999997</v>
      </c>
    </row>
    <row r="3216" spans="1:18" x14ac:dyDescent="0.3">
      <c r="A3216" t="s">
        <v>16509</v>
      </c>
      <c r="B3216" t="str">
        <f>TEXT(Raw_Data[[#This Row],[Order Date]],"mmm")</f>
        <v>Jan</v>
      </c>
      <c r="C3216" t="s">
        <v>6081</v>
      </c>
      <c r="D3216" t="s">
        <v>16510</v>
      </c>
      <c r="E3216" t="s">
        <v>20</v>
      </c>
      <c r="F3216" t="s">
        <v>69</v>
      </c>
      <c r="G3216" t="s">
        <v>70</v>
      </c>
      <c r="H3216" t="s">
        <v>38</v>
      </c>
      <c r="I3216" t="s">
        <v>39</v>
      </c>
      <c r="J3216" t="s">
        <v>25</v>
      </c>
      <c r="K3216" t="s">
        <v>8841</v>
      </c>
      <c r="L3216">
        <v>0.1</v>
      </c>
      <c r="M3216" t="s">
        <v>16511</v>
      </c>
      <c r="N3216" t="s">
        <v>16512</v>
      </c>
      <c r="O3216" t="s">
        <v>64</v>
      </c>
      <c r="P3216" t="s">
        <v>30</v>
      </c>
      <c r="Q3216" t="s">
        <v>65</v>
      </c>
      <c r="R3216" s="3">
        <v>1315.701</v>
      </c>
    </row>
    <row r="3217" spans="1:18" x14ac:dyDescent="0.3">
      <c r="A3217" t="s">
        <v>16513</v>
      </c>
      <c r="B3217" t="str">
        <f>TEXT(Raw_Data[[#This Row],[Order Date]],"mmm")</f>
        <v>Nov</v>
      </c>
      <c r="C3217" t="s">
        <v>1697</v>
      </c>
      <c r="D3217" t="s">
        <v>16514</v>
      </c>
      <c r="E3217" t="s">
        <v>48</v>
      </c>
      <c r="F3217" t="s">
        <v>89</v>
      </c>
      <c r="G3217" t="s">
        <v>90</v>
      </c>
      <c r="H3217" t="s">
        <v>80</v>
      </c>
      <c r="I3217" t="s">
        <v>116</v>
      </c>
      <c r="J3217" t="s">
        <v>50</v>
      </c>
      <c r="K3217" t="s">
        <v>16515</v>
      </c>
      <c r="L3217">
        <v>0</v>
      </c>
      <c r="M3217" t="s">
        <v>16516</v>
      </c>
      <c r="N3217" t="s">
        <v>16517</v>
      </c>
      <c r="O3217" t="s">
        <v>54</v>
      </c>
      <c r="P3217" t="s">
        <v>30</v>
      </c>
      <c r="Q3217" t="s">
        <v>65</v>
      </c>
      <c r="R3217" s="3">
        <v>6750.3</v>
      </c>
    </row>
    <row r="3218" spans="1:18" x14ac:dyDescent="0.3">
      <c r="A3218" t="s">
        <v>16518</v>
      </c>
      <c r="B3218" t="str">
        <f>TEXT(Raw_Data[[#This Row],[Order Date]],"mmm")</f>
        <v>May</v>
      </c>
      <c r="C3218" t="s">
        <v>885</v>
      </c>
      <c r="D3218" t="s">
        <v>16519</v>
      </c>
      <c r="E3218" t="s">
        <v>48</v>
      </c>
      <c r="F3218" t="s">
        <v>78</v>
      </c>
      <c r="G3218" t="s">
        <v>79</v>
      </c>
      <c r="H3218" t="s">
        <v>38</v>
      </c>
      <c r="I3218" t="s">
        <v>71</v>
      </c>
      <c r="J3218" t="s">
        <v>100</v>
      </c>
      <c r="K3218" t="s">
        <v>16520</v>
      </c>
      <c r="L3218">
        <v>0.1</v>
      </c>
      <c r="M3218" t="s">
        <v>16521</v>
      </c>
      <c r="N3218" t="s">
        <v>16522</v>
      </c>
      <c r="O3218" t="s">
        <v>43</v>
      </c>
      <c r="P3218" t="s">
        <v>30</v>
      </c>
      <c r="Q3218" t="s">
        <v>44</v>
      </c>
      <c r="R3218" s="3">
        <v>1060.9649999999999</v>
      </c>
    </row>
    <row r="3219" spans="1:18" x14ac:dyDescent="0.3">
      <c r="A3219" t="s">
        <v>16523</v>
      </c>
      <c r="B3219" t="str">
        <f>TEXT(Raw_Data[[#This Row],[Order Date]],"mmm")</f>
        <v>Feb</v>
      </c>
      <c r="C3219" t="s">
        <v>2399</v>
      </c>
      <c r="D3219" t="s">
        <v>16524</v>
      </c>
      <c r="E3219" t="s">
        <v>20</v>
      </c>
      <c r="F3219" t="s">
        <v>78</v>
      </c>
      <c r="G3219" t="s">
        <v>79</v>
      </c>
      <c r="H3219" t="s">
        <v>107</v>
      </c>
      <c r="I3219" t="s">
        <v>378</v>
      </c>
      <c r="J3219" t="s">
        <v>25</v>
      </c>
      <c r="K3219" t="s">
        <v>16525</v>
      </c>
      <c r="L3219">
        <v>0</v>
      </c>
      <c r="M3219" t="s">
        <v>16526</v>
      </c>
      <c r="N3219" t="s">
        <v>16527</v>
      </c>
      <c r="O3219" t="s">
        <v>43</v>
      </c>
      <c r="P3219" t="s">
        <v>30</v>
      </c>
      <c r="Q3219" t="s">
        <v>44</v>
      </c>
      <c r="R3219" s="3">
        <v>1372.84</v>
      </c>
    </row>
    <row r="3220" spans="1:18" x14ac:dyDescent="0.3">
      <c r="A3220" t="s">
        <v>16528</v>
      </c>
      <c r="B3220" t="str">
        <f>TEXT(Raw_Data[[#This Row],[Order Date]],"mmm")</f>
        <v>Jul</v>
      </c>
      <c r="C3220" t="s">
        <v>2992</v>
      </c>
      <c r="D3220" t="s">
        <v>16529</v>
      </c>
      <c r="E3220" t="s">
        <v>20</v>
      </c>
      <c r="F3220" t="s">
        <v>78</v>
      </c>
      <c r="G3220" t="s">
        <v>468</v>
      </c>
      <c r="H3220" t="s">
        <v>80</v>
      </c>
      <c r="I3220" t="s">
        <v>146</v>
      </c>
      <c r="J3220" t="s">
        <v>50</v>
      </c>
      <c r="K3220" t="s">
        <v>16530</v>
      </c>
      <c r="L3220">
        <v>0</v>
      </c>
      <c r="M3220" t="s">
        <v>16531</v>
      </c>
      <c r="N3220" t="s">
        <v>16532</v>
      </c>
      <c r="O3220" t="s">
        <v>43</v>
      </c>
      <c r="P3220" t="s">
        <v>30</v>
      </c>
      <c r="Q3220" t="s">
        <v>65</v>
      </c>
      <c r="R3220" s="3">
        <v>11150.04</v>
      </c>
    </row>
    <row r="3221" spans="1:18" x14ac:dyDescent="0.3">
      <c r="A3221" t="s">
        <v>16533</v>
      </c>
      <c r="B3221" t="str">
        <f>TEXT(Raw_Data[[#This Row],[Order Date]],"mmm")</f>
        <v>Apr</v>
      </c>
      <c r="C3221" t="s">
        <v>67</v>
      </c>
      <c r="D3221" t="s">
        <v>16534</v>
      </c>
      <c r="E3221" t="s">
        <v>35</v>
      </c>
      <c r="F3221" t="s">
        <v>58</v>
      </c>
      <c r="G3221" t="s">
        <v>290</v>
      </c>
      <c r="H3221" t="s">
        <v>107</v>
      </c>
      <c r="I3221" t="s">
        <v>378</v>
      </c>
      <c r="J3221" t="s">
        <v>25</v>
      </c>
      <c r="K3221" t="s">
        <v>16535</v>
      </c>
      <c r="L3221">
        <v>0.05</v>
      </c>
      <c r="M3221" t="s">
        <v>16536</v>
      </c>
      <c r="N3221" t="s">
        <v>16537</v>
      </c>
      <c r="O3221" t="s">
        <v>64</v>
      </c>
      <c r="P3221" t="s">
        <v>30</v>
      </c>
      <c r="Q3221" t="s">
        <v>65</v>
      </c>
      <c r="R3221" s="3">
        <v>8875.5934999999899</v>
      </c>
    </row>
    <row r="3222" spans="1:18" x14ac:dyDescent="0.3">
      <c r="A3222" t="s">
        <v>16538</v>
      </c>
      <c r="B3222" t="str">
        <f>TEXT(Raw_Data[[#This Row],[Order Date]],"mmm")</f>
        <v>Mar</v>
      </c>
      <c r="C3222" t="s">
        <v>713</v>
      </c>
      <c r="D3222" t="s">
        <v>16539</v>
      </c>
      <c r="E3222" t="s">
        <v>48</v>
      </c>
      <c r="F3222" t="s">
        <v>69</v>
      </c>
      <c r="G3222" t="s">
        <v>139</v>
      </c>
      <c r="H3222" t="s">
        <v>23</v>
      </c>
      <c r="I3222" t="s">
        <v>341</v>
      </c>
      <c r="J3222" t="s">
        <v>25</v>
      </c>
      <c r="K3222" t="s">
        <v>16540</v>
      </c>
      <c r="L3222">
        <v>0</v>
      </c>
      <c r="M3222" t="s">
        <v>16541</v>
      </c>
      <c r="N3222" t="s">
        <v>16542</v>
      </c>
      <c r="O3222" t="s">
        <v>64</v>
      </c>
      <c r="P3222" t="s">
        <v>95</v>
      </c>
      <c r="Q3222" t="s">
        <v>65</v>
      </c>
      <c r="R3222" s="3">
        <v>26528.05</v>
      </c>
    </row>
    <row r="3223" spans="1:18" x14ac:dyDescent="0.3">
      <c r="A3223" t="s">
        <v>16543</v>
      </c>
      <c r="B3223" t="str">
        <f>TEXT(Raw_Data[[#This Row],[Order Date]],"mmm")</f>
        <v>Jul</v>
      </c>
      <c r="C3223" t="s">
        <v>2416</v>
      </c>
      <c r="D3223" t="s">
        <v>16544</v>
      </c>
      <c r="E3223" t="s">
        <v>35</v>
      </c>
      <c r="F3223" t="s">
        <v>78</v>
      </c>
      <c r="G3223" t="s">
        <v>731</v>
      </c>
      <c r="H3223" t="s">
        <v>23</v>
      </c>
      <c r="I3223" t="s">
        <v>341</v>
      </c>
      <c r="J3223" t="s">
        <v>25</v>
      </c>
      <c r="K3223" t="s">
        <v>16545</v>
      </c>
      <c r="L3223">
        <v>0.05</v>
      </c>
      <c r="M3223" t="s">
        <v>16546</v>
      </c>
      <c r="N3223" t="s">
        <v>16547</v>
      </c>
      <c r="O3223" t="s">
        <v>54</v>
      </c>
      <c r="P3223" t="s">
        <v>30</v>
      </c>
      <c r="Q3223" t="s">
        <v>65</v>
      </c>
      <c r="R3223" s="3">
        <v>60646.3944999999</v>
      </c>
    </row>
    <row r="3224" spans="1:18" x14ac:dyDescent="0.3">
      <c r="A3224" t="s">
        <v>16548</v>
      </c>
      <c r="B3224" t="str">
        <f>TEXT(Raw_Data[[#This Row],[Order Date]],"mmm")</f>
        <v>Feb</v>
      </c>
      <c r="C3224" t="s">
        <v>942</v>
      </c>
      <c r="D3224" t="s">
        <v>16549</v>
      </c>
      <c r="E3224" t="s">
        <v>35</v>
      </c>
      <c r="F3224" t="s">
        <v>21</v>
      </c>
      <c r="G3224" t="s">
        <v>22</v>
      </c>
      <c r="H3224" t="s">
        <v>107</v>
      </c>
      <c r="I3224" t="s">
        <v>277</v>
      </c>
      <c r="J3224" t="s">
        <v>25</v>
      </c>
      <c r="K3224" t="s">
        <v>16550</v>
      </c>
      <c r="L3224">
        <v>0.2</v>
      </c>
      <c r="M3224" t="s">
        <v>16551</v>
      </c>
      <c r="N3224" t="s">
        <v>16552</v>
      </c>
      <c r="O3224" t="s">
        <v>43</v>
      </c>
      <c r="P3224" t="s">
        <v>112</v>
      </c>
      <c r="Q3224" t="s">
        <v>31</v>
      </c>
      <c r="R3224" s="3">
        <v>9281.8160000000007</v>
      </c>
    </row>
    <row r="3225" spans="1:18" x14ac:dyDescent="0.3">
      <c r="A3225" t="s">
        <v>16553</v>
      </c>
      <c r="B3225" t="str">
        <f>TEXT(Raw_Data[[#This Row],[Order Date]],"mmm")</f>
        <v>Dec</v>
      </c>
      <c r="C3225" t="s">
        <v>3003</v>
      </c>
      <c r="D3225" t="s">
        <v>16554</v>
      </c>
      <c r="E3225" t="s">
        <v>35</v>
      </c>
      <c r="F3225" t="s">
        <v>78</v>
      </c>
      <c r="G3225" t="s">
        <v>79</v>
      </c>
      <c r="H3225" t="s">
        <v>107</v>
      </c>
      <c r="I3225" t="s">
        <v>591</v>
      </c>
      <c r="J3225" t="s">
        <v>25</v>
      </c>
      <c r="K3225" t="s">
        <v>16555</v>
      </c>
      <c r="L3225">
        <v>0.1</v>
      </c>
      <c r="M3225" t="s">
        <v>16556</v>
      </c>
      <c r="N3225" t="s">
        <v>16557</v>
      </c>
      <c r="O3225" t="s">
        <v>64</v>
      </c>
      <c r="P3225" t="s">
        <v>159</v>
      </c>
      <c r="Q3225" t="s">
        <v>31</v>
      </c>
      <c r="R3225" s="3">
        <v>14494.329</v>
      </c>
    </row>
    <row r="3226" spans="1:18" x14ac:dyDescent="0.3">
      <c r="A3226" t="s">
        <v>16558</v>
      </c>
      <c r="B3226" t="str">
        <f>TEXT(Raw_Data[[#This Row],[Order Date]],"mmm")</f>
        <v>May</v>
      </c>
      <c r="C3226" t="s">
        <v>498</v>
      </c>
      <c r="D3226" t="s">
        <v>16559</v>
      </c>
      <c r="E3226" t="s">
        <v>35</v>
      </c>
      <c r="F3226" t="s">
        <v>36</v>
      </c>
      <c r="G3226" t="s">
        <v>414</v>
      </c>
      <c r="H3226" t="s">
        <v>23</v>
      </c>
      <c r="I3226" t="s">
        <v>341</v>
      </c>
      <c r="J3226" t="s">
        <v>25</v>
      </c>
      <c r="K3226" t="s">
        <v>16560</v>
      </c>
      <c r="L3226">
        <v>0.1</v>
      </c>
      <c r="M3226" t="s">
        <v>16561</v>
      </c>
      <c r="N3226" t="s">
        <v>16562</v>
      </c>
      <c r="O3226" t="s">
        <v>54</v>
      </c>
      <c r="P3226" t="s">
        <v>159</v>
      </c>
      <c r="Q3226" t="s">
        <v>31</v>
      </c>
      <c r="R3226" s="3">
        <v>19777.608</v>
      </c>
    </row>
    <row r="3227" spans="1:18" x14ac:dyDescent="0.3">
      <c r="A3227" t="s">
        <v>16563</v>
      </c>
      <c r="B3227" t="str">
        <f>TEXT(Raw_Data[[#This Row],[Order Date]],"mmm")</f>
        <v>Sep</v>
      </c>
      <c r="C3227" t="s">
        <v>663</v>
      </c>
      <c r="D3227" t="s">
        <v>16564</v>
      </c>
      <c r="E3227" t="s">
        <v>48</v>
      </c>
      <c r="F3227" t="s">
        <v>36</v>
      </c>
      <c r="G3227" t="s">
        <v>123</v>
      </c>
      <c r="H3227" t="s">
        <v>23</v>
      </c>
      <c r="I3227" t="s">
        <v>263</v>
      </c>
      <c r="J3227" t="s">
        <v>25</v>
      </c>
      <c r="K3227" t="s">
        <v>16565</v>
      </c>
      <c r="L3227">
        <v>0.2</v>
      </c>
      <c r="M3227" t="s">
        <v>16566</v>
      </c>
      <c r="N3227" t="s">
        <v>16567</v>
      </c>
      <c r="O3227" t="s">
        <v>43</v>
      </c>
      <c r="P3227" t="s">
        <v>30</v>
      </c>
      <c r="Q3227" t="s">
        <v>44</v>
      </c>
      <c r="R3227" s="3">
        <v>40815.048000000003</v>
      </c>
    </row>
    <row r="3228" spans="1:18" x14ac:dyDescent="0.3">
      <c r="A3228" t="s">
        <v>16568</v>
      </c>
      <c r="B3228" t="str">
        <f>TEXT(Raw_Data[[#This Row],[Order Date]],"mmm")</f>
        <v>Sep</v>
      </c>
      <c r="C3228" t="s">
        <v>719</v>
      </c>
      <c r="D3228" t="s">
        <v>16569</v>
      </c>
      <c r="E3228" t="s">
        <v>35</v>
      </c>
      <c r="F3228" t="s">
        <v>36</v>
      </c>
      <c r="G3228" t="s">
        <v>414</v>
      </c>
      <c r="H3228" t="s">
        <v>23</v>
      </c>
      <c r="I3228" t="s">
        <v>341</v>
      </c>
      <c r="J3228" t="s">
        <v>25</v>
      </c>
      <c r="K3228" t="s">
        <v>16570</v>
      </c>
      <c r="L3228">
        <v>0.15</v>
      </c>
      <c r="M3228" t="s">
        <v>16571</v>
      </c>
      <c r="N3228" t="s">
        <v>16572</v>
      </c>
      <c r="O3228" t="s">
        <v>29</v>
      </c>
      <c r="P3228" t="s">
        <v>30</v>
      </c>
      <c r="Q3228" t="s">
        <v>44</v>
      </c>
      <c r="R3228" s="3">
        <v>25971.053</v>
      </c>
    </row>
    <row r="3229" spans="1:18" x14ac:dyDescent="0.3">
      <c r="A3229" t="s">
        <v>16573</v>
      </c>
      <c r="B3229" t="str">
        <f>TEXT(Raw_Data[[#This Row],[Order Date]],"mmm")</f>
        <v>Nov</v>
      </c>
      <c r="C3229" t="s">
        <v>1775</v>
      </c>
      <c r="D3229" t="s">
        <v>16574</v>
      </c>
      <c r="E3229" t="s">
        <v>48</v>
      </c>
      <c r="F3229" t="s">
        <v>89</v>
      </c>
      <c r="G3229" t="s">
        <v>230</v>
      </c>
      <c r="H3229" t="s">
        <v>23</v>
      </c>
      <c r="I3229" t="s">
        <v>341</v>
      </c>
      <c r="J3229" t="s">
        <v>82</v>
      </c>
      <c r="K3229" t="s">
        <v>16575</v>
      </c>
      <c r="L3229">
        <v>0</v>
      </c>
      <c r="M3229" t="s">
        <v>16576</v>
      </c>
      <c r="N3229" t="s">
        <v>16577</v>
      </c>
      <c r="O3229" t="s">
        <v>173</v>
      </c>
      <c r="P3229" t="s">
        <v>30</v>
      </c>
      <c r="Q3229" t="s">
        <v>44</v>
      </c>
      <c r="R3229" s="3">
        <v>233887.16</v>
      </c>
    </row>
    <row r="3230" spans="1:18" x14ac:dyDescent="0.3">
      <c r="A3230" t="s">
        <v>16578</v>
      </c>
      <c r="B3230" t="str">
        <f>TEXT(Raw_Data[[#This Row],[Order Date]],"mmm")</f>
        <v>Jan</v>
      </c>
      <c r="C3230" t="s">
        <v>175</v>
      </c>
      <c r="D3230" t="s">
        <v>16579</v>
      </c>
      <c r="E3230" t="s">
        <v>20</v>
      </c>
      <c r="F3230" t="s">
        <v>106</v>
      </c>
      <c r="G3230" t="s">
        <v>163</v>
      </c>
      <c r="H3230" t="s">
        <v>38</v>
      </c>
      <c r="I3230" t="s">
        <v>39</v>
      </c>
      <c r="J3230" t="s">
        <v>25</v>
      </c>
      <c r="K3230" t="s">
        <v>16580</v>
      </c>
      <c r="L3230">
        <v>0.1</v>
      </c>
      <c r="M3230" t="s">
        <v>16581</v>
      </c>
      <c r="N3230" t="s">
        <v>16582</v>
      </c>
      <c r="O3230" t="s">
        <v>173</v>
      </c>
      <c r="P3230" t="s">
        <v>30</v>
      </c>
      <c r="Q3230" t="s">
        <v>44</v>
      </c>
      <c r="R3230" s="3">
        <v>1497.681</v>
      </c>
    </row>
    <row r="3231" spans="1:18" x14ac:dyDescent="0.3">
      <c r="A3231" t="s">
        <v>16583</v>
      </c>
      <c r="B3231" t="str">
        <f>TEXT(Raw_Data[[#This Row],[Order Date]],"mmm")</f>
        <v>Oct</v>
      </c>
      <c r="C3231" t="s">
        <v>828</v>
      </c>
      <c r="D3231" t="s">
        <v>16584</v>
      </c>
      <c r="E3231" t="s">
        <v>20</v>
      </c>
      <c r="F3231" t="s">
        <v>78</v>
      </c>
      <c r="G3231" t="s">
        <v>468</v>
      </c>
      <c r="H3231" t="s">
        <v>38</v>
      </c>
      <c r="I3231" t="s">
        <v>39</v>
      </c>
      <c r="J3231" t="s">
        <v>100</v>
      </c>
      <c r="K3231" t="s">
        <v>16585</v>
      </c>
      <c r="L3231">
        <v>0.15</v>
      </c>
      <c r="M3231" t="s">
        <v>16586</v>
      </c>
      <c r="N3231" t="s">
        <v>16587</v>
      </c>
      <c r="O3231" t="s">
        <v>29</v>
      </c>
      <c r="P3231" t="s">
        <v>112</v>
      </c>
      <c r="Q3231" t="s">
        <v>31</v>
      </c>
      <c r="R3231" s="3">
        <v>11181.7755</v>
      </c>
    </row>
    <row r="3232" spans="1:18" x14ac:dyDescent="0.3">
      <c r="A3232" t="s">
        <v>16588</v>
      </c>
      <c r="B3232" t="str">
        <f>TEXT(Raw_Data[[#This Row],[Order Date]],"mmm")</f>
        <v>Mar</v>
      </c>
      <c r="C3232" t="s">
        <v>2293</v>
      </c>
      <c r="D3232" t="s">
        <v>16589</v>
      </c>
      <c r="E3232" t="s">
        <v>35</v>
      </c>
      <c r="F3232" t="s">
        <v>58</v>
      </c>
      <c r="G3232" t="s">
        <v>59</v>
      </c>
      <c r="H3232" t="s">
        <v>107</v>
      </c>
      <c r="I3232" t="s">
        <v>591</v>
      </c>
      <c r="J3232" t="s">
        <v>100</v>
      </c>
      <c r="K3232" t="s">
        <v>16590</v>
      </c>
      <c r="L3232">
        <v>0.1</v>
      </c>
      <c r="M3232" t="s">
        <v>16591</v>
      </c>
      <c r="N3232" t="s">
        <v>16592</v>
      </c>
      <c r="O3232" t="s">
        <v>64</v>
      </c>
      <c r="P3232" t="s">
        <v>30</v>
      </c>
      <c r="Q3232" t="s">
        <v>65</v>
      </c>
      <c r="R3232" s="3">
        <v>8780.3729999999996</v>
      </c>
    </row>
    <row r="3233" spans="1:18" x14ac:dyDescent="0.3">
      <c r="A3233" t="s">
        <v>16593</v>
      </c>
      <c r="B3233" t="str">
        <f>TEXT(Raw_Data[[#This Row],[Order Date]],"mmm")</f>
        <v>Oct</v>
      </c>
      <c r="C3233" t="s">
        <v>1171</v>
      </c>
      <c r="D3233" t="s">
        <v>16594</v>
      </c>
      <c r="E3233" t="s">
        <v>35</v>
      </c>
      <c r="F3233" t="s">
        <v>106</v>
      </c>
      <c r="G3233" t="s">
        <v>163</v>
      </c>
      <c r="H3233" t="s">
        <v>154</v>
      </c>
      <c r="I3233" t="s">
        <v>1061</v>
      </c>
      <c r="J3233" t="s">
        <v>25</v>
      </c>
      <c r="K3233" t="s">
        <v>16595</v>
      </c>
      <c r="L3233">
        <v>0.05</v>
      </c>
      <c r="M3233" t="s">
        <v>16596</v>
      </c>
      <c r="N3233" t="s">
        <v>16597</v>
      </c>
      <c r="O3233" t="s">
        <v>64</v>
      </c>
      <c r="P3233" t="s">
        <v>30</v>
      </c>
      <c r="Q3233" t="s">
        <v>31</v>
      </c>
      <c r="R3233" s="3">
        <v>5402.4979999999996</v>
      </c>
    </row>
    <row r="3234" spans="1:18" x14ac:dyDescent="0.3">
      <c r="A3234" t="s">
        <v>16598</v>
      </c>
      <c r="B3234" t="str">
        <f>TEXT(Raw_Data[[#This Row],[Order Date]],"mmm")</f>
        <v>Nov</v>
      </c>
      <c r="C3234" t="s">
        <v>657</v>
      </c>
      <c r="D3234" t="s">
        <v>16599</v>
      </c>
      <c r="E3234" t="s">
        <v>20</v>
      </c>
      <c r="F3234" t="s">
        <v>106</v>
      </c>
      <c r="G3234" t="s">
        <v>106</v>
      </c>
      <c r="H3234" t="s">
        <v>38</v>
      </c>
      <c r="I3234" t="s">
        <v>71</v>
      </c>
      <c r="J3234" t="s">
        <v>100</v>
      </c>
      <c r="K3234" t="s">
        <v>16600</v>
      </c>
      <c r="L3234">
        <v>0</v>
      </c>
      <c r="M3234" t="s">
        <v>16601</v>
      </c>
      <c r="N3234" t="s">
        <v>16602</v>
      </c>
      <c r="O3234" t="s">
        <v>173</v>
      </c>
      <c r="P3234" t="s">
        <v>159</v>
      </c>
      <c r="Q3234" t="s">
        <v>44</v>
      </c>
      <c r="R3234" s="3">
        <v>17487.3299999999</v>
      </c>
    </row>
    <row r="3235" spans="1:18" x14ac:dyDescent="0.3">
      <c r="A3235" t="s">
        <v>16603</v>
      </c>
      <c r="B3235" t="str">
        <f>TEXT(Raw_Data[[#This Row],[Order Date]],"mmm")</f>
        <v>Oct</v>
      </c>
      <c r="C3235" t="s">
        <v>3186</v>
      </c>
      <c r="D3235" t="s">
        <v>16604</v>
      </c>
      <c r="E3235" t="s">
        <v>20</v>
      </c>
      <c r="F3235" t="s">
        <v>89</v>
      </c>
      <c r="G3235" t="s">
        <v>90</v>
      </c>
      <c r="H3235" t="s">
        <v>154</v>
      </c>
      <c r="I3235" t="s">
        <v>309</v>
      </c>
      <c r="J3235" t="s">
        <v>25</v>
      </c>
      <c r="K3235" t="s">
        <v>16605</v>
      </c>
      <c r="L3235">
        <v>0.1</v>
      </c>
      <c r="M3235" t="s">
        <v>16606</v>
      </c>
      <c r="N3235" t="s">
        <v>16607</v>
      </c>
      <c r="O3235" t="s">
        <v>54</v>
      </c>
      <c r="P3235" t="s">
        <v>30</v>
      </c>
      <c r="Q3235" t="s">
        <v>31</v>
      </c>
      <c r="R3235" s="3">
        <v>7186.9859999999999</v>
      </c>
    </row>
    <row r="3236" spans="1:18" x14ac:dyDescent="0.3">
      <c r="A3236" t="s">
        <v>16608</v>
      </c>
      <c r="B3236" t="str">
        <f>TEXT(Raw_Data[[#This Row],[Order Date]],"mmm")</f>
        <v>Apr</v>
      </c>
      <c r="C3236" t="s">
        <v>4751</v>
      </c>
      <c r="D3236" t="s">
        <v>16609</v>
      </c>
      <c r="E3236" t="s">
        <v>35</v>
      </c>
      <c r="F3236" t="s">
        <v>36</v>
      </c>
      <c r="G3236" t="s">
        <v>123</v>
      </c>
      <c r="H3236" t="s">
        <v>80</v>
      </c>
      <c r="I3236" t="s">
        <v>91</v>
      </c>
      <c r="J3236" t="s">
        <v>50</v>
      </c>
      <c r="K3236" t="s">
        <v>16610</v>
      </c>
      <c r="L3236">
        <v>0.2</v>
      </c>
      <c r="M3236" t="s">
        <v>16611</v>
      </c>
      <c r="N3236" t="s">
        <v>16612</v>
      </c>
      <c r="O3236" t="s">
        <v>29</v>
      </c>
      <c r="P3236" t="s">
        <v>30</v>
      </c>
      <c r="Q3236" t="s">
        <v>31</v>
      </c>
      <c r="R3236" s="3">
        <v>6837.3760000000002</v>
      </c>
    </row>
    <row r="3237" spans="1:18" x14ac:dyDescent="0.3">
      <c r="A3237" t="s">
        <v>16613</v>
      </c>
      <c r="B3237" t="str">
        <f>TEXT(Raw_Data[[#This Row],[Order Date]],"mmm")</f>
        <v>Oct</v>
      </c>
      <c r="C3237" t="s">
        <v>736</v>
      </c>
      <c r="D3237" t="s">
        <v>16614</v>
      </c>
      <c r="E3237" t="s">
        <v>35</v>
      </c>
      <c r="F3237" t="s">
        <v>78</v>
      </c>
      <c r="G3237" t="s">
        <v>468</v>
      </c>
      <c r="H3237" t="s">
        <v>80</v>
      </c>
      <c r="I3237" t="s">
        <v>81</v>
      </c>
      <c r="J3237" t="s">
        <v>100</v>
      </c>
      <c r="K3237" t="s">
        <v>16615</v>
      </c>
      <c r="L3237">
        <v>0.15</v>
      </c>
      <c r="M3237" t="s">
        <v>16616</v>
      </c>
      <c r="N3237" t="s">
        <v>16617</v>
      </c>
      <c r="O3237" t="s">
        <v>29</v>
      </c>
      <c r="P3237" t="s">
        <v>30</v>
      </c>
      <c r="Q3237" t="s">
        <v>44</v>
      </c>
      <c r="R3237" s="3">
        <v>17531.071499999998</v>
      </c>
    </row>
    <row r="3238" spans="1:18" x14ac:dyDescent="0.3">
      <c r="A3238" t="s">
        <v>16618</v>
      </c>
      <c r="B3238" t="str">
        <f>TEXT(Raw_Data[[#This Row],[Order Date]],"mmm")</f>
        <v>Mar</v>
      </c>
      <c r="C3238" t="s">
        <v>282</v>
      </c>
      <c r="D3238" t="s">
        <v>16619</v>
      </c>
      <c r="E3238" t="s">
        <v>48</v>
      </c>
      <c r="F3238" t="s">
        <v>215</v>
      </c>
      <c r="G3238" t="s">
        <v>216</v>
      </c>
      <c r="H3238" t="s">
        <v>23</v>
      </c>
      <c r="I3238" t="s">
        <v>341</v>
      </c>
      <c r="J3238" t="s">
        <v>50</v>
      </c>
      <c r="K3238" t="s">
        <v>16620</v>
      </c>
      <c r="L3238">
        <v>0.15</v>
      </c>
      <c r="M3238" t="s">
        <v>16621</v>
      </c>
      <c r="N3238" t="s">
        <v>16622</v>
      </c>
      <c r="O3238" t="s">
        <v>64</v>
      </c>
      <c r="P3238" t="s">
        <v>30</v>
      </c>
      <c r="Q3238" t="s">
        <v>44</v>
      </c>
      <c r="R3238" s="3">
        <v>10123.993</v>
      </c>
    </row>
    <row r="3239" spans="1:18" x14ac:dyDescent="0.3">
      <c r="A3239" t="s">
        <v>16623</v>
      </c>
      <c r="B3239" t="str">
        <f>TEXT(Raw_Data[[#This Row],[Order Date]],"mmm")</f>
        <v>Oct</v>
      </c>
      <c r="C3239" t="s">
        <v>1227</v>
      </c>
      <c r="D3239" t="s">
        <v>16624</v>
      </c>
      <c r="E3239" t="s">
        <v>35</v>
      </c>
      <c r="F3239" t="s">
        <v>106</v>
      </c>
      <c r="G3239" t="s">
        <v>163</v>
      </c>
      <c r="H3239" t="s">
        <v>80</v>
      </c>
      <c r="I3239" t="s">
        <v>81</v>
      </c>
      <c r="J3239" t="s">
        <v>100</v>
      </c>
      <c r="K3239" t="s">
        <v>16625</v>
      </c>
      <c r="L3239">
        <v>0.1</v>
      </c>
      <c r="M3239" t="s">
        <v>16626</v>
      </c>
      <c r="N3239" t="s">
        <v>16627</v>
      </c>
      <c r="O3239" t="s">
        <v>54</v>
      </c>
      <c r="P3239" t="s">
        <v>30</v>
      </c>
      <c r="Q3239" t="s">
        <v>31</v>
      </c>
      <c r="R3239" s="3">
        <v>9533.1329999999998</v>
      </c>
    </row>
    <row r="3240" spans="1:18" x14ac:dyDescent="0.3">
      <c r="A3240" t="s">
        <v>16628</v>
      </c>
      <c r="B3240" t="str">
        <f>TEXT(Raw_Data[[#This Row],[Order Date]],"mmm")</f>
        <v>May</v>
      </c>
      <c r="C3240" t="s">
        <v>1498</v>
      </c>
      <c r="D3240" t="s">
        <v>16629</v>
      </c>
      <c r="E3240" t="s">
        <v>35</v>
      </c>
      <c r="F3240" t="s">
        <v>69</v>
      </c>
      <c r="G3240" t="s">
        <v>328</v>
      </c>
      <c r="H3240" t="s">
        <v>38</v>
      </c>
      <c r="I3240" t="s">
        <v>71</v>
      </c>
      <c r="J3240" t="s">
        <v>25</v>
      </c>
      <c r="K3240" t="s">
        <v>16630</v>
      </c>
      <c r="L3240">
        <v>0</v>
      </c>
      <c r="M3240" t="s">
        <v>16631</v>
      </c>
      <c r="N3240" t="s">
        <v>16632</v>
      </c>
      <c r="O3240" t="s">
        <v>54</v>
      </c>
      <c r="P3240" t="s">
        <v>30</v>
      </c>
      <c r="Q3240" t="s">
        <v>65</v>
      </c>
      <c r="R3240" s="3">
        <v>901</v>
      </c>
    </row>
    <row r="3241" spans="1:18" x14ac:dyDescent="0.3">
      <c r="A3241" t="s">
        <v>16633</v>
      </c>
      <c r="B3241" t="str">
        <f>TEXT(Raw_Data[[#This Row],[Order Date]],"mmm")</f>
        <v>Mar</v>
      </c>
      <c r="C3241" t="s">
        <v>395</v>
      </c>
      <c r="D3241" t="s">
        <v>16634</v>
      </c>
      <c r="E3241" t="s">
        <v>48</v>
      </c>
      <c r="F3241" t="s">
        <v>106</v>
      </c>
      <c r="G3241" t="s">
        <v>106</v>
      </c>
      <c r="H3241" t="s">
        <v>107</v>
      </c>
      <c r="I3241" t="s">
        <v>591</v>
      </c>
      <c r="J3241" t="s">
        <v>25</v>
      </c>
      <c r="K3241" t="s">
        <v>16635</v>
      </c>
      <c r="L3241">
        <v>0.15</v>
      </c>
      <c r="M3241" t="s">
        <v>16636</v>
      </c>
      <c r="N3241" t="s">
        <v>16637</v>
      </c>
      <c r="O3241" t="s">
        <v>54</v>
      </c>
      <c r="P3241" t="s">
        <v>159</v>
      </c>
      <c r="Q3241" t="s">
        <v>44</v>
      </c>
      <c r="R3241" s="3">
        <v>8561.8714999999993</v>
      </c>
    </row>
    <row r="3242" spans="1:18" x14ac:dyDescent="0.3">
      <c r="A3242" t="s">
        <v>16638</v>
      </c>
      <c r="B3242" t="str">
        <f>TEXT(Raw_Data[[#This Row],[Order Date]],"mmm")</f>
        <v>Mar</v>
      </c>
      <c r="C3242" t="s">
        <v>1808</v>
      </c>
      <c r="D3242" t="s">
        <v>16639</v>
      </c>
      <c r="E3242" t="s">
        <v>20</v>
      </c>
      <c r="F3242" t="s">
        <v>21</v>
      </c>
      <c r="G3242" t="s">
        <v>130</v>
      </c>
      <c r="H3242" t="s">
        <v>80</v>
      </c>
      <c r="I3242" t="s">
        <v>131</v>
      </c>
      <c r="J3242" t="s">
        <v>25</v>
      </c>
      <c r="K3242" t="s">
        <v>16640</v>
      </c>
      <c r="L3242">
        <v>0.1</v>
      </c>
      <c r="M3242" t="s">
        <v>16641</v>
      </c>
      <c r="N3242" t="s">
        <v>16642</v>
      </c>
      <c r="O3242" t="s">
        <v>64</v>
      </c>
      <c r="P3242" t="s">
        <v>30</v>
      </c>
      <c r="Q3242" t="s">
        <v>31</v>
      </c>
      <c r="R3242" s="3">
        <v>5113.0079999999998</v>
      </c>
    </row>
    <row r="3243" spans="1:18" x14ac:dyDescent="0.3">
      <c r="A3243" t="s">
        <v>16643</v>
      </c>
      <c r="B3243" t="str">
        <f>TEXT(Raw_Data[[#This Row],[Order Date]],"mmm")</f>
        <v>Feb</v>
      </c>
      <c r="C3243" t="s">
        <v>1336</v>
      </c>
      <c r="D3243" t="s">
        <v>16644</v>
      </c>
      <c r="E3243" t="s">
        <v>48</v>
      </c>
      <c r="F3243" t="s">
        <v>89</v>
      </c>
      <c r="G3243" t="s">
        <v>99</v>
      </c>
      <c r="H3243" t="s">
        <v>154</v>
      </c>
      <c r="I3243" t="s">
        <v>237</v>
      </c>
      <c r="J3243" t="s">
        <v>25</v>
      </c>
      <c r="K3243" t="s">
        <v>16645</v>
      </c>
      <c r="L3243">
        <v>0</v>
      </c>
      <c r="M3243" t="s">
        <v>16646</v>
      </c>
      <c r="N3243" t="s">
        <v>16647</v>
      </c>
      <c r="O3243" t="s">
        <v>54</v>
      </c>
      <c r="P3243" t="s">
        <v>30</v>
      </c>
      <c r="Q3243" t="s">
        <v>31</v>
      </c>
      <c r="R3243" s="3">
        <v>3056.31</v>
      </c>
    </row>
    <row r="3244" spans="1:18" x14ac:dyDescent="0.3">
      <c r="A3244" t="s">
        <v>16648</v>
      </c>
      <c r="B3244" t="str">
        <f>TEXT(Raw_Data[[#This Row],[Order Date]],"mmm")</f>
        <v>Nov</v>
      </c>
      <c r="C3244" t="s">
        <v>1697</v>
      </c>
      <c r="D3244" t="s">
        <v>16649</v>
      </c>
      <c r="E3244" t="s">
        <v>48</v>
      </c>
      <c r="F3244" t="s">
        <v>89</v>
      </c>
      <c r="G3244" t="s">
        <v>90</v>
      </c>
      <c r="H3244" t="s">
        <v>107</v>
      </c>
      <c r="I3244" t="s">
        <v>469</v>
      </c>
      <c r="J3244" t="s">
        <v>25</v>
      </c>
      <c r="K3244" t="s">
        <v>16650</v>
      </c>
      <c r="L3244">
        <v>0</v>
      </c>
      <c r="M3244" t="s">
        <v>16651</v>
      </c>
      <c r="N3244" t="s">
        <v>16652</v>
      </c>
      <c r="O3244" t="s">
        <v>43</v>
      </c>
      <c r="P3244" t="s">
        <v>30</v>
      </c>
      <c r="Q3244" t="s">
        <v>65</v>
      </c>
      <c r="R3244" s="3">
        <v>5580.19</v>
      </c>
    </row>
    <row r="3245" spans="1:18" x14ac:dyDescent="0.3">
      <c r="A3245" t="s">
        <v>16653</v>
      </c>
      <c r="B3245" t="str">
        <f>TEXT(Raw_Data[[#This Row],[Order Date]],"mmm")</f>
        <v>Jul</v>
      </c>
      <c r="C3245" t="s">
        <v>412</v>
      </c>
      <c r="D3245" t="s">
        <v>16654</v>
      </c>
      <c r="E3245" t="s">
        <v>20</v>
      </c>
      <c r="F3245" t="s">
        <v>89</v>
      </c>
      <c r="G3245" t="s">
        <v>230</v>
      </c>
      <c r="H3245" t="s">
        <v>80</v>
      </c>
      <c r="I3245" t="s">
        <v>146</v>
      </c>
      <c r="J3245" t="s">
        <v>50</v>
      </c>
      <c r="K3245" t="s">
        <v>16655</v>
      </c>
      <c r="L3245">
        <v>0.15</v>
      </c>
      <c r="M3245" t="s">
        <v>16656</v>
      </c>
      <c r="N3245" t="s">
        <v>16294</v>
      </c>
      <c r="O3245" t="s">
        <v>64</v>
      </c>
      <c r="P3245" t="s">
        <v>30</v>
      </c>
      <c r="Q3245" t="s">
        <v>65</v>
      </c>
      <c r="R3245" s="3">
        <v>4411.8230000000003</v>
      </c>
    </row>
    <row r="3246" spans="1:18" x14ac:dyDescent="0.3">
      <c r="A3246" t="s">
        <v>16657</v>
      </c>
      <c r="B3246" t="str">
        <f>TEXT(Raw_Data[[#This Row],[Order Date]],"mmm")</f>
        <v>Jun</v>
      </c>
      <c r="C3246" t="s">
        <v>1342</v>
      </c>
      <c r="D3246" t="s">
        <v>16658</v>
      </c>
      <c r="E3246" t="s">
        <v>20</v>
      </c>
      <c r="F3246" t="s">
        <v>106</v>
      </c>
      <c r="G3246" t="s">
        <v>106</v>
      </c>
      <c r="H3246" t="s">
        <v>80</v>
      </c>
      <c r="I3246" t="s">
        <v>146</v>
      </c>
      <c r="J3246" t="s">
        <v>25</v>
      </c>
      <c r="K3246" t="s">
        <v>16659</v>
      </c>
      <c r="L3246">
        <v>0.15</v>
      </c>
      <c r="M3246" t="s">
        <v>16660</v>
      </c>
      <c r="N3246" t="s">
        <v>16661</v>
      </c>
      <c r="O3246" t="s">
        <v>43</v>
      </c>
      <c r="P3246" t="s">
        <v>30</v>
      </c>
      <c r="Q3246" t="s">
        <v>44</v>
      </c>
      <c r="R3246" s="3">
        <v>2551.1134999999999</v>
      </c>
    </row>
    <row r="3247" spans="1:18" x14ac:dyDescent="0.3">
      <c r="A3247" t="s">
        <v>16662</v>
      </c>
      <c r="B3247" t="str">
        <f>TEXT(Raw_Data[[#This Row],[Order Date]],"mmm")</f>
        <v>Nov</v>
      </c>
      <c r="C3247" t="s">
        <v>510</v>
      </c>
      <c r="D3247" t="s">
        <v>16663</v>
      </c>
      <c r="E3247" t="s">
        <v>48</v>
      </c>
      <c r="F3247" t="s">
        <v>69</v>
      </c>
      <c r="G3247" t="s">
        <v>70</v>
      </c>
      <c r="H3247" t="s">
        <v>23</v>
      </c>
      <c r="I3247" t="s">
        <v>24</v>
      </c>
      <c r="J3247" t="s">
        <v>82</v>
      </c>
      <c r="K3247" t="s">
        <v>16664</v>
      </c>
      <c r="L3247">
        <v>0</v>
      </c>
      <c r="M3247" t="s">
        <v>16665</v>
      </c>
      <c r="N3247" t="s">
        <v>16666</v>
      </c>
      <c r="O3247" t="s">
        <v>173</v>
      </c>
      <c r="P3247" t="s">
        <v>30</v>
      </c>
      <c r="Q3247" t="s">
        <v>31</v>
      </c>
      <c r="R3247" s="3">
        <v>182101.36</v>
      </c>
    </row>
    <row r="3248" spans="1:18" x14ac:dyDescent="0.3">
      <c r="A3248" t="s">
        <v>16667</v>
      </c>
      <c r="B3248" t="str">
        <f>TEXT(Raw_Data[[#This Row],[Order Date]],"mmm")</f>
        <v>Dec</v>
      </c>
      <c r="C3248" t="s">
        <v>242</v>
      </c>
      <c r="D3248" t="s">
        <v>16668</v>
      </c>
      <c r="E3248" t="s">
        <v>48</v>
      </c>
      <c r="F3248" t="s">
        <v>89</v>
      </c>
      <c r="G3248" t="s">
        <v>90</v>
      </c>
      <c r="H3248" t="s">
        <v>38</v>
      </c>
      <c r="I3248" t="s">
        <v>256</v>
      </c>
      <c r="J3248" t="s">
        <v>50</v>
      </c>
      <c r="K3248" t="s">
        <v>16669</v>
      </c>
      <c r="L3248">
        <v>0</v>
      </c>
      <c r="M3248" t="s">
        <v>16670</v>
      </c>
      <c r="N3248" t="s">
        <v>16671</v>
      </c>
      <c r="O3248" t="s">
        <v>29</v>
      </c>
      <c r="P3248" t="s">
        <v>30</v>
      </c>
      <c r="Q3248" t="s">
        <v>65</v>
      </c>
      <c r="R3248" s="3">
        <v>3852.06</v>
      </c>
    </row>
    <row r="3249" spans="1:18" x14ac:dyDescent="0.3">
      <c r="A3249" t="s">
        <v>16672</v>
      </c>
      <c r="B3249" t="str">
        <f>TEXT(Raw_Data[[#This Row],[Order Date]],"mmm")</f>
        <v>May</v>
      </c>
      <c r="C3249" t="s">
        <v>948</v>
      </c>
      <c r="D3249" t="s">
        <v>16673</v>
      </c>
      <c r="E3249" t="s">
        <v>35</v>
      </c>
      <c r="F3249" t="s">
        <v>78</v>
      </c>
      <c r="G3249" t="s">
        <v>79</v>
      </c>
      <c r="H3249" t="s">
        <v>38</v>
      </c>
      <c r="I3249" t="s">
        <v>71</v>
      </c>
      <c r="J3249" t="s">
        <v>25</v>
      </c>
      <c r="K3249" t="s">
        <v>16674</v>
      </c>
      <c r="L3249">
        <v>0.2</v>
      </c>
      <c r="M3249" t="s">
        <v>16675</v>
      </c>
      <c r="N3249" t="s">
        <v>16676</v>
      </c>
      <c r="O3249" t="s">
        <v>173</v>
      </c>
      <c r="P3249" t="s">
        <v>95</v>
      </c>
      <c r="Q3249" t="s">
        <v>65</v>
      </c>
      <c r="R3249" s="3">
        <v>4073.5920000000001</v>
      </c>
    </row>
    <row r="3250" spans="1:18" x14ac:dyDescent="0.3">
      <c r="A3250" t="s">
        <v>16677</v>
      </c>
      <c r="B3250" t="str">
        <f>TEXT(Raw_Data[[#This Row],[Order Date]],"mmm")</f>
        <v>Jul</v>
      </c>
      <c r="C3250" t="s">
        <v>6808</v>
      </c>
      <c r="D3250" t="s">
        <v>16678</v>
      </c>
      <c r="E3250" t="s">
        <v>35</v>
      </c>
      <c r="F3250" t="s">
        <v>106</v>
      </c>
      <c r="G3250" t="s">
        <v>163</v>
      </c>
      <c r="H3250" t="s">
        <v>38</v>
      </c>
      <c r="I3250" t="s">
        <v>223</v>
      </c>
      <c r="J3250" t="s">
        <v>50</v>
      </c>
      <c r="K3250" t="s">
        <v>16679</v>
      </c>
      <c r="L3250">
        <v>0.05</v>
      </c>
      <c r="M3250" t="s">
        <v>16680</v>
      </c>
      <c r="N3250" t="s">
        <v>16681</v>
      </c>
      <c r="O3250" t="s">
        <v>173</v>
      </c>
      <c r="P3250" t="s">
        <v>30</v>
      </c>
      <c r="Q3250" t="s">
        <v>65</v>
      </c>
      <c r="R3250" s="3">
        <v>7037.2579999999998</v>
      </c>
    </row>
    <row r="3251" spans="1:18" x14ac:dyDescent="0.3">
      <c r="A3251" t="s">
        <v>16682</v>
      </c>
      <c r="B3251" t="str">
        <f>TEXT(Raw_Data[[#This Row],[Order Date]],"mmm")</f>
        <v>Dec</v>
      </c>
      <c r="C3251" t="s">
        <v>1380</v>
      </c>
      <c r="D3251" t="s">
        <v>16683</v>
      </c>
      <c r="E3251" t="s">
        <v>20</v>
      </c>
      <c r="F3251" t="s">
        <v>89</v>
      </c>
      <c r="G3251" t="s">
        <v>90</v>
      </c>
      <c r="H3251" t="s">
        <v>38</v>
      </c>
      <c r="I3251" t="s">
        <v>39</v>
      </c>
      <c r="J3251" t="s">
        <v>25</v>
      </c>
      <c r="K3251" t="s">
        <v>16684</v>
      </c>
      <c r="L3251">
        <v>0.1</v>
      </c>
      <c r="M3251" t="s">
        <v>16685</v>
      </c>
      <c r="N3251" t="s">
        <v>12483</v>
      </c>
      <c r="O3251" t="s">
        <v>173</v>
      </c>
      <c r="P3251" t="s">
        <v>30</v>
      </c>
      <c r="Q3251" t="s">
        <v>44</v>
      </c>
      <c r="R3251" s="3">
        <v>2387.547</v>
      </c>
    </row>
    <row r="3252" spans="1:18" x14ac:dyDescent="0.3">
      <c r="A3252" t="s">
        <v>16686</v>
      </c>
      <c r="B3252" t="str">
        <f>TEXT(Raw_Data[[#This Row],[Order Date]],"mmm")</f>
        <v>Aug</v>
      </c>
      <c r="C3252" t="s">
        <v>1840</v>
      </c>
      <c r="D3252" t="s">
        <v>16687</v>
      </c>
      <c r="E3252" t="s">
        <v>20</v>
      </c>
      <c r="F3252" t="s">
        <v>215</v>
      </c>
      <c r="G3252" t="s">
        <v>216</v>
      </c>
      <c r="H3252" t="s">
        <v>23</v>
      </c>
      <c r="I3252" t="s">
        <v>183</v>
      </c>
      <c r="J3252" t="s">
        <v>50</v>
      </c>
      <c r="K3252" t="s">
        <v>16688</v>
      </c>
      <c r="L3252">
        <v>0</v>
      </c>
      <c r="M3252" t="s">
        <v>16689</v>
      </c>
      <c r="N3252" t="s">
        <v>16690</v>
      </c>
      <c r="O3252" t="s">
        <v>29</v>
      </c>
      <c r="P3252" t="s">
        <v>30</v>
      </c>
      <c r="Q3252" t="s">
        <v>31</v>
      </c>
      <c r="R3252" s="3">
        <v>66508.7</v>
      </c>
    </row>
    <row r="3253" spans="1:18" x14ac:dyDescent="0.3">
      <c r="A3253" t="s">
        <v>16691</v>
      </c>
      <c r="B3253" t="str">
        <f>TEXT(Raw_Data[[#This Row],[Order Date]],"mmm")</f>
        <v>Oct</v>
      </c>
      <c r="C3253" t="s">
        <v>2438</v>
      </c>
      <c r="D3253" t="s">
        <v>16692</v>
      </c>
      <c r="E3253" t="s">
        <v>48</v>
      </c>
      <c r="F3253" t="s">
        <v>21</v>
      </c>
      <c r="G3253" t="s">
        <v>22</v>
      </c>
      <c r="H3253" t="s">
        <v>80</v>
      </c>
      <c r="I3253" t="s">
        <v>146</v>
      </c>
      <c r="J3253" t="s">
        <v>50</v>
      </c>
      <c r="K3253" t="s">
        <v>16693</v>
      </c>
      <c r="L3253">
        <v>0.05</v>
      </c>
      <c r="M3253" t="s">
        <v>16694</v>
      </c>
      <c r="N3253" t="s">
        <v>16695</v>
      </c>
      <c r="O3253" t="s">
        <v>43</v>
      </c>
      <c r="P3253" t="s">
        <v>159</v>
      </c>
      <c r="Q3253" t="s">
        <v>44</v>
      </c>
      <c r="R3253" s="3">
        <v>5597.6279999999997</v>
      </c>
    </row>
    <row r="3254" spans="1:18" x14ac:dyDescent="0.3">
      <c r="A3254" t="s">
        <v>16696</v>
      </c>
      <c r="B3254" t="str">
        <f>TEXT(Raw_Data[[#This Row],[Order Date]],"mmm")</f>
        <v>Apr</v>
      </c>
      <c r="C3254" t="s">
        <v>2101</v>
      </c>
      <c r="D3254" t="s">
        <v>16697</v>
      </c>
      <c r="E3254" t="s">
        <v>20</v>
      </c>
      <c r="F3254" t="s">
        <v>69</v>
      </c>
      <c r="G3254" t="s">
        <v>70</v>
      </c>
      <c r="H3254" t="s">
        <v>107</v>
      </c>
      <c r="I3254" t="s">
        <v>591</v>
      </c>
      <c r="J3254" t="s">
        <v>82</v>
      </c>
      <c r="K3254" t="s">
        <v>16698</v>
      </c>
      <c r="L3254">
        <v>0.1</v>
      </c>
      <c r="M3254" t="s">
        <v>16699</v>
      </c>
      <c r="N3254" t="s">
        <v>16700</v>
      </c>
      <c r="O3254" t="s">
        <v>43</v>
      </c>
      <c r="P3254" t="s">
        <v>95</v>
      </c>
      <c r="Q3254" t="s">
        <v>65</v>
      </c>
      <c r="R3254" s="3">
        <v>23454.683999999899</v>
      </c>
    </row>
    <row r="3255" spans="1:18" x14ac:dyDescent="0.3">
      <c r="A3255" t="s">
        <v>16701</v>
      </c>
      <c r="B3255" t="str">
        <f>TEXT(Raw_Data[[#This Row],[Order Date]],"mmm")</f>
        <v>Jun</v>
      </c>
      <c r="C3255" t="s">
        <v>2163</v>
      </c>
      <c r="D3255" t="s">
        <v>16702</v>
      </c>
      <c r="E3255" t="s">
        <v>20</v>
      </c>
      <c r="F3255" t="s">
        <v>78</v>
      </c>
      <c r="G3255" t="s">
        <v>468</v>
      </c>
      <c r="H3255" t="s">
        <v>23</v>
      </c>
      <c r="I3255" t="s">
        <v>341</v>
      </c>
      <c r="J3255" t="s">
        <v>82</v>
      </c>
      <c r="K3255" t="s">
        <v>16703</v>
      </c>
      <c r="L3255">
        <v>0.15</v>
      </c>
      <c r="M3255" t="s">
        <v>16704</v>
      </c>
      <c r="N3255" t="s">
        <v>16705</v>
      </c>
      <c r="O3255" t="s">
        <v>173</v>
      </c>
      <c r="P3255" t="s">
        <v>30</v>
      </c>
      <c r="Q3255" t="s">
        <v>44</v>
      </c>
      <c r="R3255" s="3">
        <v>59813.718000000001</v>
      </c>
    </row>
    <row r="3256" spans="1:18" x14ac:dyDescent="0.3">
      <c r="A3256" t="s">
        <v>16706</v>
      </c>
      <c r="B3256" t="str">
        <f>TEXT(Raw_Data[[#This Row],[Order Date]],"mmm")</f>
        <v>Nov</v>
      </c>
      <c r="C3256" t="s">
        <v>1643</v>
      </c>
      <c r="D3256" t="s">
        <v>16707</v>
      </c>
      <c r="E3256" t="s">
        <v>35</v>
      </c>
      <c r="F3256" t="s">
        <v>36</v>
      </c>
      <c r="G3256" t="s">
        <v>414</v>
      </c>
      <c r="H3256" t="s">
        <v>23</v>
      </c>
      <c r="I3256" t="s">
        <v>183</v>
      </c>
      <c r="J3256" t="s">
        <v>25</v>
      </c>
      <c r="K3256" t="s">
        <v>16708</v>
      </c>
      <c r="L3256">
        <v>0.1</v>
      </c>
      <c r="M3256" t="s">
        <v>16709</v>
      </c>
      <c r="N3256" t="s">
        <v>16710</v>
      </c>
      <c r="O3256" t="s">
        <v>43</v>
      </c>
      <c r="P3256" t="s">
        <v>30</v>
      </c>
      <c r="Q3256" t="s">
        <v>65</v>
      </c>
      <c r="R3256" s="3">
        <v>32416.29</v>
      </c>
    </row>
    <row r="3257" spans="1:18" x14ac:dyDescent="0.3">
      <c r="A3257" t="s">
        <v>16711</v>
      </c>
      <c r="B3257" t="str">
        <f>TEXT(Raw_Data[[#This Row],[Order Date]],"mmm")</f>
        <v>Jun</v>
      </c>
      <c r="C3257" t="s">
        <v>1725</v>
      </c>
      <c r="D3257" t="s">
        <v>16712</v>
      </c>
      <c r="E3257" t="s">
        <v>48</v>
      </c>
      <c r="F3257" t="s">
        <v>21</v>
      </c>
      <c r="G3257" t="s">
        <v>130</v>
      </c>
      <c r="H3257" t="s">
        <v>107</v>
      </c>
      <c r="I3257" t="s">
        <v>591</v>
      </c>
      <c r="J3257" t="s">
        <v>50</v>
      </c>
      <c r="K3257" t="s">
        <v>16713</v>
      </c>
      <c r="L3257">
        <v>0.05</v>
      </c>
      <c r="M3257" t="s">
        <v>16714</v>
      </c>
      <c r="N3257" t="s">
        <v>16715</v>
      </c>
      <c r="O3257" t="s">
        <v>54</v>
      </c>
      <c r="P3257" t="s">
        <v>30</v>
      </c>
      <c r="Q3257" t="s">
        <v>65</v>
      </c>
      <c r="R3257" s="3">
        <v>33382.220999999998</v>
      </c>
    </row>
    <row r="3258" spans="1:18" x14ac:dyDescent="0.3">
      <c r="A3258" t="s">
        <v>16716</v>
      </c>
      <c r="B3258" t="str">
        <f>TEXT(Raw_Data[[#This Row],[Order Date]],"mmm")</f>
        <v>Mar</v>
      </c>
      <c r="C3258" t="s">
        <v>9097</v>
      </c>
      <c r="D3258" t="s">
        <v>16717</v>
      </c>
      <c r="E3258" t="s">
        <v>48</v>
      </c>
      <c r="F3258" t="s">
        <v>215</v>
      </c>
      <c r="G3258" t="s">
        <v>276</v>
      </c>
      <c r="H3258" t="s">
        <v>154</v>
      </c>
      <c r="I3258" t="s">
        <v>309</v>
      </c>
      <c r="J3258" t="s">
        <v>50</v>
      </c>
      <c r="K3258" t="s">
        <v>16718</v>
      </c>
      <c r="L3258">
        <v>0.1</v>
      </c>
      <c r="M3258" t="s">
        <v>16719</v>
      </c>
      <c r="N3258" t="s">
        <v>16720</v>
      </c>
      <c r="O3258" t="s">
        <v>173</v>
      </c>
      <c r="P3258" t="s">
        <v>30</v>
      </c>
      <c r="Q3258" t="s">
        <v>65</v>
      </c>
      <c r="R3258" s="3">
        <v>2921.5259999999998</v>
      </c>
    </row>
    <row r="3259" spans="1:18" x14ac:dyDescent="0.3">
      <c r="A3259" t="s">
        <v>16721</v>
      </c>
      <c r="B3259" t="str">
        <f>TEXT(Raw_Data[[#This Row],[Order Date]],"mmm")</f>
        <v>Feb</v>
      </c>
      <c r="C3259" t="s">
        <v>1336</v>
      </c>
      <c r="D3259" t="s">
        <v>16722</v>
      </c>
      <c r="E3259" t="s">
        <v>48</v>
      </c>
      <c r="F3259" t="s">
        <v>78</v>
      </c>
      <c r="G3259" t="s">
        <v>79</v>
      </c>
      <c r="H3259" t="s">
        <v>23</v>
      </c>
      <c r="I3259" t="s">
        <v>24</v>
      </c>
      <c r="J3259" t="s">
        <v>25</v>
      </c>
      <c r="K3259" t="s">
        <v>16723</v>
      </c>
      <c r="L3259">
        <v>0.05</v>
      </c>
      <c r="M3259" t="s">
        <v>16724</v>
      </c>
      <c r="N3259" t="s">
        <v>16725</v>
      </c>
      <c r="O3259" t="s">
        <v>173</v>
      </c>
      <c r="P3259" t="s">
        <v>30</v>
      </c>
      <c r="Q3259" t="s">
        <v>65</v>
      </c>
      <c r="R3259" s="3">
        <v>38157.253499999999</v>
      </c>
    </row>
    <row r="3260" spans="1:18" x14ac:dyDescent="0.3">
      <c r="A3260" t="s">
        <v>16726</v>
      </c>
      <c r="B3260" t="str">
        <f>TEXT(Raw_Data[[#This Row],[Order Date]],"mmm")</f>
        <v>Jul</v>
      </c>
      <c r="C3260" t="s">
        <v>87</v>
      </c>
      <c r="D3260" t="s">
        <v>16727</v>
      </c>
      <c r="E3260" t="s">
        <v>35</v>
      </c>
      <c r="F3260" t="s">
        <v>58</v>
      </c>
      <c r="G3260" t="s">
        <v>812</v>
      </c>
      <c r="H3260" t="s">
        <v>23</v>
      </c>
      <c r="I3260" t="s">
        <v>24</v>
      </c>
      <c r="J3260" t="s">
        <v>100</v>
      </c>
      <c r="K3260" t="s">
        <v>16728</v>
      </c>
      <c r="L3260">
        <v>0.15</v>
      </c>
      <c r="M3260" t="s">
        <v>16729</v>
      </c>
      <c r="N3260" t="s">
        <v>16730</v>
      </c>
      <c r="O3260" t="s">
        <v>54</v>
      </c>
      <c r="P3260" t="s">
        <v>30</v>
      </c>
      <c r="Q3260" t="s">
        <v>65</v>
      </c>
      <c r="R3260" s="3">
        <v>87617.540999999997</v>
      </c>
    </row>
    <row r="3261" spans="1:18" x14ac:dyDescent="0.3">
      <c r="A3261" t="s">
        <v>16731</v>
      </c>
      <c r="B3261" t="str">
        <f>TEXT(Raw_Data[[#This Row],[Order Date]],"mmm")</f>
        <v>Jun</v>
      </c>
      <c r="C3261" t="s">
        <v>4510</v>
      </c>
      <c r="D3261" t="s">
        <v>16732</v>
      </c>
      <c r="E3261" t="s">
        <v>20</v>
      </c>
      <c r="F3261" t="s">
        <v>78</v>
      </c>
      <c r="G3261" t="s">
        <v>731</v>
      </c>
      <c r="H3261" t="s">
        <v>154</v>
      </c>
      <c r="I3261" t="s">
        <v>155</v>
      </c>
      <c r="J3261" t="s">
        <v>25</v>
      </c>
      <c r="K3261" t="s">
        <v>16733</v>
      </c>
      <c r="L3261">
        <v>0.2</v>
      </c>
      <c r="M3261" t="s">
        <v>16734</v>
      </c>
      <c r="N3261" t="s">
        <v>16735</v>
      </c>
      <c r="O3261" t="s">
        <v>173</v>
      </c>
      <c r="P3261" t="s">
        <v>30</v>
      </c>
      <c r="Q3261" t="s">
        <v>65</v>
      </c>
      <c r="R3261" s="3">
        <v>8942.4959999999992</v>
      </c>
    </row>
    <row r="3262" spans="1:18" x14ac:dyDescent="0.3">
      <c r="A3262" t="s">
        <v>16736</v>
      </c>
      <c r="B3262" t="str">
        <f>TEXT(Raw_Data[[#This Row],[Order Date]],"mmm")</f>
        <v>Nov</v>
      </c>
      <c r="C3262" t="s">
        <v>1697</v>
      </c>
      <c r="D3262" t="s">
        <v>16737</v>
      </c>
      <c r="E3262" t="s">
        <v>35</v>
      </c>
      <c r="F3262" t="s">
        <v>21</v>
      </c>
      <c r="G3262" t="s">
        <v>130</v>
      </c>
      <c r="H3262" t="s">
        <v>107</v>
      </c>
      <c r="I3262" t="s">
        <v>469</v>
      </c>
      <c r="J3262" t="s">
        <v>82</v>
      </c>
      <c r="K3262" t="s">
        <v>16738</v>
      </c>
      <c r="L3262">
        <v>0.2</v>
      </c>
      <c r="M3262" t="s">
        <v>16739</v>
      </c>
      <c r="N3262" t="s">
        <v>16740</v>
      </c>
      <c r="O3262" t="s">
        <v>173</v>
      </c>
      <c r="P3262" t="s">
        <v>30</v>
      </c>
      <c r="Q3262" t="s">
        <v>44</v>
      </c>
      <c r="R3262" s="3">
        <v>48132.928</v>
      </c>
    </row>
    <row r="3263" spans="1:18" x14ac:dyDescent="0.3">
      <c r="A3263" t="s">
        <v>16741</v>
      </c>
      <c r="B3263" t="str">
        <f>TEXT(Raw_Data[[#This Row],[Order Date]],"mmm")</f>
        <v>Feb</v>
      </c>
      <c r="C3263" t="s">
        <v>2410</v>
      </c>
      <c r="D3263" t="s">
        <v>16742</v>
      </c>
      <c r="E3263" t="s">
        <v>35</v>
      </c>
      <c r="F3263" t="s">
        <v>36</v>
      </c>
      <c r="G3263" t="s">
        <v>196</v>
      </c>
      <c r="H3263" t="s">
        <v>107</v>
      </c>
      <c r="I3263" t="s">
        <v>108</v>
      </c>
      <c r="J3263" t="s">
        <v>25</v>
      </c>
      <c r="K3263" t="s">
        <v>16743</v>
      </c>
      <c r="L3263">
        <v>0.05</v>
      </c>
      <c r="M3263" t="s">
        <v>16744</v>
      </c>
      <c r="N3263" t="s">
        <v>16745</v>
      </c>
      <c r="O3263" t="s">
        <v>29</v>
      </c>
      <c r="P3263" t="s">
        <v>30</v>
      </c>
      <c r="Q3263" t="s">
        <v>65</v>
      </c>
      <c r="R3263" s="3">
        <v>3892.0360000000001</v>
      </c>
    </row>
    <row r="3264" spans="1:18" x14ac:dyDescent="0.3">
      <c r="A3264" t="s">
        <v>16746</v>
      </c>
      <c r="B3264" t="str">
        <f>TEXT(Raw_Data[[#This Row],[Order Date]],"mmm")</f>
        <v>Aug</v>
      </c>
      <c r="C3264" t="s">
        <v>1840</v>
      </c>
      <c r="D3264" t="s">
        <v>16747</v>
      </c>
      <c r="E3264" t="s">
        <v>20</v>
      </c>
      <c r="F3264" t="s">
        <v>36</v>
      </c>
      <c r="G3264" t="s">
        <v>196</v>
      </c>
      <c r="H3264" t="s">
        <v>38</v>
      </c>
      <c r="I3264" t="s">
        <v>256</v>
      </c>
      <c r="J3264" t="s">
        <v>25</v>
      </c>
      <c r="K3264" t="s">
        <v>16748</v>
      </c>
      <c r="L3264">
        <v>0.2</v>
      </c>
      <c r="M3264" t="s">
        <v>16749</v>
      </c>
      <c r="N3264" t="s">
        <v>16750</v>
      </c>
      <c r="O3264" t="s">
        <v>54</v>
      </c>
      <c r="P3264" t="s">
        <v>30</v>
      </c>
      <c r="Q3264" t="s">
        <v>65</v>
      </c>
      <c r="R3264" s="3">
        <v>4744.6639999999998</v>
      </c>
    </row>
    <row r="3265" spans="1:18" x14ac:dyDescent="0.3">
      <c r="A3265" t="s">
        <v>16751</v>
      </c>
      <c r="B3265" t="str">
        <f>TEXT(Raw_Data[[#This Row],[Order Date]],"mmm")</f>
        <v>Jan</v>
      </c>
      <c r="C3265" t="s">
        <v>2752</v>
      </c>
      <c r="D3265" t="s">
        <v>16752</v>
      </c>
      <c r="E3265" t="s">
        <v>48</v>
      </c>
      <c r="F3265" t="s">
        <v>89</v>
      </c>
      <c r="G3265" t="s">
        <v>230</v>
      </c>
      <c r="H3265" t="s">
        <v>23</v>
      </c>
      <c r="I3265" t="s">
        <v>183</v>
      </c>
      <c r="J3265" t="s">
        <v>50</v>
      </c>
      <c r="K3265" t="s">
        <v>16753</v>
      </c>
      <c r="L3265">
        <v>0.05</v>
      </c>
      <c r="M3265" t="s">
        <v>16754</v>
      </c>
      <c r="N3265" t="s">
        <v>16755</v>
      </c>
      <c r="O3265" t="s">
        <v>29</v>
      </c>
      <c r="P3265" t="s">
        <v>112</v>
      </c>
      <c r="Q3265" t="s">
        <v>31</v>
      </c>
      <c r="R3265" s="3">
        <v>130676.527999999</v>
      </c>
    </row>
    <row r="3266" spans="1:18" x14ac:dyDescent="0.3">
      <c r="A3266" t="s">
        <v>16756</v>
      </c>
      <c r="B3266" t="str">
        <f>TEXT(Raw_Data[[#This Row],[Order Date]],"mmm")</f>
        <v>Feb</v>
      </c>
      <c r="C3266" t="s">
        <v>2133</v>
      </c>
      <c r="D3266" t="s">
        <v>16757</v>
      </c>
      <c r="E3266" t="s">
        <v>35</v>
      </c>
      <c r="F3266" t="s">
        <v>106</v>
      </c>
      <c r="G3266" t="s">
        <v>163</v>
      </c>
      <c r="H3266" t="s">
        <v>80</v>
      </c>
      <c r="I3266" t="s">
        <v>81</v>
      </c>
      <c r="J3266" t="s">
        <v>25</v>
      </c>
      <c r="K3266" t="s">
        <v>16758</v>
      </c>
      <c r="L3266">
        <v>0.15</v>
      </c>
      <c r="M3266" t="s">
        <v>16759</v>
      </c>
      <c r="N3266" t="s">
        <v>16760</v>
      </c>
      <c r="O3266" t="s">
        <v>64</v>
      </c>
      <c r="P3266" t="s">
        <v>30</v>
      </c>
      <c r="Q3266" t="s">
        <v>31</v>
      </c>
      <c r="R3266" s="3">
        <v>428.42549999999898</v>
      </c>
    </row>
    <row r="3267" spans="1:18" x14ac:dyDescent="0.3">
      <c r="A3267" t="s">
        <v>16761</v>
      </c>
      <c r="B3267" t="str">
        <f>TEXT(Raw_Data[[#This Row],[Order Date]],"mmm")</f>
        <v>Dec</v>
      </c>
      <c r="C3267" t="s">
        <v>1093</v>
      </c>
      <c r="D3267" t="s">
        <v>16762</v>
      </c>
      <c r="E3267" t="s">
        <v>20</v>
      </c>
      <c r="F3267" t="s">
        <v>78</v>
      </c>
      <c r="G3267" t="s">
        <v>731</v>
      </c>
      <c r="H3267" t="s">
        <v>80</v>
      </c>
      <c r="I3267" t="s">
        <v>81</v>
      </c>
      <c r="J3267" t="s">
        <v>25</v>
      </c>
      <c r="K3267" t="s">
        <v>16763</v>
      </c>
      <c r="L3267">
        <v>0.2</v>
      </c>
      <c r="M3267" t="s">
        <v>16764</v>
      </c>
      <c r="N3267" t="s">
        <v>16765</v>
      </c>
      <c r="O3267" t="s">
        <v>54</v>
      </c>
      <c r="P3267" t="s">
        <v>30</v>
      </c>
      <c r="Q3267" t="s">
        <v>65</v>
      </c>
      <c r="R3267" s="3">
        <v>1683.3520000000001</v>
      </c>
    </row>
    <row r="3268" spans="1:18" x14ac:dyDescent="0.3">
      <c r="A3268" t="s">
        <v>16766</v>
      </c>
      <c r="B3268" t="str">
        <f>TEXT(Raw_Data[[#This Row],[Order Date]],"mmm")</f>
        <v>May</v>
      </c>
      <c r="C3268" t="s">
        <v>3899</v>
      </c>
      <c r="D3268" t="s">
        <v>16767</v>
      </c>
      <c r="E3268" t="s">
        <v>35</v>
      </c>
      <c r="F3268" t="s">
        <v>21</v>
      </c>
      <c r="G3268" t="s">
        <v>130</v>
      </c>
      <c r="H3268" t="s">
        <v>23</v>
      </c>
      <c r="I3268" t="s">
        <v>24</v>
      </c>
      <c r="J3268" t="s">
        <v>25</v>
      </c>
      <c r="K3268" t="s">
        <v>16768</v>
      </c>
      <c r="L3268">
        <v>0.1</v>
      </c>
      <c r="M3268" t="s">
        <v>16769</v>
      </c>
      <c r="N3268" t="s">
        <v>16770</v>
      </c>
      <c r="O3268" t="s">
        <v>43</v>
      </c>
      <c r="P3268" t="s">
        <v>30</v>
      </c>
      <c r="Q3268" t="s">
        <v>44</v>
      </c>
      <c r="R3268" s="3">
        <v>47283.012000000002</v>
      </c>
    </row>
    <row r="3269" spans="1:18" x14ac:dyDescent="0.3">
      <c r="A3269" t="s">
        <v>16771</v>
      </c>
      <c r="B3269" t="str">
        <f>TEXT(Raw_Data[[#This Row],[Order Date]],"mmm")</f>
        <v>Jan</v>
      </c>
      <c r="C3269" t="s">
        <v>891</v>
      </c>
      <c r="D3269" t="s">
        <v>16772</v>
      </c>
      <c r="E3269" t="s">
        <v>20</v>
      </c>
      <c r="F3269" t="s">
        <v>21</v>
      </c>
      <c r="G3269" t="s">
        <v>22</v>
      </c>
      <c r="H3269" t="s">
        <v>38</v>
      </c>
      <c r="I3269" t="s">
        <v>223</v>
      </c>
      <c r="J3269" t="s">
        <v>50</v>
      </c>
      <c r="K3269" t="s">
        <v>16773</v>
      </c>
      <c r="L3269">
        <v>0</v>
      </c>
      <c r="M3269" t="s">
        <v>16774</v>
      </c>
      <c r="N3269" t="s">
        <v>16775</v>
      </c>
      <c r="O3269" t="s">
        <v>2763</v>
      </c>
      <c r="P3269" t="s">
        <v>30</v>
      </c>
      <c r="Q3269" t="s">
        <v>31</v>
      </c>
      <c r="R3269" s="3">
        <v>11116.84</v>
      </c>
    </row>
    <row r="3270" spans="1:18" x14ac:dyDescent="0.3">
      <c r="A3270" t="s">
        <v>16776</v>
      </c>
      <c r="B3270" t="str">
        <f>TEXT(Raw_Data[[#This Row],[Order Date]],"mmm")</f>
        <v>Jun</v>
      </c>
      <c r="C3270" t="s">
        <v>1047</v>
      </c>
      <c r="D3270" t="s">
        <v>16777</v>
      </c>
      <c r="E3270" t="s">
        <v>20</v>
      </c>
      <c r="F3270" t="s">
        <v>106</v>
      </c>
      <c r="G3270" t="s">
        <v>163</v>
      </c>
      <c r="H3270" t="s">
        <v>80</v>
      </c>
      <c r="I3270" t="s">
        <v>116</v>
      </c>
      <c r="J3270" t="s">
        <v>25</v>
      </c>
      <c r="K3270" t="s">
        <v>7396</v>
      </c>
      <c r="L3270">
        <v>0.1</v>
      </c>
      <c r="M3270" t="s">
        <v>16778</v>
      </c>
      <c r="N3270" t="s">
        <v>16779</v>
      </c>
      <c r="O3270" t="s">
        <v>54</v>
      </c>
      <c r="P3270" t="s">
        <v>30</v>
      </c>
      <c r="Q3270" t="s">
        <v>44</v>
      </c>
      <c r="R3270" s="3">
        <v>528.24599999999998</v>
      </c>
    </row>
    <row r="3271" spans="1:18" x14ac:dyDescent="0.3">
      <c r="A3271" t="s">
        <v>16780</v>
      </c>
      <c r="B3271" t="str">
        <f>TEXT(Raw_Data[[#This Row],[Order Date]],"mmm")</f>
        <v>May</v>
      </c>
      <c r="C3271" t="s">
        <v>1498</v>
      </c>
      <c r="D3271" t="s">
        <v>16781</v>
      </c>
      <c r="E3271" t="s">
        <v>20</v>
      </c>
      <c r="F3271" t="s">
        <v>215</v>
      </c>
      <c r="G3271" t="s">
        <v>276</v>
      </c>
      <c r="H3271" t="s">
        <v>154</v>
      </c>
      <c r="I3271" t="s">
        <v>155</v>
      </c>
      <c r="J3271" t="s">
        <v>25</v>
      </c>
      <c r="K3271" t="s">
        <v>16782</v>
      </c>
      <c r="L3271">
        <v>0.05</v>
      </c>
      <c r="M3271" t="s">
        <v>16783</v>
      </c>
      <c r="N3271" t="s">
        <v>16784</v>
      </c>
      <c r="O3271" t="s">
        <v>173</v>
      </c>
      <c r="P3271" t="s">
        <v>30</v>
      </c>
      <c r="Q3271" t="s">
        <v>31</v>
      </c>
      <c r="R3271" s="3">
        <v>6959.2629999999999</v>
      </c>
    </row>
    <row r="3272" spans="1:18" x14ac:dyDescent="0.3">
      <c r="A3272" t="s">
        <v>16785</v>
      </c>
      <c r="B3272" t="str">
        <f>TEXT(Raw_Data[[#This Row],[Order Date]],"mmm")</f>
        <v>Jun</v>
      </c>
      <c r="C3272" t="s">
        <v>1274</v>
      </c>
      <c r="D3272" t="s">
        <v>16786</v>
      </c>
      <c r="E3272" t="s">
        <v>20</v>
      </c>
      <c r="F3272" t="s">
        <v>89</v>
      </c>
      <c r="G3272" t="s">
        <v>99</v>
      </c>
      <c r="H3272" t="s">
        <v>80</v>
      </c>
      <c r="I3272" t="s">
        <v>146</v>
      </c>
      <c r="J3272" t="s">
        <v>25</v>
      </c>
      <c r="K3272" t="s">
        <v>16787</v>
      </c>
      <c r="L3272">
        <v>0.1</v>
      </c>
      <c r="M3272" t="s">
        <v>16788</v>
      </c>
      <c r="N3272" t="s">
        <v>16789</v>
      </c>
      <c r="O3272" t="s">
        <v>29</v>
      </c>
      <c r="P3272" t="s">
        <v>159</v>
      </c>
      <c r="Q3272" t="s">
        <v>44</v>
      </c>
      <c r="R3272" s="3">
        <v>4613.5709999999999</v>
      </c>
    </row>
    <row r="3273" spans="1:18" x14ac:dyDescent="0.3">
      <c r="A3273" t="s">
        <v>16790</v>
      </c>
      <c r="B3273" t="str">
        <f>TEXT(Raw_Data[[#This Row],[Order Date]],"mmm")</f>
        <v>Feb</v>
      </c>
      <c r="C3273" t="s">
        <v>3331</v>
      </c>
      <c r="D3273" t="s">
        <v>16791</v>
      </c>
      <c r="E3273" t="s">
        <v>20</v>
      </c>
      <c r="F3273" t="s">
        <v>69</v>
      </c>
      <c r="G3273" t="s">
        <v>70</v>
      </c>
      <c r="H3273" t="s">
        <v>38</v>
      </c>
      <c r="I3273" t="s">
        <v>256</v>
      </c>
      <c r="J3273" t="s">
        <v>50</v>
      </c>
      <c r="K3273" t="s">
        <v>16792</v>
      </c>
      <c r="L3273">
        <v>0.1</v>
      </c>
      <c r="M3273" t="s">
        <v>16793</v>
      </c>
      <c r="N3273" t="s">
        <v>16794</v>
      </c>
      <c r="O3273" t="s">
        <v>173</v>
      </c>
      <c r="P3273" t="s">
        <v>30</v>
      </c>
      <c r="Q3273" t="s">
        <v>44</v>
      </c>
      <c r="R3273" s="3">
        <v>3401.442</v>
      </c>
    </row>
    <row r="3274" spans="1:18" x14ac:dyDescent="0.3">
      <c r="A3274" t="s">
        <v>16795</v>
      </c>
      <c r="B3274" t="str">
        <f>TEXT(Raw_Data[[#This Row],[Order Date]],"mmm")</f>
        <v>May</v>
      </c>
      <c r="C3274" t="s">
        <v>498</v>
      </c>
      <c r="D3274" t="s">
        <v>16796</v>
      </c>
      <c r="E3274" t="s">
        <v>20</v>
      </c>
      <c r="F3274" t="s">
        <v>106</v>
      </c>
      <c r="G3274" t="s">
        <v>106</v>
      </c>
      <c r="H3274" t="s">
        <v>80</v>
      </c>
      <c r="I3274" t="s">
        <v>146</v>
      </c>
      <c r="J3274" t="s">
        <v>25</v>
      </c>
      <c r="K3274" t="s">
        <v>16797</v>
      </c>
      <c r="L3274">
        <v>0.15</v>
      </c>
      <c r="M3274" t="s">
        <v>16798</v>
      </c>
      <c r="N3274" t="s">
        <v>16799</v>
      </c>
      <c r="O3274" t="s">
        <v>54</v>
      </c>
      <c r="P3274" t="s">
        <v>30</v>
      </c>
      <c r="Q3274" t="s">
        <v>65</v>
      </c>
      <c r="R3274" s="3">
        <v>4713.6495000000004</v>
      </c>
    </row>
    <row r="3275" spans="1:18" x14ac:dyDescent="0.3">
      <c r="A3275" t="s">
        <v>16800</v>
      </c>
      <c r="B3275" t="str">
        <f>TEXT(Raw_Data[[#This Row],[Order Date]],"mmm")</f>
        <v>Jul</v>
      </c>
      <c r="C3275" t="s">
        <v>9717</v>
      </c>
      <c r="D3275" t="s">
        <v>16801</v>
      </c>
      <c r="E3275" t="s">
        <v>48</v>
      </c>
      <c r="F3275" t="s">
        <v>69</v>
      </c>
      <c r="G3275" t="s">
        <v>328</v>
      </c>
      <c r="H3275" t="s">
        <v>80</v>
      </c>
      <c r="I3275" t="s">
        <v>81</v>
      </c>
      <c r="J3275" t="s">
        <v>25</v>
      </c>
      <c r="K3275" t="s">
        <v>16802</v>
      </c>
      <c r="L3275">
        <v>0.1</v>
      </c>
      <c r="M3275" t="s">
        <v>16803</v>
      </c>
      <c r="N3275" t="s">
        <v>16804</v>
      </c>
      <c r="O3275" t="s">
        <v>173</v>
      </c>
      <c r="P3275" t="s">
        <v>112</v>
      </c>
      <c r="Q3275" t="s">
        <v>65</v>
      </c>
      <c r="R3275" s="3">
        <v>3112.2539999999999</v>
      </c>
    </row>
    <row r="3276" spans="1:18" x14ac:dyDescent="0.3">
      <c r="A3276" t="s">
        <v>16805</v>
      </c>
      <c r="B3276" t="str">
        <f>TEXT(Raw_Data[[#This Row],[Order Date]],"mmm")</f>
        <v>Jun</v>
      </c>
      <c r="C3276" t="s">
        <v>8096</v>
      </c>
      <c r="D3276" t="s">
        <v>16806</v>
      </c>
      <c r="E3276" t="s">
        <v>48</v>
      </c>
      <c r="F3276" t="s">
        <v>89</v>
      </c>
      <c r="G3276" t="s">
        <v>99</v>
      </c>
      <c r="H3276" t="s">
        <v>154</v>
      </c>
      <c r="I3276" t="s">
        <v>309</v>
      </c>
      <c r="J3276" t="s">
        <v>25</v>
      </c>
      <c r="K3276" t="s">
        <v>16807</v>
      </c>
      <c r="L3276">
        <v>0.05</v>
      </c>
      <c r="M3276" t="s">
        <v>16808</v>
      </c>
      <c r="N3276" t="s">
        <v>16809</v>
      </c>
      <c r="O3276" t="s">
        <v>173</v>
      </c>
      <c r="P3276" t="s">
        <v>30</v>
      </c>
      <c r="Q3276" t="s">
        <v>31</v>
      </c>
      <c r="R3276" s="3">
        <v>2866.4254999999998</v>
      </c>
    </row>
    <row r="3277" spans="1:18" x14ac:dyDescent="0.3">
      <c r="A3277" t="s">
        <v>16810</v>
      </c>
      <c r="B3277" t="str">
        <f>TEXT(Raw_Data[[#This Row],[Order Date]],"mmm")</f>
        <v>Nov</v>
      </c>
      <c r="C3277" t="s">
        <v>3696</v>
      </c>
      <c r="D3277" t="s">
        <v>16811</v>
      </c>
      <c r="E3277" t="s">
        <v>48</v>
      </c>
      <c r="F3277" t="s">
        <v>21</v>
      </c>
      <c r="G3277" t="s">
        <v>130</v>
      </c>
      <c r="H3277" t="s">
        <v>38</v>
      </c>
      <c r="I3277" t="s">
        <v>71</v>
      </c>
      <c r="J3277" t="s">
        <v>100</v>
      </c>
      <c r="K3277" t="s">
        <v>14959</v>
      </c>
      <c r="L3277">
        <v>0.1</v>
      </c>
      <c r="M3277" t="s">
        <v>16812</v>
      </c>
      <c r="N3277" t="s">
        <v>16813</v>
      </c>
      <c r="O3277" t="s">
        <v>64</v>
      </c>
      <c r="P3277" t="s">
        <v>30</v>
      </c>
      <c r="Q3277" t="s">
        <v>44</v>
      </c>
      <c r="R3277" s="3">
        <v>10517.282999999999</v>
      </c>
    </row>
    <row r="3278" spans="1:18" x14ac:dyDescent="0.3">
      <c r="A3278" t="s">
        <v>16814</v>
      </c>
      <c r="B3278" t="str">
        <f>TEXT(Raw_Data[[#This Row],[Order Date]],"mmm")</f>
        <v>Jan</v>
      </c>
      <c r="C3278" t="s">
        <v>2602</v>
      </c>
      <c r="D3278" t="s">
        <v>16815</v>
      </c>
      <c r="E3278" t="s">
        <v>35</v>
      </c>
      <c r="F3278" t="s">
        <v>78</v>
      </c>
      <c r="G3278" t="s">
        <v>731</v>
      </c>
      <c r="H3278" t="s">
        <v>154</v>
      </c>
      <c r="I3278" t="s">
        <v>309</v>
      </c>
      <c r="J3278" t="s">
        <v>50</v>
      </c>
      <c r="K3278" t="s">
        <v>16816</v>
      </c>
      <c r="L3278">
        <v>0.05</v>
      </c>
      <c r="M3278" t="s">
        <v>16817</v>
      </c>
      <c r="N3278" t="s">
        <v>16818</v>
      </c>
      <c r="O3278" t="s">
        <v>43</v>
      </c>
      <c r="P3278" t="s">
        <v>30</v>
      </c>
      <c r="Q3278" t="s">
        <v>65</v>
      </c>
      <c r="R3278" s="3">
        <v>5435.6909999999998</v>
      </c>
    </row>
    <row r="3279" spans="1:18" x14ac:dyDescent="0.3">
      <c r="A3279" t="s">
        <v>16819</v>
      </c>
      <c r="B3279" t="str">
        <f>TEXT(Raw_Data[[#This Row],[Order Date]],"mmm")</f>
        <v>Sep</v>
      </c>
      <c r="C3279" t="s">
        <v>1632</v>
      </c>
      <c r="D3279" t="s">
        <v>16820</v>
      </c>
      <c r="E3279" t="s">
        <v>48</v>
      </c>
      <c r="F3279" t="s">
        <v>106</v>
      </c>
      <c r="G3279" t="s">
        <v>163</v>
      </c>
      <c r="H3279" t="s">
        <v>107</v>
      </c>
      <c r="I3279" t="s">
        <v>108</v>
      </c>
      <c r="J3279" t="s">
        <v>25</v>
      </c>
      <c r="K3279" t="s">
        <v>16821</v>
      </c>
      <c r="L3279">
        <v>0.1</v>
      </c>
      <c r="M3279" t="s">
        <v>16822</v>
      </c>
      <c r="N3279" t="s">
        <v>16823</v>
      </c>
      <c r="O3279" t="s">
        <v>29</v>
      </c>
      <c r="P3279" t="s">
        <v>30</v>
      </c>
      <c r="Q3279" t="s">
        <v>65</v>
      </c>
      <c r="R3279" s="3">
        <v>4671.1980000000003</v>
      </c>
    </row>
    <row r="3280" spans="1:18" x14ac:dyDescent="0.3">
      <c r="A3280" t="s">
        <v>16824</v>
      </c>
      <c r="B3280" t="str">
        <f>TEXT(Raw_Data[[#This Row],[Order Date]],"mmm")</f>
        <v>Aug</v>
      </c>
      <c r="C3280" t="s">
        <v>1442</v>
      </c>
      <c r="D3280" t="s">
        <v>16825</v>
      </c>
      <c r="E3280" t="s">
        <v>48</v>
      </c>
      <c r="F3280" t="s">
        <v>89</v>
      </c>
      <c r="G3280" t="s">
        <v>99</v>
      </c>
      <c r="H3280" t="s">
        <v>38</v>
      </c>
      <c r="I3280" t="s">
        <v>39</v>
      </c>
      <c r="J3280" t="s">
        <v>50</v>
      </c>
      <c r="K3280" t="s">
        <v>16826</v>
      </c>
      <c r="L3280">
        <v>0</v>
      </c>
      <c r="M3280" t="s">
        <v>16827</v>
      </c>
      <c r="N3280" t="s">
        <v>16828</v>
      </c>
      <c r="O3280" t="s">
        <v>43</v>
      </c>
      <c r="P3280" t="s">
        <v>30</v>
      </c>
      <c r="Q3280" t="s">
        <v>65</v>
      </c>
      <c r="R3280" s="3">
        <v>2391.58</v>
      </c>
    </row>
    <row r="3281" spans="1:18" x14ac:dyDescent="0.3">
      <c r="A3281" t="s">
        <v>16829</v>
      </c>
      <c r="B3281" t="str">
        <f>TEXT(Raw_Data[[#This Row],[Order Date]],"mmm")</f>
        <v>Apr</v>
      </c>
      <c r="C3281" t="s">
        <v>1448</v>
      </c>
      <c r="D3281" t="s">
        <v>16830</v>
      </c>
      <c r="E3281" t="s">
        <v>48</v>
      </c>
      <c r="F3281" t="s">
        <v>106</v>
      </c>
      <c r="G3281" t="s">
        <v>163</v>
      </c>
      <c r="H3281" t="s">
        <v>80</v>
      </c>
      <c r="I3281" t="s">
        <v>49</v>
      </c>
      <c r="J3281" t="s">
        <v>50</v>
      </c>
      <c r="K3281" t="s">
        <v>16831</v>
      </c>
      <c r="L3281">
        <v>0.2</v>
      </c>
      <c r="M3281" t="s">
        <v>16832</v>
      </c>
      <c r="N3281" t="s">
        <v>16833</v>
      </c>
      <c r="O3281" t="s">
        <v>43</v>
      </c>
      <c r="P3281" t="s">
        <v>30</v>
      </c>
      <c r="Q3281" t="s">
        <v>31</v>
      </c>
      <c r="R3281" s="3">
        <v>108026.208</v>
      </c>
    </row>
    <row r="3282" spans="1:18" x14ac:dyDescent="0.3">
      <c r="A3282" t="s">
        <v>16834</v>
      </c>
      <c r="B3282" t="str">
        <f>TEXT(Raw_Data[[#This Row],[Order Date]],"mmm")</f>
        <v>Oct</v>
      </c>
      <c r="C3282" t="s">
        <v>3707</v>
      </c>
      <c r="D3282" t="s">
        <v>16835</v>
      </c>
      <c r="E3282" t="s">
        <v>20</v>
      </c>
      <c r="F3282" t="s">
        <v>69</v>
      </c>
      <c r="G3282" t="s">
        <v>139</v>
      </c>
      <c r="H3282" t="s">
        <v>154</v>
      </c>
      <c r="I3282" t="s">
        <v>237</v>
      </c>
      <c r="J3282" t="s">
        <v>25</v>
      </c>
      <c r="K3282" t="s">
        <v>16836</v>
      </c>
      <c r="L3282">
        <v>0.05</v>
      </c>
      <c r="M3282" t="s">
        <v>16837</v>
      </c>
      <c r="N3282" t="s">
        <v>16838</v>
      </c>
      <c r="O3282" t="s">
        <v>29</v>
      </c>
      <c r="P3282" t="s">
        <v>159</v>
      </c>
      <c r="Q3282" t="s">
        <v>65</v>
      </c>
      <c r="R3282" s="3">
        <v>10749.098</v>
      </c>
    </row>
    <row r="3283" spans="1:18" x14ac:dyDescent="0.3">
      <c r="A3283" t="s">
        <v>16839</v>
      </c>
      <c r="B3283" t="str">
        <f>TEXT(Raw_Data[[#This Row],[Order Date]],"mmm")</f>
        <v>Mar</v>
      </c>
      <c r="C3283" t="s">
        <v>504</v>
      </c>
      <c r="D3283" t="s">
        <v>16840</v>
      </c>
      <c r="E3283" t="s">
        <v>48</v>
      </c>
      <c r="F3283" t="s">
        <v>89</v>
      </c>
      <c r="G3283" t="s">
        <v>99</v>
      </c>
      <c r="H3283" t="s">
        <v>23</v>
      </c>
      <c r="I3283" t="s">
        <v>341</v>
      </c>
      <c r="J3283" t="s">
        <v>100</v>
      </c>
      <c r="K3283" t="s">
        <v>16841</v>
      </c>
      <c r="L3283">
        <v>0.05</v>
      </c>
      <c r="M3283" t="s">
        <v>16842</v>
      </c>
      <c r="N3283" t="s">
        <v>16843</v>
      </c>
      <c r="O3283" t="s">
        <v>64</v>
      </c>
      <c r="P3283" t="s">
        <v>30</v>
      </c>
      <c r="Q3283" t="s">
        <v>65</v>
      </c>
      <c r="R3283" s="3">
        <v>178435.30799999999</v>
      </c>
    </row>
    <row r="3284" spans="1:18" x14ac:dyDescent="0.3">
      <c r="A3284" t="s">
        <v>16844</v>
      </c>
      <c r="B3284" t="str">
        <f>TEXT(Raw_Data[[#This Row],[Order Date]],"mmm")</f>
        <v>Mar</v>
      </c>
      <c r="C3284" t="s">
        <v>56</v>
      </c>
      <c r="D3284" t="s">
        <v>16845</v>
      </c>
      <c r="E3284" t="s">
        <v>20</v>
      </c>
      <c r="F3284" t="s">
        <v>69</v>
      </c>
      <c r="G3284" t="s">
        <v>70</v>
      </c>
      <c r="H3284" t="s">
        <v>80</v>
      </c>
      <c r="I3284" t="s">
        <v>91</v>
      </c>
      <c r="J3284" t="s">
        <v>25</v>
      </c>
      <c r="K3284" t="s">
        <v>16846</v>
      </c>
      <c r="L3284">
        <v>0.05</v>
      </c>
      <c r="M3284" t="s">
        <v>16847</v>
      </c>
      <c r="N3284" t="s">
        <v>16848</v>
      </c>
      <c r="O3284" t="s">
        <v>29</v>
      </c>
      <c r="P3284" t="s">
        <v>30</v>
      </c>
      <c r="Q3284" t="s">
        <v>44</v>
      </c>
      <c r="R3284" s="3">
        <v>3838.6269999999899</v>
      </c>
    </row>
    <row r="3285" spans="1:18" x14ac:dyDescent="0.3">
      <c r="A3285" t="s">
        <v>16849</v>
      </c>
      <c r="B3285" t="str">
        <f>TEXT(Raw_Data[[#This Row],[Order Date]],"mmm")</f>
        <v>Aug</v>
      </c>
      <c r="C3285" t="s">
        <v>1053</v>
      </c>
      <c r="D3285" t="s">
        <v>16850</v>
      </c>
      <c r="E3285" t="s">
        <v>20</v>
      </c>
      <c r="F3285" t="s">
        <v>36</v>
      </c>
      <c r="G3285" t="s">
        <v>153</v>
      </c>
      <c r="H3285" t="s">
        <v>154</v>
      </c>
      <c r="I3285" t="s">
        <v>155</v>
      </c>
      <c r="J3285" t="s">
        <v>25</v>
      </c>
      <c r="K3285" t="s">
        <v>16851</v>
      </c>
      <c r="L3285">
        <v>0.15</v>
      </c>
      <c r="M3285" t="s">
        <v>16852</v>
      </c>
      <c r="N3285" t="s">
        <v>16853</v>
      </c>
      <c r="O3285" t="s">
        <v>54</v>
      </c>
      <c r="P3285" t="s">
        <v>30</v>
      </c>
      <c r="Q3285" t="s">
        <v>31</v>
      </c>
      <c r="R3285" s="3">
        <v>410.94099999999997</v>
      </c>
    </row>
    <row r="3286" spans="1:18" x14ac:dyDescent="0.3">
      <c r="A3286" t="s">
        <v>16854</v>
      </c>
      <c r="B3286" t="str">
        <f>TEXT(Raw_Data[[#This Row],[Order Date]],"mmm")</f>
        <v>Jun</v>
      </c>
      <c r="C3286" t="s">
        <v>2586</v>
      </c>
      <c r="D3286" t="s">
        <v>16855</v>
      </c>
      <c r="E3286" t="s">
        <v>35</v>
      </c>
      <c r="F3286" t="s">
        <v>69</v>
      </c>
      <c r="G3286" t="s">
        <v>139</v>
      </c>
      <c r="H3286" t="s">
        <v>107</v>
      </c>
      <c r="I3286" t="s">
        <v>277</v>
      </c>
      <c r="J3286" t="s">
        <v>25</v>
      </c>
      <c r="K3286" t="s">
        <v>16856</v>
      </c>
      <c r="L3286">
        <v>0.15</v>
      </c>
      <c r="M3286" t="s">
        <v>16857</v>
      </c>
      <c r="N3286" t="s">
        <v>16858</v>
      </c>
      <c r="O3286" t="s">
        <v>29</v>
      </c>
      <c r="P3286" t="s">
        <v>30</v>
      </c>
      <c r="Q3286" t="s">
        <v>44</v>
      </c>
      <c r="R3286" s="3">
        <v>5035.2979999999998</v>
      </c>
    </row>
    <row r="3287" spans="1:18" x14ac:dyDescent="0.3">
      <c r="A3287" t="s">
        <v>16859</v>
      </c>
      <c r="B3287" t="str">
        <f>TEXT(Raw_Data[[#This Row],[Order Date]],"mmm")</f>
        <v>Jul</v>
      </c>
      <c r="C3287" t="s">
        <v>333</v>
      </c>
      <c r="D3287" t="s">
        <v>16860</v>
      </c>
      <c r="E3287" t="s">
        <v>35</v>
      </c>
      <c r="F3287" t="s">
        <v>215</v>
      </c>
      <c r="G3287" t="s">
        <v>216</v>
      </c>
      <c r="H3287" t="s">
        <v>80</v>
      </c>
      <c r="I3287" t="s">
        <v>146</v>
      </c>
      <c r="J3287" t="s">
        <v>25</v>
      </c>
      <c r="K3287" t="s">
        <v>16861</v>
      </c>
      <c r="L3287">
        <v>0.15</v>
      </c>
      <c r="M3287" t="s">
        <v>16862</v>
      </c>
      <c r="N3287" t="s">
        <v>16863</v>
      </c>
      <c r="O3287" t="s">
        <v>43</v>
      </c>
      <c r="P3287" t="s">
        <v>112</v>
      </c>
      <c r="Q3287" t="s">
        <v>44</v>
      </c>
      <c r="R3287" s="3">
        <v>4864.5159999999996</v>
      </c>
    </row>
    <row r="3288" spans="1:18" x14ac:dyDescent="0.3">
      <c r="A3288" t="s">
        <v>16864</v>
      </c>
      <c r="B3288" t="str">
        <f>TEXT(Raw_Data[[#This Row],[Order Date]],"mmm")</f>
        <v>Apr</v>
      </c>
      <c r="C3288" t="s">
        <v>798</v>
      </c>
      <c r="D3288" t="s">
        <v>16865</v>
      </c>
      <c r="E3288" t="s">
        <v>35</v>
      </c>
      <c r="F3288" t="s">
        <v>78</v>
      </c>
      <c r="G3288" t="s">
        <v>79</v>
      </c>
      <c r="H3288" t="s">
        <v>154</v>
      </c>
      <c r="I3288" t="s">
        <v>309</v>
      </c>
      <c r="J3288" t="s">
        <v>82</v>
      </c>
      <c r="K3288" t="s">
        <v>16866</v>
      </c>
      <c r="L3288">
        <v>0</v>
      </c>
      <c r="M3288" t="s">
        <v>16867</v>
      </c>
      <c r="N3288" t="s">
        <v>16868</v>
      </c>
      <c r="O3288" t="s">
        <v>64</v>
      </c>
      <c r="P3288" t="s">
        <v>30</v>
      </c>
      <c r="Q3288" t="s">
        <v>65</v>
      </c>
      <c r="R3288" s="3">
        <v>47102.44</v>
      </c>
    </row>
    <row r="3289" spans="1:18" x14ac:dyDescent="0.3">
      <c r="A3289" t="s">
        <v>16869</v>
      </c>
      <c r="B3289" t="str">
        <f>TEXT(Raw_Data[[#This Row],[Order Date]],"mmm")</f>
        <v>Jan</v>
      </c>
      <c r="C3289" t="s">
        <v>2464</v>
      </c>
      <c r="D3289" t="s">
        <v>16870</v>
      </c>
      <c r="E3289" t="s">
        <v>35</v>
      </c>
      <c r="F3289" t="s">
        <v>215</v>
      </c>
      <c r="G3289" t="s">
        <v>276</v>
      </c>
      <c r="H3289" t="s">
        <v>23</v>
      </c>
      <c r="I3289" t="s">
        <v>49</v>
      </c>
      <c r="J3289" t="s">
        <v>50</v>
      </c>
      <c r="K3289" t="s">
        <v>16871</v>
      </c>
      <c r="L3289">
        <v>0</v>
      </c>
      <c r="M3289" t="s">
        <v>16872</v>
      </c>
      <c r="N3289" t="s">
        <v>16873</v>
      </c>
      <c r="O3289" t="s">
        <v>64</v>
      </c>
      <c r="P3289" t="s">
        <v>30</v>
      </c>
      <c r="Q3289" t="s">
        <v>44</v>
      </c>
      <c r="R3289" s="3">
        <v>99913.26</v>
      </c>
    </row>
    <row r="3290" spans="1:18" x14ac:dyDescent="0.3">
      <c r="A3290" t="s">
        <v>16874</v>
      </c>
      <c r="B3290" t="str">
        <f>TEXT(Raw_Data[[#This Row],[Order Date]],"mmm")</f>
        <v>Jul</v>
      </c>
      <c r="C3290" t="s">
        <v>2670</v>
      </c>
      <c r="D3290" t="s">
        <v>16875</v>
      </c>
      <c r="E3290" t="s">
        <v>20</v>
      </c>
      <c r="F3290" t="s">
        <v>106</v>
      </c>
      <c r="G3290" t="s">
        <v>163</v>
      </c>
      <c r="H3290" t="s">
        <v>107</v>
      </c>
      <c r="I3290" t="s">
        <v>277</v>
      </c>
      <c r="J3290" t="s">
        <v>50</v>
      </c>
      <c r="K3290" t="s">
        <v>16876</v>
      </c>
      <c r="L3290">
        <v>0.1</v>
      </c>
      <c r="M3290" t="s">
        <v>16877</v>
      </c>
      <c r="N3290" t="s">
        <v>16878</v>
      </c>
      <c r="O3290" t="s">
        <v>173</v>
      </c>
      <c r="P3290" t="s">
        <v>30</v>
      </c>
      <c r="Q3290" t="s">
        <v>65</v>
      </c>
      <c r="R3290" s="3">
        <v>17059.878000000001</v>
      </c>
    </row>
    <row r="3291" spans="1:18" x14ac:dyDescent="0.3">
      <c r="A3291" t="s">
        <v>16879</v>
      </c>
      <c r="B3291" t="str">
        <f>TEXT(Raw_Data[[#This Row],[Order Date]],"mmm")</f>
        <v>Nov</v>
      </c>
      <c r="C3291" t="s">
        <v>1144</v>
      </c>
      <c r="D3291" t="s">
        <v>16880</v>
      </c>
      <c r="E3291" t="s">
        <v>48</v>
      </c>
      <c r="F3291" t="s">
        <v>89</v>
      </c>
      <c r="G3291" t="s">
        <v>99</v>
      </c>
      <c r="H3291" t="s">
        <v>23</v>
      </c>
      <c r="I3291" t="s">
        <v>24</v>
      </c>
      <c r="J3291" t="s">
        <v>50</v>
      </c>
      <c r="K3291" t="s">
        <v>16881</v>
      </c>
      <c r="L3291">
        <v>0.05</v>
      </c>
      <c r="M3291" t="s">
        <v>16882</v>
      </c>
      <c r="N3291" t="s">
        <v>16883</v>
      </c>
      <c r="O3291" t="s">
        <v>43</v>
      </c>
      <c r="P3291" t="s">
        <v>30</v>
      </c>
      <c r="Q3291" t="s">
        <v>44</v>
      </c>
      <c r="R3291" s="3">
        <v>29898.380999999899</v>
      </c>
    </row>
    <row r="3292" spans="1:18" x14ac:dyDescent="0.3">
      <c r="A3292" t="s">
        <v>16884</v>
      </c>
      <c r="B3292" t="str">
        <f>TEXT(Raw_Data[[#This Row],[Order Date]],"mmm")</f>
        <v>May</v>
      </c>
      <c r="C3292" t="s">
        <v>1348</v>
      </c>
      <c r="D3292" t="s">
        <v>16885</v>
      </c>
      <c r="E3292" t="s">
        <v>20</v>
      </c>
      <c r="F3292" t="s">
        <v>58</v>
      </c>
      <c r="G3292" t="s">
        <v>290</v>
      </c>
      <c r="H3292" t="s">
        <v>80</v>
      </c>
      <c r="I3292" t="s">
        <v>91</v>
      </c>
      <c r="J3292" t="s">
        <v>25</v>
      </c>
      <c r="K3292" t="s">
        <v>16886</v>
      </c>
      <c r="L3292">
        <v>0.1</v>
      </c>
      <c r="M3292" t="s">
        <v>16887</v>
      </c>
      <c r="N3292" t="s">
        <v>16888</v>
      </c>
      <c r="O3292" t="s">
        <v>64</v>
      </c>
      <c r="P3292" t="s">
        <v>95</v>
      </c>
      <c r="Q3292" t="s">
        <v>65</v>
      </c>
      <c r="R3292" s="3">
        <v>2165.2109999999998</v>
      </c>
    </row>
    <row r="3293" spans="1:18" x14ac:dyDescent="0.3">
      <c r="A3293" t="s">
        <v>16889</v>
      </c>
      <c r="B3293" t="str">
        <f>TEXT(Raw_Data[[#This Row],[Order Date]],"mmm")</f>
        <v>Aug</v>
      </c>
      <c r="C3293" t="s">
        <v>1104</v>
      </c>
      <c r="D3293" t="s">
        <v>16890</v>
      </c>
      <c r="E3293" t="s">
        <v>48</v>
      </c>
      <c r="F3293" t="s">
        <v>106</v>
      </c>
      <c r="G3293" t="s">
        <v>163</v>
      </c>
      <c r="H3293" t="s">
        <v>23</v>
      </c>
      <c r="I3293" t="s">
        <v>183</v>
      </c>
      <c r="J3293" t="s">
        <v>50</v>
      </c>
      <c r="K3293" t="s">
        <v>16891</v>
      </c>
      <c r="L3293">
        <v>0.2</v>
      </c>
      <c r="M3293" t="s">
        <v>16892</v>
      </c>
      <c r="N3293" t="s">
        <v>16893</v>
      </c>
      <c r="O3293" t="s">
        <v>29</v>
      </c>
      <c r="P3293" t="s">
        <v>112</v>
      </c>
      <c r="Q3293" t="s">
        <v>31</v>
      </c>
      <c r="R3293" s="3">
        <v>109827.408</v>
      </c>
    </row>
    <row r="3294" spans="1:18" x14ac:dyDescent="0.3">
      <c r="A3294" t="s">
        <v>16894</v>
      </c>
      <c r="B3294" t="str">
        <f>TEXT(Raw_Data[[#This Row],[Order Date]],"mmm")</f>
        <v>Aug</v>
      </c>
      <c r="C3294" t="s">
        <v>1442</v>
      </c>
      <c r="D3294" t="s">
        <v>16895</v>
      </c>
      <c r="E3294" t="s">
        <v>20</v>
      </c>
      <c r="F3294" t="s">
        <v>78</v>
      </c>
      <c r="G3294" t="s">
        <v>731</v>
      </c>
      <c r="H3294" t="s">
        <v>23</v>
      </c>
      <c r="I3294" t="s">
        <v>49</v>
      </c>
      <c r="J3294" t="s">
        <v>50</v>
      </c>
      <c r="K3294" t="s">
        <v>16896</v>
      </c>
      <c r="L3294">
        <v>0.05</v>
      </c>
      <c r="M3294" t="s">
        <v>16897</v>
      </c>
      <c r="N3294" t="s">
        <v>16898</v>
      </c>
      <c r="O3294" t="s">
        <v>43</v>
      </c>
      <c r="P3294" t="s">
        <v>30</v>
      </c>
      <c r="Q3294" t="s">
        <v>44</v>
      </c>
      <c r="R3294" s="3">
        <v>17554.992999999999</v>
      </c>
    </row>
    <row r="3295" spans="1:18" x14ac:dyDescent="0.3">
      <c r="A3295" t="s">
        <v>16899</v>
      </c>
      <c r="B3295" t="str">
        <f>TEXT(Raw_Data[[#This Row],[Order Date]],"mmm")</f>
        <v>May</v>
      </c>
      <c r="C3295" t="s">
        <v>2355</v>
      </c>
      <c r="D3295" t="s">
        <v>16900</v>
      </c>
      <c r="E3295" t="s">
        <v>48</v>
      </c>
      <c r="F3295" t="s">
        <v>36</v>
      </c>
      <c r="G3295" t="s">
        <v>414</v>
      </c>
      <c r="H3295" t="s">
        <v>38</v>
      </c>
      <c r="I3295" t="s">
        <v>39</v>
      </c>
      <c r="J3295" t="s">
        <v>82</v>
      </c>
      <c r="K3295" t="s">
        <v>16901</v>
      </c>
      <c r="L3295">
        <v>0.15</v>
      </c>
      <c r="M3295" t="s">
        <v>16902</v>
      </c>
      <c r="N3295" t="s">
        <v>16903</v>
      </c>
      <c r="O3295" t="s">
        <v>173</v>
      </c>
      <c r="P3295" t="s">
        <v>112</v>
      </c>
      <c r="Q3295" t="s">
        <v>31</v>
      </c>
      <c r="R3295" s="3">
        <v>1219.4099999999901</v>
      </c>
    </row>
    <row r="3296" spans="1:18" x14ac:dyDescent="0.3">
      <c r="A3296" t="s">
        <v>16904</v>
      </c>
      <c r="B3296" t="str">
        <f>TEXT(Raw_Data[[#This Row],[Order Date]],"mmm")</f>
        <v>Jul</v>
      </c>
      <c r="C3296" t="s">
        <v>7058</v>
      </c>
      <c r="D3296" t="s">
        <v>16905</v>
      </c>
      <c r="E3296" t="s">
        <v>20</v>
      </c>
      <c r="F3296" t="s">
        <v>89</v>
      </c>
      <c r="G3296" t="s">
        <v>230</v>
      </c>
      <c r="H3296" t="s">
        <v>80</v>
      </c>
      <c r="I3296" t="s">
        <v>81</v>
      </c>
      <c r="J3296" t="s">
        <v>25</v>
      </c>
      <c r="K3296" t="s">
        <v>16906</v>
      </c>
      <c r="L3296">
        <v>0.05</v>
      </c>
      <c r="M3296" t="s">
        <v>16907</v>
      </c>
      <c r="N3296" t="s">
        <v>16908</v>
      </c>
      <c r="O3296" t="s">
        <v>64</v>
      </c>
      <c r="P3296" t="s">
        <v>30</v>
      </c>
      <c r="Q3296" t="s">
        <v>44</v>
      </c>
      <c r="R3296" s="3">
        <v>1255.1969999999999</v>
      </c>
    </row>
    <row r="3297" spans="1:18" x14ac:dyDescent="0.3">
      <c r="A3297" t="s">
        <v>16909</v>
      </c>
      <c r="B3297" t="str">
        <f>TEXT(Raw_Data[[#This Row],[Order Date]],"mmm")</f>
        <v>Apr</v>
      </c>
      <c r="C3297" t="s">
        <v>5341</v>
      </c>
      <c r="D3297" t="s">
        <v>16910</v>
      </c>
      <c r="E3297" t="s">
        <v>20</v>
      </c>
      <c r="F3297" t="s">
        <v>21</v>
      </c>
      <c r="G3297" t="s">
        <v>22</v>
      </c>
      <c r="H3297" t="s">
        <v>80</v>
      </c>
      <c r="I3297" t="s">
        <v>146</v>
      </c>
      <c r="J3297" t="s">
        <v>25</v>
      </c>
      <c r="K3297" t="s">
        <v>16911</v>
      </c>
      <c r="L3297">
        <v>0.15</v>
      </c>
      <c r="M3297" t="s">
        <v>16912</v>
      </c>
      <c r="N3297" t="s">
        <v>16913</v>
      </c>
      <c r="O3297" t="s">
        <v>43</v>
      </c>
      <c r="P3297" t="s">
        <v>30</v>
      </c>
      <c r="Q3297" t="s">
        <v>31</v>
      </c>
      <c r="R3297" s="3">
        <v>3706.1019999999999</v>
      </c>
    </row>
    <row r="3298" spans="1:18" x14ac:dyDescent="0.3">
      <c r="A3298" t="s">
        <v>16914</v>
      </c>
      <c r="B3298" t="str">
        <f>TEXT(Raw_Data[[#This Row],[Order Date]],"mmm")</f>
        <v>Jun</v>
      </c>
      <c r="C3298" t="s">
        <v>3993</v>
      </c>
      <c r="D3298" t="s">
        <v>16915</v>
      </c>
      <c r="E3298" t="s">
        <v>35</v>
      </c>
      <c r="F3298" t="s">
        <v>58</v>
      </c>
      <c r="G3298" t="s">
        <v>59</v>
      </c>
      <c r="H3298" t="s">
        <v>80</v>
      </c>
      <c r="I3298" t="s">
        <v>81</v>
      </c>
      <c r="J3298" t="s">
        <v>50</v>
      </c>
      <c r="K3298" t="s">
        <v>16916</v>
      </c>
      <c r="L3298">
        <v>0.1</v>
      </c>
      <c r="M3298" t="s">
        <v>16917</v>
      </c>
      <c r="N3298" t="s">
        <v>16918</v>
      </c>
      <c r="O3298" t="s">
        <v>54</v>
      </c>
      <c r="P3298" t="s">
        <v>30</v>
      </c>
      <c r="Q3298" t="s">
        <v>65</v>
      </c>
      <c r="R3298" s="3">
        <v>8631.0720000000001</v>
      </c>
    </row>
    <row r="3299" spans="1:18" x14ac:dyDescent="0.3">
      <c r="A3299" t="s">
        <v>16919</v>
      </c>
      <c r="B3299" t="str">
        <f>TEXT(Raw_Data[[#This Row],[Order Date]],"mmm")</f>
        <v>Mar</v>
      </c>
      <c r="C3299" t="s">
        <v>56</v>
      </c>
      <c r="D3299" t="s">
        <v>16920</v>
      </c>
      <c r="E3299" t="s">
        <v>35</v>
      </c>
      <c r="F3299" t="s">
        <v>78</v>
      </c>
      <c r="G3299" t="s">
        <v>468</v>
      </c>
      <c r="H3299" t="s">
        <v>154</v>
      </c>
      <c r="I3299" t="s">
        <v>365</v>
      </c>
      <c r="J3299" t="s">
        <v>25</v>
      </c>
      <c r="K3299" t="s">
        <v>16921</v>
      </c>
      <c r="L3299">
        <v>0.1</v>
      </c>
      <c r="M3299" t="s">
        <v>16922</v>
      </c>
      <c r="N3299" t="s">
        <v>16923</v>
      </c>
      <c r="O3299" t="s">
        <v>54</v>
      </c>
      <c r="P3299" t="s">
        <v>112</v>
      </c>
      <c r="Q3299" t="s">
        <v>44</v>
      </c>
      <c r="R3299" s="3">
        <v>6885.1350000000002</v>
      </c>
    </row>
    <row r="3300" spans="1:18" x14ac:dyDescent="0.3">
      <c r="A3300" t="s">
        <v>16924</v>
      </c>
      <c r="B3300" t="str">
        <f>TEXT(Raw_Data[[#This Row],[Order Date]],"mmm")</f>
        <v>Nov</v>
      </c>
      <c r="C3300" t="s">
        <v>1775</v>
      </c>
      <c r="D3300" t="s">
        <v>16925</v>
      </c>
      <c r="E3300" t="s">
        <v>20</v>
      </c>
      <c r="F3300" t="s">
        <v>89</v>
      </c>
      <c r="G3300" t="s">
        <v>99</v>
      </c>
      <c r="H3300" t="s">
        <v>154</v>
      </c>
      <c r="I3300" t="s">
        <v>155</v>
      </c>
      <c r="J3300" t="s">
        <v>25</v>
      </c>
      <c r="K3300" t="s">
        <v>16926</v>
      </c>
      <c r="L3300">
        <v>0</v>
      </c>
      <c r="M3300" t="s">
        <v>16927</v>
      </c>
      <c r="N3300" t="s">
        <v>16928</v>
      </c>
      <c r="O3300" t="s">
        <v>173</v>
      </c>
      <c r="P3300" t="s">
        <v>30</v>
      </c>
      <c r="Q3300" t="s">
        <v>31</v>
      </c>
      <c r="R3300" s="3">
        <v>10071.39</v>
      </c>
    </row>
    <row r="3301" spans="1:18" x14ac:dyDescent="0.3">
      <c r="A3301" t="s">
        <v>16929</v>
      </c>
      <c r="B3301" t="str">
        <f>TEXT(Raw_Data[[#This Row],[Order Date]],"mmm")</f>
        <v>Mar</v>
      </c>
      <c r="C3301" t="s">
        <v>1915</v>
      </c>
      <c r="D3301" t="s">
        <v>16930</v>
      </c>
      <c r="E3301" t="s">
        <v>20</v>
      </c>
      <c r="F3301" t="s">
        <v>89</v>
      </c>
      <c r="G3301" t="s">
        <v>90</v>
      </c>
      <c r="H3301" t="s">
        <v>80</v>
      </c>
      <c r="I3301" t="s">
        <v>146</v>
      </c>
      <c r="J3301" t="s">
        <v>25</v>
      </c>
      <c r="K3301" t="s">
        <v>16931</v>
      </c>
      <c r="L3301">
        <v>0.05</v>
      </c>
      <c r="M3301" t="s">
        <v>16932</v>
      </c>
      <c r="N3301" t="s">
        <v>16933</v>
      </c>
      <c r="O3301" t="s">
        <v>54</v>
      </c>
      <c r="P3301" t="s">
        <v>30</v>
      </c>
      <c r="Q3301" t="s">
        <v>44</v>
      </c>
      <c r="R3301" s="3">
        <v>2282.1849999999999</v>
      </c>
    </row>
    <row r="3302" spans="1:18" x14ac:dyDescent="0.3">
      <c r="A3302" t="s">
        <v>16934</v>
      </c>
      <c r="B3302" t="str">
        <f>TEXT(Raw_Data[[#This Row],[Order Date]],"mmm")</f>
        <v>May</v>
      </c>
      <c r="C3302" t="s">
        <v>1937</v>
      </c>
      <c r="D3302" t="s">
        <v>16935</v>
      </c>
      <c r="E3302" t="s">
        <v>35</v>
      </c>
      <c r="F3302" t="s">
        <v>36</v>
      </c>
      <c r="G3302" t="s">
        <v>37</v>
      </c>
      <c r="H3302" t="s">
        <v>38</v>
      </c>
      <c r="I3302" t="s">
        <v>256</v>
      </c>
      <c r="J3302" t="s">
        <v>25</v>
      </c>
      <c r="K3302" t="s">
        <v>16936</v>
      </c>
      <c r="L3302">
        <v>0.1</v>
      </c>
      <c r="M3302" t="s">
        <v>16937</v>
      </c>
      <c r="N3302" t="s">
        <v>16938</v>
      </c>
      <c r="O3302" t="s">
        <v>173</v>
      </c>
      <c r="P3302" t="s">
        <v>30</v>
      </c>
      <c r="Q3302" t="s">
        <v>31</v>
      </c>
      <c r="R3302" s="3">
        <v>2897.6309999999999</v>
      </c>
    </row>
    <row r="3303" spans="1:18" x14ac:dyDescent="0.3">
      <c r="A3303" t="s">
        <v>16939</v>
      </c>
      <c r="B3303" t="str">
        <f>TEXT(Raw_Data[[#This Row],[Order Date]],"mmm")</f>
        <v>Oct</v>
      </c>
      <c r="C3303" t="s">
        <v>1227</v>
      </c>
      <c r="D3303" t="s">
        <v>16940</v>
      </c>
      <c r="E3303" t="s">
        <v>35</v>
      </c>
      <c r="F3303" t="s">
        <v>58</v>
      </c>
      <c r="G3303" t="s">
        <v>290</v>
      </c>
      <c r="H3303" t="s">
        <v>23</v>
      </c>
      <c r="I3303" t="s">
        <v>341</v>
      </c>
      <c r="J3303" t="s">
        <v>25</v>
      </c>
      <c r="K3303" t="s">
        <v>16941</v>
      </c>
      <c r="L3303">
        <v>0.1</v>
      </c>
      <c r="M3303" t="s">
        <v>16942</v>
      </c>
      <c r="N3303" t="s">
        <v>16943</v>
      </c>
      <c r="O3303" t="s">
        <v>64</v>
      </c>
      <c r="P3303" t="s">
        <v>30</v>
      </c>
      <c r="Q3303" t="s">
        <v>65</v>
      </c>
      <c r="R3303" s="3">
        <v>22267.17</v>
      </c>
    </row>
    <row r="3304" spans="1:18" x14ac:dyDescent="0.3">
      <c r="A3304" t="s">
        <v>16944</v>
      </c>
      <c r="B3304" t="str">
        <f>TEXT(Raw_Data[[#This Row],[Order Date]],"mmm")</f>
        <v>Oct</v>
      </c>
      <c r="C3304" t="s">
        <v>1386</v>
      </c>
      <c r="D3304" t="s">
        <v>16945</v>
      </c>
      <c r="E3304" t="s">
        <v>35</v>
      </c>
      <c r="F3304" t="s">
        <v>58</v>
      </c>
      <c r="G3304" t="s">
        <v>812</v>
      </c>
      <c r="H3304" t="s">
        <v>38</v>
      </c>
      <c r="I3304" t="s">
        <v>223</v>
      </c>
      <c r="J3304" t="s">
        <v>50</v>
      </c>
      <c r="K3304" t="s">
        <v>16946</v>
      </c>
      <c r="L3304">
        <v>0.1</v>
      </c>
      <c r="M3304" t="s">
        <v>16947</v>
      </c>
      <c r="N3304" t="s">
        <v>16948</v>
      </c>
      <c r="O3304" t="s">
        <v>173</v>
      </c>
      <c r="P3304" t="s">
        <v>159</v>
      </c>
      <c r="Q3304" t="s">
        <v>65</v>
      </c>
      <c r="R3304" s="3">
        <v>2562.0479999999998</v>
      </c>
    </row>
    <row r="3305" spans="1:18" x14ac:dyDescent="0.3">
      <c r="A3305" t="s">
        <v>16949</v>
      </c>
      <c r="B3305" t="str">
        <f>TEXT(Raw_Data[[#This Row],[Order Date]],"mmm")</f>
        <v>Sep</v>
      </c>
      <c r="C3305" t="s">
        <v>401</v>
      </c>
      <c r="D3305" t="s">
        <v>16950</v>
      </c>
      <c r="E3305" t="s">
        <v>35</v>
      </c>
      <c r="F3305" t="s">
        <v>58</v>
      </c>
      <c r="G3305" t="s">
        <v>290</v>
      </c>
      <c r="H3305" t="s">
        <v>107</v>
      </c>
      <c r="I3305" t="s">
        <v>591</v>
      </c>
      <c r="J3305" t="s">
        <v>25</v>
      </c>
      <c r="K3305" t="s">
        <v>16951</v>
      </c>
      <c r="L3305">
        <v>0</v>
      </c>
      <c r="M3305" t="s">
        <v>16952</v>
      </c>
      <c r="N3305" t="s">
        <v>16953</v>
      </c>
      <c r="O3305" t="s">
        <v>173</v>
      </c>
      <c r="P3305" t="s">
        <v>30</v>
      </c>
      <c r="Q3305" t="s">
        <v>31</v>
      </c>
      <c r="R3305" s="3">
        <v>7234.67</v>
      </c>
    </row>
    <row r="3306" spans="1:18" x14ac:dyDescent="0.3">
      <c r="A3306" t="s">
        <v>16954</v>
      </c>
      <c r="B3306" t="str">
        <f>TEXT(Raw_Data[[#This Row],[Order Date]],"mmm")</f>
        <v>Aug</v>
      </c>
      <c r="C3306" t="s">
        <v>930</v>
      </c>
      <c r="D3306" t="s">
        <v>16955</v>
      </c>
      <c r="E3306" t="s">
        <v>35</v>
      </c>
      <c r="F3306" t="s">
        <v>69</v>
      </c>
      <c r="G3306" t="s">
        <v>139</v>
      </c>
      <c r="H3306" t="s">
        <v>80</v>
      </c>
      <c r="I3306" t="s">
        <v>146</v>
      </c>
      <c r="J3306" t="s">
        <v>100</v>
      </c>
      <c r="K3306" t="s">
        <v>16956</v>
      </c>
      <c r="L3306">
        <v>0.15</v>
      </c>
      <c r="M3306" t="s">
        <v>16957</v>
      </c>
      <c r="N3306" t="s">
        <v>16958</v>
      </c>
      <c r="O3306" t="s">
        <v>4079</v>
      </c>
      <c r="P3306" t="s">
        <v>30</v>
      </c>
      <c r="Q3306" t="s">
        <v>65</v>
      </c>
      <c r="R3306" s="3">
        <v>8190.9059999999999</v>
      </c>
    </row>
    <row r="3307" spans="1:18" x14ac:dyDescent="0.3">
      <c r="A3307" t="s">
        <v>16959</v>
      </c>
      <c r="B3307" t="str">
        <f>TEXT(Raw_Data[[#This Row],[Order Date]],"mmm")</f>
        <v>Feb</v>
      </c>
      <c r="C3307" t="s">
        <v>7114</v>
      </c>
      <c r="D3307" t="s">
        <v>16960</v>
      </c>
      <c r="E3307" t="s">
        <v>20</v>
      </c>
      <c r="F3307" t="s">
        <v>78</v>
      </c>
      <c r="G3307" t="s">
        <v>468</v>
      </c>
      <c r="H3307" t="s">
        <v>107</v>
      </c>
      <c r="I3307" t="s">
        <v>469</v>
      </c>
      <c r="J3307" t="s">
        <v>50</v>
      </c>
      <c r="K3307" t="s">
        <v>16961</v>
      </c>
      <c r="L3307">
        <v>0.1</v>
      </c>
      <c r="M3307" t="s">
        <v>16962</v>
      </c>
      <c r="N3307" t="s">
        <v>16963</v>
      </c>
      <c r="O3307" t="s">
        <v>54</v>
      </c>
      <c r="P3307" t="s">
        <v>30</v>
      </c>
      <c r="Q3307" t="s">
        <v>65</v>
      </c>
      <c r="R3307" s="3">
        <v>26931.923999999999</v>
      </c>
    </row>
    <row r="3308" spans="1:18" x14ac:dyDescent="0.3">
      <c r="A3308" t="s">
        <v>16964</v>
      </c>
      <c r="B3308" t="str">
        <f>TEXT(Raw_Data[[#This Row],[Order Date]],"mmm")</f>
        <v>May</v>
      </c>
      <c r="C3308" t="s">
        <v>5513</v>
      </c>
      <c r="D3308" t="s">
        <v>16965</v>
      </c>
      <c r="E3308" t="s">
        <v>48</v>
      </c>
      <c r="F3308" t="s">
        <v>89</v>
      </c>
      <c r="G3308" t="s">
        <v>90</v>
      </c>
      <c r="H3308" t="s">
        <v>23</v>
      </c>
      <c r="I3308" t="s">
        <v>24</v>
      </c>
      <c r="J3308" t="s">
        <v>100</v>
      </c>
      <c r="K3308" t="s">
        <v>16966</v>
      </c>
      <c r="L3308">
        <v>0.1</v>
      </c>
      <c r="M3308" t="s">
        <v>16967</v>
      </c>
      <c r="N3308" t="s">
        <v>16968</v>
      </c>
      <c r="O3308" t="s">
        <v>29</v>
      </c>
      <c r="P3308" t="s">
        <v>30</v>
      </c>
      <c r="Q3308" t="s">
        <v>65</v>
      </c>
      <c r="R3308" s="3">
        <v>84707.019</v>
      </c>
    </row>
    <row r="3309" spans="1:18" x14ac:dyDescent="0.3">
      <c r="A3309" t="s">
        <v>16969</v>
      </c>
      <c r="B3309" t="str">
        <f>TEXT(Raw_Data[[#This Row],[Order Date]],"mmm")</f>
        <v>Jul</v>
      </c>
      <c r="C3309" t="s">
        <v>389</v>
      </c>
      <c r="D3309" t="s">
        <v>16970</v>
      </c>
      <c r="E3309" t="s">
        <v>20</v>
      </c>
      <c r="F3309" t="s">
        <v>106</v>
      </c>
      <c r="G3309" t="s">
        <v>106</v>
      </c>
      <c r="H3309" t="s">
        <v>107</v>
      </c>
      <c r="I3309" t="s">
        <v>469</v>
      </c>
      <c r="J3309" t="s">
        <v>100</v>
      </c>
      <c r="K3309" t="s">
        <v>16971</v>
      </c>
      <c r="L3309">
        <v>0.05</v>
      </c>
      <c r="M3309" t="s">
        <v>16972</v>
      </c>
      <c r="N3309" t="s">
        <v>16973</v>
      </c>
      <c r="O3309" t="s">
        <v>173</v>
      </c>
      <c r="P3309" t="s">
        <v>30</v>
      </c>
      <c r="Q3309" t="s">
        <v>65</v>
      </c>
      <c r="R3309" s="3">
        <v>33862.1325</v>
      </c>
    </row>
    <row r="3310" spans="1:18" x14ac:dyDescent="0.3">
      <c r="A3310" t="s">
        <v>16974</v>
      </c>
      <c r="B3310" t="str">
        <f>TEXT(Raw_Data[[#This Row],[Order Date]],"mmm")</f>
        <v>May</v>
      </c>
      <c r="C3310" t="s">
        <v>885</v>
      </c>
      <c r="D3310" t="s">
        <v>16975</v>
      </c>
      <c r="E3310" t="s">
        <v>48</v>
      </c>
      <c r="F3310" t="s">
        <v>89</v>
      </c>
      <c r="G3310" t="s">
        <v>90</v>
      </c>
      <c r="H3310" t="s">
        <v>154</v>
      </c>
      <c r="I3310" t="s">
        <v>237</v>
      </c>
      <c r="J3310" t="s">
        <v>50</v>
      </c>
      <c r="K3310" t="s">
        <v>16976</v>
      </c>
      <c r="L3310">
        <v>0</v>
      </c>
      <c r="M3310" t="s">
        <v>16977</v>
      </c>
      <c r="N3310" t="s">
        <v>16978</v>
      </c>
      <c r="O3310" t="s">
        <v>29</v>
      </c>
      <c r="P3310" t="s">
        <v>30</v>
      </c>
      <c r="Q3310" t="s">
        <v>65</v>
      </c>
      <c r="R3310" s="3">
        <v>14360.24</v>
      </c>
    </row>
    <row r="3311" spans="1:18" x14ac:dyDescent="0.3">
      <c r="A3311" t="s">
        <v>16979</v>
      </c>
      <c r="B3311" t="str">
        <f>TEXT(Raw_Data[[#This Row],[Order Date]],"mmm")</f>
        <v>Aug</v>
      </c>
      <c r="C3311" t="s">
        <v>3841</v>
      </c>
      <c r="D3311" t="s">
        <v>16980</v>
      </c>
      <c r="E3311" t="s">
        <v>20</v>
      </c>
      <c r="F3311" t="s">
        <v>58</v>
      </c>
      <c r="G3311" t="s">
        <v>59</v>
      </c>
      <c r="H3311" t="s">
        <v>107</v>
      </c>
      <c r="I3311" t="s">
        <v>591</v>
      </c>
      <c r="J3311" t="s">
        <v>50</v>
      </c>
      <c r="K3311" t="s">
        <v>16981</v>
      </c>
      <c r="L3311">
        <v>0</v>
      </c>
      <c r="M3311" t="s">
        <v>16982</v>
      </c>
      <c r="N3311" t="s">
        <v>16983</v>
      </c>
      <c r="O3311" t="s">
        <v>54</v>
      </c>
      <c r="P3311" t="s">
        <v>30</v>
      </c>
      <c r="Q3311" t="s">
        <v>31</v>
      </c>
      <c r="R3311" s="3">
        <v>18489.900000000001</v>
      </c>
    </row>
    <row r="3312" spans="1:18" x14ac:dyDescent="0.3">
      <c r="A3312" t="s">
        <v>16984</v>
      </c>
      <c r="B3312" t="str">
        <f>TEXT(Raw_Data[[#This Row],[Order Date]],"mmm")</f>
        <v>Jun</v>
      </c>
      <c r="C3312" t="s">
        <v>2586</v>
      </c>
      <c r="D3312" t="s">
        <v>16985</v>
      </c>
      <c r="E3312" t="s">
        <v>48</v>
      </c>
      <c r="F3312" t="s">
        <v>78</v>
      </c>
      <c r="G3312" t="s">
        <v>731</v>
      </c>
      <c r="H3312" t="s">
        <v>23</v>
      </c>
      <c r="I3312" t="s">
        <v>183</v>
      </c>
      <c r="J3312" t="s">
        <v>25</v>
      </c>
      <c r="K3312" t="s">
        <v>16986</v>
      </c>
      <c r="L3312">
        <v>0.15</v>
      </c>
      <c r="M3312" t="s">
        <v>16987</v>
      </c>
      <c r="N3312" t="s">
        <v>16988</v>
      </c>
      <c r="O3312" t="s">
        <v>43</v>
      </c>
      <c r="P3312" t="s">
        <v>30</v>
      </c>
      <c r="Q3312" t="s">
        <v>44</v>
      </c>
      <c r="R3312" s="3">
        <v>23190.3034999999</v>
      </c>
    </row>
    <row r="3313" spans="1:18" x14ac:dyDescent="0.3">
      <c r="A3313" t="s">
        <v>16989</v>
      </c>
      <c r="B3313" t="str">
        <f>TEXT(Raw_Data[[#This Row],[Order Date]],"mmm")</f>
        <v>Dec</v>
      </c>
      <c r="C3313" t="s">
        <v>646</v>
      </c>
      <c r="D3313" t="s">
        <v>16990</v>
      </c>
      <c r="E3313" t="s">
        <v>35</v>
      </c>
      <c r="F3313" t="s">
        <v>36</v>
      </c>
      <c r="G3313" t="s">
        <v>196</v>
      </c>
      <c r="H3313" t="s">
        <v>80</v>
      </c>
      <c r="I3313" t="s">
        <v>131</v>
      </c>
      <c r="J3313" t="s">
        <v>25</v>
      </c>
      <c r="K3313" t="s">
        <v>16991</v>
      </c>
      <c r="L3313">
        <v>0.05</v>
      </c>
      <c r="M3313" t="s">
        <v>16992</v>
      </c>
      <c r="N3313" t="s">
        <v>16993</v>
      </c>
      <c r="O3313" t="s">
        <v>29</v>
      </c>
      <c r="P3313" t="s">
        <v>30</v>
      </c>
      <c r="Q3313" t="s">
        <v>65</v>
      </c>
      <c r="R3313" s="3">
        <v>867.57799999999997</v>
      </c>
    </row>
    <row r="3314" spans="1:18" x14ac:dyDescent="0.3">
      <c r="A3314" t="s">
        <v>16994</v>
      </c>
      <c r="B3314" t="str">
        <f>TEXT(Raw_Data[[#This Row],[Order Date]],"mmm")</f>
        <v>Dec</v>
      </c>
      <c r="C3314" t="s">
        <v>540</v>
      </c>
      <c r="D3314" t="s">
        <v>16995</v>
      </c>
      <c r="E3314" t="s">
        <v>20</v>
      </c>
      <c r="F3314" t="s">
        <v>106</v>
      </c>
      <c r="G3314" t="s">
        <v>163</v>
      </c>
      <c r="H3314" t="s">
        <v>23</v>
      </c>
      <c r="I3314" t="s">
        <v>263</v>
      </c>
      <c r="J3314" t="s">
        <v>82</v>
      </c>
      <c r="K3314" t="s">
        <v>16996</v>
      </c>
      <c r="L3314">
        <v>0.05</v>
      </c>
      <c r="M3314" t="s">
        <v>16997</v>
      </c>
      <c r="N3314" t="s">
        <v>16998</v>
      </c>
      <c r="O3314" t="s">
        <v>54</v>
      </c>
      <c r="P3314" t="s">
        <v>490</v>
      </c>
      <c r="Q3314" t="s">
        <v>31</v>
      </c>
      <c r="R3314" s="3">
        <v>147882.12999999899</v>
      </c>
    </row>
    <row r="3315" spans="1:18" x14ac:dyDescent="0.3">
      <c r="A3315" t="s">
        <v>16999</v>
      </c>
      <c r="B3315" t="str">
        <f>TEXT(Raw_Data[[#This Row],[Order Date]],"mmm")</f>
        <v>Mar</v>
      </c>
      <c r="C3315" t="s">
        <v>504</v>
      </c>
      <c r="D3315" t="s">
        <v>17000</v>
      </c>
      <c r="E3315" t="s">
        <v>48</v>
      </c>
      <c r="F3315" t="s">
        <v>78</v>
      </c>
      <c r="G3315" t="s">
        <v>731</v>
      </c>
      <c r="H3315" t="s">
        <v>23</v>
      </c>
      <c r="I3315" t="s">
        <v>183</v>
      </c>
      <c r="J3315" t="s">
        <v>25</v>
      </c>
      <c r="K3315" t="s">
        <v>17001</v>
      </c>
      <c r="L3315">
        <v>0.1</v>
      </c>
      <c r="M3315" t="s">
        <v>17002</v>
      </c>
      <c r="N3315" t="s">
        <v>17003</v>
      </c>
      <c r="O3315" t="s">
        <v>29</v>
      </c>
      <c r="P3315" t="s">
        <v>30</v>
      </c>
      <c r="Q3315" t="s">
        <v>65</v>
      </c>
      <c r="R3315" s="3">
        <v>32559.201000000001</v>
      </c>
    </row>
    <row r="3316" spans="1:18" x14ac:dyDescent="0.3">
      <c r="A3316" t="s">
        <v>17004</v>
      </c>
      <c r="B3316" t="str">
        <f>TEXT(Raw_Data[[#This Row],[Order Date]],"mmm")</f>
        <v>Apr</v>
      </c>
      <c r="C3316" t="s">
        <v>1466</v>
      </c>
      <c r="D3316" t="s">
        <v>17005</v>
      </c>
      <c r="E3316" t="s">
        <v>35</v>
      </c>
      <c r="F3316" t="s">
        <v>106</v>
      </c>
      <c r="G3316" t="s">
        <v>106</v>
      </c>
      <c r="H3316" t="s">
        <v>80</v>
      </c>
      <c r="I3316" t="s">
        <v>131</v>
      </c>
      <c r="J3316" t="s">
        <v>100</v>
      </c>
      <c r="K3316" t="s">
        <v>17006</v>
      </c>
      <c r="L3316">
        <v>0.15</v>
      </c>
      <c r="M3316" t="s">
        <v>17007</v>
      </c>
      <c r="N3316" t="s">
        <v>17008</v>
      </c>
      <c r="O3316" t="s">
        <v>54</v>
      </c>
      <c r="P3316" t="s">
        <v>30</v>
      </c>
      <c r="Q3316" t="s">
        <v>65</v>
      </c>
      <c r="R3316" s="3">
        <v>8681.9849999999897</v>
      </c>
    </row>
    <row r="3317" spans="1:18" x14ac:dyDescent="0.3">
      <c r="A3317" t="s">
        <v>17009</v>
      </c>
      <c r="B3317" t="str">
        <f>TEXT(Raw_Data[[#This Row],[Order Date]],"mmm")</f>
        <v>Nov</v>
      </c>
      <c r="C3317" t="s">
        <v>11165</v>
      </c>
      <c r="D3317" t="s">
        <v>17010</v>
      </c>
      <c r="E3317" t="s">
        <v>20</v>
      </c>
      <c r="F3317" t="s">
        <v>78</v>
      </c>
      <c r="G3317" t="s">
        <v>468</v>
      </c>
      <c r="H3317" t="s">
        <v>107</v>
      </c>
      <c r="I3317" t="s">
        <v>277</v>
      </c>
      <c r="J3317" t="s">
        <v>100</v>
      </c>
      <c r="K3317" t="s">
        <v>17011</v>
      </c>
      <c r="L3317">
        <v>0</v>
      </c>
      <c r="M3317" t="s">
        <v>17012</v>
      </c>
      <c r="N3317" t="s">
        <v>17013</v>
      </c>
      <c r="O3317" t="s">
        <v>43</v>
      </c>
      <c r="P3317" t="s">
        <v>159</v>
      </c>
      <c r="Q3317" t="s">
        <v>31</v>
      </c>
      <c r="R3317" s="3">
        <v>35915.159999999902</v>
      </c>
    </row>
    <row r="3318" spans="1:18" x14ac:dyDescent="0.3">
      <c r="A3318" t="s">
        <v>17014</v>
      </c>
      <c r="B3318" t="str">
        <f>TEXT(Raw_Data[[#This Row],[Order Date]],"mmm")</f>
        <v>Jan</v>
      </c>
      <c r="C3318" t="s">
        <v>1015</v>
      </c>
      <c r="D3318" t="s">
        <v>17015</v>
      </c>
      <c r="E3318" t="s">
        <v>20</v>
      </c>
      <c r="F3318" t="s">
        <v>89</v>
      </c>
      <c r="G3318" t="s">
        <v>230</v>
      </c>
      <c r="H3318" t="s">
        <v>107</v>
      </c>
      <c r="I3318" t="s">
        <v>378</v>
      </c>
      <c r="J3318" t="s">
        <v>50</v>
      </c>
      <c r="K3318" t="s">
        <v>17016</v>
      </c>
      <c r="L3318">
        <v>0.1</v>
      </c>
      <c r="M3318" t="s">
        <v>17017</v>
      </c>
      <c r="N3318" t="s">
        <v>17018</v>
      </c>
      <c r="O3318" t="s">
        <v>54</v>
      </c>
      <c r="P3318" t="s">
        <v>30</v>
      </c>
      <c r="Q3318" t="s">
        <v>44</v>
      </c>
      <c r="R3318" s="3">
        <v>5079.0599999999904</v>
      </c>
    </row>
    <row r="3319" spans="1:18" x14ac:dyDescent="0.3">
      <c r="A3319" t="s">
        <v>17019</v>
      </c>
      <c r="B3319" t="str">
        <f>TEXT(Raw_Data[[#This Row],[Order Date]],"mmm")</f>
        <v>Jan</v>
      </c>
      <c r="C3319" t="s">
        <v>485</v>
      </c>
      <c r="D3319" t="s">
        <v>17020</v>
      </c>
      <c r="E3319" t="s">
        <v>35</v>
      </c>
      <c r="F3319" t="s">
        <v>215</v>
      </c>
      <c r="G3319" t="s">
        <v>276</v>
      </c>
      <c r="H3319" t="s">
        <v>154</v>
      </c>
      <c r="I3319" t="s">
        <v>1061</v>
      </c>
      <c r="J3319" t="s">
        <v>25</v>
      </c>
      <c r="K3319" t="s">
        <v>17021</v>
      </c>
      <c r="L3319">
        <v>0.15</v>
      </c>
      <c r="M3319" t="s">
        <v>17022</v>
      </c>
      <c r="N3319" t="s">
        <v>17023</v>
      </c>
      <c r="O3319" t="s">
        <v>54</v>
      </c>
      <c r="P3319" t="s">
        <v>30</v>
      </c>
      <c r="Q3319" t="s">
        <v>31</v>
      </c>
      <c r="R3319" s="3">
        <v>453.2285</v>
      </c>
    </row>
    <row r="3320" spans="1:18" x14ac:dyDescent="0.3">
      <c r="A3320" t="s">
        <v>17024</v>
      </c>
      <c r="B3320" t="str">
        <f>TEXT(Raw_Data[[#This Row],[Order Date]],"mmm")</f>
        <v>Apr</v>
      </c>
      <c r="C3320" t="s">
        <v>2903</v>
      </c>
      <c r="D3320" t="s">
        <v>17025</v>
      </c>
      <c r="E3320" t="s">
        <v>20</v>
      </c>
      <c r="F3320" t="s">
        <v>78</v>
      </c>
      <c r="G3320" t="s">
        <v>731</v>
      </c>
      <c r="H3320" t="s">
        <v>38</v>
      </c>
      <c r="I3320" t="s">
        <v>60</v>
      </c>
      <c r="J3320" t="s">
        <v>50</v>
      </c>
      <c r="K3320" t="s">
        <v>17026</v>
      </c>
      <c r="L3320">
        <v>0.05</v>
      </c>
      <c r="M3320" t="s">
        <v>17027</v>
      </c>
      <c r="N3320" t="s">
        <v>17028</v>
      </c>
      <c r="O3320" t="s">
        <v>173</v>
      </c>
      <c r="P3320" t="s">
        <v>30</v>
      </c>
      <c r="Q3320" t="s">
        <v>31</v>
      </c>
      <c r="R3320" s="3">
        <v>10555.905999999901</v>
      </c>
    </row>
    <row r="3321" spans="1:18" x14ac:dyDescent="0.3">
      <c r="A3321" t="s">
        <v>17029</v>
      </c>
      <c r="B3321" t="str">
        <f>TEXT(Raw_Data[[#This Row],[Order Date]],"mmm")</f>
        <v>May</v>
      </c>
      <c r="C3321" t="s">
        <v>2355</v>
      </c>
      <c r="D3321" t="s">
        <v>17030</v>
      </c>
      <c r="E3321" t="s">
        <v>48</v>
      </c>
      <c r="F3321" t="s">
        <v>36</v>
      </c>
      <c r="G3321" t="s">
        <v>123</v>
      </c>
      <c r="H3321" t="s">
        <v>23</v>
      </c>
      <c r="I3321" t="s">
        <v>341</v>
      </c>
      <c r="J3321" t="s">
        <v>25</v>
      </c>
      <c r="K3321" t="s">
        <v>17031</v>
      </c>
      <c r="L3321">
        <v>0.05</v>
      </c>
      <c r="M3321" t="s">
        <v>17032</v>
      </c>
      <c r="N3321" t="s">
        <v>17033</v>
      </c>
      <c r="O3321" t="s">
        <v>43</v>
      </c>
      <c r="P3321" t="s">
        <v>30</v>
      </c>
      <c r="Q3321" t="s">
        <v>65</v>
      </c>
      <c r="R3321" s="3">
        <v>42219.282499999899</v>
      </c>
    </row>
    <row r="3322" spans="1:18" x14ac:dyDescent="0.3">
      <c r="A3322" t="s">
        <v>17034</v>
      </c>
      <c r="B3322" t="str">
        <f>TEXT(Raw_Data[[#This Row],[Order Date]],"mmm")</f>
        <v>Sep</v>
      </c>
      <c r="C3322" t="s">
        <v>1714</v>
      </c>
      <c r="D3322" t="s">
        <v>17035</v>
      </c>
      <c r="E3322" t="s">
        <v>48</v>
      </c>
      <c r="F3322" t="s">
        <v>78</v>
      </c>
      <c r="G3322" t="s">
        <v>468</v>
      </c>
      <c r="H3322" t="s">
        <v>80</v>
      </c>
      <c r="I3322" t="s">
        <v>131</v>
      </c>
      <c r="J3322" t="s">
        <v>50</v>
      </c>
      <c r="K3322" t="s">
        <v>17036</v>
      </c>
      <c r="L3322">
        <v>0.05</v>
      </c>
      <c r="M3322" t="s">
        <v>17037</v>
      </c>
      <c r="N3322" t="s">
        <v>17038</v>
      </c>
      <c r="O3322" t="s">
        <v>64</v>
      </c>
      <c r="P3322" t="s">
        <v>30</v>
      </c>
      <c r="Q3322" t="s">
        <v>65</v>
      </c>
      <c r="R3322" s="3">
        <v>10744.975</v>
      </c>
    </row>
    <row r="3323" spans="1:18" x14ac:dyDescent="0.3">
      <c r="A3323" t="s">
        <v>17039</v>
      </c>
      <c r="B3323" t="str">
        <f>TEXT(Raw_Data[[#This Row],[Order Date]],"mmm")</f>
        <v>Dec</v>
      </c>
      <c r="C3323" t="s">
        <v>3862</v>
      </c>
      <c r="D3323" t="s">
        <v>17040</v>
      </c>
      <c r="E3323" t="s">
        <v>35</v>
      </c>
      <c r="F3323" t="s">
        <v>89</v>
      </c>
      <c r="G3323" t="s">
        <v>99</v>
      </c>
      <c r="H3323" t="s">
        <v>80</v>
      </c>
      <c r="I3323" t="s">
        <v>91</v>
      </c>
      <c r="J3323" t="s">
        <v>50</v>
      </c>
      <c r="K3323" t="s">
        <v>17041</v>
      </c>
      <c r="L3323">
        <v>0</v>
      </c>
      <c r="M3323" t="s">
        <v>17042</v>
      </c>
      <c r="N3323" t="s">
        <v>17043</v>
      </c>
      <c r="O3323" t="s">
        <v>173</v>
      </c>
      <c r="P3323" t="s">
        <v>30</v>
      </c>
      <c r="Q3323" t="s">
        <v>44</v>
      </c>
      <c r="R3323" s="3">
        <v>4122.9399999999996</v>
      </c>
    </row>
    <row r="3324" spans="1:18" x14ac:dyDescent="0.3">
      <c r="A3324" t="s">
        <v>17044</v>
      </c>
      <c r="B3324" t="str">
        <f>TEXT(Raw_Data[[#This Row],[Order Date]],"mmm")</f>
        <v>Nov</v>
      </c>
      <c r="C3324" t="s">
        <v>3096</v>
      </c>
      <c r="D3324" t="s">
        <v>17045</v>
      </c>
      <c r="E3324" t="s">
        <v>35</v>
      </c>
      <c r="F3324" t="s">
        <v>215</v>
      </c>
      <c r="G3324" t="s">
        <v>216</v>
      </c>
      <c r="H3324" t="s">
        <v>107</v>
      </c>
      <c r="I3324" t="s">
        <v>378</v>
      </c>
      <c r="J3324" t="s">
        <v>25</v>
      </c>
      <c r="K3324" t="s">
        <v>17046</v>
      </c>
      <c r="L3324">
        <v>0.05</v>
      </c>
      <c r="M3324" t="s">
        <v>17047</v>
      </c>
      <c r="N3324" t="s">
        <v>17048</v>
      </c>
      <c r="O3324" t="s">
        <v>173</v>
      </c>
      <c r="P3324" t="s">
        <v>95</v>
      </c>
      <c r="Q3324" t="s">
        <v>44</v>
      </c>
      <c r="R3324" s="3">
        <v>6586.1409999999996</v>
      </c>
    </row>
    <row r="3325" spans="1:18" x14ac:dyDescent="0.3">
      <c r="A3325" t="s">
        <v>17049</v>
      </c>
      <c r="B3325" t="str">
        <f>TEXT(Raw_Data[[#This Row],[Order Date]],"mmm")</f>
        <v>Aug</v>
      </c>
      <c r="C3325" t="s">
        <v>954</v>
      </c>
      <c r="D3325" t="s">
        <v>17050</v>
      </c>
      <c r="E3325" t="s">
        <v>20</v>
      </c>
      <c r="F3325" t="s">
        <v>58</v>
      </c>
      <c r="G3325" t="s">
        <v>290</v>
      </c>
      <c r="H3325" t="s">
        <v>23</v>
      </c>
      <c r="I3325" t="s">
        <v>263</v>
      </c>
      <c r="J3325" t="s">
        <v>25</v>
      </c>
      <c r="K3325" t="s">
        <v>17051</v>
      </c>
      <c r="L3325">
        <v>0.05</v>
      </c>
      <c r="M3325" t="s">
        <v>17052</v>
      </c>
      <c r="N3325" t="s">
        <v>17053</v>
      </c>
      <c r="O3325" t="s">
        <v>54</v>
      </c>
      <c r="P3325" t="s">
        <v>30</v>
      </c>
      <c r="Q3325" t="s">
        <v>44</v>
      </c>
      <c r="R3325" s="3">
        <v>34448.8145</v>
      </c>
    </row>
    <row r="3326" spans="1:18" x14ac:dyDescent="0.3">
      <c r="A3326" t="s">
        <v>17054</v>
      </c>
      <c r="B3326" t="str">
        <f>TEXT(Raw_Data[[#This Row],[Order Date]],"mmm")</f>
        <v>Dec</v>
      </c>
      <c r="C3326" t="s">
        <v>268</v>
      </c>
      <c r="D3326" t="s">
        <v>17055</v>
      </c>
      <c r="E3326" t="s">
        <v>35</v>
      </c>
      <c r="F3326" t="s">
        <v>21</v>
      </c>
      <c r="G3326" t="s">
        <v>22</v>
      </c>
      <c r="H3326" t="s">
        <v>154</v>
      </c>
      <c r="I3326" t="s">
        <v>365</v>
      </c>
      <c r="J3326" t="s">
        <v>100</v>
      </c>
      <c r="K3326" t="s">
        <v>17056</v>
      </c>
      <c r="L3326">
        <v>0.05</v>
      </c>
      <c r="M3326" t="s">
        <v>17057</v>
      </c>
      <c r="N3326" t="s">
        <v>17058</v>
      </c>
      <c r="O3326" t="s">
        <v>54</v>
      </c>
      <c r="P3326" t="s">
        <v>30</v>
      </c>
      <c r="Q3326" t="s">
        <v>65</v>
      </c>
      <c r="R3326" s="3">
        <v>21023.281500000001</v>
      </c>
    </row>
    <row r="3327" spans="1:18" x14ac:dyDescent="0.3">
      <c r="A3327" t="s">
        <v>17059</v>
      </c>
      <c r="B3327" t="str">
        <f>TEXT(Raw_Data[[#This Row],[Order Date]],"mmm")</f>
        <v>Nov</v>
      </c>
      <c r="C3327" t="s">
        <v>221</v>
      </c>
      <c r="D3327" t="s">
        <v>17060</v>
      </c>
      <c r="E3327" t="s">
        <v>35</v>
      </c>
      <c r="F3327" t="s">
        <v>89</v>
      </c>
      <c r="G3327" t="s">
        <v>99</v>
      </c>
      <c r="H3327" t="s">
        <v>107</v>
      </c>
      <c r="I3327" t="s">
        <v>591</v>
      </c>
      <c r="J3327" t="s">
        <v>25</v>
      </c>
      <c r="K3327" t="s">
        <v>17061</v>
      </c>
      <c r="L3327">
        <v>0.05</v>
      </c>
      <c r="M3327" t="s">
        <v>17062</v>
      </c>
      <c r="N3327" t="s">
        <v>17063</v>
      </c>
      <c r="O3327" t="s">
        <v>64</v>
      </c>
      <c r="P3327" t="s">
        <v>30</v>
      </c>
      <c r="Q3327" t="s">
        <v>65</v>
      </c>
      <c r="R3327" s="3">
        <v>2695.6534999999999</v>
      </c>
    </row>
    <row r="3328" spans="1:18" x14ac:dyDescent="0.3">
      <c r="A3328" t="s">
        <v>17064</v>
      </c>
      <c r="B3328" t="str">
        <f>TEXT(Raw_Data[[#This Row],[Order Date]],"mmm")</f>
        <v>May</v>
      </c>
      <c r="C3328" t="s">
        <v>874</v>
      </c>
      <c r="D3328" t="s">
        <v>17065</v>
      </c>
      <c r="E3328" t="s">
        <v>48</v>
      </c>
      <c r="F3328" t="s">
        <v>215</v>
      </c>
      <c r="G3328" t="s">
        <v>276</v>
      </c>
      <c r="H3328" t="s">
        <v>107</v>
      </c>
      <c r="I3328" t="s">
        <v>469</v>
      </c>
      <c r="J3328" t="s">
        <v>25</v>
      </c>
      <c r="K3328" t="s">
        <v>17066</v>
      </c>
      <c r="L3328">
        <v>0.15</v>
      </c>
      <c r="M3328" t="s">
        <v>17067</v>
      </c>
      <c r="N3328" t="s">
        <v>17068</v>
      </c>
      <c r="O3328" t="s">
        <v>43</v>
      </c>
      <c r="P3328" t="s">
        <v>30</v>
      </c>
      <c r="Q3328" t="s">
        <v>31</v>
      </c>
      <c r="R3328" s="3">
        <v>11885.048499999901</v>
      </c>
    </row>
    <row r="3329" spans="1:18" x14ac:dyDescent="0.3">
      <c r="A3329" t="s">
        <v>17069</v>
      </c>
      <c r="B3329" t="str">
        <f>TEXT(Raw_Data[[#This Row],[Order Date]],"mmm")</f>
        <v>Feb</v>
      </c>
      <c r="C3329" t="s">
        <v>1336</v>
      </c>
      <c r="D3329" t="s">
        <v>17070</v>
      </c>
      <c r="E3329" t="s">
        <v>20</v>
      </c>
      <c r="F3329" t="s">
        <v>106</v>
      </c>
      <c r="G3329" t="s">
        <v>106</v>
      </c>
      <c r="H3329" t="s">
        <v>23</v>
      </c>
      <c r="I3329" t="s">
        <v>24</v>
      </c>
      <c r="J3329" t="s">
        <v>25</v>
      </c>
      <c r="K3329" t="s">
        <v>17071</v>
      </c>
      <c r="L3329">
        <v>0</v>
      </c>
      <c r="M3329" t="s">
        <v>17072</v>
      </c>
      <c r="N3329" t="s">
        <v>17073</v>
      </c>
      <c r="O3329" t="s">
        <v>64</v>
      </c>
      <c r="P3329" t="s">
        <v>30</v>
      </c>
      <c r="Q3329" t="s">
        <v>65</v>
      </c>
      <c r="R3329" s="3">
        <v>61307.91</v>
      </c>
    </row>
    <row r="3330" spans="1:18" x14ac:dyDescent="0.3">
      <c r="A3330" t="s">
        <v>17074</v>
      </c>
      <c r="B3330" t="str">
        <f>TEXT(Raw_Data[[#This Row],[Order Date]],"mmm")</f>
        <v>Nov</v>
      </c>
      <c r="C3330" t="s">
        <v>657</v>
      </c>
      <c r="D3330" t="s">
        <v>17075</v>
      </c>
      <c r="E3330" t="s">
        <v>20</v>
      </c>
      <c r="F3330" t="s">
        <v>58</v>
      </c>
      <c r="G3330" t="s">
        <v>812</v>
      </c>
      <c r="H3330" t="s">
        <v>107</v>
      </c>
      <c r="I3330" t="s">
        <v>277</v>
      </c>
      <c r="J3330" t="s">
        <v>25</v>
      </c>
      <c r="K3330" t="s">
        <v>17076</v>
      </c>
      <c r="L3330">
        <v>0.1</v>
      </c>
      <c r="M3330" t="s">
        <v>17077</v>
      </c>
      <c r="N3330" t="s">
        <v>17078</v>
      </c>
      <c r="O3330" t="s">
        <v>43</v>
      </c>
      <c r="P3330" t="s">
        <v>30</v>
      </c>
      <c r="Q3330" t="s">
        <v>65</v>
      </c>
      <c r="R3330" s="3">
        <v>8996.5079999999998</v>
      </c>
    </row>
    <row r="3331" spans="1:18" x14ac:dyDescent="0.3">
      <c r="A3331" t="s">
        <v>17079</v>
      </c>
      <c r="B3331" t="str">
        <f>TEXT(Raw_Data[[#This Row],[Order Date]],"mmm")</f>
        <v>Dec</v>
      </c>
      <c r="C3331" t="s">
        <v>3180</v>
      </c>
      <c r="D3331" t="s">
        <v>17080</v>
      </c>
      <c r="E3331" t="s">
        <v>20</v>
      </c>
      <c r="F3331" t="s">
        <v>215</v>
      </c>
      <c r="G3331" t="s">
        <v>216</v>
      </c>
      <c r="H3331" t="s">
        <v>23</v>
      </c>
      <c r="I3331" t="s">
        <v>341</v>
      </c>
      <c r="J3331" t="s">
        <v>25</v>
      </c>
      <c r="K3331" t="s">
        <v>17081</v>
      </c>
      <c r="L3331">
        <v>0.15</v>
      </c>
      <c r="M3331" t="s">
        <v>17082</v>
      </c>
      <c r="N3331" t="s">
        <v>17083</v>
      </c>
      <c r="O3331" t="s">
        <v>64</v>
      </c>
      <c r="P3331" t="s">
        <v>30</v>
      </c>
      <c r="Q3331" t="s">
        <v>44</v>
      </c>
      <c r="R3331" s="3">
        <v>22779.49</v>
      </c>
    </row>
    <row r="3332" spans="1:18" x14ac:dyDescent="0.3">
      <c r="A3332" t="s">
        <v>17084</v>
      </c>
      <c r="B3332" t="str">
        <f>TEXT(Raw_Data[[#This Row],[Order Date]],"mmm")</f>
        <v>Aug</v>
      </c>
      <c r="C3332" t="s">
        <v>151</v>
      </c>
      <c r="D3332" t="s">
        <v>17085</v>
      </c>
      <c r="E3332" t="s">
        <v>48</v>
      </c>
      <c r="F3332" t="s">
        <v>89</v>
      </c>
      <c r="G3332" t="s">
        <v>90</v>
      </c>
      <c r="H3332" t="s">
        <v>38</v>
      </c>
      <c r="I3332" t="s">
        <v>256</v>
      </c>
      <c r="J3332" t="s">
        <v>50</v>
      </c>
      <c r="K3332" t="s">
        <v>17086</v>
      </c>
      <c r="L3332">
        <v>0.1</v>
      </c>
      <c r="M3332" t="s">
        <v>17087</v>
      </c>
      <c r="N3332" t="s">
        <v>17088</v>
      </c>
      <c r="O3332" t="s">
        <v>29</v>
      </c>
      <c r="P3332" t="s">
        <v>30</v>
      </c>
      <c r="Q3332" t="s">
        <v>31</v>
      </c>
      <c r="R3332" s="3">
        <v>5786.5680000000002</v>
      </c>
    </row>
    <row r="3333" spans="1:18" x14ac:dyDescent="0.3">
      <c r="A3333" t="s">
        <v>17089</v>
      </c>
      <c r="B3333" t="str">
        <f>TEXT(Raw_Data[[#This Row],[Order Date]],"mmm")</f>
        <v>Oct</v>
      </c>
      <c r="C3333" t="s">
        <v>2432</v>
      </c>
      <c r="D3333" t="s">
        <v>17090</v>
      </c>
      <c r="E3333" t="s">
        <v>48</v>
      </c>
      <c r="F3333" t="s">
        <v>21</v>
      </c>
      <c r="G3333" t="s">
        <v>130</v>
      </c>
      <c r="H3333" t="s">
        <v>107</v>
      </c>
      <c r="I3333" t="s">
        <v>277</v>
      </c>
      <c r="J3333" t="s">
        <v>25</v>
      </c>
      <c r="K3333" t="s">
        <v>17091</v>
      </c>
      <c r="L3333">
        <v>0.2</v>
      </c>
      <c r="M3333" t="s">
        <v>17092</v>
      </c>
      <c r="N3333" t="s">
        <v>17093</v>
      </c>
      <c r="O3333" t="s">
        <v>64</v>
      </c>
      <c r="P3333" t="s">
        <v>30</v>
      </c>
      <c r="Q3333" t="s">
        <v>65</v>
      </c>
      <c r="R3333" s="3">
        <v>11083.632</v>
      </c>
    </row>
    <row r="3334" spans="1:18" x14ac:dyDescent="0.3">
      <c r="A3334" t="s">
        <v>17094</v>
      </c>
      <c r="B3334" t="str">
        <f>TEXT(Raw_Data[[#This Row],[Order Date]],"mmm")</f>
        <v>Dec</v>
      </c>
      <c r="C3334" t="s">
        <v>640</v>
      </c>
      <c r="D3334" t="s">
        <v>17095</v>
      </c>
      <c r="E3334" t="s">
        <v>48</v>
      </c>
      <c r="F3334" t="s">
        <v>69</v>
      </c>
      <c r="G3334" t="s">
        <v>328</v>
      </c>
      <c r="H3334" t="s">
        <v>154</v>
      </c>
      <c r="I3334" t="s">
        <v>237</v>
      </c>
      <c r="J3334" t="s">
        <v>50</v>
      </c>
      <c r="K3334" t="s">
        <v>17096</v>
      </c>
      <c r="L3334">
        <v>0.15</v>
      </c>
      <c r="M3334" t="s">
        <v>17097</v>
      </c>
      <c r="N3334" t="s">
        <v>17098</v>
      </c>
      <c r="O3334" t="s">
        <v>54</v>
      </c>
      <c r="P3334" t="s">
        <v>30</v>
      </c>
      <c r="Q3334" t="s">
        <v>31</v>
      </c>
      <c r="R3334" s="3">
        <v>1159.4849999999999</v>
      </c>
    </row>
    <row r="3335" spans="1:18" x14ac:dyDescent="0.3">
      <c r="A3335" t="s">
        <v>17099</v>
      </c>
      <c r="B3335" t="str">
        <f>TEXT(Raw_Data[[#This Row],[Order Date]],"mmm")</f>
        <v>Apr</v>
      </c>
      <c r="C3335" t="s">
        <v>2338</v>
      </c>
      <c r="D3335" t="s">
        <v>17100</v>
      </c>
      <c r="E3335" t="s">
        <v>35</v>
      </c>
      <c r="F3335" t="s">
        <v>58</v>
      </c>
      <c r="G3335" t="s">
        <v>812</v>
      </c>
      <c r="H3335" t="s">
        <v>154</v>
      </c>
      <c r="I3335" t="s">
        <v>1061</v>
      </c>
      <c r="J3335" t="s">
        <v>25</v>
      </c>
      <c r="K3335" t="s">
        <v>17101</v>
      </c>
      <c r="L3335">
        <v>0.05</v>
      </c>
      <c r="M3335" t="s">
        <v>17102</v>
      </c>
      <c r="N3335" t="s">
        <v>17103</v>
      </c>
      <c r="O3335" t="s">
        <v>54</v>
      </c>
      <c r="P3335" t="s">
        <v>30</v>
      </c>
      <c r="Q3335" t="s">
        <v>65</v>
      </c>
      <c r="R3335" s="3">
        <v>7578.0360000000001</v>
      </c>
    </row>
    <row r="3336" spans="1:18" x14ac:dyDescent="0.3">
      <c r="A3336" t="s">
        <v>17104</v>
      </c>
      <c r="B3336" t="str">
        <f>TEXT(Raw_Data[[#This Row],[Order Date]],"mmm")</f>
        <v>Oct</v>
      </c>
      <c r="C3336" t="s">
        <v>2255</v>
      </c>
      <c r="D3336" t="s">
        <v>17105</v>
      </c>
      <c r="E3336" t="s">
        <v>20</v>
      </c>
      <c r="F3336" t="s">
        <v>69</v>
      </c>
      <c r="G3336" t="s">
        <v>139</v>
      </c>
      <c r="H3336" t="s">
        <v>80</v>
      </c>
      <c r="I3336" t="s">
        <v>81</v>
      </c>
      <c r="J3336" t="s">
        <v>82</v>
      </c>
      <c r="K3336" t="s">
        <v>17106</v>
      </c>
      <c r="L3336">
        <v>0.1</v>
      </c>
      <c r="M3336" t="s">
        <v>17107</v>
      </c>
      <c r="N3336" t="s">
        <v>17108</v>
      </c>
      <c r="O3336" t="s">
        <v>43</v>
      </c>
      <c r="P3336" t="s">
        <v>30</v>
      </c>
      <c r="Q3336" t="s">
        <v>65</v>
      </c>
      <c r="R3336" s="3">
        <v>5406.768</v>
      </c>
    </row>
    <row r="3337" spans="1:18" x14ac:dyDescent="0.3">
      <c r="A3337" t="s">
        <v>17109</v>
      </c>
      <c r="B3337" t="str">
        <f>TEXT(Raw_Data[[#This Row],[Order Date]],"mmm")</f>
        <v>Jul</v>
      </c>
      <c r="C3337" t="s">
        <v>2776</v>
      </c>
      <c r="D3337" t="s">
        <v>17110</v>
      </c>
      <c r="E3337" t="s">
        <v>35</v>
      </c>
      <c r="F3337" t="s">
        <v>215</v>
      </c>
      <c r="G3337" t="s">
        <v>216</v>
      </c>
      <c r="H3337" t="s">
        <v>154</v>
      </c>
      <c r="I3337" t="s">
        <v>155</v>
      </c>
      <c r="J3337" t="s">
        <v>25</v>
      </c>
      <c r="K3337" t="s">
        <v>17111</v>
      </c>
      <c r="L3337">
        <v>0.1</v>
      </c>
      <c r="M3337" t="s">
        <v>17112</v>
      </c>
      <c r="N3337" t="s">
        <v>17113</v>
      </c>
      <c r="O3337" t="s">
        <v>173</v>
      </c>
      <c r="P3337" t="s">
        <v>30</v>
      </c>
      <c r="Q3337" t="s">
        <v>65</v>
      </c>
      <c r="R3337" s="3">
        <v>7264.3950000000004</v>
      </c>
    </row>
    <row r="3338" spans="1:18" x14ac:dyDescent="0.3">
      <c r="A3338" t="s">
        <v>17114</v>
      </c>
      <c r="B3338" t="str">
        <f>TEXT(Raw_Data[[#This Row],[Order Date]],"mmm")</f>
        <v>Dec</v>
      </c>
      <c r="C3338" t="s">
        <v>646</v>
      </c>
      <c r="D3338" t="s">
        <v>17115</v>
      </c>
      <c r="E3338" t="s">
        <v>48</v>
      </c>
      <c r="F3338" t="s">
        <v>215</v>
      </c>
      <c r="G3338" t="s">
        <v>276</v>
      </c>
      <c r="H3338" t="s">
        <v>23</v>
      </c>
      <c r="I3338" t="s">
        <v>183</v>
      </c>
      <c r="J3338" t="s">
        <v>25</v>
      </c>
      <c r="K3338" t="s">
        <v>17116</v>
      </c>
      <c r="L3338">
        <v>0.15</v>
      </c>
      <c r="M3338" t="s">
        <v>17117</v>
      </c>
      <c r="N3338" t="s">
        <v>17118</v>
      </c>
      <c r="O3338" t="s">
        <v>173</v>
      </c>
      <c r="P3338" t="s">
        <v>112</v>
      </c>
      <c r="Q3338" t="s">
        <v>31</v>
      </c>
      <c r="R3338" s="3">
        <v>52693.599499999997</v>
      </c>
    </row>
    <row r="3339" spans="1:18" x14ac:dyDescent="0.3">
      <c r="A3339" t="s">
        <v>17119</v>
      </c>
      <c r="B3339" t="str">
        <f>TEXT(Raw_Data[[#This Row],[Order Date]],"mmm")</f>
        <v>May</v>
      </c>
      <c r="C3339" t="s">
        <v>3348</v>
      </c>
      <c r="D3339" t="s">
        <v>17120</v>
      </c>
      <c r="E3339" t="s">
        <v>20</v>
      </c>
      <c r="F3339" t="s">
        <v>69</v>
      </c>
      <c r="G3339" t="s">
        <v>328</v>
      </c>
      <c r="H3339" t="s">
        <v>38</v>
      </c>
      <c r="I3339" t="s">
        <v>256</v>
      </c>
      <c r="J3339" t="s">
        <v>50</v>
      </c>
      <c r="K3339" t="s">
        <v>17121</v>
      </c>
      <c r="L3339">
        <v>0.1</v>
      </c>
      <c r="M3339" t="s">
        <v>17122</v>
      </c>
      <c r="N3339" t="s">
        <v>17123</v>
      </c>
      <c r="O3339" t="s">
        <v>43</v>
      </c>
      <c r="P3339" t="s">
        <v>30</v>
      </c>
      <c r="Q3339" t="s">
        <v>31</v>
      </c>
      <c r="R3339" s="3">
        <v>10634.237999999999</v>
      </c>
    </row>
    <row r="3340" spans="1:18" x14ac:dyDescent="0.3">
      <c r="A3340" t="s">
        <v>17124</v>
      </c>
      <c r="B3340" t="str">
        <f>TEXT(Raw_Data[[#This Row],[Order Date]],"mmm")</f>
        <v>Feb</v>
      </c>
      <c r="C3340" t="s">
        <v>936</v>
      </c>
      <c r="D3340" t="s">
        <v>17125</v>
      </c>
      <c r="E3340" t="s">
        <v>20</v>
      </c>
      <c r="F3340" t="s">
        <v>69</v>
      </c>
      <c r="G3340" t="s">
        <v>139</v>
      </c>
      <c r="H3340" t="s">
        <v>23</v>
      </c>
      <c r="I3340" t="s">
        <v>24</v>
      </c>
      <c r="J3340" t="s">
        <v>50</v>
      </c>
      <c r="K3340" t="s">
        <v>17126</v>
      </c>
      <c r="L3340">
        <v>0</v>
      </c>
      <c r="M3340" t="s">
        <v>17127</v>
      </c>
      <c r="N3340" t="s">
        <v>17128</v>
      </c>
      <c r="O3340" t="s">
        <v>173</v>
      </c>
      <c r="P3340" t="s">
        <v>30</v>
      </c>
      <c r="Q3340" t="s">
        <v>65</v>
      </c>
      <c r="R3340" s="3">
        <v>36798.92</v>
      </c>
    </row>
    <row r="3341" spans="1:18" x14ac:dyDescent="0.3">
      <c r="A3341" t="s">
        <v>17129</v>
      </c>
      <c r="B3341" t="str">
        <f>TEXT(Raw_Data[[#This Row],[Order Date]],"mmm")</f>
        <v>Sep</v>
      </c>
      <c r="C3341" t="s">
        <v>401</v>
      </c>
      <c r="D3341" t="s">
        <v>17130</v>
      </c>
      <c r="E3341" t="s">
        <v>48</v>
      </c>
      <c r="F3341" t="s">
        <v>106</v>
      </c>
      <c r="G3341" t="s">
        <v>106</v>
      </c>
      <c r="H3341" t="s">
        <v>107</v>
      </c>
      <c r="I3341" t="s">
        <v>277</v>
      </c>
      <c r="J3341" t="s">
        <v>25</v>
      </c>
      <c r="K3341" t="s">
        <v>17131</v>
      </c>
      <c r="L3341">
        <v>0</v>
      </c>
      <c r="M3341" t="s">
        <v>17132</v>
      </c>
      <c r="N3341" t="s">
        <v>17133</v>
      </c>
      <c r="O3341" t="s">
        <v>29</v>
      </c>
      <c r="P3341" t="s">
        <v>30</v>
      </c>
      <c r="Q3341" t="s">
        <v>31</v>
      </c>
      <c r="R3341" s="3">
        <v>10419.049999999999</v>
      </c>
    </row>
    <row r="3342" spans="1:18" x14ac:dyDescent="0.3">
      <c r="A3342" t="s">
        <v>17134</v>
      </c>
      <c r="B3342" t="str">
        <f>TEXT(Raw_Data[[#This Row],[Order Date]],"mmm")</f>
        <v>Mar</v>
      </c>
      <c r="C3342" t="s">
        <v>1460</v>
      </c>
      <c r="D3342" t="s">
        <v>17135</v>
      </c>
      <c r="E3342" t="s">
        <v>20</v>
      </c>
      <c r="F3342" t="s">
        <v>215</v>
      </c>
      <c r="G3342" t="s">
        <v>216</v>
      </c>
      <c r="H3342" t="s">
        <v>107</v>
      </c>
      <c r="I3342" t="s">
        <v>378</v>
      </c>
      <c r="J3342" t="s">
        <v>25</v>
      </c>
      <c r="K3342" t="s">
        <v>17136</v>
      </c>
      <c r="L3342">
        <v>0.1</v>
      </c>
      <c r="M3342" t="s">
        <v>17137</v>
      </c>
      <c r="N3342" t="s">
        <v>17138</v>
      </c>
      <c r="O3342" t="s">
        <v>54</v>
      </c>
      <c r="P3342" t="s">
        <v>30</v>
      </c>
      <c r="Q3342" t="s">
        <v>65</v>
      </c>
      <c r="R3342" s="3">
        <v>3631.6529999999998</v>
      </c>
    </row>
    <row r="3343" spans="1:18" x14ac:dyDescent="0.3">
      <c r="A3343" t="s">
        <v>17139</v>
      </c>
      <c r="B3343" t="str">
        <f>TEXT(Raw_Data[[#This Row],[Order Date]],"mmm")</f>
        <v>Mar</v>
      </c>
      <c r="C3343" t="s">
        <v>1128</v>
      </c>
      <c r="D3343" t="s">
        <v>17140</v>
      </c>
      <c r="E3343" t="s">
        <v>48</v>
      </c>
      <c r="F3343" t="s">
        <v>78</v>
      </c>
      <c r="G3343" t="s">
        <v>79</v>
      </c>
      <c r="H3343" t="s">
        <v>23</v>
      </c>
      <c r="I3343" t="s">
        <v>263</v>
      </c>
      <c r="J3343" t="s">
        <v>25</v>
      </c>
      <c r="K3343" t="s">
        <v>17141</v>
      </c>
      <c r="L3343">
        <v>0.1</v>
      </c>
      <c r="M3343" t="s">
        <v>17142</v>
      </c>
      <c r="N3343" t="s">
        <v>17143</v>
      </c>
      <c r="O3343" t="s">
        <v>64</v>
      </c>
      <c r="P3343" t="s">
        <v>30</v>
      </c>
      <c r="Q3343" t="s">
        <v>44</v>
      </c>
      <c r="R3343" s="3">
        <v>31131.476999999999</v>
      </c>
    </row>
    <row r="3344" spans="1:18" x14ac:dyDescent="0.3">
      <c r="A3344" t="s">
        <v>17144</v>
      </c>
      <c r="B3344" t="str">
        <f>TEXT(Raw_Data[[#This Row],[Order Date]],"mmm")</f>
        <v>Oct</v>
      </c>
      <c r="C3344" t="s">
        <v>2052</v>
      </c>
      <c r="D3344" t="s">
        <v>17145</v>
      </c>
      <c r="E3344" t="s">
        <v>48</v>
      </c>
      <c r="F3344" t="s">
        <v>21</v>
      </c>
      <c r="G3344" t="s">
        <v>130</v>
      </c>
      <c r="H3344" t="s">
        <v>107</v>
      </c>
      <c r="I3344" t="s">
        <v>108</v>
      </c>
      <c r="J3344" t="s">
        <v>100</v>
      </c>
      <c r="K3344" t="s">
        <v>17146</v>
      </c>
      <c r="L3344">
        <v>0.05</v>
      </c>
      <c r="M3344" t="s">
        <v>17147</v>
      </c>
      <c r="N3344" t="s">
        <v>17148</v>
      </c>
      <c r="O3344" t="s">
        <v>173</v>
      </c>
      <c r="P3344" t="s">
        <v>30</v>
      </c>
      <c r="Q3344" t="s">
        <v>44</v>
      </c>
      <c r="R3344" s="3">
        <v>41947.069499999998</v>
      </c>
    </row>
    <row r="3345" spans="1:18" x14ac:dyDescent="0.3">
      <c r="A3345" t="s">
        <v>17149</v>
      </c>
      <c r="B3345" t="str">
        <f>TEXT(Raw_Data[[#This Row],[Order Date]],"mmm")</f>
        <v>Mar</v>
      </c>
      <c r="C3345" t="s">
        <v>1915</v>
      </c>
      <c r="D3345" t="s">
        <v>17150</v>
      </c>
      <c r="E3345" t="s">
        <v>20</v>
      </c>
      <c r="F3345" t="s">
        <v>36</v>
      </c>
      <c r="G3345" t="s">
        <v>153</v>
      </c>
      <c r="H3345" t="s">
        <v>80</v>
      </c>
      <c r="I3345" t="s">
        <v>116</v>
      </c>
      <c r="J3345" t="s">
        <v>25</v>
      </c>
      <c r="K3345" t="s">
        <v>17151</v>
      </c>
      <c r="L3345">
        <v>0</v>
      </c>
      <c r="M3345" t="s">
        <v>17152</v>
      </c>
      <c r="N3345" t="s">
        <v>17153</v>
      </c>
      <c r="O3345" t="s">
        <v>173</v>
      </c>
      <c r="P3345" t="s">
        <v>112</v>
      </c>
      <c r="Q3345" t="s">
        <v>44</v>
      </c>
      <c r="R3345" s="3">
        <v>2514.7800000000002</v>
      </c>
    </row>
    <row r="3346" spans="1:18" x14ac:dyDescent="0.3">
      <c r="A3346" t="s">
        <v>17154</v>
      </c>
      <c r="B3346" t="str">
        <f>TEXT(Raw_Data[[#This Row],[Order Date]],"mmm")</f>
        <v>Oct</v>
      </c>
      <c r="C3346" t="s">
        <v>1227</v>
      </c>
      <c r="D3346" t="s">
        <v>17155</v>
      </c>
      <c r="E3346" t="s">
        <v>35</v>
      </c>
      <c r="F3346" t="s">
        <v>58</v>
      </c>
      <c r="G3346" t="s">
        <v>290</v>
      </c>
      <c r="H3346" t="s">
        <v>154</v>
      </c>
      <c r="I3346" t="s">
        <v>309</v>
      </c>
      <c r="J3346" t="s">
        <v>25</v>
      </c>
      <c r="K3346" t="s">
        <v>17156</v>
      </c>
      <c r="L3346">
        <v>0.1</v>
      </c>
      <c r="M3346" t="s">
        <v>17157</v>
      </c>
      <c r="N3346" t="s">
        <v>17158</v>
      </c>
      <c r="O3346" t="s">
        <v>64</v>
      </c>
      <c r="P3346" t="s">
        <v>30</v>
      </c>
      <c r="Q3346" t="s">
        <v>31</v>
      </c>
      <c r="R3346" s="3">
        <v>7749.027</v>
      </c>
    </row>
    <row r="3347" spans="1:18" x14ac:dyDescent="0.3">
      <c r="A3347" t="s">
        <v>17159</v>
      </c>
      <c r="B3347" t="str">
        <f>TEXT(Raw_Data[[#This Row],[Order Date]],"mmm")</f>
        <v>Apr</v>
      </c>
      <c r="C3347" t="s">
        <v>4751</v>
      </c>
      <c r="D3347" t="s">
        <v>17160</v>
      </c>
      <c r="E3347" t="s">
        <v>35</v>
      </c>
      <c r="F3347" t="s">
        <v>215</v>
      </c>
      <c r="G3347" t="s">
        <v>216</v>
      </c>
      <c r="H3347" t="s">
        <v>107</v>
      </c>
      <c r="I3347" t="s">
        <v>108</v>
      </c>
      <c r="J3347" t="s">
        <v>50</v>
      </c>
      <c r="K3347" t="s">
        <v>17161</v>
      </c>
      <c r="L3347">
        <v>0.05</v>
      </c>
      <c r="M3347" t="s">
        <v>17162</v>
      </c>
      <c r="N3347" t="s">
        <v>17163</v>
      </c>
      <c r="O3347" t="s">
        <v>54</v>
      </c>
      <c r="P3347" t="s">
        <v>30</v>
      </c>
      <c r="Q3347" t="s">
        <v>65</v>
      </c>
      <c r="R3347" s="3">
        <v>32829.188000000002</v>
      </c>
    </row>
    <row r="3348" spans="1:18" x14ac:dyDescent="0.3">
      <c r="A3348" t="s">
        <v>17164</v>
      </c>
      <c r="B3348" t="str">
        <f>TEXT(Raw_Data[[#This Row],[Order Date]],"mmm")</f>
        <v>Sep</v>
      </c>
      <c r="C3348" t="s">
        <v>1586</v>
      </c>
      <c r="D3348" t="s">
        <v>17165</v>
      </c>
      <c r="E3348" t="s">
        <v>35</v>
      </c>
      <c r="F3348" t="s">
        <v>78</v>
      </c>
      <c r="G3348" t="s">
        <v>468</v>
      </c>
      <c r="H3348" t="s">
        <v>23</v>
      </c>
      <c r="I3348" t="s">
        <v>24</v>
      </c>
      <c r="J3348" t="s">
        <v>100</v>
      </c>
      <c r="K3348" t="s">
        <v>17166</v>
      </c>
      <c r="L3348">
        <v>0.05</v>
      </c>
      <c r="M3348" t="s">
        <v>17167</v>
      </c>
      <c r="N3348" t="s">
        <v>17168</v>
      </c>
      <c r="O3348" t="s">
        <v>54</v>
      </c>
      <c r="P3348" t="s">
        <v>30</v>
      </c>
      <c r="Q3348" t="s">
        <v>44</v>
      </c>
      <c r="R3348" s="3">
        <v>166068.245999999</v>
      </c>
    </row>
    <row r="3349" spans="1:18" x14ac:dyDescent="0.3">
      <c r="A3349" t="s">
        <v>17169</v>
      </c>
      <c r="B3349" t="str">
        <f>TEXT(Raw_Data[[#This Row],[Order Date]],"mmm")</f>
        <v>Jun</v>
      </c>
      <c r="C3349" t="s">
        <v>3780</v>
      </c>
      <c r="D3349" t="s">
        <v>17170</v>
      </c>
      <c r="E3349" t="s">
        <v>48</v>
      </c>
      <c r="F3349" t="s">
        <v>215</v>
      </c>
      <c r="G3349" t="s">
        <v>276</v>
      </c>
      <c r="H3349" t="s">
        <v>23</v>
      </c>
      <c r="I3349" t="s">
        <v>49</v>
      </c>
      <c r="J3349" t="s">
        <v>82</v>
      </c>
      <c r="K3349" t="s">
        <v>17171</v>
      </c>
      <c r="L3349">
        <v>0.15</v>
      </c>
      <c r="M3349" t="s">
        <v>17172</v>
      </c>
      <c r="N3349" t="s">
        <v>17173</v>
      </c>
      <c r="O3349" t="s">
        <v>173</v>
      </c>
      <c r="P3349" t="s">
        <v>30</v>
      </c>
      <c r="Q3349" t="s">
        <v>44</v>
      </c>
      <c r="R3349" s="3">
        <v>204059.364</v>
      </c>
    </row>
    <row r="3350" spans="1:18" x14ac:dyDescent="0.3">
      <c r="A3350" t="s">
        <v>17174</v>
      </c>
      <c r="B3350" t="str">
        <f>TEXT(Raw_Data[[#This Row],[Order Date]],"mmm")</f>
        <v>Jan</v>
      </c>
      <c r="C3350" t="s">
        <v>207</v>
      </c>
      <c r="D3350" t="s">
        <v>17175</v>
      </c>
      <c r="E3350" t="s">
        <v>48</v>
      </c>
      <c r="F3350" t="s">
        <v>78</v>
      </c>
      <c r="G3350" t="s">
        <v>731</v>
      </c>
      <c r="H3350" t="s">
        <v>80</v>
      </c>
      <c r="I3350" t="s">
        <v>91</v>
      </c>
      <c r="J3350" t="s">
        <v>25</v>
      </c>
      <c r="K3350" t="s">
        <v>17176</v>
      </c>
      <c r="L3350">
        <v>0.1</v>
      </c>
      <c r="M3350" t="s">
        <v>17177</v>
      </c>
      <c r="N3350" t="s">
        <v>17178</v>
      </c>
      <c r="O3350" t="s">
        <v>173</v>
      </c>
      <c r="P3350" t="s">
        <v>112</v>
      </c>
      <c r="Q3350" t="s">
        <v>44</v>
      </c>
      <c r="R3350" s="3">
        <v>2459.3759999999902</v>
      </c>
    </row>
    <row r="3351" spans="1:18" x14ac:dyDescent="0.3">
      <c r="A3351" t="s">
        <v>17179</v>
      </c>
      <c r="B3351" t="str">
        <f>TEXT(Raw_Data[[#This Row],[Order Date]],"mmm")</f>
        <v>Jan</v>
      </c>
      <c r="C3351" t="s">
        <v>1015</v>
      </c>
      <c r="D3351" t="s">
        <v>17180</v>
      </c>
      <c r="E3351" t="s">
        <v>48</v>
      </c>
      <c r="F3351" t="s">
        <v>89</v>
      </c>
      <c r="G3351" t="s">
        <v>90</v>
      </c>
      <c r="H3351" t="s">
        <v>80</v>
      </c>
      <c r="I3351" t="s">
        <v>116</v>
      </c>
      <c r="J3351" t="s">
        <v>25</v>
      </c>
      <c r="K3351" t="s">
        <v>17181</v>
      </c>
      <c r="L3351">
        <v>0.1</v>
      </c>
      <c r="M3351" t="s">
        <v>17182</v>
      </c>
      <c r="N3351" t="s">
        <v>17183</v>
      </c>
      <c r="O3351" t="s">
        <v>64</v>
      </c>
      <c r="P3351" t="s">
        <v>30</v>
      </c>
      <c r="Q3351" t="s">
        <v>31</v>
      </c>
      <c r="R3351" s="3">
        <v>2316.8879999999999</v>
      </c>
    </row>
    <row r="3352" spans="1:18" x14ac:dyDescent="0.3">
      <c r="A3352" t="s">
        <v>17184</v>
      </c>
      <c r="B3352" t="str">
        <f>TEXT(Raw_Data[[#This Row],[Order Date]],"mmm")</f>
        <v>Apr</v>
      </c>
      <c r="C3352" t="s">
        <v>419</v>
      </c>
      <c r="D3352" t="s">
        <v>17185</v>
      </c>
      <c r="E3352" t="s">
        <v>20</v>
      </c>
      <c r="F3352" t="s">
        <v>89</v>
      </c>
      <c r="G3352" t="s">
        <v>230</v>
      </c>
      <c r="H3352" t="s">
        <v>80</v>
      </c>
      <c r="I3352" t="s">
        <v>116</v>
      </c>
      <c r="J3352" t="s">
        <v>25</v>
      </c>
      <c r="K3352" t="s">
        <v>17186</v>
      </c>
      <c r="L3352">
        <v>0.1</v>
      </c>
      <c r="M3352" t="s">
        <v>17187</v>
      </c>
      <c r="N3352" t="s">
        <v>17188</v>
      </c>
      <c r="O3352" t="s">
        <v>43</v>
      </c>
      <c r="P3352" t="s">
        <v>30</v>
      </c>
      <c r="Q3352" t="s">
        <v>65</v>
      </c>
      <c r="R3352" s="3">
        <v>5432.4</v>
      </c>
    </row>
    <row r="3353" spans="1:18" x14ac:dyDescent="0.3">
      <c r="A3353" t="s">
        <v>17189</v>
      </c>
      <c r="B3353" t="str">
        <f>TEXT(Raw_Data[[#This Row],[Order Date]],"mmm")</f>
        <v>Dec</v>
      </c>
      <c r="C3353" t="s">
        <v>9203</v>
      </c>
      <c r="D3353" t="s">
        <v>17190</v>
      </c>
      <c r="E3353" t="s">
        <v>35</v>
      </c>
      <c r="F3353" t="s">
        <v>21</v>
      </c>
      <c r="G3353" t="s">
        <v>22</v>
      </c>
      <c r="H3353" t="s">
        <v>107</v>
      </c>
      <c r="I3353" t="s">
        <v>277</v>
      </c>
      <c r="J3353" t="s">
        <v>25</v>
      </c>
      <c r="K3353" t="s">
        <v>17191</v>
      </c>
      <c r="L3353">
        <v>0.1</v>
      </c>
      <c r="M3353" t="s">
        <v>17192</v>
      </c>
      <c r="N3353" t="s">
        <v>17193</v>
      </c>
      <c r="O3353" t="s">
        <v>29</v>
      </c>
      <c r="P3353" t="s">
        <v>159</v>
      </c>
      <c r="Q3353" t="s">
        <v>44</v>
      </c>
      <c r="R3353" s="3">
        <v>11159.856</v>
      </c>
    </row>
    <row r="3354" spans="1:18" x14ac:dyDescent="0.3">
      <c r="A3354" t="s">
        <v>17194</v>
      </c>
      <c r="B3354" t="str">
        <f>TEXT(Raw_Data[[#This Row],[Order Date]],"mmm")</f>
        <v>Dec</v>
      </c>
      <c r="C3354" t="s">
        <v>168</v>
      </c>
      <c r="D3354" t="s">
        <v>17195</v>
      </c>
      <c r="E3354" t="s">
        <v>48</v>
      </c>
      <c r="F3354" t="s">
        <v>106</v>
      </c>
      <c r="G3354" t="s">
        <v>163</v>
      </c>
      <c r="H3354" t="s">
        <v>107</v>
      </c>
      <c r="I3354" t="s">
        <v>591</v>
      </c>
      <c r="J3354" t="s">
        <v>25</v>
      </c>
      <c r="K3354" t="s">
        <v>17196</v>
      </c>
      <c r="L3354">
        <v>0</v>
      </c>
      <c r="M3354" t="s">
        <v>17197</v>
      </c>
      <c r="N3354" t="s">
        <v>17198</v>
      </c>
      <c r="O3354" t="s">
        <v>173</v>
      </c>
      <c r="P3354" t="s">
        <v>30</v>
      </c>
      <c r="Q3354" t="s">
        <v>65</v>
      </c>
      <c r="R3354" s="3">
        <v>15627.06</v>
      </c>
    </row>
    <row r="3355" spans="1:18" x14ac:dyDescent="0.3">
      <c r="A3355" t="s">
        <v>17199</v>
      </c>
      <c r="B3355" t="str">
        <f>TEXT(Raw_Data[[#This Row],[Order Date]],"mmm")</f>
        <v>Dec</v>
      </c>
      <c r="C3355" t="s">
        <v>3960</v>
      </c>
      <c r="D3355" t="s">
        <v>17200</v>
      </c>
      <c r="E3355" t="s">
        <v>20</v>
      </c>
      <c r="F3355" t="s">
        <v>215</v>
      </c>
      <c r="G3355" t="s">
        <v>276</v>
      </c>
      <c r="H3355" t="s">
        <v>23</v>
      </c>
      <c r="I3355" t="s">
        <v>341</v>
      </c>
      <c r="J3355" t="s">
        <v>25</v>
      </c>
      <c r="K3355" t="s">
        <v>17201</v>
      </c>
      <c r="L3355">
        <v>0.1</v>
      </c>
      <c r="M3355" t="s">
        <v>17202</v>
      </c>
      <c r="N3355" t="s">
        <v>17203</v>
      </c>
      <c r="O3355" t="s">
        <v>64</v>
      </c>
      <c r="P3355" t="s">
        <v>30</v>
      </c>
      <c r="Q3355" t="s">
        <v>65</v>
      </c>
      <c r="R3355" s="3">
        <v>41811.75</v>
      </c>
    </row>
    <row r="3356" spans="1:18" x14ac:dyDescent="0.3">
      <c r="A3356" t="s">
        <v>17204</v>
      </c>
      <c r="B3356" t="str">
        <f>TEXT(Raw_Data[[#This Row],[Order Date]],"mmm")</f>
        <v>Jul</v>
      </c>
      <c r="C3356" t="s">
        <v>412</v>
      </c>
      <c r="D3356" t="s">
        <v>17205</v>
      </c>
      <c r="E3356" t="s">
        <v>20</v>
      </c>
      <c r="F3356" t="s">
        <v>58</v>
      </c>
      <c r="G3356" t="s">
        <v>290</v>
      </c>
      <c r="H3356" t="s">
        <v>80</v>
      </c>
      <c r="I3356" t="s">
        <v>131</v>
      </c>
      <c r="J3356" t="s">
        <v>25</v>
      </c>
      <c r="K3356" t="s">
        <v>17206</v>
      </c>
      <c r="L3356">
        <v>0.1</v>
      </c>
      <c r="M3356" t="s">
        <v>17207</v>
      </c>
      <c r="N3356" t="s">
        <v>17208</v>
      </c>
      <c r="O3356" t="s">
        <v>29</v>
      </c>
      <c r="P3356" t="s">
        <v>30</v>
      </c>
      <c r="Q3356" t="s">
        <v>44</v>
      </c>
      <c r="R3356" s="3">
        <v>4524.8040000000001</v>
      </c>
    </row>
    <row r="3357" spans="1:18" x14ac:dyDescent="0.3">
      <c r="A3357" t="s">
        <v>17209</v>
      </c>
      <c r="B3357" t="str">
        <f>TEXT(Raw_Data[[#This Row],[Order Date]],"mmm")</f>
        <v>Jun</v>
      </c>
      <c r="C3357" t="s">
        <v>1521</v>
      </c>
      <c r="D3357" t="s">
        <v>17210</v>
      </c>
      <c r="E3357" t="s">
        <v>20</v>
      </c>
      <c r="F3357" t="s">
        <v>36</v>
      </c>
      <c r="G3357" t="s">
        <v>37</v>
      </c>
      <c r="H3357" t="s">
        <v>23</v>
      </c>
      <c r="I3357" t="s">
        <v>341</v>
      </c>
      <c r="J3357" t="s">
        <v>50</v>
      </c>
      <c r="K3357" t="s">
        <v>17211</v>
      </c>
      <c r="L3357">
        <v>0.1</v>
      </c>
      <c r="M3357" t="s">
        <v>17212</v>
      </c>
      <c r="N3357" t="s">
        <v>17213</v>
      </c>
      <c r="O3357" t="s">
        <v>173</v>
      </c>
      <c r="P3357" t="s">
        <v>30</v>
      </c>
      <c r="Q3357" t="s">
        <v>31</v>
      </c>
      <c r="R3357" s="3">
        <v>48660.786</v>
      </c>
    </row>
    <row r="3358" spans="1:18" x14ac:dyDescent="0.3">
      <c r="A3358" t="s">
        <v>17214</v>
      </c>
      <c r="B3358" t="str">
        <f>TEXT(Raw_Data[[#This Row],[Order Date]],"mmm")</f>
        <v>Apr</v>
      </c>
      <c r="C3358" t="s">
        <v>97</v>
      </c>
      <c r="D3358" t="s">
        <v>17215</v>
      </c>
      <c r="E3358" t="s">
        <v>35</v>
      </c>
      <c r="F3358" t="s">
        <v>106</v>
      </c>
      <c r="G3358" t="s">
        <v>106</v>
      </c>
      <c r="H3358" t="s">
        <v>80</v>
      </c>
      <c r="I3358" t="s">
        <v>91</v>
      </c>
      <c r="J3358" t="s">
        <v>25</v>
      </c>
      <c r="K3358" t="s">
        <v>17216</v>
      </c>
      <c r="L3358">
        <v>0.05</v>
      </c>
      <c r="M3358" t="s">
        <v>17217</v>
      </c>
      <c r="N3358" t="s">
        <v>17218</v>
      </c>
      <c r="O3358" t="s">
        <v>29</v>
      </c>
      <c r="P3358" t="s">
        <v>159</v>
      </c>
      <c r="Q3358" t="s">
        <v>44</v>
      </c>
      <c r="R3358" s="3">
        <v>1499.8219999999999</v>
      </c>
    </row>
    <row r="3359" spans="1:18" x14ac:dyDescent="0.3">
      <c r="A3359" t="s">
        <v>17219</v>
      </c>
      <c r="B3359" t="str">
        <f>TEXT(Raw_Data[[#This Row],[Order Date]],"mmm")</f>
        <v>Jan</v>
      </c>
      <c r="C3359" t="s">
        <v>1878</v>
      </c>
      <c r="D3359" t="s">
        <v>17220</v>
      </c>
      <c r="E3359" t="s">
        <v>35</v>
      </c>
      <c r="F3359" t="s">
        <v>106</v>
      </c>
      <c r="G3359" t="s">
        <v>163</v>
      </c>
      <c r="H3359" t="s">
        <v>154</v>
      </c>
      <c r="I3359" t="s">
        <v>237</v>
      </c>
      <c r="J3359" t="s">
        <v>50</v>
      </c>
      <c r="K3359" t="s">
        <v>17221</v>
      </c>
      <c r="L3359">
        <v>0.15</v>
      </c>
      <c r="M3359" t="s">
        <v>17222</v>
      </c>
      <c r="N3359" t="s">
        <v>17223</v>
      </c>
      <c r="O3359" t="s">
        <v>64</v>
      </c>
      <c r="P3359" t="s">
        <v>159</v>
      </c>
      <c r="Q3359" t="s">
        <v>65</v>
      </c>
      <c r="R3359" s="3">
        <v>2977.21</v>
      </c>
    </row>
    <row r="3360" spans="1:18" x14ac:dyDescent="0.3">
      <c r="A3360" t="s">
        <v>17224</v>
      </c>
      <c r="B3360" t="str">
        <f>TEXT(Raw_Data[[#This Row],[Order Date]],"mmm")</f>
        <v>Oct</v>
      </c>
      <c r="C3360" t="s">
        <v>736</v>
      </c>
      <c r="D3360" t="s">
        <v>17225</v>
      </c>
      <c r="E3360" t="s">
        <v>35</v>
      </c>
      <c r="F3360" t="s">
        <v>58</v>
      </c>
      <c r="G3360" t="s">
        <v>812</v>
      </c>
      <c r="H3360" t="s">
        <v>80</v>
      </c>
      <c r="I3360" t="s">
        <v>81</v>
      </c>
      <c r="J3360" t="s">
        <v>25</v>
      </c>
      <c r="K3360" t="s">
        <v>17226</v>
      </c>
      <c r="L3360">
        <v>0</v>
      </c>
      <c r="M3360" t="s">
        <v>17227</v>
      </c>
      <c r="N3360" t="s">
        <v>17228</v>
      </c>
      <c r="O3360" t="s">
        <v>54</v>
      </c>
      <c r="P3360" t="s">
        <v>30</v>
      </c>
      <c r="Q3360" t="s">
        <v>44</v>
      </c>
      <c r="R3360" s="3">
        <v>1141.8</v>
      </c>
    </row>
    <row r="3361" spans="1:18" x14ac:dyDescent="0.3">
      <c r="A3361" t="s">
        <v>17229</v>
      </c>
      <c r="B3361" t="str">
        <f>TEXT(Raw_Data[[#This Row],[Order Date]],"mmm")</f>
        <v>Dec</v>
      </c>
      <c r="C3361" t="s">
        <v>540</v>
      </c>
      <c r="D3361" t="s">
        <v>17230</v>
      </c>
      <c r="E3361" t="s">
        <v>20</v>
      </c>
      <c r="F3361" t="s">
        <v>106</v>
      </c>
      <c r="G3361" t="s">
        <v>163</v>
      </c>
      <c r="H3361" t="s">
        <v>23</v>
      </c>
      <c r="I3361" t="s">
        <v>263</v>
      </c>
      <c r="J3361" t="s">
        <v>25</v>
      </c>
      <c r="K3361" t="s">
        <v>17231</v>
      </c>
      <c r="L3361">
        <v>0.05</v>
      </c>
      <c r="M3361" t="s">
        <v>17232</v>
      </c>
      <c r="N3361" t="s">
        <v>17233</v>
      </c>
      <c r="O3361" t="s">
        <v>64</v>
      </c>
      <c r="P3361" t="s">
        <v>30</v>
      </c>
      <c r="Q3361" t="s">
        <v>31</v>
      </c>
      <c r="R3361" s="3">
        <v>18204.802500000002</v>
      </c>
    </row>
    <row r="3362" spans="1:18" x14ac:dyDescent="0.3">
      <c r="A3362" t="s">
        <v>17234</v>
      </c>
      <c r="B3362" t="str">
        <f>TEXT(Raw_Data[[#This Row],[Order Date]],"mmm")</f>
        <v>Nov</v>
      </c>
      <c r="C3362" t="s">
        <v>4206</v>
      </c>
      <c r="D3362" t="s">
        <v>17235</v>
      </c>
      <c r="E3362" t="s">
        <v>20</v>
      </c>
      <c r="F3362" t="s">
        <v>78</v>
      </c>
      <c r="G3362" t="s">
        <v>79</v>
      </c>
      <c r="H3362" t="s">
        <v>80</v>
      </c>
      <c r="I3362" t="s">
        <v>91</v>
      </c>
      <c r="J3362" t="s">
        <v>50</v>
      </c>
      <c r="K3362" t="s">
        <v>17236</v>
      </c>
      <c r="L3362">
        <v>0.05</v>
      </c>
      <c r="M3362" t="s">
        <v>17237</v>
      </c>
      <c r="N3362" t="s">
        <v>17238</v>
      </c>
      <c r="O3362" t="s">
        <v>64</v>
      </c>
      <c r="P3362" t="s">
        <v>112</v>
      </c>
      <c r="Q3362" t="s">
        <v>31</v>
      </c>
      <c r="R3362" s="3">
        <v>9627.2049999999999</v>
      </c>
    </row>
    <row r="3363" spans="1:18" x14ac:dyDescent="0.3">
      <c r="A3363" t="s">
        <v>17239</v>
      </c>
      <c r="B3363" t="str">
        <f>TEXT(Raw_Data[[#This Row],[Order Date]],"mmm")</f>
        <v>Dec</v>
      </c>
      <c r="C3363" t="s">
        <v>640</v>
      </c>
      <c r="D3363" t="s">
        <v>17240</v>
      </c>
      <c r="E3363" t="s">
        <v>48</v>
      </c>
      <c r="F3363" t="s">
        <v>36</v>
      </c>
      <c r="G3363" t="s">
        <v>37</v>
      </c>
      <c r="H3363" t="s">
        <v>38</v>
      </c>
      <c r="I3363" t="s">
        <v>39</v>
      </c>
      <c r="J3363" t="s">
        <v>82</v>
      </c>
      <c r="K3363" t="s">
        <v>17241</v>
      </c>
      <c r="L3363">
        <v>0</v>
      </c>
      <c r="M3363" t="s">
        <v>17242</v>
      </c>
      <c r="N3363" t="s">
        <v>17243</v>
      </c>
      <c r="O3363" t="s">
        <v>54</v>
      </c>
      <c r="P3363" t="s">
        <v>95</v>
      </c>
      <c r="Q3363" t="s">
        <v>31</v>
      </c>
      <c r="R3363" s="3">
        <v>19841.12</v>
      </c>
    </row>
    <row r="3364" spans="1:18" x14ac:dyDescent="0.3">
      <c r="A3364" t="s">
        <v>17244</v>
      </c>
      <c r="B3364" t="str">
        <f>TEXT(Raw_Data[[#This Row],[Order Date]],"mmm")</f>
        <v>Apr</v>
      </c>
      <c r="C3364" t="s">
        <v>2687</v>
      </c>
      <c r="D3364" t="s">
        <v>17245</v>
      </c>
      <c r="E3364" t="s">
        <v>48</v>
      </c>
      <c r="F3364" t="s">
        <v>36</v>
      </c>
      <c r="G3364" t="s">
        <v>153</v>
      </c>
      <c r="H3364" t="s">
        <v>107</v>
      </c>
      <c r="I3364" t="s">
        <v>378</v>
      </c>
      <c r="J3364" t="s">
        <v>25</v>
      </c>
      <c r="K3364" t="s">
        <v>17246</v>
      </c>
      <c r="L3364">
        <v>0.05</v>
      </c>
      <c r="M3364" t="s">
        <v>17247</v>
      </c>
      <c r="N3364" t="s">
        <v>17248</v>
      </c>
      <c r="O3364" t="s">
        <v>43</v>
      </c>
      <c r="P3364" t="s">
        <v>95</v>
      </c>
      <c r="Q3364" t="s">
        <v>65</v>
      </c>
      <c r="R3364" s="3">
        <v>11693.797</v>
      </c>
    </row>
    <row r="3365" spans="1:18" x14ac:dyDescent="0.3">
      <c r="A3365" t="s">
        <v>17249</v>
      </c>
      <c r="B3365" t="str">
        <f>TEXT(Raw_Data[[#This Row],[Order Date]],"mmm")</f>
        <v>Oct</v>
      </c>
      <c r="C3365" t="s">
        <v>1076</v>
      </c>
      <c r="D3365" t="s">
        <v>17250</v>
      </c>
      <c r="E3365" t="s">
        <v>48</v>
      </c>
      <c r="F3365" t="s">
        <v>78</v>
      </c>
      <c r="G3365" t="s">
        <v>468</v>
      </c>
      <c r="H3365" t="s">
        <v>23</v>
      </c>
      <c r="I3365" t="s">
        <v>341</v>
      </c>
      <c r="J3365" t="s">
        <v>25</v>
      </c>
      <c r="K3365" t="s">
        <v>17251</v>
      </c>
      <c r="L3365">
        <v>0.1</v>
      </c>
      <c r="M3365" t="s">
        <v>17252</v>
      </c>
      <c r="N3365" t="s">
        <v>17253</v>
      </c>
      <c r="O3365" t="s">
        <v>43</v>
      </c>
      <c r="P3365" t="s">
        <v>95</v>
      </c>
      <c r="Q3365" t="s">
        <v>44</v>
      </c>
      <c r="R3365" s="3">
        <v>48034.008000000002</v>
      </c>
    </row>
    <row r="3366" spans="1:18" x14ac:dyDescent="0.3">
      <c r="A3366" t="s">
        <v>17254</v>
      </c>
      <c r="B3366" t="str">
        <f>TEXT(Raw_Data[[#This Row],[Order Date]],"mmm")</f>
        <v>Jan</v>
      </c>
      <c r="C3366" t="s">
        <v>1414</v>
      </c>
      <c r="D3366" t="s">
        <v>17255</v>
      </c>
      <c r="E3366" t="s">
        <v>35</v>
      </c>
      <c r="F3366" t="s">
        <v>69</v>
      </c>
      <c r="G3366" t="s">
        <v>139</v>
      </c>
      <c r="H3366" t="s">
        <v>23</v>
      </c>
      <c r="I3366" t="s">
        <v>183</v>
      </c>
      <c r="J3366" t="s">
        <v>100</v>
      </c>
      <c r="K3366" t="s">
        <v>17256</v>
      </c>
      <c r="L3366">
        <v>0.1</v>
      </c>
      <c r="M3366" t="s">
        <v>17257</v>
      </c>
      <c r="N3366" t="s">
        <v>17258</v>
      </c>
      <c r="O3366" t="s">
        <v>43</v>
      </c>
      <c r="P3366" t="s">
        <v>112</v>
      </c>
      <c r="Q3366" t="s">
        <v>65</v>
      </c>
      <c r="R3366" s="3">
        <v>124184.61</v>
      </c>
    </row>
    <row r="3367" spans="1:18" x14ac:dyDescent="0.3">
      <c r="A3367" t="s">
        <v>17259</v>
      </c>
      <c r="B3367" t="str">
        <f>TEXT(Raw_Data[[#This Row],[Order Date]],"mmm")</f>
        <v>Jun</v>
      </c>
      <c r="C3367" t="s">
        <v>213</v>
      </c>
      <c r="D3367" t="s">
        <v>17260</v>
      </c>
      <c r="E3367" t="s">
        <v>48</v>
      </c>
      <c r="F3367" t="s">
        <v>58</v>
      </c>
      <c r="G3367" t="s">
        <v>290</v>
      </c>
      <c r="H3367" t="s">
        <v>154</v>
      </c>
      <c r="I3367" t="s">
        <v>237</v>
      </c>
      <c r="J3367" t="s">
        <v>50</v>
      </c>
      <c r="K3367" t="s">
        <v>17261</v>
      </c>
      <c r="L3367">
        <v>0.1</v>
      </c>
      <c r="M3367" t="s">
        <v>17262</v>
      </c>
      <c r="N3367" t="s">
        <v>17263</v>
      </c>
      <c r="O3367" t="s">
        <v>29</v>
      </c>
      <c r="P3367" t="s">
        <v>30</v>
      </c>
      <c r="Q3367" t="s">
        <v>65</v>
      </c>
      <c r="R3367" s="3">
        <v>20752.560000000001</v>
      </c>
    </row>
    <row r="3368" spans="1:18" x14ac:dyDescent="0.3">
      <c r="A3368" t="s">
        <v>17264</v>
      </c>
      <c r="B3368" t="str">
        <f>TEXT(Raw_Data[[#This Row],[Order Date]],"mmm")</f>
        <v>Jan</v>
      </c>
      <c r="C3368" t="s">
        <v>3252</v>
      </c>
      <c r="D3368" t="s">
        <v>17265</v>
      </c>
      <c r="E3368" t="s">
        <v>20</v>
      </c>
      <c r="F3368" t="s">
        <v>69</v>
      </c>
      <c r="G3368" t="s">
        <v>70</v>
      </c>
      <c r="H3368" t="s">
        <v>23</v>
      </c>
      <c r="I3368" t="s">
        <v>24</v>
      </c>
      <c r="J3368" t="s">
        <v>82</v>
      </c>
      <c r="K3368" t="s">
        <v>17266</v>
      </c>
      <c r="L3368">
        <v>0.05</v>
      </c>
      <c r="M3368" t="s">
        <v>17267</v>
      </c>
      <c r="N3368" t="s">
        <v>17268</v>
      </c>
      <c r="O3368" t="s">
        <v>173</v>
      </c>
      <c r="P3368" t="s">
        <v>30</v>
      </c>
      <c r="Q3368" t="s">
        <v>44</v>
      </c>
      <c r="R3368" s="3">
        <v>263059.75</v>
      </c>
    </row>
    <row r="3369" spans="1:18" x14ac:dyDescent="0.3">
      <c r="A3369" t="s">
        <v>17269</v>
      </c>
      <c r="B3369" t="str">
        <f>TEXT(Raw_Data[[#This Row],[Order Date]],"mmm")</f>
        <v>Sep</v>
      </c>
      <c r="C3369" t="s">
        <v>2569</v>
      </c>
      <c r="D3369" t="s">
        <v>17270</v>
      </c>
      <c r="E3369" t="s">
        <v>35</v>
      </c>
      <c r="F3369" t="s">
        <v>21</v>
      </c>
      <c r="G3369" t="s">
        <v>22</v>
      </c>
      <c r="H3369" t="s">
        <v>23</v>
      </c>
      <c r="I3369" t="s">
        <v>341</v>
      </c>
      <c r="J3369" t="s">
        <v>25</v>
      </c>
      <c r="K3369" t="s">
        <v>17271</v>
      </c>
      <c r="L3369">
        <v>0.1</v>
      </c>
      <c r="M3369" t="s">
        <v>17272</v>
      </c>
      <c r="N3369" t="s">
        <v>17273</v>
      </c>
      <c r="O3369" t="s">
        <v>29</v>
      </c>
      <c r="P3369" t="s">
        <v>30</v>
      </c>
      <c r="Q3369" t="s">
        <v>44</v>
      </c>
      <c r="R3369" s="3">
        <v>10967.616</v>
      </c>
    </row>
    <row r="3370" spans="1:18" x14ac:dyDescent="0.3">
      <c r="A3370" t="s">
        <v>17274</v>
      </c>
      <c r="B3370" t="str">
        <f>TEXT(Raw_Data[[#This Row],[Order Date]],"mmm")</f>
        <v>Mar</v>
      </c>
      <c r="C3370" t="s">
        <v>9097</v>
      </c>
      <c r="D3370" t="s">
        <v>17275</v>
      </c>
      <c r="E3370" t="s">
        <v>35</v>
      </c>
      <c r="F3370" t="s">
        <v>21</v>
      </c>
      <c r="G3370" t="s">
        <v>22</v>
      </c>
      <c r="H3370" t="s">
        <v>107</v>
      </c>
      <c r="I3370" t="s">
        <v>469</v>
      </c>
      <c r="J3370" t="s">
        <v>25</v>
      </c>
      <c r="K3370" t="s">
        <v>17276</v>
      </c>
      <c r="L3370">
        <v>0.05</v>
      </c>
      <c r="M3370" t="s">
        <v>17277</v>
      </c>
      <c r="N3370" t="s">
        <v>17278</v>
      </c>
      <c r="O3370" t="s">
        <v>43</v>
      </c>
      <c r="P3370" t="s">
        <v>30</v>
      </c>
      <c r="Q3370" t="s">
        <v>65</v>
      </c>
      <c r="R3370" s="3">
        <v>15924.146999999901</v>
      </c>
    </row>
    <row r="3371" spans="1:18" x14ac:dyDescent="0.3">
      <c r="A3371" t="s">
        <v>17279</v>
      </c>
      <c r="B3371" t="str">
        <f>TEXT(Raw_Data[[#This Row],[Order Date]],"mmm")</f>
        <v>Jul</v>
      </c>
      <c r="C3371" t="s">
        <v>792</v>
      </c>
      <c r="D3371" t="s">
        <v>17280</v>
      </c>
      <c r="E3371" t="s">
        <v>35</v>
      </c>
      <c r="F3371" t="s">
        <v>89</v>
      </c>
      <c r="G3371" t="s">
        <v>99</v>
      </c>
      <c r="H3371" t="s">
        <v>23</v>
      </c>
      <c r="I3371" t="s">
        <v>183</v>
      </c>
      <c r="J3371" t="s">
        <v>25</v>
      </c>
      <c r="K3371" t="s">
        <v>17281</v>
      </c>
      <c r="L3371">
        <v>0.15</v>
      </c>
      <c r="M3371" t="s">
        <v>17282</v>
      </c>
      <c r="N3371" t="s">
        <v>17283</v>
      </c>
      <c r="O3371" t="s">
        <v>64</v>
      </c>
      <c r="P3371" t="s">
        <v>95</v>
      </c>
      <c r="Q3371" t="s">
        <v>65</v>
      </c>
      <c r="R3371" s="3">
        <v>44905.219499999999</v>
      </c>
    </row>
    <row r="3372" spans="1:18" x14ac:dyDescent="0.3">
      <c r="A3372" t="s">
        <v>17284</v>
      </c>
      <c r="B3372" t="str">
        <f>TEXT(Raw_Data[[#This Row],[Order Date]],"mmm")</f>
        <v>Apr</v>
      </c>
      <c r="C3372" t="s">
        <v>67</v>
      </c>
      <c r="D3372" t="s">
        <v>17285</v>
      </c>
      <c r="E3372" t="s">
        <v>48</v>
      </c>
      <c r="F3372" t="s">
        <v>21</v>
      </c>
      <c r="G3372" t="s">
        <v>130</v>
      </c>
      <c r="H3372" t="s">
        <v>154</v>
      </c>
      <c r="I3372" t="s">
        <v>1061</v>
      </c>
      <c r="J3372" t="s">
        <v>25</v>
      </c>
      <c r="K3372" t="s">
        <v>17286</v>
      </c>
      <c r="L3372">
        <v>0</v>
      </c>
      <c r="M3372" t="s">
        <v>17287</v>
      </c>
      <c r="N3372" t="s">
        <v>17288</v>
      </c>
      <c r="O3372" t="s">
        <v>29</v>
      </c>
      <c r="P3372" t="s">
        <v>30</v>
      </c>
      <c r="Q3372" t="s">
        <v>31</v>
      </c>
      <c r="R3372" s="3">
        <v>7406.5</v>
      </c>
    </row>
    <row r="3373" spans="1:18" x14ac:dyDescent="0.3">
      <c r="A3373" t="s">
        <v>17289</v>
      </c>
      <c r="B3373" t="str">
        <f>TEXT(Raw_Data[[#This Row],[Order Date]],"mmm")</f>
        <v>Aug</v>
      </c>
      <c r="C3373" t="s">
        <v>930</v>
      </c>
      <c r="D3373" t="s">
        <v>17290</v>
      </c>
      <c r="E3373" t="s">
        <v>20</v>
      </c>
      <c r="F3373" t="s">
        <v>89</v>
      </c>
      <c r="G3373" t="s">
        <v>99</v>
      </c>
      <c r="H3373" t="s">
        <v>154</v>
      </c>
      <c r="I3373" t="s">
        <v>1061</v>
      </c>
      <c r="J3373" t="s">
        <v>50</v>
      </c>
      <c r="K3373" t="s">
        <v>17291</v>
      </c>
      <c r="L3373">
        <v>0.05</v>
      </c>
      <c r="M3373" t="s">
        <v>17292</v>
      </c>
      <c r="N3373" t="s">
        <v>17293</v>
      </c>
      <c r="O3373" t="s">
        <v>43</v>
      </c>
      <c r="P3373" t="s">
        <v>30</v>
      </c>
      <c r="Q3373" t="s">
        <v>31</v>
      </c>
      <c r="R3373" s="3">
        <v>2371.2379999999998</v>
      </c>
    </row>
    <row r="3374" spans="1:18" x14ac:dyDescent="0.3">
      <c r="A3374" t="s">
        <v>17294</v>
      </c>
      <c r="B3374" t="str">
        <f>TEXT(Raw_Data[[#This Row],[Order Date]],"mmm")</f>
        <v>Dec</v>
      </c>
      <c r="C3374" t="s">
        <v>965</v>
      </c>
      <c r="D3374" t="s">
        <v>17295</v>
      </c>
      <c r="E3374" t="s">
        <v>35</v>
      </c>
      <c r="F3374" t="s">
        <v>36</v>
      </c>
      <c r="G3374" t="s">
        <v>196</v>
      </c>
      <c r="H3374" t="s">
        <v>107</v>
      </c>
      <c r="I3374" t="s">
        <v>277</v>
      </c>
      <c r="J3374" t="s">
        <v>25</v>
      </c>
      <c r="K3374" t="s">
        <v>17296</v>
      </c>
      <c r="L3374">
        <v>0</v>
      </c>
      <c r="M3374" t="s">
        <v>17297</v>
      </c>
      <c r="N3374" t="s">
        <v>17298</v>
      </c>
      <c r="O3374" t="s">
        <v>54</v>
      </c>
      <c r="P3374" t="s">
        <v>30</v>
      </c>
      <c r="Q3374" t="s">
        <v>31</v>
      </c>
      <c r="R3374" s="3">
        <v>11074.21</v>
      </c>
    </row>
    <row r="3375" spans="1:18" x14ac:dyDescent="0.3">
      <c r="A3375" t="s">
        <v>17299</v>
      </c>
      <c r="B3375" t="str">
        <f>TEXT(Raw_Data[[#This Row],[Order Date]],"mmm")</f>
        <v>Aug</v>
      </c>
      <c r="C3375" t="s">
        <v>1442</v>
      </c>
      <c r="D3375" t="s">
        <v>17300</v>
      </c>
      <c r="E3375" t="s">
        <v>48</v>
      </c>
      <c r="F3375" t="s">
        <v>21</v>
      </c>
      <c r="G3375" t="s">
        <v>130</v>
      </c>
      <c r="H3375" t="s">
        <v>23</v>
      </c>
      <c r="I3375" t="s">
        <v>263</v>
      </c>
      <c r="J3375" t="s">
        <v>25</v>
      </c>
      <c r="K3375" t="s">
        <v>17301</v>
      </c>
      <c r="L3375">
        <v>0.05</v>
      </c>
      <c r="M3375" t="s">
        <v>17302</v>
      </c>
      <c r="N3375" t="s">
        <v>17303</v>
      </c>
      <c r="O3375" t="s">
        <v>173</v>
      </c>
      <c r="P3375" t="s">
        <v>159</v>
      </c>
      <c r="Q3375" t="s">
        <v>65</v>
      </c>
      <c r="R3375" s="3">
        <v>18165.120999999999</v>
      </c>
    </row>
    <row r="3376" spans="1:18" x14ac:dyDescent="0.3">
      <c r="A3376" t="s">
        <v>17304</v>
      </c>
      <c r="B3376" t="str">
        <f>TEXT(Raw_Data[[#This Row],[Order Date]],"mmm")</f>
        <v>Apr</v>
      </c>
      <c r="C3376" t="s">
        <v>2649</v>
      </c>
      <c r="D3376" t="s">
        <v>17305</v>
      </c>
      <c r="E3376" t="s">
        <v>35</v>
      </c>
      <c r="F3376" t="s">
        <v>106</v>
      </c>
      <c r="G3376" t="s">
        <v>106</v>
      </c>
      <c r="H3376" t="s">
        <v>80</v>
      </c>
      <c r="I3376" t="s">
        <v>131</v>
      </c>
      <c r="J3376" t="s">
        <v>25</v>
      </c>
      <c r="K3376" t="s">
        <v>4303</v>
      </c>
      <c r="L3376">
        <v>0.1</v>
      </c>
      <c r="M3376" t="s">
        <v>17306</v>
      </c>
      <c r="N3376" t="s">
        <v>17307</v>
      </c>
      <c r="O3376" t="s">
        <v>64</v>
      </c>
      <c r="P3376" t="s">
        <v>30</v>
      </c>
      <c r="Q3376" t="s">
        <v>31</v>
      </c>
      <c r="R3376" s="3">
        <v>1629.873</v>
      </c>
    </row>
    <row r="3377" spans="1:18" x14ac:dyDescent="0.3">
      <c r="A3377" t="s">
        <v>17308</v>
      </c>
      <c r="B3377" t="str">
        <f>TEXT(Raw_Data[[#This Row],[Order Date]],"mmm")</f>
        <v>Nov</v>
      </c>
      <c r="C3377" t="s">
        <v>4633</v>
      </c>
      <c r="D3377" t="s">
        <v>17309</v>
      </c>
      <c r="E3377" t="s">
        <v>20</v>
      </c>
      <c r="F3377" t="s">
        <v>78</v>
      </c>
      <c r="G3377" t="s">
        <v>731</v>
      </c>
      <c r="H3377" t="s">
        <v>154</v>
      </c>
      <c r="I3377" t="s">
        <v>309</v>
      </c>
      <c r="J3377" t="s">
        <v>100</v>
      </c>
      <c r="K3377" t="s">
        <v>17310</v>
      </c>
      <c r="L3377">
        <v>0.1</v>
      </c>
      <c r="M3377" t="s">
        <v>17311</v>
      </c>
      <c r="N3377" t="s">
        <v>17312</v>
      </c>
      <c r="O3377" t="s">
        <v>64</v>
      </c>
      <c r="P3377" t="s">
        <v>30</v>
      </c>
      <c r="Q3377" t="s">
        <v>31</v>
      </c>
      <c r="R3377" s="3">
        <v>30705.804</v>
      </c>
    </row>
    <row r="3378" spans="1:18" x14ac:dyDescent="0.3">
      <c r="A3378" t="s">
        <v>17313</v>
      </c>
      <c r="B3378" t="str">
        <f>TEXT(Raw_Data[[#This Row],[Order Date]],"mmm")</f>
        <v>Nov</v>
      </c>
      <c r="C3378" t="s">
        <v>5647</v>
      </c>
      <c r="D3378" t="s">
        <v>17314</v>
      </c>
      <c r="E3378" t="s">
        <v>35</v>
      </c>
      <c r="F3378" t="s">
        <v>36</v>
      </c>
      <c r="G3378" t="s">
        <v>414</v>
      </c>
      <c r="H3378" t="s">
        <v>107</v>
      </c>
      <c r="I3378" t="s">
        <v>277</v>
      </c>
      <c r="J3378" t="s">
        <v>50</v>
      </c>
      <c r="K3378" t="s">
        <v>17315</v>
      </c>
      <c r="L3378">
        <v>0.05</v>
      </c>
      <c r="M3378" t="s">
        <v>17316</v>
      </c>
      <c r="N3378" t="s">
        <v>17317</v>
      </c>
      <c r="O3378" t="s">
        <v>43</v>
      </c>
      <c r="P3378" t="s">
        <v>30</v>
      </c>
      <c r="Q3378" t="s">
        <v>65</v>
      </c>
      <c r="R3378" s="3">
        <v>16746.8469999999</v>
      </c>
    </row>
    <row r="3379" spans="1:18" x14ac:dyDescent="0.3">
      <c r="A3379" t="s">
        <v>17318</v>
      </c>
      <c r="B3379" t="str">
        <f>TEXT(Raw_Data[[#This Row],[Order Date]],"mmm")</f>
        <v>Oct</v>
      </c>
      <c r="C3379" t="s">
        <v>1802</v>
      </c>
      <c r="D3379" t="s">
        <v>17319</v>
      </c>
      <c r="E3379" t="s">
        <v>20</v>
      </c>
      <c r="F3379" t="s">
        <v>215</v>
      </c>
      <c r="G3379" t="s">
        <v>216</v>
      </c>
      <c r="H3379" t="s">
        <v>23</v>
      </c>
      <c r="I3379" t="s">
        <v>49</v>
      </c>
      <c r="J3379" t="s">
        <v>25</v>
      </c>
      <c r="K3379" t="s">
        <v>17320</v>
      </c>
      <c r="L3379">
        <v>0.15</v>
      </c>
      <c r="M3379" t="s">
        <v>17321</v>
      </c>
      <c r="N3379" t="s">
        <v>17322</v>
      </c>
      <c r="O3379" t="s">
        <v>29</v>
      </c>
      <c r="P3379" t="s">
        <v>30</v>
      </c>
      <c r="Q3379" t="s">
        <v>44</v>
      </c>
      <c r="R3379" s="3">
        <v>46254.619999999901</v>
      </c>
    </row>
    <row r="3380" spans="1:18" x14ac:dyDescent="0.3">
      <c r="A3380" t="s">
        <v>17323</v>
      </c>
      <c r="B3380" t="str">
        <f>TEXT(Raw_Data[[#This Row],[Order Date]],"mmm")</f>
        <v>Oct</v>
      </c>
      <c r="C3380" t="s">
        <v>1227</v>
      </c>
      <c r="D3380" t="s">
        <v>17324</v>
      </c>
      <c r="E3380" t="s">
        <v>48</v>
      </c>
      <c r="F3380" t="s">
        <v>78</v>
      </c>
      <c r="G3380" t="s">
        <v>468</v>
      </c>
      <c r="H3380" t="s">
        <v>154</v>
      </c>
      <c r="I3380" t="s">
        <v>1061</v>
      </c>
      <c r="J3380" t="s">
        <v>100</v>
      </c>
      <c r="K3380" t="s">
        <v>17325</v>
      </c>
      <c r="L3380">
        <v>0.1</v>
      </c>
      <c r="M3380" t="s">
        <v>17326</v>
      </c>
      <c r="N3380" t="s">
        <v>17327</v>
      </c>
      <c r="O3380" t="s">
        <v>43</v>
      </c>
      <c r="P3380" t="s">
        <v>30</v>
      </c>
      <c r="Q3380" t="s">
        <v>44</v>
      </c>
      <c r="R3380" s="3">
        <v>21756.3299999999</v>
      </c>
    </row>
    <row r="3381" spans="1:18" x14ac:dyDescent="0.3">
      <c r="A3381" t="s">
        <v>17328</v>
      </c>
      <c r="B3381" t="str">
        <f>TEXT(Raw_Data[[#This Row],[Order Date]],"mmm")</f>
        <v>Feb</v>
      </c>
      <c r="C3381" t="s">
        <v>2892</v>
      </c>
      <c r="D3381" t="s">
        <v>17329</v>
      </c>
      <c r="E3381" t="s">
        <v>35</v>
      </c>
      <c r="F3381" t="s">
        <v>69</v>
      </c>
      <c r="G3381" t="s">
        <v>328</v>
      </c>
      <c r="H3381" t="s">
        <v>80</v>
      </c>
      <c r="I3381" t="s">
        <v>146</v>
      </c>
      <c r="J3381" t="s">
        <v>50</v>
      </c>
      <c r="K3381" t="s">
        <v>17330</v>
      </c>
      <c r="L3381">
        <v>0.05</v>
      </c>
      <c r="M3381" t="s">
        <v>17331</v>
      </c>
      <c r="N3381" t="s">
        <v>7747</v>
      </c>
      <c r="O3381" t="s">
        <v>29</v>
      </c>
      <c r="P3381" t="s">
        <v>30</v>
      </c>
      <c r="Q3381" t="s">
        <v>31</v>
      </c>
      <c r="R3381" s="3">
        <v>3898.4009999999998</v>
      </c>
    </row>
    <row r="3382" spans="1:18" x14ac:dyDescent="0.3">
      <c r="A3382" t="s">
        <v>17332</v>
      </c>
      <c r="B3382" t="str">
        <f>TEXT(Raw_Data[[#This Row],[Order Date]],"mmm")</f>
        <v>Jan</v>
      </c>
      <c r="C3382" t="s">
        <v>254</v>
      </c>
      <c r="D3382" t="s">
        <v>17333</v>
      </c>
      <c r="E3382" t="s">
        <v>20</v>
      </c>
      <c r="F3382" t="s">
        <v>69</v>
      </c>
      <c r="G3382" t="s">
        <v>70</v>
      </c>
      <c r="H3382" t="s">
        <v>80</v>
      </c>
      <c r="I3382" t="s">
        <v>91</v>
      </c>
      <c r="J3382" t="s">
        <v>82</v>
      </c>
      <c r="K3382" t="s">
        <v>17334</v>
      </c>
      <c r="L3382">
        <v>0</v>
      </c>
      <c r="M3382" t="s">
        <v>17335</v>
      </c>
      <c r="N3382" t="s">
        <v>17336</v>
      </c>
      <c r="O3382" t="s">
        <v>43</v>
      </c>
      <c r="P3382" t="s">
        <v>30</v>
      </c>
      <c r="Q3382" t="s">
        <v>31</v>
      </c>
      <c r="R3382" s="3">
        <v>7880.56</v>
      </c>
    </row>
    <row r="3383" spans="1:18" x14ac:dyDescent="0.3">
      <c r="A3383" t="s">
        <v>17337</v>
      </c>
      <c r="B3383" t="str">
        <f>TEXT(Raw_Data[[#This Row],[Order Date]],"mmm")</f>
        <v>Jan</v>
      </c>
      <c r="C3383" t="s">
        <v>1878</v>
      </c>
      <c r="D3383" t="s">
        <v>17338</v>
      </c>
      <c r="E3383" t="s">
        <v>20</v>
      </c>
      <c r="F3383" t="s">
        <v>21</v>
      </c>
      <c r="G3383" t="s">
        <v>22</v>
      </c>
      <c r="H3383" t="s">
        <v>154</v>
      </c>
      <c r="I3383" t="s">
        <v>1061</v>
      </c>
      <c r="J3383" t="s">
        <v>25</v>
      </c>
      <c r="K3383" t="s">
        <v>17339</v>
      </c>
      <c r="L3383">
        <v>0.1</v>
      </c>
      <c r="M3383" t="s">
        <v>17340</v>
      </c>
      <c r="N3383" t="s">
        <v>17341</v>
      </c>
      <c r="O3383" t="s">
        <v>29</v>
      </c>
      <c r="P3383" t="s">
        <v>95</v>
      </c>
      <c r="Q3383" t="s">
        <v>44</v>
      </c>
      <c r="R3383" s="3">
        <v>4054.518</v>
      </c>
    </row>
    <row r="3384" spans="1:18" x14ac:dyDescent="0.3">
      <c r="A3384" t="s">
        <v>17342</v>
      </c>
      <c r="B3384" t="str">
        <f>TEXT(Raw_Data[[#This Row],[Order Date]],"mmm")</f>
        <v>Sep</v>
      </c>
      <c r="C3384" t="s">
        <v>76</v>
      </c>
      <c r="D3384" t="s">
        <v>17343</v>
      </c>
      <c r="E3384" t="s">
        <v>20</v>
      </c>
      <c r="F3384" t="s">
        <v>58</v>
      </c>
      <c r="G3384" t="s">
        <v>59</v>
      </c>
      <c r="H3384" t="s">
        <v>23</v>
      </c>
      <c r="I3384" t="s">
        <v>49</v>
      </c>
      <c r="J3384" t="s">
        <v>50</v>
      </c>
      <c r="K3384" t="s">
        <v>17344</v>
      </c>
      <c r="L3384">
        <v>0.1</v>
      </c>
      <c r="M3384" t="s">
        <v>17345</v>
      </c>
      <c r="N3384" t="s">
        <v>17346</v>
      </c>
      <c r="O3384" t="s">
        <v>43</v>
      </c>
      <c r="P3384" t="s">
        <v>30</v>
      </c>
      <c r="Q3384" t="s">
        <v>31</v>
      </c>
      <c r="R3384" s="3">
        <v>122896.656</v>
      </c>
    </row>
    <row r="3385" spans="1:18" x14ac:dyDescent="0.3">
      <c r="A3385" t="s">
        <v>17347</v>
      </c>
      <c r="B3385" t="str">
        <f>TEXT(Raw_Data[[#This Row],[Order Date]],"mmm")</f>
        <v>Jun</v>
      </c>
      <c r="C3385" t="s">
        <v>764</v>
      </c>
      <c r="D3385" t="s">
        <v>17348</v>
      </c>
      <c r="E3385" t="s">
        <v>20</v>
      </c>
      <c r="F3385" t="s">
        <v>106</v>
      </c>
      <c r="G3385" t="s">
        <v>163</v>
      </c>
      <c r="H3385" t="s">
        <v>80</v>
      </c>
      <c r="I3385" t="s">
        <v>116</v>
      </c>
      <c r="J3385" t="s">
        <v>25</v>
      </c>
      <c r="K3385" t="s">
        <v>17349</v>
      </c>
      <c r="L3385">
        <v>0.2</v>
      </c>
      <c r="M3385" t="s">
        <v>17350</v>
      </c>
      <c r="N3385" t="s">
        <v>17351</v>
      </c>
      <c r="O3385" t="s">
        <v>64</v>
      </c>
      <c r="P3385" t="s">
        <v>95</v>
      </c>
      <c r="Q3385" t="s">
        <v>31</v>
      </c>
      <c r="R3385" s="3">
        <v>1954.92</v>
      </c>
    </row>
    <row r="3386" spans="1:18" x14ac:dyDescent="0.3">
      <c r="A3386" t="s">
        <v>17352</v>
      </c>
      <c r="B3386" t="str">
        <f>TEXT(Raw_Data[[#This Row],[Order Date]],"mmm")</f>
        <v>Feb</v>
      </c>
      <c r="C3386" t="s">
        <v>1087</v>
      </c>
      <c r="D3386" t="s">
        <v>17353</v>
      </c>
      <c r="E3386" t="s">
        <v>35</v>
      </c>
      <c r="F3386" t="s">
        <v>21</v>
      </c>
      <c r="G3386" t="s">
        <v>22</v>
      </c>
      <c r="H3386" t="s">
        <v>107</v>
      </c>
      <c r="I3386" t="s">
        <v>108</v>
      </c>
      <c r="J3386" t="s">
        <v>25</v>
      </c>
      <c r="K3386" t="s">
        <v>17354</v>
      </c>
      <c r="L3386">
        <v>0.05</v>
      </c>
      <c r="M3386" t="s">
        <v>17355</v>
      </c>
      <c r="N3386" t="s">
        <v>17356</v>
      </c>
      <c r="O3386" t="s">
        <v>173</v>
      </c>
      <c r="P3386" t="s">
        <v>30</v>
      </c>
      <c r="Q3386" t="s">
        <v>31</v>
      </c>
      <c r="R3386" s="3">
        <v>2294.4969999999998</v>
      </c>
    </row>
    <row r="3387" spans="1:18" x14ac:dyDescent="0.3">
      <c r="A3387" t="s">
        <v>17357</v>
      </c>
      <c r="B3387" t="str">
        <f>TEXT(Raw_Data[[#This Row],[Order Date]],"mmm")</f>
        <v>Sep</v>
      </c>
      <c r="C3387" t="s">
        <v>1280</v>
      </c>
      <c r="D3387" t="s">
        <v>17358</v>
      </c>
      <c r="E3387" t="s">
        <v>48</v>
      </c>
      <c r="F3387" t="s">
        <v>215</v>
      </c>
      <c r="G3387" t="s">
        <v>276</v>
      </c>
      <c r="H3387" t="s">
        <v>80</v>
      </c>
      <c r="I3387" t="s">
        <v>146</v>
      </c>
      <c r="J3387" t="s">
        <v>25</v>
      </c>
      <c r="K3387" t="s">
        <v>17359</v>
      </c>
      <c r="L3387">
        <v>0.1</v>
      </c>
      <c r="M3387" t="s">
        <v>17360</v>
      </c>
      <c r="N3387" t="s">
        <v>17361</v>
      </c>
      <c r="O3387" t="s">
        <v>54</v>
      </c>
      <c r="P3387" t="s">
        <v>30</v>
      </c>
      <c r="Q3387" t="s">
        <v>31</v>
      </c>
      <c r="R3387" s="3">
        <v>1518.9480000000001</v>
      </c>
    </row>
    <row r="3388" spans="1:18" x14ac:dyDescent="0.3">
      <c r="A3388" t="s">
        <v>17362</v>
      </c>
      <c r="B3388" t="str">
        <f>TEXT(Raw_Data[[#This Row],[Order Date]],"mmm")</f>
        <v>Jun</v>
      </c>
      <c r="C3388" t="s">
        <v>466</v>
      </c>
      <c r="D3388" t="s">
        <v>17363</v>
      </c>
      <c r="E3388" t="s">
        <v>48</v>
      </c>
      <c r="F3388" t="s">
        <v>69</v>
      </c>
      <c r="G3388" t="s">
        <v>328</v>
      </c>
      <c r="H3388" t="s">
        <v>23</v>
      </c>
      <c r="I3388" t="s">
        <v>183</v>
      </c>
      <c r="J3388" t="s">
        <v>25</v>
      </c>
      <c r="K3388" t="s">
        <v>17364</v>
      </c>
      <c r="L3388">
        <v>0.1</v>
      </c>
      <c r="M3388" t="s">
        <v>17365</v>
      </c>
      <c r="N3388" t="s">
        <v>17366</v>
      </c>
      <c r="O3388" t="s">
        <v>173</v>
      </c>
      <c r="P3388" t="s">
        <v>30</v>
      </c>
      <c r="Q3388" t="s">
        <v>31</v>
      </c>
      <c r="R3388" s="3">
        <v>41350.904999999999</v>
      </c>
    </row>
    <row r="3389" spans="1:18" x14ac:dyDescent="0.3">
      <c r="A3389" t="s">
        <v>17367</v>
      </c>
      <c r="B3389" t="str">
        <f>TEXT(Raw_Data[[#This Row],[Order Date]],"mmm")</f>
        <v>Mar</v>
      </c>
      <c r="C3389" t="s">
        <v>395</v>
      </c>
      <c r="D3389" t="s">
        <v>17368</v>
      </c>
      <c r="E3389" t="s">
        <v>35</v>
      </c>
      <c r="F3389" t="s">
        <v>78</v>
      </c>
      <c r="G3389" t="s">
        <v>731</v>
      </c>
      <c r="H3389" t="s">
        <v>107</v>
      </c>
      <c r="I3389" t="s">
        <v>469</v>
      </c>
      <c r="J3389" t="s">
        <v>50</v>
      </c>
      <c r="K3389" t="s">
        <v>17369</v>
      </c>
      <c r="L3389">
        <v>0.1</v>
      </c>
      <c r="M3389" t="s">
        <v>17370</v>
      </c>
      <c r="N3389" t="s">
        <v>17371</v>
      </c>
      <c r="O3389" t="s">
        <v>64</v>
      </c>
      <c r="P3389" t="s">
        <v>30</v>
      </c>
      <c r="Q3389" t="s">
        <v>31</v>
      </c>
      <c r="R3389" s="3">
        <v>31754.286</v>
      </c>
    </row>
    <row r="3390" spans="1:18" x14ac:dyDescent="0.3">
      <c r="A3390" t="s">
        <v>17372</v>
      </c>
      <c r="B3390" t="str">
        <f>TEXT(Raw_Data[[#This Row],[Order Date]],"mmm")</f>
        <v>Jun</v>
      </c>
      <c r="C3390" t="s">
        <v>753</v>
      </c>
      <c r="D3390" t="s">
        <v>17373</v>
      </c>
      <c r="E3390" t="s">
        <v>20</v>
      </c>
      <c r="F3390" t="s">
        <v>89</v>
      </c>
      <c r="G3390" t="s">
        <v>230</v>
      </c>
      <c r="H3390" t="s">
        <v>23</v>
      </c>
      <c r="I3390" t="s">
        <v>263</v>
      </c>
      <c r="J3390" t="s">
        <v>50</v>
      </c>
      <c r="K3390" t="s">
        <v>17374</v>
      </c>
      <c r="L3390">
        <v>0.15</v>
      </c>
      <c r="M3390" t="s">
        <v>17375</v>
      </c>
      <c r="N3390" t="s">
        <v>17376</v>
      </c>
      <c r="O3390" t="s">
        <v>54</v>
      </c>
      <c r="P3390" t="s">
        <v>30</v>
      </c>
      <c r="Q3390" t="s">
        <v>65</v>
      </c>
      <c r="R3390" s="3">
        <v>100348.518</v>
      </c>
    </row>
    <row r="3391" spans="1:18" x14ac:dyDescent="0.3">
      <c r="A3391" t="s">
        <v>17377</v>
      </c>
      <c r="B3391" t="str">
        <f>TEXT(Raw_Data[[#This Row],[Order Date]],"mmm")</f>
        <v>Feb</v>
      </c>
      <c r="C3391" t="s">
        <v>2676</v>
      </c>
      <c r="D3391" t="s">
        <v>17378</v>
      </c>
      <c r="E3391" t="s">
        <v>48</v>
      </c>
      <c r="F3391" t="s">
        <v>21</v>
      </c>
      <c r="G3391" t="s">
        <v>130</v>
      </c>
      <c r="H3391" t="s">
        <v>154</v>
      </c>
      <c r="I3391" t="s">
        <v>155</v>
      </c>
      <c r="J3391" t="s">
        <v>25</v>
      </c>
      <c r="K3391" t="s">
        <v>17379</v>
      </c>
      <c r="L3391">
        <v>0.1</v>
      </c>
      <c r="M3391" t="s">
        <v>17380</v>
      </c>
      <c r="N3391" t="s">
        <v>17381</v>
      </c>
      <c r="O3391" t="s">
        <v>43</v>
      </c>
      <c r="P3391" t="s">
        <v>30</v>
      </c>
      <c r="Q3391" t="s">
        <v>31</v>
      </c>
      <c r="R3391" s="3">
        <v>4011.4349999999999</v>
      </c>
    </row>
    <row r="3392" spans="1:18" x14ac:dyDescent="0.3">
      <c r="A3392" t="s">
        <v>17382</v>
      </c>
      <c r="B3392" t="str">
        <f>TEXT(Raw_Data[[#This Row],[Order Date]],"mmm")</f>
        <v>Sep</v>
      </c>
      <c r="C3392" t="s">
        <v>7865</v>
      </c>
      <c r="D3392" t="s">
        <v>17383</v>
      </c>
      <c r="E3392" t="s">
        <v>48</v>
      </c>
      <c r="F3392" t="s">
        <v>36</v>
      </c>
      <c r="G3392" t="s">
        <v>196</v>
      </c>
      <c r="H3392" t="s">
        <v>23</v>
      </c>
      <c r="I3392" t="s">
        <v>24</v>
      </c>
      <c r="J3392" t="s">
        <v>25</v>
      </c>
      <c r="K3392" t="s">
        <v>17384</v>
      </c>
      <c r="L3392">
        <v>0.1</v>
      </c>
      <c r="M3392" t="s">
        <v>17385</v>
      </c>
      <c r="N3392" t="s">
        <v>17386</v>
      </c>
      <c r="O3392" t="s">
        <v>64</v>
      </c>
      <c r="P3392" t="s">
        <v>30</v>
      </c>
      <c r="Q3392" t="s">
        <v>44</v>
      </c>
      <c r="R3392" s="3">
        <v>11499.984</v>
      </c>
    </row>
    <row r="3393" spans="1:18" x14ac:dyDescent="0.3">
      <c r="A3393" t="s">
        <v>17387</v>
      </c>
      <c r="B3393" t="str">
        <f>TEXT(Raw_Data[[#This Row],[Order Date]],"mmm")</f>
        <v>Jan</v>
      </c>
      <c r="C3393" t="s">
        <v>18</v>
      </c>
      <c r="D3393" t="s">
        <v>17388</v>
      </c>
      <c r="E3393" t="s">
        <v>20</v>
      </c>
      <c r="F3393" t="s">
        <v>21</v>
      </c>
      <c r="G3393" t="s">
        <v>130</v>
      </c>
      <c r="H3393" t="s">
        <v>23</v>
      </c>
      <c r="I3393" t="s">
        <v>183</v>
      </c>
      <c r="J3393" t="s">
        <v>25</v>
      </c>
      <c r="K3393" t="s">
        <v>17389</v>
      </c>
      <c r="L3393">
        <v>0.15</v>
      </c>
      <c r="M3393" t="s">
        <v>17390</v>
      </c>
      <c r="N3393" t="s">
        <v>17391</v>
      </c>
      <c r="O3393" t="s">
        <v>43</v>
      </c>
      <c r="P3393" t="s">
        <v>30</v>
      </c>
      <c r="Q3393" t="s">
        <v>65</v>
      </c>
      <c r="R3393" s="3">
        <v>17832.795999999998</v>
      </c>
    </row>
    <row r="3394" spans="1:18" x14ac:dyDescent="0.3">
      <c r="A3394" t="s">
        <v>17392</v>
      </c>
      <c r="B3394" t="str">
        <f>TEXT(Raw_Data[[#This Row],[Order Date]],"mmm")</f>
        <v>Nov</v>
      </c>
      <c r="C3394" t="s">
        <v>2710</v>
      </c>
      <c r="D3394" t="s">
        <v>17393</v>
      </c>
      <c r="E3394" t="s">
        <v>35</v>
      </c>
      <c r="F3394" t="s">
        <v>89</v>
      </c>
      <c r="G3394" t="s">
        <v>99</v>
      </c>
      <c r="H3394" t="s">
        <v>23</v>
      </c>
      <c r="I3394" t="s">
        <v>263</v>
      </c>
      <c r="J3394" t="s">
        <v>25</v>
      </c>
      <c r="K3394" t="s">
        <v>17394</v>
      </c>
      <c r="L3394">
        <v>0.1</v>
      </c>
      <c r="M3394" t="s">
        <v>17395</v>
      </c>
      <c r="N3394" t="s">
        <v>17396</v>
      </c>
      <c r="O3394" t="s">
        <v>64</v>
      </c>
      <c r="P3394" t="s">
        <v>30</v>
      </c>
      <c r="Q3394" t="s">
        <v>44</v>
      </c>
      <c r="R3394" s="3">
        <v>16689.509999999998</v>
      </c>
    </row>
    <row r="3395" spans="1:18" x14ac:dyDescent="0.3">
      <c r="A3395" t="s">
        <v>17397</v>
      </c>
      <c r="B3395" t="str">
        <f>TEXT(Raw_Data[[#This Row],[Order Date]],"mmm")</f>
        <v>Jun</v>
      </c>
      <c r="C3395" t="s">
        <v>3263</v>
      </c>
      <c r="D3395" t="s">
        <v>17398</v>
      </c>
      <c r="E3395" t="s">
        <v>35</v>
      </c>
      <c r="F3395" t="s">
        <v>21</v>
      </c>
      <c r="G3395" t="s">
        <v>22</v>
      </c>
      <c r="H3395" t="s">
        <v>80</v>
      </c>
      <c r="I3395" t="s">
        <v>131</v>
      </c>
      <c r="J3395" t="s">
        <v>25</v>
      </c>
      <c r="K3395" t="s">
        <v>17399</v>
      </c>
      <c r="L3395">
        <v>0.2</v>
      </c>
      <c r="M3395" t="s">
        <v>17400</v>
      </c>
      <c r="N3395" t="s">
        <v>17401</v>
      </c>
      <c r="O3395" t="s">
        <v>173</v>
      </c>
      <c r="P3395" t="s">
        <v>112</v>
      </c>
      <c r="Q3395" t="s">
        <v>65</v>
      </c>
      <c r="R3395" s="3">
        <v>1338.528</v>
      </c>
    </row>
    <row r="3396" spans="1:18" x14ac:dyDescent="0.3">
      <c r="A3396" t="s">
        <v>17402</v>
      </c>
      <c r="B3396" t="str">
        <f>TEXT(Raw_Data[[#This Row],[Order Date]],"mmm")</f>
        <v>Mar</v>
      </c>
      <c r="C3396" t="s">
        <v>2731</v>
      </c>
      <c r="D3396" t="s">
        <v>17403</v>
      </c>
      <c r="E3396" t="s">
        <v>35</v>
      </c>
      <c r="F3396" t="s">
        <v>78</v>
      </c>
      <c r="G3396" t="s">
        <v>79</v>
      </c>
      <c r="H3396" t="s">
        <v>38</v>
      </c>
      <c r="I3396" t="s">
        <v>39</v>
      </c>
      <c r="J3396" t="s">
        <v>25</v>
      </c>
      <c r="K3396" t="s">
        <v>17404</v>
      </c>
      <c r="L3396">
        <v>0</v>
      </c>
      <c r="M3396" t="s">
        <v>17405</v>
      </c>
      <c r="N3396" t="s">
        <v>17406</v>
      </c>
      <c r="O3396" t="s">
        <v>173</v>
      </c>
      <c r="P3396" t="s">
        <v>30</v>
      </c>
      <c r="Q3396" t="s">
        <v>65</v>
      </c>
      <c r="R3396" s="3">
        <v>4231.0600000000004</v>
      </c>
    </row>
    <row r="3397" spans="1:18" x14ac:dyDescent="0.3">
      <c r="A3397" t="s">
        <v>17407</v>
      </c>
      <c r="B3397" t="str">
        <f>TEXT(Raw_Data[[#This Row],[Order Date]],"mmm")</f>
        <v>Feb</v>
      </c>
      <c r="C3397" t="s">
        <v>1087</v>
      </c>
      <c r="D3397" t="s">
        <v>17408</v>
      </c>
      <c r="E3397" t="s">
        <v>48</v>
      </c>
      <c r="F3397" t="s">
        <v>21</v>
      </c>
      <c r="G3397" t="s">
        <v>22</v>
      </c>
      <c r="H3397" t="s">
        <v>80</v>
      </c>
      <c r="I3397" t="s">
        <v>91</v>
      </c>
      <c r="J3397" t="s">
        <v>25</v>
      </c>
      <c r="K3397" t="s">
        <v>17409</v>
      </c>
      <c r="L3397">
        <v>0.15</v>
      </c>
      <c r="M3397" t="s">
        <v>17410</v>
      </c>
      <c r="N3397" t="s">
        <v>17411</v>
      </c>
      <c r="O3397" t="s">
        <v>43</v>
      </c>
      <c r="P3397" t="s">
        <v>30</v>
      </c>
      <c r="Q3397" t="s">
        <v>44</v>
      </c>
      <c r="R3397" s="3">
        <v>3234.64949999999</v>
      </c>
    </row>
    <row r="3398" spans="1:18" x14ac:dyDescent="0.3">
      <c r="A3398" t="s">
        <v>17412</v>
      </c>
      <c r="B3398" t="str">
        <f>TEXT(Raw_Data[[#This Row],[Order Date]],"mmm")</f>
        <v>Nov</v>
      </c>
      <c r="C3398" t="s">
        <v>851</v>
      </c>
      <c r="D3398" t="s">
        <v>17413</v>
      </c>
      <c r="E3398" t="s">
        <v>48</v>
      </c>
      <c r="F3398" t="s">
        <v>21</v>
      </c>
      <c r="G3398" t="s">
        <v>22</v>
      </c>
      <c r="H3398" t="s">
        <v>23</v>
      </c>
      <c r="I3398" t="s">
        <v>263</v>
      </c>
      <c r="J3398" t="s">
        <v>50</v>
      </c>
      <c r="K3398" t="s">
        <v>17414</v>
      </c>
      <c r="L3398">
        <v>0.1</v>
      </c>
      <c r="M3398" t="s">
        <v>17415</v>
      </c>
      <c r="N3398" t="s">
        <v>17416</v>
      </c>
      <c r="O3398" t="s">
        <v>64</v>
      </c>
      <c r="P3398" t="s">
        <v>30</v>
      </c>
      <c r="Q3398" t="s">
        <v>65</v>
      </c>
      <c r="R3398" s="3">
        <v>111695.238</v>
      </c>
    </row>
    <row r="3399" spans="1:18" x14ac:dyDescent="0.3">
      <c r="A3399" t="s">
        <v>17417</v>
      </c>
      <c r="B3399" t="str">
        <f>TEXT(Raw_Data[[#This Row],[Order Date]],"mmm")</f>
        <v>Oct</v>
      </c>
      <c r="C3399" t="s">
        <v>1239</v>
      </c>
      <c r="D3399" t="s">
        <v>17418</v>
      </c>
      <c r="E3399" t="s">
        <v>20</v>
      </c>
      <c r="F3399" t="s">
        <v>21</v>
      </c>
      <c r="G3399" t="s">
        <v>22</v>
      </c>
      <c r="H3399" t="s">
        <v>107</v>
      </c>
      <c r="I3399" t="s">
        <v>277</v>
      </c>
      <c r="J3399" t="s">
        <v>25</v>
      </c>
      <c r="K3399" t="s">
        <v>17419</v>
      </c>
      <c r="L3399">
        <v>0.05</v>
      </c>
      <c r="M3399" t="s">
        <v>17420</v>
      </c>
      <c r="N3399" t="s">
        <v>17421</v>
      </c>
      <c r="O3399" t="s">
        <v>173</v>
      </c>
      <c r="P3399" t="s">
        <v>30</v>
      </c>
      <c r="Q3399" t="s">
        <v>44</v>
      </c>
      <c r="R3399" s="3">
        <v>7922.1734999999899</v>
      </c>
    </row>
    <row r="3400" spans="1:18" x14ac:dyDescent="0.3">
      <c r="A3400" t="s">
        <v>17422</v>
      </c>
      <c r="B3400" t="str">
        <f>TEXT(Raw_Data[[#This Row],[Order Date]],"mmm")</f>
        <v>Apr</v>
      </c>
      <c r="C3400" t="s">
        <v>2903</v>
      </c>
      <c r="D3400" t="s">
        <v>17423</v>
      </c>
      <c r="E3400" t="s">
        <v>48</v>
      </c>
      <c r="F3400" t="s">
        <v>36</v>
      </c>
      <c r="G3400" t="s">
        <v>153</v>
      </c>
      <c r="H3400" t="s">
        <v>107</v>
      </c>
      <c r="I3400" t="s">
        <v>108</v>
      </c>
      <c r="J3400" t="s">
        <v>25</v>
      </c>
      <c r="K3400" t="s">
        <v>17424</v>
      </c>
      <c r="L3400">
        <v>0.1</v>
      </c>
      <c r="M3400" t="s">
        <v>17425</v>
      </c>
      <c r="N3400" t="s">
        <v>17426</v>
      </c>
      <c r="O3400" t="s">
        <v>29</v>
      </c>
      <c r="P3400" t="s">
        <v>30</v>
      </c>
      <c r="Q3400" t="s">
        <v>44</v>
      </c>
      <c r="R3400" s="3">
        <v>13154.373</v>
      </c>
    </row>
    <row r="3401" spans="1:18" x14ac:dyDescent="0.3">
      <c r="A3401" t="s">
        <v>17427</v>
      </c>
      <c r="B3401" t="str">
        <f>TEXT(Raw_Data[[#This Row],[Order Date]],"mmm")</f>
        <v>Apr</v>
      </c>
      <c r="C3401" t="s">
        <v>419</v>
      </c>
      <c r="D3401" t="s">
        <v>17428</v>
      </c>
      <c r="E3401" t="s">
        <v>20</v>
      </c>
      <c r="F3401" t="s">
        <v>78</v>
      </c>
      <c r="G3401" t="s">
        <v>731</v>
      </c>
      <c r="H3401" t="s">
        <v>107</v>
      </c>
      <c r="I3401" t="s">
        <v>591</v>
      </c>
      <c r="J3401" t="s">
        <v>82</v>
      </c>
      <c r="K3401" t="s">
        <v>17429</v>
      </c>
      <c r="L3401">
        <v>0.1</v>
      </c>
      <c r="M3401" t="s">
        <v>17430</v>
      </c>
      <c r="N3401" t="s">
        <v>17431</v>
      </c>
      <c r="O3401" t="s">
        <v>173</v>
      </c>
      <c r="P3401" t="s">
        <v>30</v>
      </c>
      <c r="Q3401" t="s">
        <v>65</v>
      </c>
      <c r="R3401" s="3">
        <v>19467.216</v>
      </c>
    </row>
    <row r="3402" spans="1:18" x14ac:dyDescent="0.3">
      <c r="A3402" t="s">
        <v>17432</v>
      </c>
      <c r="B3402" t="str">
        <f>TEXT(Raw_Data[[#This Row],[Order Date]],"mmm")</f>
        <v>Jun</v>
      </c>
      <c r="C3402" t="s">
        <v>181</v>
      </c>
      <c r="D3402" t="s">
        <v>17433</v>
      </c>
      <c r="E3402" t="s">
        <v>48</v>
      </c>
      <c r="F3402" t="s">
        <v>78</v>
      </c>
      <c r="G3402" t="s">
        <v>731</v>
      </c>
      <c r="H3402" t="s">
        <v>107</v>
      </c>
      <c r="I3402" t="s">
        <v>277</v>
      </c>
      <c r="J3402" t="s">
        <v>50</v>
      </c>
      <c r="K3402" t="s">
        <v>17434</v>
      </c>
      <c r="L3402">
        <v>0.15</v>
      </c>
      <c r="M3402" t="s">
        <v>17435</v>
      </c>
      <c r="N3402" t="s">
        <v>17436</v>
      </c>
      <c r="O3402" t="s">
        <v>54</v>
      </c>
      <c r="P3402" t="s">
        <v>30</v>
      </c>
      <c r="Q3402" t="s">
        <v>44</v>
      </c>
      <c r="R3402" s="3">
        <v>16840.319</v>
      </c>
    </row>
    <row r="3403" spans="1:18" x14ac:dyDescent="0.3">
      <c r="A3403" t="s">
        <v>17437</v>
      </c>
      <c r="B3403" t="str">
        <f>TEXT(Raw_Data[[#This Row],[Order Date]],"mmm")</f>
        <v>Feb</v>
      </c>
      <c r="C3403" t="s">
        <v>2892</v>
      </c>
      <c r="D3403" t="s">
        <v>17438</v>
      </c>
      <c r="E3403" t="s">
        <v>20</v>
      </c>
      <c r="F3403" t="s">
        <v>89</v>
      </c>
      <c r="G3403" t="s">
        <v>230</v>
      </c>
      <c r="H3403" t="s">
        <v>154</v>
      </c>
      <c r="I3403" t="s">
        <v>1061</v>
      </c>
      <c r="J3403" t="s">
        <v>25</v>
      </c>
      <c r="K3403" t="s">
        <v>17439</v>
      </c>
      <c r="L3403">
        <v>0.15</v>
      </c>
      <c r="M3403" t="s">
        <v>17440</v>
      </c>
      <c r="N3403" t="s">
        <v>17441</v>
      </c>
      <c r="O3403" t="s">
        <v>43</v>
      </c>
      <c r="P3403" t="s">
        <v>30</v>
      </c>
      <c r="Q3403" t="s">
        <v>65</v>
      </c>
      <c r="R3403" s="3">
        <v>2209.77899999999</v>
      </c>
    </row>
    <row r="3404" spans="1:18" x14ac:dyDescent="0.3">
      <c r="A3404" t="s">
        <v>17442</v>
      </c>
      <c r="B3404" t="str">
        <f>TEXT(Raw_Data[[#This Row],[Order Date]],"mmm")</f>
        <v>Sep</v>
      </c>
      <c r="C3404" t="s">
        <v>288</v>
      </c>
      <c r="D3404" t="s">
        <v>17443</v>
      </c>
      <c r="E3404" t="s">
        <v>48</v>
      </c>
      <c r="F3404" t="s">
        <v>36</v>
      </c>
      <c r="G3404" t="s">
        <v>153</v>
      </c>
      <c r="H3404" t="s">
        <v>80</v>
      </c>
      <c r="I3404" t="s">
        <v>91</v>
      </c>
      <c r="J3404" t="s">
        <v>25</v>
      </c>
      <c r="K3404" t="s">
        <v>17444</v>
      </c>
      <c r="L3404">
        <v>0.1</v>
      </c>
      <c r="M3404" t="s">
        <v>17445</v>
      </c>
      <c r="N3404" t="s">
        <v>17446</v>
      </c>
      <c r="O3404" t="s">
        <v>43</v>
      </c>
      <c r="P3404" t="s">
        <v>30</v>
      </c>
      <c r="Q3404" t="s">
        <v>44</v>
      </c>
      <c r="R3404" s="3">
        <v>3000.2849999999999</v>
      </c>
    </row>
    <row r="3405" spans="1:18" x14ac:dyDescent="0.3">
      <c r="A3405" t="s">
        <v>17447</v>
      </c>
      <c r="B3405" t="str">
        <f>TEXT(Raw_Data[[#This Row],[Order Date]],"mmm")</f>
        <v>May</v>
      </c>
      <c r="C3405" t="s">
        <v>1781</v>
      </c>
      <c r="D3405" t="s">
        <v>17448</v>
      </c>
      <c r="E3405" t="s">
        <v>35</v>
      </c>
      <c r="F3405" t="s">
        <v>89</v>
      </c>
      <c r="G3405" t="s">
        <v>99</v>
      </c>
      <c r="H3405" t="s">
        <v>80</v>
      </c>
      <c r="I3405" t="s">
        <v>131</v>
      </c>
      <c r="J3405" t="s">
        <v>82</v>
      </c>
      <c r="K3405" t="s">
        <v>17449</v>
      </c>
      <c r="L3405">
        <v>0.05</v>
      </c>
      <c r="M3405" t="s">
        <v>17450</v>
      </c>
      <c r="N3405" t="s">
        <v>17451</v>
      </c>
      <c r="O3405" t="s">
        <v>29</v>
      </c>
      <c r="P3405" t="s">
        <v>30</v>
      </c>
      <c r="Q3405" t="s">
        <v>31</v>
      </c>
      <c r="R3405" s="3">
        <v>20149.271999999899</v>
      </c>
    </row>
    <row r="3406" spans="1:18" x14ac:dyDescent="0.3">
      <c r="A3406" t="s">
        <v>17452</v>
      </c>
      <c r="B3406" t="str">
        <f>TEXT(Raw_Data[[#This Row],[Order Date]],"mmm")</f>
        <v>Mar</v>
      </c>
      <c r="C3406" t="s">
        <v>1915</v>
      </c>
      <c r="D3406" t="s">
        <v>17453</v>
      </c>
      <c r="E3406" t="s">
        <v>35</v>
      </c>
      <c r="F3406" t="s">
        <v>106</v>
      </c>
      <c r="G3406" t="s">
        <v>163</v>
      </c>
      <c r="H3406" t="s">
        <v>23</v>
      </c>
      <c r="I3406" t="s">
        <v>341</v>
      </c>
      <c r="J3406" t="s">
        <v>25</v>
      </c>
      <c r="K3406" t="s">
        <v>17454</v>
      </c>
      <c r="L3406">
        <v>0.2</v>
      </c>
      <c r="M3406" t="s">
        <v>17455</v>
      </c>
      <c r="N3406" t="s">
        <v>17456</v>
      </c>
      <c r="O3406" t="s">
        <v>43</v>
      </c>
      <c r="P3406" t="s">
        <v>30</v>
      </c>
      <c r="Q3406" t="s">
        <v>31</v>
      </c>
      <c r="R3406" s="3">
        <v>54741.167999999998</v>
      </c>
    </row>
    <row r="3407" spans="1:18" x14ac:dyDescent="0.3">
      <c r="A3407" t="s">
        <v>17457</v>
      </c>
      <c r="B3407" t="str">
        <f>TEXT(Raw_Data[[#This Row],[Order Date]],"mmm")</f>
        <v>Sep</v>
      </c>
      <c r="C3407" t="s">
        <v>618</v>
      </c>
      <c r="D3407" t="s">
        <v>17458</v>
      </c>
      <c r="E3407" t="s">
        <v>35</v>
      </c>
      <c r="F3407" t="s">
        <v>69</v>
      </c>
      <c r="G3407" t="s">
        <v>139</v>
      </c>
      <c r="H3407" t="s">
        <v>23</v>
      </c>
      <c r="I3407" t="s">
        <v>263</v>
      </c>
      <c r="J3407" t="s">
        <v>25</v>
      </c>
      <c r="K3407" t="s">
        <v>17459</v>
      </c>
      <c r="L3407">
        <v>0.05</v>
      </c>
      <c r="M3407" t="s">
        <v>17460</v>
      </c>
      <c r="N3407" t="s">
        <v>17461</v>
      </c>
      <c r="O3407" t="s">
        <v>43</v>
      </c>
      <c r="P3407" t="s">
        <v>30</v>
      </c>
      <c r="Q3407" t="s">
        <v>44</v>
      </c>
      <c r="R3407" s="3">
        <v>67551.231999999902</v>
      </c>
    </row>
    <row r="3408" spans="1:18" x14ac:dyDescent="0.3">
      <c r="A3408" t="s">
        <v>17462</v>
      </c>
      <c r="B3408" t="str">
        <f>TEXT(Raw_Data[[#This Row],[Order Date]],"mmm")</f>
        <v>Oct</v>
      </c>
      <c r="C3408" t="s">
        <v>2217</v>
      </c>
      <c r="D3408" t="s">
        <v>17463</v>
      </c>
      <c r="E3408" t="s">
        <v>20</v>
      </c>
      <c r="F3408" t="s">
        <v>69</v>
      </c>
      <c r="G3408" t="s">
        <v>328</v>
      </c>
      <c r="H3408" t="s">
        <v>23</v>
      </c>
      <c r="I3408" t="s">
        <v>183</v>
      </c>
      <c r="J3408" t="s">
        <v>50</v>
      </c>
      <c r="K3408" t="s">
        <v>17464</v>
      </c>
      <c r="L3408">
        <v>0.15</v>
      </c>
      <c r="M3408" t="s">
        <v>17465</v>
      </c>
      <c r="N3408" t="s">
        <v>17466</v>
      </c>
      <c r="O3408" t="s">
        <v>64</v>
      </c>
      <c r="P3408" t="s">
        <v>159</v>
      </c>
      <c r="Q3408" t="s">
        <v>44</v>
      </c>
      <c r="R3408" s="3">
        <v>100307.68399999999</v>
      </c>
    </row>
    <row r="3409" spans="1:18" x14ac:dyDescent="0.3">
      <c r="A3409" t="s">
        <v>17467</v>
      </c>
      <c r="B3409" t="str">
        <f>TEXT(Raw_Data[[#This Row],[Order Date]],"mmm")</f>
        <v>Mar</v>
      </c>
      <c r="C3409" t="s">
        <v>2180</v>
      </c>
      <c r="D3409" t="s">
        <v>17468</v>
      </c>
      <c r="E3409" t="s">
        <v>35</v>
      </c>
      <c r="F3409" t="s">
        <v>58</v>
      </c>
      <c r="G3409" t="s">
        <v>59</v>
      </c>
      <c r="H3409" t="s">
        <v>23</v>
      </c>
      <c r="I3409" t="s">
        <v>24</v>
      </c>
      <c r="J3409" t="s">
        <v>25</v>
      </c>
      <c r="K3409" t="s">
        <v>17469</v>
      </c>
      <c r="L3409">
        <v>0.05</v>
      </c>
      <c r="M3409" t="s">
        <v>17470</v>
      </c>
      <c r="N3409" t="s">
        <v>17471</v>
      </c>
      <c r="O3409" t="s">
        <v>43</v>
      </c>
      <c r="P3409" t="s">
        <v>30</v>
      </c>
      <c r="Q3409" t="s">
        <v>31</v>
      </c>
      <c r="R3409" s="3">
        <v>11315.4119999999</v>
      </c>
    </row>
    <row r="3410" spans="1:18" x14ac:dyDescent="0.3">
      <c r="A3410" t="s">
        <v>17472</v>
      </c>
      <c r="B3410" t="str">
        <f>TEXT(Raw_Data[[#This Row],[Order Date]],"mmm")</f>
        <v>Dec</v>
      </c>
      <c r="C3410" t="s">
        <v>1093</v>
      </c>
      <c r="D3410" t="s">
        <v>17473</v>
      </c>
      <c r="E3410" t="s">
        <v>20</v>
      </c>
      <c r="F3410" t="s">
        <v>69</v>
      </c>
      <c r="G3410" t="s">
        <v>70</v>
      </c>
      <c r="H3410" t="s">
        <v>38</v>
      </c>
      <c r="I3410" t="s">
        <v>256</v>
      </c>
      <c r="J3410" t="s">
        <v>50</v>
      </c>
      <c r="K3410" t="s">
        <v>17474</v>
      </c>
      <c r="L3410">
        <v>0.1</v>
      </c>
      <c r="M3410" t="s">
        <v>17475</v>
      </c>
      <c r="N3410" t="s">
        <v>17476</v>
      </c>
      <c r="O3410" t="s">
        <v>29</v>
      </c>
      <c r="P3410" t="s">
        <v>30</v>
      </c>
      <c r="Q3410" t="s">
        <v>44</v>
      </c>
      <c r="R3410" s="3">
        <v>5316.8580000000002</v>
      </c>
    </row>
    <row r="3411" spans="1:18" x14ac:dyDescent="0.3">
      <c r="A3411" t="s">
        <v>17477</v>
      </c>
      <c r="B3411" t="str">
        <f>TEXT(Raw_Data[[#This Row],[Order Date]],"mmm")</f>
        <v>Aug</v>
      </c>
      <c r="C3411" t="s">
        <v>3933</v>
      </c>
      <c r="D3411" t="s">
        <v>17478</v>
      </c>
      <c r="E3411" t="s">
        <v>48</v>
      </c>
      <c r="F3411" t="s">
        <v>36</v>
      </c>
      <c r="G3411" t="s">
        <v>123</v>
      </c>
      <c r="H3411" t="s">
        <v>23</v>
      </c>
      <c r="I3411" t="s">
        <v>263</v>
      </c>
      <c r="J3411" t="s">
        <v>25</v>
      </c>
      <c r="K3411" t="s">
        <v>17479</v>
      </c>
      <c r="L3411">
        <v>0</v>
      </c>
      <c r="M3411" t="s">
        <v>17480</v>
      </c>
      <c r="N3411" t="s">
        <v>17481</v>
      </c>
      <c r="O3411" t="s">
        <v>64</v>
      </c>
      <c r="P3411" t="s">
        <v>159</v>
      </c>
      <c r="Q3411" t="s">
        <v>65</v>
      </c>
      <c r="R3411" s="3">
        <v>22160.43</v>
      </c>
    </row>
    <row r="3412" spans="1:18" x14ac:dyDescent="0.3">
      <c r="A3412" t="s">
        <v>17482</v>
      </c>
      <c r="B3412" t="str">
        <f>TEXT(Raw_Data[[#This Row],[Order Date]],"mmm")</f>
        <v>Jun</v>
      </c>
      <c r="C3412" t="s">
        <v>1047</v>
      </c>
      <c r="D3412" t="s">
        <v>17483</v>
      </c>
      <c r="E3412" t="s">
        <v>20</v>
      </c>
      <c r="F3412" t="s">
        <v>106</v>
      </c>
      <c r="G3412" t="s">
        <v>163</v>
      </c>
      <c r="H3412" t="s">
        <v>154</v>
      </c>
      <c r="I3412" t="s">
        <v>237</v>
      </c>
      <c r="J3412" t="s">
        <v>25</v>
      </c>
      <c r="K3412" t="s">
        <v>17484</v>
      </c>
      <c r="L3412">
        <v>0.05</v>
      </c>
      <c r="M3412" t="s">
        <v>17485</v>
      </c>
      <c r="N3412" t="s">
        <v>17486</v>
      </c>
      <c r="O3412" t="s">
        <v>3684</v>
      </c>
      <c r="P3412" t="s">
        <v>30</v>
      </c>
      <c r="Q3412" t="s">
        <v>65</v>
      </c>
      <c r="R3412" s="3">
        <v>8993.3269999999993</v>
      </c>
    </row>
    <row r="3413" spans="1:18" x14ac:dyDescent="0.3">
      <c r="A3413" t="s">
        <v>17487</v>
      </c>
      <c r="B3413" t="str">
        <f>TEXT(Raw_Data[[#This Row],[Order Date]],"mmm")</f>
        <v>Jun</v>
      </c>
      <c r="C3413" t="s">
        <v>2758</v>
      </c>
      <c r="D3413" t="s">
        <v>17488</v>
      </c>
      <c r="E3413" t="s">
        <v>35</v>
      </c>
      <c r="F3413" t="s">
        <v>106</v>
      </c>
      <c r="G3413" t="s">
        <v>106</v>
      </c>
      <c r="H3413" t="s">
        <v>107</v>
      </c>
      <c r="I3413" t="s">
        <v>378</v>
      </c>
      <c r="J3413" t="s">
        <v>25</v>
      </c>
      <c r="K3413" t="s">
        <v>17489</v>
      </c>
      <c r="L3413">
        <v>0.05</v>
      </c>
      <c r="M3413" t="s">
        <v>17490</v>
      </c>
      <c r="N3413" t="s">
        <v>17491</v>
      </c>
      <c r="O3413" t="s">
        <v>43</v>
      </c>
      <c r="P3413" t="s">
        <v>30</v>
      </c>
      <c r="Q3413" t="s">
        <v>44</v>
      </c>
      <c r="R3413" s="3">
        <v>11740.1855</v>
      </c>
    </row>
    <row r="3414" spans="1:18" x14ac:dyDescent="0.3">
      <c r="A3414" t="s">
        <v>17492</v>
      </c>
      <c r="B3414" t="str">
        <f>TEXT(Raw_Data[[#This Row],[Order Date]],"mmm")</f>
        <v>Jan</v>
      </c>
      <c r="C3414" t="s">
        <v>261</v>
      </c>
      <c r="D3414" t="s">
        <v>17493</v>
      </c>
      <c r="E3414" t="s">
        <v>48</v>
      </c>
      <c r="F3414" t="s">
        <v>69</v>
      </c>
      <c r="G3414" t="s">
        <v>70</v>
      </c>
      <c r="H3414" t="s">
        <v>80</v>
      </c>
      <c r="I3414" t="s">
        <v>146</v>
      </c>
      <c r="J3414" t="s">
        <v>25</v>
      </c>
      <c r="K3414" t="s">
        <v>17494</v>
      </c>
      <c r="L3414">
        <v>0.05</v>
      </c>
      <c r="M3414" t="s">
        <v>17495</v>
      </c>
      <c r="N3414" t="s">
        <v>17496</v>
      </c>
      <c r="O3414" t="s">
        <v>43</v>
      </c>
      <c r="P3414" t="s">
        <v>30</v>
      </c>
      <c r="Q3414" t="s">
        <v>31</v>
      </c>
      <c r="R3414" s="3">
        <v>870.21899999999903</v>
      </c>
    </row>
    <row r="3415" spans="1:18" x14ac:dyDescent="0.3">
      <c r="A3415" t="s">
        <v>17497</v>
      </c>
      <c r="B3415" t="str">
        <f>TEXT(Raw_Data[[#This Row],[Order Date]],"mmm")</f>
        <v>Jan</v>
      </c>
      <c r="C3415" t="s">
        <v>3337</v>
      </c>
      <c r="D3415" t="s">
        <v>17498</v>
      </c>
      <c r="E3415" t="s">
        <v>35</v>
      </c>
      <c r="F3415" t="s">
        <v>21</v>
      </c>
      <c r="G3415" t="s">
        <v>22</v>
      </c>
      <c r="H3415" t="s">
        <v>23</v>
      </c>
      <c r="I3415" t="s">
        <v>263</v>
      </c>
      <c r="J3415" t="s">
        <v>50</v>
      </c>
      <c r="K3415" t="s">
        <v>17499</v>
      </c>
      <c r="L3415">
        <v>0.1</v>
      </c>
      <c r="M3415" t="s">
        <v>17500</v>
      </c>
      <c r="N3415" t="s">
        <v>17501</v>
      </c>
      <c r="O3415" t="s">
        <v>43</v>
      </c>
      <c r="P3415" t="s">
        <v>30</v>
      </c>
      <c r="Q3415" t="s">
        <v>44</v>
      </c>
      <c r="R3415" s="3">
        <v>69115.644</v>
      </c>
    </row>
    <row r="3416" spans="1:18" x14ac:dyDescent="0.3">
      <c r="A3416" t="s">
        <v>17502</v>
      </c>
      <c r="B3416" t="str">
        <f>TEXT(Raw_Data[[#This Row],[Order Date]],"mmm")</f>
        <v>Dec</v>
      </c>
      <c r="C3416" t="s">
        <v>1769</v>
      </c>
      <c r="D3416" t="s">
        <v>17503</v>
      </c>
      <c r="E3416" t="s">
        <v>35</v>
      </c>
      <c r="F3416" t="s">
        <v>58</v>
      </c>
      <c r="G3416" t="s">
        <v>59</v>
      </c>
      <c r="H3416" t="s">
        <v>23</v>
      </c>
      <c r="I3416" t="s">
        <v>341</v>
      </c>
      <c r="J3416" t="s">
        <v>25</v>
      </c>
      <c r="K3416" t="s">
        <v>17504</v>
      </c>
      <c r="L3416">
        <v>0.05</v>
      </c>
      <c r="M3416" t="s">
        <v>17505</v>
      </c>
      <c r="N3416" t="s">
        <v>17506</v>
      </c>
      <c r="O3416" t="s">
        <v>43</v>
      </c>
      <c r="P3416" t="s">
        <v>30</v>
      </c>
      <c r="Q3416" t="s">
        <v>65</v>
      </c>
      <c r="R3416" s="3">
        <v>29742.771000000001</v>
      </c>
    </row>
    <row r="3417" spans="1:18" x14ac:dyDescent="0.3">
      <c r="A3417" t="s">
        <v>17507</v>
      </c>
      <c r="B3417" t="str">
        <f>TEXT(Raw_Data[[#This Row],[Order Date]],"mmm")</f>
        <v>Apr</v>
      </c>
      <c r="C3417" t="s">
        <v>2095</v>
      </c>
      <c r="D3417" t="s">
        <v>17508</v>
      </c>
      <c r="E3417" t="s">
        <v>35</v>
      </c>
      <c r="F3417" t="s">
        <v>69</v>
      </c>
      <c r="G3417" t="s">
        <v>139</v>
      </c>
      <c r="H3417" t="s">
        <v>107</v>
      </c>
      <c r="I3417" t="s">
        <v>591</v>
      </c>
      <c r="J3417" t="s">
        <v>25</v>
      </c>
      <c r="K3417" t="s">
        <v>17509</v>
      </c>
      <c r="L3417">
        <v>0.15</v>
      </c>
      <c r="M3417" t="s">
        <v>17510</v>
      </c>
      <c r="N3417" t="s">
        <v>17511</v>
      </c>
      <c r="O3417" t="s">
        <v>173</v>
      </c>
      <c r="P3417" t="s">
        <v>30</v>
      </c>
      <c r="Q3417" t="s">
        <v>31</v>
      </c>
      <c r="R3417" s="3">
        <v>15046.9635</v>
      </c>
    </row>
    <row r="3418" spans="1:18" x14ac:dyDescent="0.3">
      <c r="A3418" t="s">
        <v>17512</v>
      </c>
      <c r="B3418" t="str">
        <f>TEXT(Raw_Data[[#This Row],[Order Date]],"mmm")</f>
        <v>Oct</v>
      </c>
      <c r="C3418" t="s">
        <v>2432</v>
      </c>
      <c r="D3418" t="s">
        <v>17513</v>
      </c>
      <c r="E3418" t="s">
        <v>35</v>
      </c>
      <c r="F3418" t="s">
        <v>69</v>
      </c>
      <c r="G3418" t="s">
        <v>328</v>
      </c>
      <c r="H3418" t="s">
        <v>80</v>
      </c>
      <c r="I3418" t="s">
        <v>131</v>
      </c>
      <c r="J3418" t="s">
        <v>25</v>
      </c>
      <c r="K3418" t="s">
        <v>17514</v>
      </c>
      <c r="L3418">
        <v>0</v>
      </c>
      <c r="M3418" t="s">
        <v>17515</v>
      </c>
      <c r="N3418" t="s">
        <v>17516</v>
      </c>
      <c r="O3418" t="s">
        <v>43</v>
      </c>
      <c r="P3418" t="s">
        <v>30</v>
      </c>
      <c r="Q3418" t="s">
        <v>31</v>
      </c>
      <c r="R3418" s="3">
        <v>1941.33</v>
      </c>
    </row>
    <row r="3419" spans="1:18" x14ac:dyDescent="0.3">
      <c r="A3419" t="s">
        <v>17517</v>
      </c>
      <c r="B3419" t="str">
        <f>TEXT(Raw_Data[[#This Row],[Order Date]],"mmm")</f>
        <v>May</v>
      </c>
      <c r="C3419" t="s">
        <v>1509</v>
      </c>
      <c r="D3419" t="s">
        <v>17518</v>
      </c>
      <c r="E3419" t="s">
        <v>48</v>
      </c>
      <c r="F3419" t="s">
        <v>58</v>
      </c>
      <c r="G3419" t="s">
        <v>812</v>
      </c>
      <c r="H3419" t="s">
        <v>80</v>
      </c>
      <c r="I3419" t="s">
        <v>91</v>
      </c>
      <c r="J3419" t="s">
        <v>50</v>
      </c>
      <c r="K3419" t="s">
        <v>17519</v>
      </c>
      <c r="L3419">
        <v>0.2</v>
      </c>
      <c r="M3419" t="s">
        <v>17520</v>
      </c>
      <c r="N3419" t="s">
        <v>17521</v>
      </c>
      <c r="O3419" t="s">
        <v>43</v>
      </c>
      <c r="P3419" t="s">
        <v>30</v>
      </c>
      <c r="Q3419" t="s">
        <v>44</v>
      </c>
      <c r="R3419" s="3">
        <v>8966.9920000000002</v>
      </c>
    </row>
    <row r="3420" spans="1:18" x14ac:dyDescent="0.3">
      <c r="A3420" t="s">
        <v>17522</v>
      </c>
      <c r="B3420" t="str">
        <f>TEXT(Raw_Data[[#This Row],[Order Date]],"mmm")</f>
        <v>Jan</v>
      </c>
      <c r="C3420" t="s">
        <v>2602</v>
      </c>
      <c r="D3420" t="s">
        <v>17523</v>
      </c>
      <c r="E3420" t="s">
        <v>20</v>
      </c>
      <c r="F3420" t="s">
        <v>106</v>
      </c>
      <c r="G3420" t="s">
        <v>106</v>
      </c>
      <c r="H3420" t="s">
        <v>107</v>
      </c>
      <c r="I3420" t="s">
        <v>378</v>
      </c>
      <c r="J3420" t="s">
        <v>25</v>
      </c>
      <c r="K3420" t="s">
        <v>17524</v>
      </c>
      <c r="L3420">
        <v>0.15</v>
      </c>
      <c r="M3420" t="s">
        <v>17525</v>
      </c>
      <c r="N3420" t="s">
        <v>17526</v>
      </c>
      <c r="O3420" t="s">
        <v>64</v>
      </c>
      <c r="P3420" t="s">
        <v>30</v>
      </c>
      <c r="Q3420" t="s">
        <v>65</v>
      </c>
      <c r="R3420" s="3">
        <v>11003.4455</v>
      </c>
    </row>
    <row r="3421" spans="1:18" x14ac:dyDescent="0.3">
      <c r="A3421" t="s">
        <v>17527</v>
      </c>
      <c r="B3421" t="str">
        <f>TEXT(Raw_Data[[#This Row],[Order Date]],"mmm")</f>
        <v>Jul</v>
      </c>
      <c r="C3421" t="s">
        <v>3461</v>
      </c>
      <c r="D3421" t="s">
        <v>17528</v>
      </c>
      <c r="E3421" t="s">
        <v>35</v>
      </c>
      <c r="F3421" t="s">
        <v>36</v>
      </c>
      <c r="G3421" t="s">
        <v>153</v>
      </c>
      <c r="H3421" t="s">
        <v>38</v>
      </c>
      <c r="I3421" t="s">
        <v>256</v>
      </c>
      <c r="J3421" t="s">
        <v>25</v>
      </c>
      <c r="K3421" t="s">
        <v>17529</v>
      </c>
      <c r="L3421">
        <v>0.1</v>
      </c>
      <c r="M3421" t="s">
        <v>17530</v>
      </c>
      <c r="N3421" t="s">
        <v>17531</v>
      </c>
      <c r="O3421" t="s">
        <v>64</v>
      </c>
      <c r="P3421" t="s">
        <v>30</v>
      </c>
      <c r="Q3421" t="s">
        <v>31</v>
      </c>
      <c r="R3421" s="3">
        <v>2623.0409999999902</v>
      </c>
    </row>
    <row r="3422" spans="1:18" x14ac:dyDescent="0.3">
      <c r="A3422" t="s">
        <v>17532</v>
      </c>
      <c r="B3422" t="str">
        <f>TEXT(Raw_Data[[#This Row],[Order Date]],"mmm")</f>
        <v>Nov</v>
      </c>
      <c r="C3422" t="s">
        <v>1198</v>
      </c>
      <c r="D3422" t="s">
        <v>17533</v>
      </c>
      <c r="E3422" t="s">
        <v>35</v>
      </c>
      <c r="F3422" t="s">
        <v>89</v>
      </c>
      <c r="G3422" t="s">
        <v>99</v>
      </c>
      <c r="H3422" t="s">
        <v>80</v>
      </c>
      <c r="I3422" t="s">
        <v>116</v>
      </c>
      <c r="J3422" t="s">
        <v>25</v>
      </c>
      <c r="K3422" t="s">
        <v>17534</v>
      </c>
      <c r="L3422">
        <v>0.05</v>
      </c>
      <c r="M3422" t="s">
        <v>17535</v>
      </c>
      <c r="N3422" t="s">
        <v>17536</v>
      </c>
      <c r="O3422" t="s">
        <v>29</v>
      </c>
      <c r="P3422" t="s">
        <v>159</v>
      </c>
      <c r="Q3422" t="s">
        <v>44</v>
      </c>
      <c r="R3422" s="3">
        <v>4257.6719999999996</v>
      </c>
    </row>
    <row r="3423" spans="1:18" x14ac:dyDescent="0.3">
      <c r="A3423" t="s">
        <v>17537</v>
      </c>
      <c r="B3423" t="str">
        <f>TEXT(Raw_Data[[#This Row],[Order Date]],"mmm")</f>
        <v>Mar</v>
      </c>
      <c r="C3423" t="s">
        <v>1460</v>
      </c>
      <c r="D3423" t="s">
        <v>17538</v>
      </c>
      <c r="E3423" t="s">
        <v>48</v>
      </c>
      <c r="F3423" t="s">
        <v>69</v>
      </c>
      <c r="G3423" t="s">
        <v>139</v>
      </c>
      <c r="H3423" t="s">
        <v>38</v>
      </c>
      <c r="I3423" t="s">
        <v>60</v>
      </c>
      <c r="J3423" t="s">
        <v>25</v>
      </c>
      <c r="K3423" t="s">
        <v>17539</v>
      </c>
      <c r="L3423">
        <v>0.1</v>
      </c>
      <c r="M3423" t="s">
        <v>17540</v>
      </c>
      <c r="N3423" t="s">
        <v>17541</v>
      </c>
      <c r="O3423" t="s">
        <v>29</v>
      </c>
      <c r="P3423" t="s">
        <v>30</v>
      </c>
      <c r="Q3423" t="s">
        <v>44</v>
      </c>
      <c r="R3423" s="3">
        <v>2801.6640000000002</v>
      </c>
    </row>
    <row r="3424" spans="1:18" x14ac:dyDescent="0.3">
      <c r="A3424" t="s">
        <v>17542</v>
      </c>
      <c r="B3424" t="str">
        <f>TEXT(Raw_Data[[#This Row],[Order Date]],"mmm")</f>
        <v>May</v>
      </c>
      <c r="C3424" t="s">
        <v>1420</v>
      </c>
      <c r="D3424" t="s">
        <v>17543</v>
      </c>
      <c r="E3424" t="s">
        <v>35</v>
      </c>
      <c r="F3424" t="s">
        <v>89</v>
      </c>
      <c r="G3424" t="s">
        <v>99</v>
      </c>
      <c r="H3424" t="s">
        <v>80</v>
      </c>
      <c r="I3424" t="s">
        <v>81</v>
      </c>
      <c r="J3424" t="s">
        <v>25</v>
      </c>
      <c r="K3424" t="s">
        <v>17544</v>
      </c>
      <c r="L3424">
        <v>0.1</v>
      </c>
      <c r="M3424" t="s">
        <v>17545</v>
      </c>
      <c r="N3424" t="s">
        <v>17546</v>
      </c>
      <c r="O3424" t="s">
        <v>29</v>
      </c>
      <c r="P3424" t="s">
        <v>30</v>
      </c>
      <c r="Q3424" t="s">
        <v>44</v>
      </c>
      <c r="R3424" s="3">
        <v>3784.9140000000002</v>
      </c>
    </row>
    <row r="3425" spans="1:18" x14ac:dyDescent="0.3">
      <c r="A3425" t="s">
        <v>17547</v>
      </c>
      <c r="B3425" t="str">
        <f>TEXT(Raw_Data[[#This Row],[Order Date]],"mmm")</f>
        <v>Aug</v>
      </c>
      <c r="C3425" t="s">
        <v>4824</v>
      </c>
      <c r="D3425" t="s">
        <v>17548</v>
      </c>
      <c r="E3425" t="s">
        <v>48</v>
      </c>
      <c r="F3425" t="s">
        <v>215</v>
      </c>
      <c r="G3425" t="s">
        <v>216</v>
      </c>
      <c r="H3425" t="s">
        <v>80</v>
      </c>
      <c r="I3425" t="s">
        <v>116</v>
      </c>
      <c r="J3425" t="s">
        <v>25</v>
      </c>
      <c r="K3425" t="s">
        <v>17549</v>
      </c>
      <c r="L3425">
        <v>0</v>
      </c>
      <c r="M3425" t="s">
        <v>17550</v>
      </c>
      <c r="N3425" t="s">
        <v>17551</v>
      </c>
      <c r="O3425" t="s">
        <v>29</v>
      </c>
      <c r="P3425" t="s">
        <v>30</v>
      </c>
      <c r="Q3425" t="s">
        <v>65</v>
      </c>
      <c r="R3425" s="3">
        <v>3194.62</v>
      </c>
    </row>
    <row r="3426" spans="1:18" x14ac:dyDescent="0.3">
      <c r="A3426" t="s">
        <v>17552</v>
      </c>
      <c r="B3426" t="str">
        <f>TEXT(Raw_Data[[#This Row],[Order Date]],"mmm")</f>
        <v>Apr</v>
      </c>
      <c r="C3426" t="s">
        <v>2338</v>
      </c>
      <c r="D3426" t="s">
        <v>17553</v>
      </c>
      <c r="E3426" t="s">
        <v>20</v>
      </c>
      <c r="F3426" t="s">
        <v>69</v>
      </c>
      <c r="G3426" t="s">
        <v>139</v>
      </c>
      <c r="H3426" t="s">
        <v>80</v>
      </c>
      <c r="I3426" t="s">
        <v>116</v>
      </c>
      <c r="J3426" t="s">
        <v>25</v>
      </c>
      <c r="K3426" t="s">
        <v>17554</v>
      </c>
      <c r="L3426">
        <v>0</v>
      </c>
      <c r="M3426" t="s">
        <v>17555</v>
      </c>
      <c r="N3426" t="s">
        <v>7598</v>
      </c>
      <c r="O3426" t="s">
        <v>173</v>
      </c>
      <c r="P3426" t="s">
        <v>30</v>
      </c>
      <c r="Q3426" t="s">
        <v>65</v>
      </c>
      <c r="R3426" s="3">
        <v>5678.82</v>
      </c>
    </row>
    <row r="3427" spans="1:18" x14ac:dyDescent="0.3">
      <c r="A3427" t="s">
        <v>17556</v>
      </c>
      <c r="B3427" t="str">
        <f>TEXT(Raw_Data[[#This Row],[Order Date]],"mmm")</f>
        <v>Aug</v>
      </c>
      <c r="C3427" t="s">
        <v>1313</v>
      </c>
      <c r="D3427" t="s">
        <v>17557</v>
      </c>
      <c r="E3427" t="s">
        <v>48</v>
      </c>
      <c r="F3427" t="s">
        <v>215</v>
      </c>
      <c r="G3427" t="s">
        <v>216</v>
      </c>
      <c r="H3427" t="s">
        <v>80</v>
      </c>
      <c r="I3427" t="s">
        <v>91</v>
      </c>
      <c r="J3427" t="s">
        <v>50</v>
      </c>
      <c r="K3427" t="s">
        <v>17558</v>
      </c>
      <c r="L3427">
        <v>0.05</v>
      </c>
      <c r="M3427" t="s">
        <v>17559</v>
      </c>
      <c r="N3427" t="s">
        <v>17560</v>
      </c>
      <c r="O3427" t="s">
        <v>173</v>
      </c>
      <c r="P3427" t="s">
        <v>30</v>
      </c>
      <c r="Q3427" t="s">
        <v>65</v>
      </c>
      <c r="R3427" s="3">
        <v>9054.2789999999895</v>
      </c>
    </row>
    <row r="3428" spans="1:18" x14ac:dyDescent="0.3">
      <c r="A3428" t="s">
        <v>17561</v>
      </c>
      <c r="B3428" t="str">
        <f>TEXT(Raw_Data[[#This Row],[Order Date]],"mmm")</f>
        <v>Oct</v>
      </c>
      <c r="C3428" t="s">
        <v>235</v>
      </c>
      <c r="D3428" t="s">
        <v>17562</v>
      </c>
      <c r="E3428" t="s">
        <v>20</v>
      </c>
      <c r="F3428" t="s">
        <v>69</v>
      </c>
      <c r="G3428" t="s">
        <v>328</v>
      </c>
      <c r="H3428" t="s">
        <v>154</v>
      </c>
      <c r="I3428" t="s">
        <v>365</v>
      </c>
      <c r="J3428" t="s">
        <v>25</v>
      </c>
      <c r="K3428" t="s">
        <v>17563</v>
      </c>
      <c r="L3428">
        <v>0.15</v>
      </c>
      <c r="M3428" t="s">
        <v>17564</v>
      </c>
      <c r="N3428" t="s">
        <v>17565</v>
      </c>
      <c r="O3428" t="s">
        <v>64</v>
      </c>
      <c r="P3428" t="s">
        <v>30</v>
      </c>
      <c r="Q3428" t="s">
        <v>31</v>
      </c>
      <c r="R3428" s="3">
        <v>5095.0190000000002</v>
      </c>
    </row>
    <row r="3429" spans="1:18" x14ac:dyDescent="0.3">
      <c r="A3429" t="s">
        <v>17566</v>
      </c>
      <c r="B3429" t="str">
        <f>TEXT(Raw_Data[[#This Row],[Order Date]],"mmm")</f>
        <v>Aug</v>
      </c>
      <c r="C3429" t="s">
        <v>1053</v>
      </c>
      <c r="D3429" t="s">
        <v>17567</v>
      </c>
      <c r="E3429" t="s">
        <v>48</v>
      </c>
      <c r="F3429" t="s">
        <v>58</v>
      </c>
      <c r="G3429" t="s">
        <v>290</v>
      </c>
      <c r="H3429" t="s">
        <v>107</v>
      </c>
      <c r="I3429" t="s">
        <v>591</v>
      </c>
      <c r="J3429" t="s">
        <v>50</v>
      </c>
      <c r="K3429" t="s">
        <v>17568</v>
      </c>
      <c r="L3429">
        <v>0.1</v>
      </c>
      <c r="M3429" t="s">
        <v>17569</v>
      </c>
      <c r="N3429" t="s">
        <v>17570</v>
      </c>
      <c r="O3429" t="s">
        <v>173</v>
      </c>
      <c r="P3429" t="s">
        <v>30</v>
      </c>
      <c r="Q3429" t="s">
        <v>44</v>
      </c>
      <c r="R3429" s="3">
        <v>13682.861999999999</v>
      </c>
    </row>
    <row r="3430" spans="1:18" x14ac:dyDescent="0.3">
      <c r="A3430" t="s">
        <v>17571</v>
      </c>
      <c r="B3430" t="str">
        <f>TEXT(Raw_Data[[#This Row],[Order Date]],"mmm")</f>
        <v>Sep</v>
      </c>
      <c r="C3430" t="s">
        <v>663</v>
      </c>
      <c r="D3430" t="s">
        <v>17572</v>
      </c>
      <c r="E3430" t="s">
        <v>35</v>
      </c>
      <c r="F3430" t="s">
        <v>69</v>
      </c>
      <c r="G3430" t="s">
        <v>70</v>
      </c>
      <c r="H3430" t="s">
        <v>80</v>
      </c>
      <c r="I3430" t="s">
        <v>146</v>
      </c>
      <c r="J3430" t="s">
        <v>25</v>
      </c>
      <c r="K3430" t="s">
        <v>17573</v>
      </c>
      <c r="L3430">
        <v>0</v>
      </c>
      <c r="M3430" t="s">
        <v>17574</v>
      </c>
      <c r="N3430" t="s">
        <v>17575</v>
      </c>
      <c r="O3430" t="s">
        <v>173</v>
      </c>
      <c r="P3430" t="s">
        <v>112</v>
      </c>
      <c r="Q3430" t="s">
        <v>31</v>
      </c>
      <c r="R3430" s="3">
        <v>1862.9</v>
      </c>
    </row>
    <row r="3431" spans="1:18" x14ac:dyDescent="0.3">
      <c r="A3431" t="s">
        <v>17576</v>
      </c>
      <c r="B3431" t="str">
        <f>TEXT(Raw_Data[[#This Row],[Order Date]],"mmm")</f>
        <v>Aug</v>
      </c>
      <c r="C3431" t="s">
        <v>1757</v>
      </c>
      <c r="D3431" t="s">
        <v>17577</v>
      </c>
      <c r="E3431" t="s">
        <v>48</v>
      </c>
      <c r="F3431" t="s">
        <v>89</v>
      </c>
      <c r="G3431" t="s">
        <v>90</v>
      </c>
      <c r="H3431" t="s">
        <v>154</v>
      </c>
      <c r="I3431" t="s">
        <v>237</v>
      </c>
      <c r="J3431" t="s">
        <v>82</v>
      </c>
      <c r="K3431" t="s">
        <v>17578</v>
      </c>
      <c r="L3431">
        <v>0.1</v>
      </c>
      <c r="M3431" t="s">
        <v>17579</v>
      </c>
      <c r="N3431" t="s">
        <v>17580</v>
      </c>
      <c r="O3431" t="s">
        <v>54</v>
      </c>
      <c r="P3431" t="s">
        <v>30</v>
      </c>
      <c r="Q3431" t="s">
        <v>31</v>
      </c>
      <c r="R3431" s="3">
        <v>23423.256000000001</v>
      </c>
    </row>
    <row r="3432" spans="1:18" x14ac:dyDescent="0.3">
      <c r="A3432" t="s">
        <v>17581</v>
      </c>
      <c r="B3432" t="str">
        <f>TEXT(Raw_Data[[#This Row],[Order Date]],"mmm")</f>
        <v>Apr</v>
      </c>
      <c r="C3432" t="s">
        <v>902</v>
      </c>
      <c r="D3432" t="s">
        <v>17582</v>
      </c>
      <c r="E3432" t="s">
        <v>35</v>
      </c>
      <c r="F3432" t="s">
        <v>215</v>
      </c>
      <c r="G3432" t="s">
        <v>276</v>
      </c>
      <c r="H3432" t="s">
        <v>80</v>
      </c>
      <c r="I3432" t="s">
        <v>91</v>
      </c>
      <c r="J3432" t="s">
        <v>82</v>
      </c>
      <c r="K3432" t="s">
        <v>17583</v>
      </c>
      <c r="L3432">
        <v>0.15</v>
      </c>
      <c r="M3432" t="s">
        <v>17584</v>
      </c>
      <c r="N3432" t="s">
        <v>17585</v>
      </c>
      <c r="O3432" t="s">
        <v>54</v>
      </c>
      <c r="P3432" t="s">
        <v>159</v>
      </c>
      <c r="Q3432" t="s">
        <v>44</v>
      </c>
      <c r="R3432" s="3">
        <v>8941.3880000000008</v>
      </c>
    </row>
    <row r="3433" spans="1:18" x14ac:dyDescent="0.3">
      <c r="A3433" t="s">
        <v>17586</v>
      </c>
      <c r="B3433" t="str">
        <f>TEXT(Raw_Data[[#This Row],[Order Date]],"mmm")</f>
        <v>Oct</v>
      </c>
      <c r="C3433" t="s">
        <v>1239</v>
      </c>
      <c r="D3433" t="s">
        <v>17587</v>
      </c>
      <c r="E3433" t="s">
        <v>35</v>
      </c>
      <c r="F3433" t="s">
        <v>78</v>
      </c>
      <c r="G3433" t="s">
        <v>731</v>
      </c>
      <c r="H3433" t="s">
        <v>154</v>
      </c>
      <c r="I3433" t="s">
        <v>237</v>
      </c>
      <c r="J3433" t="s">
        <v>50</v>
      </c>
      <c r="K3433" t="s">
        <v>17588</v>
      </c>
      <c r="L3433">
        <v>0.1</v>
      </c>
      <c r="M3433" t="s">
        <v>17589</v>
      </c>
      <c r="N3433" t="s">
        <v>17590</v>
      </c>
      <c r="O3433" t="s">
        <v>43</v>
      </c>
      <c r="P3433" t="s">
        <v>30</v>
      </c>
      <c r="Q3433" t="s">
        <v>44</v>
      </c>
      <c r="R3433" s="3">
        <v>15802.074000000001</v>
      </c>
    </row>
    <row r="3434" spans="1:18" x14ac:dyDescent="0.3">
      <c r="A3434" t="s">
        <v>17591</v>
      </c>
      <c r="B3434" t="str">
        <f>TEXT(Raw_Data[[#This Row],[Order Date]],"mmm")</f>
        <v>Jul</v>
      </c>
      <c r="C3434" t="s">
        <v>3916</v>
      </c>
      <c r="D3434" t="s">
        <v>17592</v>
      </c>
      <c r="E3434" t="s">
        <v>35</v>
      </c>
      <c r="F3434" t="s">
        <v>89</v>
      </c>
      <c r="G3434" t="s">
        <v>99</v>
      </c>
      <c r="H3434" t="s">
        <v>38</v>
      </c>
      <c r="I3434" t="s">
        <v>71</v>
      </c>
      <c r="J3434" t="s">
        <v>50</v>
      </c>
      <c r="K3434" t="s">
        <v>17593</v>
      </c>
      <c r="L3434">
        <v>0.1</v>
      </c>
      <c r="M3434" t="s">
        <v>17594</v>
      </c>
      <c r="N3434" t="s">
        <v>17595</v>
      </c>
      <c r="O3434" t="s">
        <v>43</v>
      </c>
      <c r="P3434" t="s">
        <v>30</v>
      </c>
      <c r="Q3434" t="s">
        <v>31</v>
      </c>
      <c r="R3434" s="3">
        <v>762.91199999999901</v>
      </c>
    </row>
    <row r="3435" spans="1:18" x14ac:dyDescent="0.3">
      <c r="A3435" t="s">
        <v>17596</v>
      </c>
      <c r="B3435" t="str">
        <f>TEXT(Raw_Data[[#This Row],[Order Date]],"mmm")</f>
        <v>Sep</v>
      </c>
      <c r="C3435" t="s">
        <v>2151</v>
      </c>
      <c r="D3435" t="s">
        <v>17597</v>
      </c>
      <c r="E3435" t="s">
        <v>35</v>
      </c>
      <c r="F3435" t="s">
        <v>89</v>
      </c>
      <c r="G3435" t="s">
        <v>90</v>
      </c>
      <c r="H3435" t="s">
        <v>23</v>
      </c>
      <c r="I3435" t="s">
        <v>263</v>
      </c>
      <c r="J3435" t="s">
        <v>25</v>
      </c>
      <c r="K3435" t="s">
        <v>17598</v>
      </c>
      <c r="L3435">
        <v>0.05</v>
      </c>
      <c r="M3435" t="s">
        <v>17599</v>
      </c>
      <c r="N3435" t="s">
        <v>17600</v>
      </c>
      <c r="O3435" t="s">
        <v>54</v>
      </c>
      <c r="P3435" t="s">
        <v>112</v>
      </c>
      <c r="Q3435" t="s">
        <v>65</v>
      </c>
      <c r="R3435" s="3">
        <v>63285.0004999999</v>
      </c>
    </row>
    <row r="3436" spans="1:18" x14ac:dyDescent="0.3">
      <c r="A3436" t="s">
        <v>17601</v>
      </c>
      <c r="B3436" t="str">
        <f>TEXT(Raw_Data[[#This Row],[Order Date]],"mmm")</f>
        <v>Jun</v>
      </c>
      <c r="C3436" t="s">
        <v>2068</v>
      </c>
      <c r="D3436" t="s">
        <v>17602</v>
      </c>
      <c r="E3436" t="s">
        <v>20</v>
      </c>
      <c r="F3436" t="s">
        <v>106</v>
      </c>
      <c r="G3436" t="s">
        <v>163</v>
      </c>
      <c r="H3436" t="s">
        <v>38</v>
      </c>
      <c r="I3436" t="s">
        <v>71</v>
      </c>
      <c r="J3436" t="s">
        <v>25</v>
      </c>
      <c r="K3436" t="s">
        <v>17603</v>
      </c>
      <c r="L3436">
        <v>0</v>
      </c>
      <c r="M3436" t="s">
        <v>17604</v>
      </c>
      <c r="N3436" t="s">
        <v>17605</v>
      </c>
      <c r="O3436" t="s">
        <v>54</v>
      </c>
      <c r="P3436" t="s">
        <v>30</v>
      </c>
      <c r="Q3436" t="s">
        <v>31</v>
      </c>
      <c r="R3436" s="3">
        <v>1868.83</v>
      </c>
    </row>
    <row r="3437" spans="1:18" x14ac:dyDescent="0.3">
      <c r="A3437" t="s">
        <v>17606</v>
      </c>
      <c r="B3437" t="str">
        <f>TEXT(Raw_Data[[#This Row],[Order Date]],"mmm")</f>
        <v>May</v>
      </c>
      <c r="C3437" t="s">
        <v>885</v>
      </c>
      <c r="D3437" t="s">
        <v>17607</v>
      </c>
      <c r="E3437" t="s">
        <v>35</v>
      </c>
      <c r="F3437" t="s">
        <v>89</v>
      </c>
      <c r="G3437" t="s">
        <v>230</v>
      </c>
      <c r="H3437" t="s">
        <v>107</v>
      </c>
      <c r="I3437" t="s">
        <v>469</v>
      </c>
      <c r="J3437" t="s">
        <v>25</v>
      </c>
      <c r="K3437" t="s">
        <v>17608</v>
      </c>
      <c r="L3437">
        <v>0.05</v>
      </c>
      <c r="M3437" t="s">
        <v>17609</v>
      </c>
      <c r="N3437" t="s">
        <v>17610</v>
      </c>
      <c r="O3437" t="s">
        <v>173</v>
      </c>
      <c r="P3437" t="s">
        <v>30</v>
      </c>
      <c r="Q3437" t="s">
        <v>44</v>
      </c>
      <c r="R3437" s="3">
        <v>2292.5970000000002</v>
      </c>
    </row>
    <row r="3438" spans="1:18" x14ac:dyDescent="0.3">
      <c r="A3438" t="s">
        <v>17611</v>
      </c>
      <c r="B3438" t="str">
        <f>TEXT(Raw_Data[[#This Row],[Order Date]],"mmm")</f>
        <v>Feb</v>
      </c>
      <c r="C3438" t="s">
        <v>2399</v>
      </c>
      <c r="D3438" t="s">
        <v>17612</v>
      </c>
      <c r="E3438" t="s">
        <v>20</v>
      </c>
      <c r="F3438" t="s">
        <v>106</v>
      </c>
      <c r="G3438" t="s">
        <v>163</v>
      </c>
      <c r="H3438" t="s">
        <v>23</v>
      </c>
      <c r="I3438" t="s">
        <v>183</v>
      </c>
      <c r="J3438" t="s">
        <v>50</v>
      </c>
      <c r="K3438" t="s">
        <v>17613</v>
      </c>
      <c r="L3438">
        <v>0.15</v>
      </c>
      <c r="M3438" t="s">
        <v>17614</v>
      </c>
      <c r="N3438" t="s">
        <v>17615</v>
      </c>
      <c r="O3438" t="s">
        <v>54</v>
      </c>
      <c r="P3438" t="s">
        <v>30</v>
      </c>
      <c r="Q3438" t="s">
        <v>65</v>
      </c>
      <c r="R3438" s="3">
        <v>18531.223999999998</v>
      </c>
    </row>
    <row r="3439" spans="1:18" x14ac:dyDescent="0.3">
      <c r="A3439" t="s">
        <v>17616</v>
      </c>
      <c r="B3439" t="str">
        <f>TEXT(Raw_Data[[#This Row],[Order Date]],"mmm")</f>
        <v>Jan</v>
      </c>
      <c r="C3439" t="s">
        <v>18</v>
      </c>
      <c r="D3439" t="s">
        <v>17617</v>
      </c>
      <c r="E3439" t="s">
        <v>20</v>
      </c>
      <c r="F3439" t="s">
        <v>78</v>
      </c>
      <c r="G3439" t="s">
        <v>79</v>
      </c>
      <c r="H3439" t="s">
        <v>23</v>
      </c>
      <c r="I3439" t="s">
        <v>183</v>
      </c>
      <c r="J3439" t="s">
        <v>82</v>
      </c>
      <c r="K3439" t="s">
        <v>17618</v>
      </c>
      <c r="L3439">
        <v>0.05</v>
      </c>
      <c r="M3439" t="s">
        <v>17619</v>
      </c>
      <c r="N3439" t="s">
        <v>17620</v>
      </c>
      <c r="O3439" t="s">
        <v>43</v>
      </c>
      <c r="P3439" t="s">
        <v>30</v>
      </c>
      <c r="Q3439" t="s">
        <v>44</v>
      </c>
      <c r="R3439" s="3">
        <v>78076.585999999996</v>
      </c>
    </row>
    <row r="3440" spans="1:18" x14ac:dyDescent="0.3">
      <c r="A3440" t="s">
        <v>17621</v>
      </c>
      <c r="B3440" t="str">
        <f>TEXT(Raw_Data[[#This Row],[Order Date]],"mmm")</f>
        <v>Mar</v>
      </c>
      <c r="C3440" t="s">
        <v>1460</v>
      </c>
      <c r="D3440" t="s">
        <v>17622</v>
      </c>
      <c r="E3440" t="s">
        <v>48</v>
      </c>
      <c r="F3440" t="s">
        <v>36</v>
      </c>
      <c r="G3440" t="s">
        <v>37</v>
      </c>
      <c r="H3440" t="s">
        <v>23</v>
      </c>
      <c r="I3440" t="s">
        <v>183</v>
      </c>
      <c r="J3440" t="s">
        <v>25</v>
      </c>
      <c r="K3440" t="s">
        <v>17623</v>
      </c>
      <c r="L3440">
        <v>0.05</v>
      </c>
      <c r="M3440" t="s">
        <v>17624</v>
      </c>
      <c r="N3440" t="s">
        <v>17625</v>
      </c>
      <c r="O3440" t="s">
        <v>29</v>
      </c>
      <c r="P3440" t="s">
        <v>30</v>
      </c>
      <c r="Q3440" t="s">
        <v>44</v>
      </c>
      <c r="R3440" s="3">
        <v>58928.794499999902</v>
      </c>
    </row>
    <row r="3441" spans="1:18" x14ac:dyDescent="0.3">
      <c r="A3441" t="s">
        <v>17626</v>
      </c>
      <c r="B3441" t="str">
        <f>TEXT(Raw_Data[[#This Row],[Order Date]],"mmm")</f>
        <v>May</v>
      </c>
      <c r="C3441" t="s">
        <v>2174</v>
      </c>
      <c r="D3441" t="s">
        <v>17627</v>
      </c>
      <c r="E3441" t="s">
        <v>35</v>
      </c>
      <c r="F3441" t="s">
        <v>89</v>
      </c>
      <c r="G3441" t="s">
        <v>99</v>
      </c>
      <c r="H3441" t="s">
        <v>107</v>
      </c>
      <c r="I3441" t="s">
        <v>469</v>
      </c>
      <c r="J3441" t="s">
        <v>25</v>
      </c>
      <c r="K3441" t="s">
        <v>17628</v>
      </c>
      <c r="L3441">
        <v>0.05</v>
      </c>
      <c r="M3441" t="s">
        <v>17629</v>
      </c>
      <c r="N3441" t="s">
        <v>17630</v>
      </c>
      <c r="O3441" t="s">
        <v>43</v>
      </c>
      <c r="P3441" t="s">
        <v>30</v>
      </c>
      <c r="Q3441" t="s">
        <v>44</v>
      </c>
      <c r="R3441" s="3">
        <v>16836.4889999999</v>
      </c>
    </row>
    <row r="3442" spans="1:18" x14ac:dyDescent="0.3">
      <c r="A3442" t="s">
        <v>17631</v>
      </c>
      <c r="B3442" t="str">
        <f>TEXT(Raw_Data[[#This Row],[Order Date]],"mmm")</f>
        <v>Jan</v>
      </c>
      <c r="C3442" t="s">
        <v>261</v>
      </c>
      <c r="D3442" t="s">
        <v>17632</v>
      </c>
      <c r="E3442" t="s">
        <v>20</v>
      </c>
      <c r="F3442" t="s">
        <v>215</v>
      </c>
      <c r="G3442" t="s">
        <v>216</v>
      </c>
      <c r="H3442" t="s">
        <v>107</v>
      </c>
      <c r="I3442" t="s">
        <v>108</v>
      </c>
      <c r="J3442" t="s">
        <v>50</v>
      </c>
      <c r="K3442" t="s">
        <v>17633</v>
      </c>
      <c r="L3442">
        <v>0.1</v>
      </c>
      <c r="M3442" t="s">
        <v>17634</v>
      </c>
      <c r="N3442" t="s">
        <v>17635</v>
      </c>
      <c r="O3442" t="s">
        <v>173</v>
      </c>
      <c r="P3442" t="s">
        <v>95</v>
      </c>
      <c r="Q3442" t="s">
        <v>44</v>
      </c>
      <c r="R3442" s="3">
        <v>2539.8719999999998</v>
      </c>
    </row>
    <row r="3443" spans="1:18" x14ac:dyDescent="0.3">
      <c r="A3443" t="s">
        <v>17636</v>
      </c>
      <c r="B3443" t="str">
        <f>TEXT(Raw_Data[[#This Row],[Order Date]],"mmm")</f>
        <v>Dec</v>
      </c>
      <c r="C3443" t="s">
        <v>868</v>
      </c>
      <c r="D3443" t="s">
        <v>17637</v>
      </c>
      <c r="E3443" t="s">
        <v>20</v>
      </c>
      <c r="F3443" t="s">
        <v>69</v>
      </c>
      <c r="G3443" t="s">
        <v>139</v>
      </c>
      <c r="H3443" t="s">
        <v>107</v>
      </c>
      <c r="I3443" t="s">
        <v>108</v>
      </c>
      <c r="J3443" t="s">
        <v>100</v>
      </c>
      <c r="K3443" t="s">
        <v>17638</v>
      </c>
      <c r="L3443">
        <v>0.05</v>
      </c>
      <c r="M3443" t="s">
        <v>17639</v>
      </c>
      <c r="N3443" t="s">
        <v>17640</v>
      </c>
      <c r="O3443" t="s">
        <v>43</v>
      </c>
      <c r="P3443" t="s">
        <v>159</v>
      </c>
      <c r="Q3443" t="s">
        <v>44</v>
      </c>
      <c r="R3443" s="3">
        <v>48627.782999999901</v>
      </c>
    </row>
    <row r="3444" spans="1:18" x14ac:dyDescent="0.3">
      <c r="A3444" t="s">
        <v>17641</v>
      </c>
      <c r="B3444" t="str">
        <f>TEXT(Raw_Data[[#This Row],[Order Date]],"mmm")</f>
        <v>Jul</v>
      </c>
      <c r="C3444" t="s">
        <v>333</v>
      </c>
      <c r="D3444" t="s">
        <v>17642</v>
      </c>
      <c r="E3444" t="s">
        <v>35</v>
      </c>
      <c r="F3444" t="s">
        <v>215</v>
      </c>
      <c r="G3444" t="s">
        <v>276</v>
      </c>
      <c r="H3444" t="s">
        <v>80</v>
      </c>
      <c r="I3444" t="s">
        <v>146</v>
      </c>
      <c r="J3444" t="s">
        <v>25</v>
      </c>
      <c r="K3444" t="s">
        <v>17643</v>
      </c>
      <c r="L3444">
        <v>0</v>
      </c>
      <c r="M3444" t="s">
        <v>17644</v>
      </c>
      <c r="N3444" t="s">
        <v>17645</v>
      </c>
      <c r="O3444" t="s">
        <v>29</v>
      </c>
      <c r="P3444" t="s">
        <v>30</v>
      </c>
      <c r="Q3444" t="s">
        <v>65</v>
      </c>
      <c r="R3444" s="3">
        <v>4602.96</v>
      </c>
    </row>
    <row r="3445" spans="1:18" x14ac:dyDescent="0.3">
      <c r="A3445" t="s">
        <v>17646</v>
      </c>
      <c r="B3445" t="str">
        <f>TEXT(Raw_Data[[#This Row],[Order Date]],"mmm")</f>
        <v>May</v>
      </c>
      <c r="C3445" t="s">
        <v>1937</v>
      </c>
      <c r="D3445" t="s">
        <v>17647</v>
      </c>
      <c r="E3445" t="s">
        <v>48</v>
      </c>
      <c r="F3445" t="s">
        <v>78</v>
      </c>
      <c r="G3445" t="s">
        <v>468</v>
      </c>
      <c r="H3445" t="s">
        <v>154</v>
      </c>
      <c r="I3445" t="s">
        <v>155</v>
      </c>
      <c r="J3445" t="s">
        <v>25</v>
      </c>
      <c r="K3445" t="s">
        <v>17648</v>
      </c>
      <c r="L3445">
        <v>0</v>
      </c>
      <c r="M3445" t="s">
        <v>17649</v>
      </c>
      <c r="N3445" t="s">
        <v>17650</v>
      </c>
      <c r="O3445" t="s">
        <v>43</v>
      </c>
      <c r="P3445" t="s">
        <v>30</v>
      </c>
      <c r="Q3445" t="s">
        <v>44</v>
      </c>
      <c r="R3445" s="3">
        <v>8315.89</v>
      </c>
    </row>
    <row r="3446" spans="1:18" x14ac:dyDescent="0.3">
      <c r="A3446" t="s">
        <v>17651</v>
      </c>
      <c r="B3446" t="str">
        <f>TEXT(Raw_Data[[#This Row],[Order Date]],"mmm")</f>
        <v>Mar</v>
      </c>
      <c r="C3446" t="s">
        <v>194</v>
      </c>
      <c r="D3446" t="s">
        <v>17652</v>
      </c>
      <c r="E3446" t="s">
        <v>20</v>
      </c>
      <c r="F3446" t="s">
        <v>36</v>
      </c>
      <c r="G3446" t="s">
        <v>414</v>
      </c>
      <c r="H3446" t="s">
        <v>80</v>
      </c>
      <c r="I3446" t="s">
        <v>116</v>
      </c>
      <c r="J3446" t="s">
        <v>100</v>
      </c>
      <c r="K3446" t="s">
        <v>17653</v>
      </c>
      <c r="L3446">
        <v>0</v>
      </c>
      <c r="M3446" t="s">
        <v>17654</v>
      </c>
      <c r="N3446" t="s">
        <v>17655</v>
      </c>
      <c r="O3446" t="s">
        <v>3684</v>
      </c>
      <c r="P3446" t="s">
        <v>30</v>
      </c>
      <c r="Q3446" t="s">
        <v>44</v>
      </c>
      <c r="R3446" s="3">
        <v>17864.759999999998</v>
      </c>
    </row>
    <row r="3447" spans="1:18" x14ac:dyDescent="0.3">
      <c r="A3447" t="s">
        <v>17656</v>
      </c>
      <c r="B3447" t="str">
        <f>TEXT(Raw_Data[[#This Row],[Order Date]],"mmm")</f>
        <v>Jul</v>
      </c>
      <c r="C3447" t="s">
        <v>128</v>
      </c>
      <c r="D3447" t="s">
        <v>17657</v>
      </c>
      <c r="E3447" t="s">
        <v>20</v>
      </c>
      <c r="F3447" t="s">
        <v>89</v>
      </c>
      <c r="G3447" t="s">
        <v>99</v>
      </c>
      <c r="H3447" t="s">
        <v>80</v>
      </c>
      <c r="I3447" t="s">
        <v>81</v>
      </c>
      <c r="J3447" t="s">
        <v>100</v>
      </c>
      <c r="K3447" t="s">
        <v>17658</v>
      </c>
      <c r="L3447">
        <v>0.05</v>
      </c>
      <c r="M3447" t="s">
        <v>17659</v>
      </c>
      <c r="N3447" t="s">
        <v>17660</v>
      </c>
      <c r="O3447" t="s">
        <v>54</v>
      </c>
      <c r="P3447" t="s">
        <v>95</v>
      </c>
      <c r="Q3447" t="s">
        <v>31</v>
      </c>
      <c r="R3447" s="3">
        <v>11157.835499999999</v>
      </c>
    </row>
    <row r="3448" spans="1:18" x14ac:dyDescent="0.3">
      <c r="A3448" t="s">
        <v>17661</v>
      </c>
      <c r="B3448" t="str">
        <f>TEXT(Raw_Data[[#This Row],[Order Date]],"mmm")</f>
        <v>Feb</v>
      </c>
      <c r="C3448" t="s">
        <v>307</v>
      </c>
      <c r="D3448" t="s">
        <v>17662</v>
      </c>
      <c r="E3448" t="s">
        <v>35</v>
      </c>
      <c r="F3448" t="s">
        <v>106</v>
      </c>
      <c r="G3448" t="s">
        <v>163</v>
      </c>
      <c r="H3448" t="s">
        <v>80</v>
      </c>
      <c r="I3448" t="s">
        <v>81</v>
      </c>
      <c r="J3448" t="s">
        <v>25</v>
      </c>
      <c r="K3448" t="s">
        <v>17663</v>
      </c>
      <c r="L3448">
        <v>0</v>
      </c>
      <c r="M3448" t="s">
        <v>17664</v>
      </c>
      <c r="N3448" t="s">
        <v>17665</v>
      </c>
      <c r="O3448" t="s">
        <v>43</v>
      </c>
      <c r="P3448" t="s">
        <v>30</v>
      </c>
      <c r="Q3448" t="s">
        <v>31</v>
      </c>
      <c r="R3448" s="3">
        <v>2997.84</v>
      </c>
    </row>
    <row r="3449" spans="1:18" x14ac:dyDescent="0.3">
      <c r="A3449" t="s">
        <v>17666</v>
      </c>
      <c r="B3449" t="str">
        <f>TEXT(Raw_Data[[#This Row],[Order Date]],"mmm")</f>
        <v>May</v>
      </c>
      <c r="C3449" t="s">
        <v>1937</v>
      </c>
      <c r="D3449" t="s">
        <v>17667</v>
      </c>
      <c r="E3449" t="s">
        <v>35</v>
      </c>
      <c r="F3449" t="s">
        <v>69</v>
      </c>
      <c r="G3449" t="s">
        <v>139</v>
      </c>
      <c r="H3449" t="s">
        <v>23</v>
      </c>
      <c r="I3449" t="s">
        <v>49</v>
      </c>
      <c r="J3449" t="s">
        <v>25</v>
      </c>
      <c r="K3449" t="s">
        <v>17668</v>
      </c>
      <c r="L3449">
        <v>0.1</v>
      </c>
      <c r="M3449" t="s">
        <v>17669</v>
      </c>
      <c r="N3449" t="s">
        <v>17670</v>
      </c>
      <c r="O3449" t="s">
        <v>54</v>
      </c>
      <c r="P3449" t="s">
        <v>30</v>
      </c>
      <c r="Q3449" t="s">
        <v>65</v>
      </c>
      <c r="R3449" s="3">
        <v>25467.119999999999</v>
      </c>
    </row>
    <row r="3450" spans="1:18" x14ac:dyDescent="0.3">
      <c r="A3450" t="s">
        <v>17671</v>
      </c>
      <c r="B3450" t="str">
        <f>TEXT(Raw_Data[[#This Row],[Order Date]],"mmm")</f>
        <v>Aug</v>
      </c>
      <c r="C3450" t="s">
        <v>1403</v>
      </c>
      <c r="D3450" t="s">
        <v>17672</v>
      </c>
      <c r="E3450" t="s">
        <v>20</v>
      </c>
      <c r="F3450" t="s">
        <v>69</v>
      </c>
      <c r="G3450" t="s">
        <v>328</v>
      </c>
      <c r="H3450" t="s">
        <v>23</v>
      </c>
      <c r="I3450" t="s">
        <v>24</v>
      </c>
      <c r="J3450" t="s">
        <v>25</v>
      </c>
      <c r="K3450" t="s">
        <v>17673</v>
      </c>
      <c r="L3450">
        <v>0.15</v>
      </c>
      <c r="M3450" t="s">
        <v>17674</v>
      </c>
      <c r="N3450" t="s">
        <v>17675</v>
      </c>
      <c r="O3450" t="s">
        <v>54</v>
      </c>
      <c r="P3450" t="s">
        <v>30</v>
      </c>
      <c r="Q3450" t="s">
        <v>31</v>
      </c>
      <c r="R3450" s="3">
        <v>58889.691500000001</v>
      </c>
    </row>
    <row r="3451" spans="1:18" x14ac:dyDescent="0.3">
      <c r="A3451" t="s">
        <v>17676</v>
      </c>
      <c r="B3451" t="str">
        <f>TEXT(Raw_Data[[#This Row],[Order Date]],"mmm")</f>
        <v>Dec</v>
      </c>
      <c r="C3451" t="s">
        <v>1819</v>
      </c>
      <c r="D3451" t="s">
        <v>17677</v>
      </c>
      <c r="E3451" t="s">
        <v>35</v>
      </c>
      <c r="F3451" t="s">
        <v>215</v>
      </c>
      <c r="G3451" t="s">
        <v>216</v>
      </c>
      <c r="H3451" t="s">
        <v>38</v>
      </c>
      <c r="I3451" t="s">
        <v>39</v>
      </c>
      <c r="J3451" t="s">
        <v>25</v>
      </c>
      <c r="K3451" t="s">
        <v>17678</v>
      </c>
      <c r="L3451">
        <v>0.1</v>
      </c>
      <c r="M3451" t="s">
        <v>17679</v>
      </c>
      <c r="N3451" t="s">
        <v>17680</v>
      </c>
      <c r="O3451" t="s">
        <v>29</v>
      </c>
      <c r="P3451" t="s">
        <v>30</v>
      </c>
      <c r="Q3451" t="s">
        <v>31</v>
      </c>
      <c r="R3451" s="3">
        <v>4155.2730000000001</v>
      </c>
    </row>
    <row r="3452" spans="1:18" x14ac:dyDescent="0.3">
      <c r="A3452" t="s">
        <v>17681</v>
      </c>
      <c r="B3452" t="str">
        <f>TEXT(Raw_Data[[#This Row],[Order Date]],"mmm")</f>
        <v>Feb</v>
      </c>
      <c r="C3452" t="s">
        <v>702</v>
      </c>
      <c r="D3452" t="s">
        <v>17682</v>
      </c>
      <c r="E3452" t="s">
        <v>48</v>
      </c>
      <c r="F3452" t="s">
        <v>36</v>
      </c>
      <c r="G3452" t="s">
        <v>196</v>
      </c>
      <c r="H3452" t="s">
        <v>80</v>
      </c>
      <c r="I3452" t="s">
        <v>146</v>
      </c>
      <c r="J3452" t="s">
        <v>82</v>
      </c>
      <c r="K3452" t="s">
        <v>17683</v>
      </c>
      <c r="L3452">
        <v>0.1</v>
      </c>
      <c r="M3452" t="s">
        <v>17684</v>
      </c>
      <c r="N3452" t="s">
        <v>17685</v>
      </c>
      <c r="O3452" t="s">
        <v>29</v>
      </c>
      <c r="P3452" t="s">
        <v>112</v>
      </c>
      <c r="Q3452" t="s">
        <v>31</v>
      </c>
      <c r="R3452" s="3">
        <v>23510.016</v>
      </c>
    </row>
    <row r="3453" spans="1:18" x14ac:dyDescent="0.3">
      <c r="A3453" t="s">
        <v>17686</v>
      </c>
      <c r="B3453" t="str">
        <f>TEXT(Raw_Data[[#This Row],[Order Date]],"mmm")</f>
        <v>Sep</v>
      </c>
      <c r="C3453" t="s">
        <v>2704</v>
      </c>
      <c r="D3453" t="s">
        <v>17687</v>
      </c>
      <c r="E3453" t="s">
        <v>20</v>
      </c>
      <c r="F3453" t="s">
        <v>36</v>
      </c>
      <c r="G3453" t="s">
        <v>37</v>
      </c>
      <c r="H3453" t="s">
        <v>107</v>
      </c>
      <c r="I3453" t="s">
        <v>277</v>
      </c>
      <c r="J3453" t="s">
        <v>50</v>
      </c>
      <c r="K3453" t="s">
        <v>17688</v>
      </c>
      <c r="L3453">
        <v>0.05</v>
      </c>
      <c r="M3453" t="s">
        <v>17689</v>
      </c>
      <c r="N3453" t="s">
        <v>17690</v>
      </c>
      <c r="O3453" t="s">
        <v>173</v>
      </c>
      <c r="P3453" t="s">
        <v>95</v>
      </c>
      <c r="Q3453" t="s">
        <v>31</v>
      </c>
      <c r="R3453" s="3">
        <v>12494.361999999999</v>
      </c>
    </row>
    <row r="3454" spans="1:18" x14ac:dyDescent="0.3">
      <c r="A3454" t="s">
        <v>17691</v>
      </c>
      <c r="B3454" t="str">
        <f>TEXT(Raw_Data[[#This Row],[Order Date]],"mmm")</f>
        <v>Jan</v>
      </c>
      <c r="C3454" t="s">
        <v>3581</v>
      </c>
      <c r="D3454" t="s">
        <v>17692</v>
      </c>
      <c r="E3454" t="s">
        <v>35</v>
      </c>
      <c r="F3454" t="s">
        <v>89</v>
      </c>
      <c r="G3454" t="s">
        <v>99</v>
      </c>
      <c r="H3454" t="s">
        <v>38</v>
      </c>
      <c r="I3454" t="s">
        <v>39</v>
      </c>
      <c r="J3454" t="s">
        <v>50</v>
      </c>
      <c r="K3454" t="s">
        <v>17693</v>
      </c>
      <c r="L3454">
        <v>0.05</v>
      </c>
      <c r="M3454" t="s">
        <v>17694</v>
      </c>
      <c r="N3454" t="s">
        <v>17695</v>
      </c>
      <c r="O3454" t="s">
        <v>29</v>
      </c>
      <c r="P3454" t="s">
        <v>30</v>
      </c>
      <c r="Q3454" t="s">
        <v>31</v>
      </c>
      <c r="R3454" s="3">
        <v>1763.6369999999999</v>
      </c>
    </row>
    <row r="3455" spans="1:18" x14ac:dyDescent="0.3">
      <c r="A3455" t="s">
        <v>17696</v>
      </c>
      <c r="B3455" t="str">
        <f>TEXT(Raw_Data[[#This Row],[Order Date]],"mmm")</f>
        <v>Aug</v>
      </c>
      <c r="C3455" t="s">
        <v>1943</v>
      </c>
      <c r="D3455" t="s">
        <v>17697</v>
      </c>
      <c r="E3455" t="s">
        <v>48</v>
      </c>
      <c r="F3455" t="s">
        <v>215</v>
      </c>
      <c r="G3455" t="s">
        <v>216</v>
      </c>
      <c r="H3455" t="s">
        <v>23</v>
      </c>
      <c r="I3455" t="s">
        <v>263</v>
      </c>
      <c r="J3455" t="s">
        <v>100</v>
      </c>
      <c r="K3455" t="s">
        <v>17698</v>
      </c>
      <c r="L3455">
        <v>0.1</v>
      </c>
      <c r="M3455" t="s">
        <v>17699</v>
      </c>
      <c r="N3455" t="s">
        <v>17700</v>
      </c>
      <c r="O3455" t="s">
        <v>43</v>
      </c>
      <c r="P3455" t="s">
        <v>30</v>
      </c>
      <c r="Q3455" t="s">
        <v>31</v>
      </c>
      <c r="R3455" s="3">
        <v>146954.81700000001</v>
      </c>
    </row>
    <row r="3456" spans="1:18" x14ac:dyDescent="0.3">
      <c r="A3456" t="s">
        <v>17701</v>
      </c>
      <c r="B3456" t="str">
        <f>TEXT(Raw_Data[[#This Row],[Order Date]],"mmm")</f>
        <v>Apr</v>
      </c>
      <c r="C3456" t="s">
        <v>2903</v>
      </c>
      <c r="D3456" t="s">
        <v>17702</v>
      </c>
      <c r="E3456" t="s">
        <v>20</v>
      </c>
      <c r="F3456" t="s">
        <v>36</v>
      </c>
      <c r="G3456" t="s">
        <v>196</v>
      </c>
      <c r="H3456" t="s">
        <v>154</v>
      </c>
      <c r="I3456" t="s">
        <v>155</v>
      </c>
      <c r="J3456" t="s">
        <v>25</v>
      </c>
      <c r="K3456" t="s">
        <v>17703</v>
      </c>
      <c r="L3456">
        <v>0.1</v>
      </c>
      <c r="M3456" t="s">
        <v>17704</v>
      </c>
      <c r="N3456" t="s">
        <v>17705</v>
      </c>
      <c r="O3456" t="s">
        <v>54</v>
      </c>
      <c r="P3456" t="s">
        <v>30</v>
      </c>
      <c r="Q3456" t="s">
        <v>65</v>
      </c>
      <c r="R3456" s="3">
        <v>7486.6859999999997</v>
      </c>
    </row>
    <row r="3457" spans="1:18" x14ac:dyDescent="0.3">
      <c r="A3457" t="s">
        <v>17706</v>
      </c>
      <c r="B3457" t="str">
        <f>TEXT(Raw_Data[[#This Row],[Order Date]],"mmm")</f>
        <v>Jan</v>
      </c>
      <c r="C3457" t="s">
        <v>175</v>
      </c>
      <c r="D3457" t="s">
        <v>17707</v>
      </c>
      <c r="E3457" t="s">
        <v>35</v>
      </c>
      <c r="F3457" t="s">
        <v>36</v>
      </c>
      <c r="G3457" t="s">
        <v>414</v>
      </c>
      <c r="H3457" t="s">
        <v>80</v>
      </c>
      <c r="I3457" t="s">
        <v>131</v>
      </c>
      <c r="J3457" t="s">
        <v>50</v>
      </c>
      <c r="K3457" t="s">
        <v>17708</v>
      </c>
      <c r="L3457">
        <v>0</v>
      </c>
      <c r="M3457" t="s">
        <v>17709</v>
      </c>
      <c r="N3457" t="s">
        <v>17710</v>
      </c>
      <c r="O3457" t="s">
        <v>29</v>
      </c>
      <c r="P3457" t="s">
        <v>30</v>
      </c>
      <c r="Q3457" t="s">
        <v>31</v>
      </c>
      <c r="R3457" s="3">
        <v>10035.94</v>
      </c>
    </row>
    <row r="3458" spans="1:18" x14ac:dyDescent="0.3">
      <c r="A3458" t="s">
        <v>17711</v>
      </c>
      <c r="B3458" t="str">
        <f>TEXT(Raw_Data[[#This Row],[Order Date]],"mmm")</f>
        <v>Dec</v>
      </c>
      <c r="C3458" t="s">
        <v>1003</v>
      </c>
      <c r="D3458" t="s">
        <v>17712</v>
      </c>
      <c r="E3458" t="s">
        <v>35</v>
      </c>
      <c r="F3458" t="s">
        <v>36</v>
      </c>
      <c r="G3458" t="s">
        <v>123</v>
      </c>
      <c r="H3458" t="s">
        <v>107</v>
      </c>
      <c r="I3458" t="s">
        <v>108</v>
      </c>
      <c r="J3458" t="s">
        <v>25</v>
      </c>
      <c r="K3458" t="s">
        <v>17713</v>
      </c>
      <c r="L3458">
        <v>0.05</v>
      </c>
      <c r="M3458" t="s">
        <v>17714</v>
      </c>
      <c r="N3458" t="s">
        <v>17715</v>
      </c>
      <c r="O3458" t="s">
        <v>64</v>
      </c>
      <c r="P3458" t="s">
        <v>30</v>
      </c>
      <c r="Q3458" t="s">
        <v>31</v>
      </c>
      <c r="R3458" s="3">
        <v>17045.849999999999</v>
      </c>
    </row>
    <row r="3459" spans="1:18" x14ac:dyDescent="0.3">
      <c r="A3459" t="s">
        <v>17716</v>
      </c>
      <c r="B3459" t="str">
        <f>TEXT(Raw_Data[[#This Row],[Order Date]],"mmm")</f>
        <v>May</v>
      </c>
      <c r="C3459" t="s">
        <v>144</v>
      </c>
      <c r="D3459" t="s">
        <v>17717</v>
      </c>
      <c r="E3459" t="s">
        <v>35</v>
      </c>
      <c r="F3459" t="s">
        <v>69</v>
      </c>
      <c r="G3459" t="s">
        <v>70</v>
      </c>
      <c r="H3459" t="s">
        <v>80</v>
      </c>
      <c r="I3459" t="s">
        <v>146</v>
      </c>
      <c r="J3459" t="s">
        <v>82</v>
      </c>
      <c r="K3459" t="s">
        <v>17718</v>
      </c>
      <c r="L3459">
        <v>0.15</v>
      </c>
      <c r="M3459" t="s">
        <v>17719</v>
      </c>
      <c r="N3459" t="s">
        <v>17720</v>
      </c>
      <c r="O3459" t="s">
        <v>173</v>
      </c>
      <c r="P3459" t="s">
        <v>112</v>
      </c>
      <c r="Q3459" t="s">
        <v>31</v>
      </c>
      <c r="R3459" s="3">
        <v>21190.466</v>
      </c>
    </row>
    <row r="3460" spans="1:18" x14ac:dyDescent="0.3">
      <c r="A3460" t="s">
        <v>17721</v>
      </c>
      <c r="B3460" t="str">
        <f>TEXT(Raw_Data[[#This Row],[Order Date]],"mmm")</f>
        <v>Apr</v>
      </c>
      <c r="C3460" t="s">
        <v>798</v>
      </c>
      <c r="D3460" t="s">
        <v>17722</v>
      </c>
      <c r="E3460" t="s">
        <v>48</v>
      </c>
      <c r="F3460" t="s">
        <v>21</v>
      </c>
      <c r="G3460" t="s">
        <v>22</v>
      </c>
      <c r="H3460" t="s">
        <v>38</v>
      </c>
      <c r="I3460" t="s">
        <v>256</v>
      </c>
      <c r="J3460" t="s">
        <v>25</v>
      </c>
      <c r="K3460" t="s">
        <v>17723</v>
      </c>
      <c r="L3460">
        <v>0.1</v>
      </c>
      <c r="M3460" t="s">
        <v>17724</v>
      </c>
      <c r="N3460" t="s">
        <v>17725</v>
      </c>
      <c r="O3460" t="s">
        <v>43</v>
      </c>
      <c r="P3460" t="s">
        <v>30</v>
      </c>
      <c r="Q3460" t="s">
        <v>65</v>
      </c>
      <c r="R3460" s="3">
        <v>4569.66</v>
      </c>
    </row>
    <row r="3461" spans="1:18" x14ac:dyDescent="0.3">
      <c r="A3461" t="s">
        <v>17726</v>
      </c>
      <c r="B3461" t="str">
        <f>TEXT(Raw_Data[[#This Row],[Order Date]],"mmm")</f>
        <v>Mar</v>
      </c>
      <c r="C3461" t="s">
        <v>2731</v>
      </c>
      <c r="D3461" t="s">
        <v>17727</v>
      </c>
      <c r="E3461" t="s">
        <v>35</v>
      </c>
      <c r="F3461" t="s">
        <v>36</v>
      </c>
      <c r="G3461" t="s">
        <v>153</v>
      </c>
      <c r="H3461" t="s">
        <v>38</v>
      </c>
      <c r="I3461" t="s">
        <v>256</v>
      </c>
      <c r="J3461" t="s">
        <v>100</v>
      </c>
      <c r="K3461" t="s">
        <v>17728</v>
      </c>
      <c r="L3461">
        <v>0</v>
      </c>
      <c r="M3461" t="s">
        <v>17729</v>
      </c>
      <c r="N3461" t="s">
        <v>17730</v>
      </c>
      <c r="O3461" t="s">
        <v>43</v>
      </c>
      <c r="P3461" t="s">
        <v>30</v>
      </c>
      <c r="Q3461" t="s">
        <v>31</v>
      </c>
      <c r="R3461" s="3">
        <v>2919.36</v>
      </c>
    </row>
    <row r="3462" spans="1:18" x14ac:dyDescent="0.3">
      <c r="A3462" t="s">
        <v>17731</v>
      </c>
      <c r="B3462" t="str">
        <f>TEXT(Raw_Data[[#This Row],[Order Date]],"mmm")</f>
        <v>Feb</v>
      </c>
      <c r="C3462" t="s">
        <v>2145</v>
      </c>
      <c r="D3462" t="s">
        <v>17732</v>
      </c>
      <c r="E3462" t="s">
        <v>35</v>
      </c>
      <c r="F3462" t="s">
        <v>106</v>
      </c>
      <c r="G3462" t="s">
        <v>163</v>
      </c>
      <c r="H3462" t="s">
        <v>23</v>
      </c>
      <c r="I3462" t="s">
        <v>263</v>
      </c>
      <c r="J3462" t="s">
        <v>50</v>
      </c>
      <c r="K3462" t="s">
        <v>17733</v>
      </c>
      <c r="L3462">
        <v>0.1</v>
      </c>
      <c r="M3462" t="s">
        <v>17734</v>
      </c>
      <c r="N3462" t="s">
        <v>17735</v>
      </c>
      <c r="O3462" t="s">
        <v>54</v>
      </c>
      <c r="P3462" t="s">
        <v>30</v>
      </c>
      <c r="Q3462" t="s">
        <v>31</v>
      </c>
      <c r="R3462" s="3">
        <v>74211.047999999995</v>
      </c>
    </row>
    <row r="3463" spans="1:18" x14ac:dyDescent="0.3">
      <c r="A3463" t="s">
        <v>17736</v>
      </c>
      <c r="B3463" t="str">
        <f>TEXT(Raw_Data[[#This Row],[Order Date]],"mmm")</f>
        <v>Sep</v>
      </c>
      <c r="C3463" t="s">
        <v>288</v>
      </c>
      <c r="D3463" t="s">
        <v>17737</v>
      </c>
      <c r="E3463" t="s">
        <v>20</v>
      </c>
      <c r="F3463" t="s">
        <v>106</v>
      </c>
      <c r="G3463" t="s">
        <v>163</v>
      </c>
      <c r="H3463" t="s">
        <v>80</v>
      </c>
      <c r="I3463" t="s">
        <v>131</v>
      </c>
      <c r="J3463" t="s">
        <v>82</v>
      </c>
      <c r="K3463" t="s">
        <v>17738</v>
      </c>
      <c r="L3463">
        <v>0</v>
      </c>
      <c r="M3463" t="s">
        <v>17739</v>
      </c>
      <c r="N3463" t="s">
        <v>17740</v>
      </c>
      <c r="O3463" t="s">
        <v>54</v>
      </c>
      <c r="P3463" t="s">
        <v>30</v>
      </c>
      <c r="Q3463" t="s">
        <v>31</v>
      </c>
      <c r="R3463" s="3">
        <v>16250.28</v>
      </c>
    </row>
    <row r="3464" spans="1:18" x14ac:dyDescent="0.3">
      <c r="A3464" t="s">
        <v>17741</v>
      </c>
      <c r="B3464" t="str">
        <f>TEXT(Raw_Data[[#This Row],[Order Date]],"mmm")</f>
        <v>Apr</v>
      </c>
      <c r="C3464" t="s">
        <v>1448</v>
      </c>
      <c r="D3464" t="s">
        <v>17742</v>
      </c>
      <c r="E3464" t="s">
        <v>48</v>
      </c>
      <c r="F3464" t="s">
        <v>215</v>
      </c>
      <c r="G3464" t="s">
        <v>216</v>
      </c>
      <c r="H3464" t="s">
        <v>38</v>
      </c>
      <c r="I3464" t="s">
        <v>223</v>
      </c>
      <c r="J3464" t="s">
        <v>50</v>
      </c>
      <c r="K3464" t="s">
        <v>17743</v>
      </c>
      <c r="L3464">
        <v>0.1</v>
      </c>
      <c r="M3464" t="s">
        <v>17744</v>
      </c>
      <c r="N3464" t="s">
        <v>17745</v>
      </c>
      <c r="O3464" t="s">
        <v>43</v>
      </c>
      <c r="P3464" t="s">
        <v>30</v>
      </c>
      <c r="Q3464" t="s">
        <v>65</v>
      </c>
      <c r="R3464" s="3">
        <v>617.4</v>
      </c>
    </row>
    <row r="3465" spans="1:18" x14ac:dyDescent="0.3">
      <c r="A3465" t="s">
        <v>17746</v>
      </c>
      <c r="B3465" t="str">
        <f>TEXT(Raw_Data[[#This Row],[Order Date]],"mmm")</f>
        <v>Jul</v>
      </c>
      <c r="C3465" t="s">
        <v>3049</v>
      </c>
      <c r="D3465" t="s">
        <v>17747</v>
      </c>
      <c r="E3465" t="s">
        <v>48</v>
      </c>
      <c r="F3465" t="s">
        <v>36</v>
      </c>
      <c r="G3465" t="s">
        <v>123</v>
      </c>
      <c r="H3465" t="s">
        <v>23</v>
      </c>
      <c r="I3465" t="s">
        <v>24</v>
      </c>
      <c r="J3465" t="s">
        <v>25</v>
      </c>
      <c r="K3465" t="s">
        <v>17748</v>
      </c>
      <c r="L3465">
        <v>0</v>
      </c>
      <c r="M3465" t="s">
        <v>17749</v>
      </c>
      <c r="N3465" t="s">
        <v>17750</v>
      </c>
      <c r="O3465" t="s">
        <v>64</v>
      </c>
      <c r="P3465" t="s">
        <v>30</v>
      </c>
      <c r="Q3465" t="s">
        <v>31</v>
      </c>
      <c r="R3465" s="3">
        <v>61003.77</v>
      </c>
    </row>
    <row r="3466" spans="1:18" x14ac:dyDescent="0.3">
      <c r="A3466" t="s">
        <v>17751</v>
      </c>
      <c r="B3466" t="str">
        <f>TEXT(Raw_Data[[#This Row],[Order Date]],"mmm")</f>
        <v>Jan</v>
      </c>
      <c r="C3466" t="s">
        <v>891</v>
      </c>
      <c r="D3466" t="s">
        <v>17752</v>
      </c>
      <c r="E3466" t="s">
        <v>20</v>
      </c>
      <c r="F3466" t="s">
        <v>36</v>
      </c>
      <c r="G3466" t="s">
        <v>414</v>
      </c>
      <c r="H3466" t="s">
        <v>154</v>
      </c>
      <c r="I3466" t="s">
        <v>309</v>
      </c>
      <c r="J3466" t="s">
        <v>25</v>
      </c>
      <c r="K3466" t="s">
        <v>17753</v>
      </c>
      <c r="L3466">
        <v>0.05</v>
      </c>
      <c r="M3466" t="s">
        <v>17754</v>
      </c>
      <c r="N3466" t="s">
        <v>17755</v>
      </c>
      <c r="O3466" t="s">
        <v>54</v>
      </c>
      <c r="P3466" t="s">
        <v>30</v>
      </c>
      <c r="Q3466" t="s">
        <v>65</v>
      </c>
      <c r="R3466" s="3">
        <v>1739.00349999999</v>
      </c>
    </row>
    <row r="3467" spans="1:18" x14ac:dyDescent="0.3">
      <c r="A3467" t="s">
        <v>17756</v>
      </c>
      <c r="B3467" t="str">
        <f>TEXT(Raw_Data[[#This Row],[Order Date]],"mmm")</f>
        <v>Apr</v>
      </c>
      <c r="C3467" t="s">
        <v>1904</v>
      </c>
      <c r="D3467" t="s">
        <v>17757</v>
      </c>
      <c r="E3467" t="s">
        <v>48</v>
      </c>
      <c r="F3467" t="s">
        <v>89</v>
      </c>
      <c r="G3467" t="s">
        <v>230</v>
      </c>
      <c r="H3467" t="s">
        <v>107</v>
      </c>
      <c r="I3467" t="s">
        <v>108</v>
      </c>
      <c r="J3467" t="s">
        <v>25</v>
      </c>
      <c r="K3467" t="s">
        <v>17758</v>
      </c>
      <c r="L3467">
        <v>0.15</v>
      </c>
      <c r="M3467" t="s">
        <v>17759</v>
      </c>
      <c r="N3467" t="s">
        <v>17760</v>
      </c>
      <c r="O3467" t="s">
        <v>64</v>
      </c>
      <c r="P3467" t="s">
        <v>30</v>
      </c>
      <c r="Q3467" t="s">
        <v>31</v>
      </c>
      <c r="R3467" s="3">
        <v>11988.7229999999</v>
      </c>
    </row>
    <row r="3468" spans="1:18" x14ac:dyDescent="0.3">
      <c r="A3468" t="s">
        <v>17761</v>
      </c>
      <c r="B3468" t="str">
        <f>TEXT(Raw_Data[[#This Row],[Order Date]],"mmm")</f>
        <v>Sep</v>
      </c>
      <c r="C3468" t="s">
        <v>2704</v>
      </c>
      <c r="D3468" t="s">
        <v>17762</v>
      </c>
      <c r="E3468" t="s">
        <v>48</v>
      </c>
      <c r="F3468" t="s">
        <v>106</v>
      </c>
      <c r="G3468" t="s">
        <v>163</v>
      </c>
      <c r="H3468" t="s">
        <v>107</v>
      </c>
      <c r="I3468" t="s">
        <v>591</v>
      </c>
      <c r="J3468" t="s">
        <v>25</v>
      </c>
      <c r="K3468" t="s">
        <v>17763</v>
      </c>
      <c r="L3468">
        <v>0.05</v>
      </c>
      <c r="M3468" t="s">
        <v>17764</v>
      </c>
      <c r="N3468" t="s">
        <v>17765</v>
      </c>
      <c r="O3468" t="s">
        <v>29</v>
      </c>
      <c r="P3468" t="s">
        <v>112</v>
      </c>
      <c r="Q3468" t="s">
        <v>31</v>
      </c>
      <c r="R3468" s="3">
        <v>8537.0324999999993</v>
      </c>
    </row>
    <row r="3469" spans="1:18" x14ac:dyDescent="0.3">
      <c r="A3469" t="s">
        <v>17766</v>
      </c>
      <c r="B3469" t="str">
        <f>TEXT(Raw_Data[[#This Row],[Order Date]],"mmm")</f>
        <v>Feb</v>
      </c>
      <c r="C3469" t="s">
        <v>33</v>
      </c>
      <c r="D3469" t="s">
        <v>17767</v>
      </c>
      <c r="E3469" t="s">
        <v>35</v>
      </c>
      <c r="F3469" t="s">
        <v>78</v>
      </c>
      <c r="G3469" t="s">
        <v>468</v>
      </c>
      <c r="H3469" t="s">
        <v>23</v>
      </c>
      <c r="I3469" t="s">
        <v>263</v>
      </c>
      <c r="J3469" t="s">
        <v>25</v>
      </c>
      <c r="K3469" t="s">
        <v>17768</v>
      </c>
      <c r="L3469">
        <v>0.05</v>
      </c>
      <c r="M3469" t="s">
        <v>17769</v>
      </c>
      <c r="N3469" t="s">
        <v>17770</v>
      </c>
      <c r="O3469" t="s">
        <v>64</v>
      </c>
      <c r="P3469" t="s">
        <v>30</v>
      </c>
      <c r="Q3469" t="s">
        <v>31</v>
      </c>
      <c r="R3469" s="3">
        <v>44859.313499999997</v>
      </c>
    </row>
    <row r="3470" spans="1:18" x14ac:dyDescent="0.3">
      <c r="A3470" t="s">
        <v>17771</v>
      </c>
      <c r="B3470" t="str">
        <f>TEXT(Raw_Data[[#This Row],[Order Date]],"mmm")</f>
        <v>Aug</v>
      </c>
      <c r="C3470" t="s">
        <v>1703</v>
      </c>
      <c r="D3470" t="s">
        <v>17772</v>
      </c>
      <c r="E3470" t="s">
        <v>48</v>
      </c>
      <c r="F3470" t="s">
        <v>215</v>
      </c>
      <c r="G3470" t="s">
        <v>216</v>
      </c>
      <c r="H3470" t="s">
        <v>23</v>
      </c>
      <c r="I3470" t="s">
        <v>24</v>
      </c>
      <c r="J3470" t="s">
        <v>82</v>
      </c>
      <c r="K3470" t="s">
        <v>17773</v>
      </c>
      <c r="L3470">
        <v>0</v>
      </c>
      <c r="M3470" t="s">
        <v>17774</v>
      </c>
      <c r="N3470" t="s">
        <v>17775</v>
      </c>
      <c r="O3470" t="s">
        <v>173</v>
      </c>
      <c r="P3470" t="s">
        <v>95</v>
      </c>
      <c r="Q3470" t="s">
        <v>65</v>
      </c>
      <c r="R3470" s="3">
        <v>277144.64</v>
      </c>
    </row>
    <row r="3471" spans="1:18" x14ac:dyDescent="0.3">
      <c r="A3471" t="s">
        <v>17776</v>
      </c>
      <c r="B3471" t="str">
        <f>TEXT(Raw_Data[[#This Row],[Order Date]],"mmm")</f>
        <v>Sep</v>
      </c>
      <c r="C3471" t="s">
        <v>401</v>
      </c>
      <c r="D3471" t="s">
        <v>17777</v>
      </c>
      <c r="E3471" t="s">
        <v>20</v>
      </c>
      <c r="F3471" t="s">
        <v>106</v>
      </c>
      <c r="G3471" t="s">
        <v>106</v>
      </c>
      <c r="H3471" t="s">
        <v>80</v>
      </c>
      <c r="I3471" t="s">
        <v>116</v>
      </c>
      <c r="J3471" t="s">
        <v>25</v>
      </c>
      <c r="K3471" t="s">
        <v>17778</v>
      </c>
      <c r="L3471">
        <v>0</v>
      </c>
      <c r="M3471" t="s">
        <v>17779</v>
      </c>
      <c r="N3471" t="s">
        <v>17780</v>
      </c>
      <c r="O3471" t="s">
        <v>54</v>
      </c>
      <c r="P3471" t="s">
        <v>159</v>
      </c>
      <c r="Q3471" t="s">
        <v>31</v>
      </c>
      <c r="R3471" s="3">
        <v>1369.08</v>
      </c>
    </row>
    <row r="3472" spans="1:18" x14ac:dyDescent="0.3">
      <c r="A3472" t="s">
        <v>17781</v>
      </c>
      <c r="B3472" t="str">
        <f>TEXT(Raw_Data[[#This Row],[Order Date]],"mmm")</f>
        <v>Sep</v>
      </c>
      <c r="C3472" t="s">
        <v>76</v>
      </c>
      <c r="D3472" t="s">
        <v>17782</v>
      </c>
      <c r="E3472" t="s">
        <v>20</v>
      </c>
      <c r="F3472" t="s">
        <v>36</v>
      </c>
      <c r="G3472" t="s">
        <v>153</v>
      </c>
      <c r="H3472" t="s">
        <v>80</v>
      </c>
      <c r="I3472" t="s">
        <v>81</v>
      </c>
      <c r="J3472" t="s">
        <v>25</v>
      </c>
      <c r="K3472" t="s">
        <v>17783</v>
      </c>
      <c r="L3472">
        <v>0.05</v>
      </c>
      <c r="M3472" t="s">
        <v>17784</v>
      </c>
      <c r="N3472" t="s">
        <v>17785</v>
      </c>
      <c r="O3472" t="s">
        <v>64</v>
      </c>
      <c r="P3472" t="s">
        <v>30</v>
      </c>
      <c r="Q3472" t="s">
        <v>65</v>
      </c>
      <c r="R3472" s="3">
        <v>6163.0774999999903</v>
      </c>
    </row>
    <row r="3473" spans="1:18" x14ac:dyDescent="0.3">
      <c r="A3473" t="s">
        <v>17786</v>
      </c>
      <c r="B3473" t="str">
        <f>TEXT(Raw_Data[[#This Row],[Order Date]],"mmm")</f>
        <v>Jun</v>
      </c>
      <c r="C3473" t="s">
        <v>4510</v>
      </c>
      <c r="D3473" t="s">
        <v>17787</v>
      </c>
      <c r="E3473" t="s">
        <v>35</v>
      </c>
      <c r="F3473" t="s">
        <v>89</v>
      </c>
      <c r="G3473" t="s">
        <v>90</v>
      </c>
      <c r="H3473" t="s">
        <v>23</v>
      </c>
      <c r="I3473" t="s">
        <v>183</v>
      </c>
      <c r="J3473" t="s">
        <v>25</v>
      </c>
      <c r="K3473" t="s">
        <v>17788</v>
      </c>
      <c r="L3473">
        <v>0.15</v>
      </c>
      <c r="M3473" t="s">
        <v>17789</v>
      </c>
      <c r="N3473" t="s">
        <v>17790</v>
      </c>
      <c r="O3473" t="s">
        <v>29</v>
      </c>
      <c r="P3473" t="s">
        <v>30</v>
      </c>
      <c r="Q3473" t="s">
        <v>31</v>
      </c>
      <c r="R3473" s="3">
        <v>33982.166999999899</v>
      </c>
    </row>
    <row r="3474" spans="1:18" x14ac:dyDescent="0.3">
      <c r="A3474" t="s">
        <v>17791</v>
      </c>
      <c r="B3474" t="str">
        <f>TEXT(Raw_Data[[#This Row],[Order Date]],"mmm")</f>
        <v>Feb</v>
      </c>
      <c r="C3474" t="s">
        <v>201</v>
      </c>
      <c r="D3474" t="s">
        <v>17792</v>
      </c>
      <c r="E3474" t="s">
        <v>20</v>
      </c>
      <c r="F3474" t="s">
        <v>36</v>
      </c>
      <c r="G3474" t="s">
        <v>196</v>
      </c>
      <c r="H3474" t="s">
        <v>107</v>
      </c>
      <c r="I3474" t="s">
        <v>591</v>
      </c>
      <c r="J3474" t="s">
        <v>50</v>
      </c>
      <c r="K3474" t="s">
        <v>17793</v>
      </c>
      <c r="L3474">
        <v>0</v>
      </c>
      <c r="M3474" t="s">
        <v>10862</v>
      </c>
      <c r="N3474" t="s">
        <v>17794</v>
      </c>
      <c r="O3474" t="s">
        <v>29</v>
      </c>
      <c r="P3474" t="s">
        <v>30</v>
      </c>
      <c r="Q3474" t="s">
        <v>65</v>
      </c>
      <c r="R3474" s="3">
        <v>6158.94</v>
      </c>
    </row>
    <row r="3475" spans="1:18" x14ac:dyDescent="0.3">
      <c r="A3475" t="s">
        <v>17795</v>
      </c>
      <c r="B3475" t="str">
        <f>TEXT(Raw_Data[[#This Row],[Order Date]],"mmm")</f>
        <v>Jan</v>
      </c>
      <c r="C3475" t="s">
        <v>669</v>
      </c>
      <c r="D3475" t="s">
        <v>17796</v>
      </c>
      <c r="E3475" t="s">
        <v>48</v>
      </c>
      <c r="F3475" t="s">
        <v>21</v>
      </c>
      <c r="G3475" t="s">
        <v>22</v>
      </c>
      <c r="H3475" t="s">
        <v>38</v>
      </c>
      <c r="I3475" t="s">
        <v>60</v>
      </c>
      <c r="J3475" t="s">
        <v>25</v>
      </c>
      <c r="K3475" t="s">
        <v>17797</v>
      </c>
      <c r="L3475">
        <v>0.05</v>
      </c>
      <c r="M3475" t="s">
        <v>17798</v>
      </c>
      <c r="N3475" t="s">
        <v>17799</v>
      </c>
      <c r="O3475" t="s">
        <v>54</v>
      </c>
      <c r="P3475" t="s">
        <v>159</v>
      </c>
      <c r="Q3475" t="s">
        <v>44</v>
      </c>
      <c r="R3475" s="3">
        <v>1575.0905</v>
      </c>
    </row>
    <row r="3476" spans="1:18" x14ac:dyDescent="0.3">
      <c r="A3476" t="s">
        <v>17800</v>
      </c>
      <c r="B3476" t="str">
        <f>TEXT(Raw_Data[[#This Row],[Order Date]],"mmm")</f>
        <v>May</v>
      </c>
      <c r="C3476" t="s">
        <v>874</v>
      </c>
      <c r="D3476" t="s">
        <v>17801</v>
      </c>
      <c r="E3476" t="s">
        <v>35</v>
      </c>
      <c r="F3476" t="s">
        <v>89</v>
      </c>
      <c r="G3476" t="s">
        <v>230</v>
      </c>
      <c r="H3476" t="s">
        <v>38</v>
      </c>
      <c r="I3476" t="s">
        <v>256</v>
      </c>
      <c r="J3476" t="s">
        <v>25</v>
      </c>
      <c r="K3476" t="s">
        <v>17802</v>
      </c>
      <c r="L3476">
        <v>0.2</v>
      </c>
      <c r="M3476" t="s">
        <v>17803</v>
      </c>
      <c r="N3476" t="s">
        <v>17804</v>
      </c>
      <c r="O3476" t="s">
        <v>54</v>
      </c>
      <c r="P3476" t="s">
        <v>112</v>
      </c>
      <c r="Q3476" t="s">
        <v>31</v>
      </c>
      <c r="R3476" s="3">
        <v>940.46399999999903</v>
      </c>
    </row>
    <row r="3477" spans="1:18" x14ac:dyDescent="0.3">
      <c r="A3477" t="s">
        <v>17805</v>
      </c>
      <c r="B3477" t="str">
        <f>TEXT(Raw_Data[[#This Row],[Order Date]],"mmm")</f>
        <v>Apr</v>
      </c>
      <c r="C3477" t="s">
        <v>137</v>
      </c>
      <c r="D3477" t="s">
        <v>17806</v>
      </c>
      <c r="E3477" t="s">
        <v>48</v>
      </c>
      <c r="F3477" t="s">
        <v>78</v>
      </c>
      <c r="G3477" t="s">
        <v>731</v>
      </c>
      <c r="H3477" t="s">
        <v>23</v>
      </c>
      <c r="I3477" t="s">
        <v>341</v>
      </c>
      <c r="J3477" t="s">
        <v>100</v>
      </c>
      <c r="K3477" t="s">
        <v>17807</v>
      </c>
      <c r="L3477">
        <v>0</v>
      </c>
      <c r="M3477" t="s">
        <v>17808</v>
      </c>
      <c r="N3477" t="s">
        <v>17809</v>
      </c>
      <c r="O3477" t="s">
        <v>173</v>
      </c>
      <c r="P3477" t="s">
        <v>30</v>
      </c>
      <c r="Q3477" t="s">
        <v>31</v>
      </c>
      <c r="R3477" s="3">
        <v>4080.24</v>
      </c>
    </row>
    <row r="3478" spans="1:18" x14ac:dyDescent="0.3">
      <c r="A3478" t="s">
        <v>17810</v>
      </c>
      <c r="B3478" t="str">
        <f>TEXT(Raw_Data[[#This Row],[Order Date]],"mmm")</f>
        <v>May</v>
      </c>
      <c r="C3478" t="s">
        <v>2840</v>
      </c>
      <c r="D3478" t="s">
        <v>17811</v>
      </c>
      <c r="E3478" t="s">
        <v>20</v>
      </c>
      <c r="F3478" t="s">
        <v>78</v>
      </c>
      <c r="G3478" t="s">
        <v>731</v>
      </c>
      <c r="H3478" t="s">
        <v>107</v>
      </c>
      <c r="I3478" t="s">
        <v>378</v>
      </c>
      <c r="J3478" t="s">
        <v>100</v>
      </c>
      <c r="K3478" t="s">
        <v>17812</v>
      </c>
      <c r="L3478">
        <v>0.2</v>
      </c>
      <c r="M3478" t="s">
        <v>17813</v>
      </c>
      <c r="N3478" t="s">
        <v>17814</v>
      </c>
      <c r="O3478" t="s">
        <v>64</v>
      </c>
      <c r="P3478" t="s">
        <v>30</v>
      </c>
      <c r="Q3478" t="s">
        <v>65</v>
      </c>
      <c r="R3478" s="3">
        <v>21214.32</v>
      </c>
    </row>
    <row r="3479" spans="1:18" x14ac:dyDescent="0.3">
      <c r="A3479" t="s">
        <v>17815</v>
      </c>
      <c r="B3479" t="str">
        <f>TEXT(Raw_Data[[#This Row],[Order Date]],"mmm")</f>
        <v>Aug</v>
      </c>
      <c r="C3479" t="s">
        <v>1313</v>
      </c>
      <c r="D3479" t="s">
        <v>17816</v>
      </c>
      <c r="E3479" t="s">
        <v>20</v>
      </c>
      <c r="F3479" t="s">
        <v>215</v>
      </c>
      <c r="G3479" t="s">
        <v>216</v>
      </c>
      <c r="H3479" t="s">
        <v>80</v>
      </c>
      <c r="I3479" t="s">
        <v>91</v>
      </c>
      <c r="J3479" t="s">
        <v>100</v>
      </c>
      <c r="K3479" t="s">
        <v>17817</v>
      </c>
      <c r="L3479">
        <v>0.05</v>
      </c>
      <c r="M3479" t="s">
        <v>17818</v>
      </c>
      <c r="N3479" t="s">
        <v>17819</v>
      </c>
      <c r="O3479" t="s">
        <v>54</v>
      </c>
      <c r="P3479" t="s">
        <v>30</v>
      </c>
      <c r="Q3479" t="s">
        <v>65</v>
      </c>
      <c r="R3479" s="3">
        <v>14121.4934999999</v>
      </c>
    </row>
    <row r="3480" spans="1:18" x14ac:dyDescent="0.3">
      <c r="A3480" t="s">
        <v>17820</v>
      </c>
      <c r="B3480" t="str">
        <f>TEXT(Raw_Data[[#This Row],[Order Date]],"mmm")</f>
        <v>Mar</v>
      </c>
      <c r="C3480" t="s">
        <v>3893</v>
      </c>
      <c r="D3480" t="s">
        <v>17821</v>
      </c>
      <c r="E3480" t="s">
        <v>20</v>
      </c>
      <c r="F3480" t="s">
        <v>21</v>
      </c>
      <c r="G3480" t="s">
        <v>22</v>
      </c>
      <c r="H3480" t="s">
        <v>38</v>
      </c>
      <c r="I3480" t="s">
        <v>256</v>
      </c>
      <c r="J3480" t="s">
        <v>25</v>
      </c>
      <c r="K3480" t="s">
        <v>17822</v>
      </c>
      <c r="L3480">
        <v>0.1</v>
      </c>
      <c r="M3480" t="s">
        <v>17823</v>
      </c>
      <c r="N3480" t="s">
        <v>17824</v>
      </c>
      <c r="O3480" t="s">
        <v>29</v>
      </c>
      <c r="P3480" t="s">
        <v>112</v>
      </c>
      <c r="Q3480" t="s">
        <v>65</v>
      </c>
      <c r="R3480" s="3">
        <v>706.65300000000002</v>
      </c>
    </row>
    <row r="3481" spans="1:18" x14ac:dyDescent="0.3">
      <c r="A3481" t="s">
        <v>17825</v>
      </c>
      <c r="B3481" t="str">
        <f>TEXT(Raw_Data[[#This Row],[Order Date]],"mmm")</f>
        <v>Jul</v>
      </c>
      <c r="C3481" t="s">
        <v>3461</v>
      </c>
      <c r="D3481" t="s">
        <v>17826</v>
      </c>
      <c r="E3481" t="s">
        <v>48</v>
      </c>
      <c r="F3481" t="s">
        <v>215</v>
      </c>
      <c r="G3481" t="s">
        <v>216</v>
      </c>
      <c r="H3481" t="s">
        <v>80</v>
      </c>
      <c r="I3481" t="s">
        <v>116</v>
      </c>
      <c r="J3481" t="s">
        <v>25</v>
      </c>
      <c r="K3481" t="s">
        <v>17827</v>
      </c>
      <c r="L3481">
        <v>0.2</v>
      </c>
      <c r="M3481" t="s">
        <v>17828</v>
      </c>
      <c r="N3481" t="s">
        <v>17829</v>
      </c>
      <c r="O3481" t="s">
        <v>64</v>
      </c>
      <c r="P3481" t="s">
        <v>30</v>
      </c>
      <c r="Q3481" t="s">
        <v>65</v>
      </c>
      <c r="R3481" s="3">
        <v>4944.3760000000002</v>
      </c>
    </row>
    <row r="3482" spans="1:18" x14ac:dyDescent="0.3">
      <c r="A3482" t="s">
        <v>17830</v>
      </c>
      <c r="B3482" t="str">
        <f>TEXT(Raw_Data[[#This Row],[Order Date]],"mmm")</f>
        <v>Jun</v>
      </c>
      <c r="C3482" t="s">
        <v>2378</v>
      </c>
      <c r="D3482" t="s">
        <v>17831</v>
      </c>
      <c r="E3482" t="s">
        <v>20</v>
      </c>
      <c r="F3482" t="s">
        <v>89</v>
      </c>
      <c r="G3482" t="s">
        <v>99</v>
      </c>
      <c r="H3482" t="s">
        <v>38</v>
      </c>
      <c r="I3482" t="s">
        <v>39</v>
      </c>
      <c r="J3482" t="s">
        <v>25</v>
      </c>
      <c r="K3482" t="s">
        <v>17832</v>
      </c>
      <c r="L3482">
        <v>0.2</v>
      </c>
      <c r="M3482" t="s">
        <v>17833</v>
      </c>
      <c r="N3482" t="s">
        <v>17834</v>
      </c>
      <c r="O3482" t="s">
        <v>43</v>
      </c>
      <c r="P3482" t="s">
        <v>30</v>
      </c>
      <c r="Q3482" t="s">
        <v>65</v>
      </c>
      <c r="R3482" s="3">
        <v>2333.8719999999998</v>
      </c>
    </row>
    <row r="3483" spans="1:18" x14ac:dyDescent="0.3">
      <c r="A3483" t="s">
        <v>17835</v>
      </c>
      <c r="B3483" t="str">
        <f>TEXT(Raw_Data[[#This Row],[Order Date]],"mmm")</f>
        <v>Apr</v>
      </c>
      <c r="C3483" t="s">
        <v>2095</v>
      </c>
      <c r="D3483" t="s">
        <v>17836</v>
      </c>
      <c r="E3483" t="s">
        <v>48</v>
      </c>
      <c r="F3483" t="s">
        <v>106</v>
      </c>
      <c r="G3483" t="s">
        <v>163</v>
      </c>
      <c r="H3483" t="s">
        <v>38</v>
      </c>
      <c r="I3483" t="s">
        <v>60</v>
      </c>
      <c r="J3483" t="s">
        <v>50</v>
      </c>
      <c r="K3483" t="s">
        <v>17837</v>
      </c>
      <c r="L3483">
        <v>0.05</v>
      </c>
      <c r="M3483" t="s">
        <v>17838</v>
      </c>
      <c r="N3483" t="s">
        <v>17839</v>
      </c>
      <c r="O3483" t="s">
        <v>64</v>
      </c>
      <c r="P3483" t="s">
        <v>30</v>
      </c>
      <c r="Q3483" t="s">
        <v>31</v>
      </c>
      <c r="R3483" s="3">
        <v>5951.8450000000003</v>
      </c>
    </row>
    <row r="3484" spans="1:18" x14ac:dyDescent="0.3">
      <c r="A3484" t="s">
        <v>17840</v>
      </c>
      <c r="B3484" t="str">
        <f>TEXT(Raw_Data[[#This Row],[Order Date]],"mmm")</f>
        <v>Apr</v>
      </c>
      <c r="C3484" t="s">
        <v>804</v>
      </c>
      <c r="D3484" t="s">
        <v>17841</v>
      </c>
      <c r="E3484" t="s">
        <v>35</v>
      </c>
      <c r="F3484" t="s">
        <v>215</v>
      </c>
      <c r="G3484" t="s">
        <v>276</v>
      </c>
      <c r="H3484" t="s">
        <v>23</v>
      </c>
      <c r="I3484" t="s">
        <v>183</v>
      </c>
      <c r="J3484" t="s">
        <v>100</v>
      </c>
      <c r="K3484" t="s">
        <v>17842</v>
      </c>
      <c r="L3484">
        <v>0.05</v>
      </c>
      <c r="M3484" t="s">
        <v>17843</v>
      </c>
      <c r="N3484" t="s">
        <v>17844</v>
      </c>
      <c r="O3484" t="s">
        <v>173</v>
      </c>
      <c r="P3484" t="s">
        <v>30</v>
      </c>
      <c r="Q3484" t="s">
        <v>44</v>
      </c>
      <c r="R3484" s="3">
        <v>150521.58149999901</v>
      </c>
    </row>
    <row r="3485" spans="1:18" x14ac:dyDescent="0.3">
      <c r="A3485" t="s">
        <v>17845</v>
      </c>
      <c r="B3485" t="str">
        <f>TEXT(Raw_Data[[#This Row],[Order Date]],"mmm")</f>
        <v>Dec</v>
      </c>
      <c r="C3485" t="s">
        <v>786</v>
      </c>
      <c r="D3485" t="s">
        <v>17846</v>
      </c>
      <c r="E3485" t="s">
        <v>35</v>
      </c>
      <c r="F3485" t="s">
        <v>78</v>
      </c>
      <c r="G3485" t="s">
        <v>79</v>
      </c>
      <c r="H3485" t="s">
        <v>23</v>
      </c>
      <c r="I3485" t="s">
        <v>24</v>
      </c>
      <c r="J3485" t="s">
        <v>100</v>
      </c>
      <c r="K3485" t="s">
        <v>17847</v>
      </c>
      <c r="L3485">
        <v>0.1</v>
      </c>
      <c r="M3485" t="s">
        <v>17848</v>
      </c>
      <c r="N3485" t="s">
        <v>17849</v>
      </c>
      <c r="O3485" t="s">
        <v>29</v>
      </c>
      <c r="P3485" t="s">
        <v>30</v>
      </c>
      <c r="Q3485" t="s">
        <v>44</v>
      </c>
      <c r="R3485" s="3">
        <v>103189.977</v>
      </c>
    </row>
    <row r="3486" spans="1:18" x14ac:dyDescent="0.3">
      <c r="A3486" t="s">
        <v>17850</v>
      </c>
      <c r="B3486" t="str">
        <f>TEXT(Raw_Data[[#This Row],[Order Date]],"mmm")</f>
        <v>Mar</v>
      </c>
      <c r="C3486" t="s">
        <v>556</v>
      </c>
      <c r="D3486" t="s">
        <v>17851</v>
      </c>
      <c r="E3486" t="s">
        <v>20</v>
      </c>
      <c r="F3486" t="s">
        <v>215</v>
      </c>
      <c r="G3486" t="s">
        <v>276</v>
      </c>
      <c r="H3486" t="s">
        <v>80</v>
      </c>
      <c r="I3486" t="s">
        <v>81</v>
      </c>
      <c r="J3486" t="s">
        <v>50</v>
      </c>
      <c r="K3486" t="s">
        <v>17852</v>
      </c>
      <c r="L3486">
        <v>0.15</v>
      </c>
      <c r="M3486" t="s">
        <v>17853</v>
      </c>
      <c r="N3486" t="s">
        <v>17854</v>
      </c>
      <c r="O3486" t="s">
        <v>29</v>
      </c>
      <c r="P3486" t="s">
        <v>30</v>
      </c>
      <c r="Q3486" t="s">
        <v>44</v>
      </c>
      <c r="R3486" s="3">
        <v>7234.1629999999996</v>
      </c>
    </row>
    <row r="3487" spans="1:18" x14ac:dyDescent="0.3">
      <c r="A3487" t="s">
        <v>17855</v>
      </c>
      <c r="B3487" t="str">
        <f>TEXT(Raw_Data[[#This Row],[Order Date]],"mmm")</f>
        <v>Nov</v>
      </c>
      <c r="C3487" t="s">
        <v>1330</v>
      </c>
      <c r="D3487" t="s">
        <v>17856</v>
      </c>
      <c r="E3487" t="s">
        <v>48</v>
      </c>
      <c r="F3487" t="s">
        <v>36</v>
      </c>
      <c r="G3487" t="s">
        <v>153</v>
      </c>
      <c r="H3487" t="s">
        <v>23</v>
      </c>
      <c r="I3487" t="s">
        <v>183</v>
      </c>
      <c r="J3487" t="s">
        <v>25</v>
      </c>
      <c r="K3487" t="s">
        <v>17857</v>
      </c>
      <c r="L3487">
        <v>0.05</v>
      </c>
      <c r="M3487" t="s">
        <v>17858</v>
      </c>
      <c r="N3487" t="s">
        <v>17859</v>
      </c>
      <c r="O3487" t="s">
        <v>173</v>
      </c>
      <c r="P3487" t="s">
        <v>30</v>
      </c>
      <c r="Q3487" t="s">
        <v>44</v>
      </c>
      <c r="R3487" s="3">
        <v>23820.508999999998</v>
      </c>
    </row>
    <row r="3488" spans="1:18" x14ac:dyDescent="0.3">
      <c r="A3488" t="s">
        <v>17860</v>
      </c>
      <c r="B3488" t="str">
        <f>TEXT(Raw_Data[[#This Row],[Order Date]],"mmm")</f>
        <v>Jun</v>
      </c>
      <c r="C3488" t="s">
        <v>1862</v>
      </c>
      <c r="D3488" t="s">
        <v>17861</v>
      </c>
      <c r="E3488" t="s">
        <v>35</v>
      </c>
      <c r="F3488" t="s">
        <v>36</v>
      </c>
      <c r="G3488" t="s">
        <v>153</v>
      </c>
      <c r="H3488" t="s">
        <v>107</v>
      </c>
      <c r="I3488" t="s">
        <v>469</v>
      </c>
      <c r="J3488" t="s">
        <v>82</v>
      </c>
      <c r="K3488" t="s">
        <v>17862</v>
      </c>
      <c r="L3488">
        <v>0</v>
      </c>
      <c r="M3488" t="s">
        <v>17863</v>
      </c>
      <c r="N3488" t="s">
        <v>17864</v>
      </c>
      <c r="O3488" t="s">
        <v>43</v>
      </c>
      <c r="P3488" t="s">
        <v>30</v>
      </c>
      <c r="Q3488" t="s">
        <v>44</v>
      </c>
      <c r="R3488" s="3">
        <v>62187.72</v>
      </c>
    </row>
    <row r="3489" spans="1:18" x14ac:dyDescent="0.3">
      <c r="A3489" t="s">
        <v>17865</v>
      </c>
      <c r="B3489" t="str">
        <f>TEXT(Raw_Data[[#This Row],[Order Date]],"mmm")</f>
        <v>Sep</v>
      </c>
      <c r="C3489" t="s">
        <v>618</v>
      </c>
      <c r="D3489" t="s">
        <v>17866</v>
      </c>
      <c r="E3489" t="s">
        <v>20</v>
      </c>
      <c r="F3489" t="s">
        <v>58</v>
      </c>
      <c r="G3489" t="s">
        <v>290</v>
      </c>
      <c r="H3489" t="s">
        <v>80</v>
      </c>
      <c r="I3489" t="s">
        <v>131</v>
      </c>
      <c r="J3489" t="s">
        <v>25</v>
      </c>
      <c r="K3489" t="s">
        <v>17867</v>
      </c>
      <c r="L3489">
        <v>0</v>
      </c>
      <c r="M3489" t="s">
        <v>17868</v>
      </c>
      <c r="N3489" t="s">
        <v>17869</v>
      </c>
      <c r="O3489" t="s">
        <v>29</v>
      </c>
      <c r="P3489" t="s">
        <v>30</v>
      </c>
      <c r="Q3489" t="s">
        <v>31</v>
      </c>
      <c r="R3489" s="3">
        <v>5172.82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138A-B52C-4DB6-A339-3C0D49087DDD}">
  <dimension ref="A3:I4"/>
  <sheetViews>
    <sheetView workbookViewId="0">
      <selection activeCell="A2" sqref="A2:I4"/>
    </sheetView>
  </sheetViews>
  <sheetFormatPr defaultRowHeight="14.4" x14ac:dyDescent="0.3"/>
  <cols>
    <col min="1" max="1" width="15.77734375" customWidth="1"/>
    <col min="2" max="2" width="3.6640625" customWidth="1"/>
    <col min="3" max="3" width="13.44140625" bestFit="1" customWidth="1"/>
    <col min="4" max="4" width="3.21875" customWidth="1"/>
    <col min="5" max="5" width="15.109375" bestFit="1" customWidth="1"/>
    <col min="7" max="7" width="20.77734375" customWidth="1"/>
    <col min="9" max="9" width="18.77734375" customWidth="1"/>
  </cols>
  <sheetData>
    <row r="3" spans="1:9" x14ac:dyDescent="0.3">
      <c r="A3" t="s">
        <v>17887</v>
      </c>
      <c r="C3" t="s">
        <v>17888</v>
      </c>
      <c r="E3" t="s">
        <v>17889</v>
      </c>
      <c r="G3" s="4" t="s">
        <v>17890</v>
      </c>
      <c r="I3" s="4" t="s">
        <v>17891</v>
      </c>
    </row>
    <row r="4" spans="1:9" x14ac:dyDescent="0.3">
      <c r="A4" s="8">
        <v>78090795.361999869</v>
      </c>
      <c r="C4" s="7">
        <v>3488</v>
      </c>
      <c r="E4" s="5">
        <v>290.20000000000431</v>
      </c>
      <c r="G4" s="7">
        <f>78090795.36/3488</f>
        <v>22388.416100917431</v>
      </c>
      <c r="I4">
        <v>5</v>
      </c>
    </row>
  </sheetData>
  <pageMargins left="0.7" right="0.7" top="0.75" bottom="0.75" header="0.3" footer="0.3"/>
  <pageSetup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C576B-3B9C-4E35-AA82-A6E155B649AB}">
  <dimension ref="A3:N45"/>
  <sheetViews>
    <sheetView topLeftCell="B1" workbookViewId="0">
      <selection activeCell="M3" sqref="M3"/>
    </sheetView>
  </sheetViews>
  <sheetFormatPr defaultRowHeight="14.4" x14ac:dyDescent="0.3"/>
  <cols>
    <col min="1" max="1" width="13.88671875" bestFit="1" customWidth="1"/>
    <col min="2" max="2" width="12" bestFit="1" customWidth="1"/>
    <col min="3" max="3" width="13.44140625" bestFit="1" customWidth="1"/>
    <col min="4" max="4" width="12.44140625" bestFit="1" customWidth="1"/>
    <col min="5" max="5" width="11.5546875" bestFit="1" customWidth="1"/>
    <col min="6" max="6" width="1.88671875" customWidth="1"/>
    <col min="7" max="7" width="12.44140625" bestFit="1" customWidth="1"/>
    <col min="8" max="8" width="11.5546875" bestFit="1" customWidth="1"/>
    <col min="9" max="9" width="28.77734375" customWidth="1"/>
    <col min="10" max="10" width="12.44140625" bestFit="1" customWidth="1"/>
    <col min="11" max="11" width="15.109375" bestFit="1" customWidth="1"/>
    <col min="12" max="12" width="2.109375" customWidth="1"/>
    <col min="13" max="13" width="14.21875" bestFit="1" customWidth="1"/>
    <col min="14" max="14" width="15.109375" bestFit="1" customWidth="1"/>
    <col min="15" max="15" width="10.5546875" bestFit="1" customWidth="1"/>
    <col min="16" max="16" width="18.77734375" bestFit="1" customWidth="1"/>
    <col min="17" max="17" width="8.5546875" bestFit="1" customWidth="1"/>
    <col min="18" max="19" width="10.5546875" bestFit="1" customWidth="1"/>
    <col min="20" max="20" width="8.5546875" bestFit="1" customWidth="1"/>
    <col min="21" max="21" width="9.5546875" bestFit="1" customWidth="1"/>
    <col min="22" max="22" width="8.5546875" bestFit="1" customWidth="1"/>
    <col min="23" max="23" width="18.77734375" bestFit="1" customWidth="1"/>
    <col min="24" max="25" width="9.5546875" bestFit="1" customWidth="1"/>
    <col min="26" max="27" width="18.77734375" bestFit="1" customWidth="1"/>
    <col min="28" max="28" width="9.5546875" bestFit="1" customWidth="1"/>
    <col min="29" max="29" width="10.5546875" bestFit="1" customWidth="1"/>
    <col min="30" max="30" width="9.5546875" bestFit="1" customWidth="1"/>
    <col min="31" max="32" width="18.77734375" bestFit="1" customWidth="1"/>
    <col min="33" max="33" width="9.5546875" bestFit="1" customWidth="1"/>
    <col min="34" max="34" width="10.5546875" bestFit="1" customWidth="1"/>
    <col min="35" max="35" width="18.77734375" bestFit="1" customWidth="1"/>
    <col min="36" max="36" width="9.5546875" bestFit="1" customWidth="1"/>
    <col min="37" max="37" width="18.77734375" bestFit="1" customWidth="1"/>
    <col min="38" max="38" width="10.5546875" bestFit="1" customWidth="1"/>
    <col min="39" max="39" width="9.5546875" bestFit="1" customWidth="1"/>
    <col min="40" max="41" width="8.5546875" bestFit="1" customWidth="1"/>
    <col min="42" max="44" width="9.5546875" bestFit="1" customWidth="1"/>
    <col min="45" max="45" width="7.5546875" bestFit="1" customWidth="1"/>
    <col min="46" max="46" width="9.5546875" bestFit="1" customWidth="1"/>
    <col min="47" max="47" width="10.5546875" bestFit="1" customWidth="1"/>
    <col min="48" max="49" width="9.5546875" bestFit="1" customWidth="1"/>
    <col min="50" max="50" width="8.5546875" bestFit="1" customWidth="1"/>
    <col min="51" max="51" width="18.77734375" bestFit="1" customWidth="1"/>
    <col min="52" max="52" width="10.5546875" bestFit="1" customWidth="1"/>
    <col min="53" max="53" width="8.5546875" bestFit="1" customWidth="1"/>
    <col min="54" max="54" width="7.5546875" bestFit="1" customWidth="1"/>
    <col min="55" max="57" width="8.5546875" bestFit="1" customWidth="1"/>
    <col min="58" max="58" width="18.77734375" bestFit="1" customWidth="1"/>
    <col min="59" max="59" width="10.5546875" bestFit="1" customWidth="1"/>
    <col min="60" max="62" width="9.5546875" bestFit="1" customWidth="1"/>
    <col min="63" max="64" width="18.77734375" bestFit="1" customWidth="1"/>
    <col min="65" max="65" width="6.5546875" bestFit="1" customWidth="1"/>
    <col min="66" max="66" width="7.5546875" bestFit="1" customWidth="1"/>
    <col min="67" max="67" width="8.5546875" bestFit="1" customWidth="1"/>
    <col min="68" max="69" width="9.5546875" bestFit="1" customWidth="1"/>
    <col min="70" max="70" width="8.5546875" bestFit="1" customWidth="1"/>
    <col min="71" max="71" width="18.77734375" bestFit="1" customWidth="1"/>
    <col min="72" max="72" width="8.5546875" bestFit="1" customWidth="1"/>
    <col min="73" max="73" width="9.5546875" bestFit="1" customWidth="1"/>
    <col min="74" max="76" width="18.77734375" bestFit="1" customWidth="1"/>
    <col min="77" max="78" width="8.5546875" bestFit="1" customWidth="1"/>
    <col min="79" max="79" width="9.5546875" bestFit="1" customWidth="1"/>
    <col min="80" max="80" width="8.5546875" bestFit="1" customWidth="1"/>
    <col min="81" max="81" width="10.5546875" bestFit="1" customWidth="1"/>
    <col min="82" max="82" width="8.5546875" bestFit="1" customWidth="1"/>
    <col min="83" max="83" width="18.77734375" bestFit="1" customWidth="1"/>
    <col min="84" max="84" width="8.5546875" bestFit="1" customWidth="1"/>
    <col min="85" max="85" width="18.77734375" bestFit="1" customWidth="1"/>
    <col min="86" max="86" width="10.5546875" bestFit="1" customWidth="1"/>
    <col min="87" max="87" width="8.5546875" bestFit="1" customWidth="1"/>
    <col min="88" max="88" width="10.5546875" bestFit="1" customWidth="1"/>
    <col min="89" max="89" width="8.5546875" bestFit="1" customWidth="1"/>
    <col min="90" max="90" width="9.5546875" bestFit="1" customWidth="1"/>
    <col min="91" max="91" width="7.5546875" bestFit="1" customWidth="1"/>
    <col min="92" max="92" width="6.5546875" bestFit="1" customWidth="1"/>
    <col min="93" max="93" width="8.5546875" bestFit="1" customWidth="1"/>
    <col min="94" max="95" width="18.77734375" bestFit="1" customWidth="1"/>
    <col min="96" max="99" width="8.5546875" bestFit="1" customWidth="1"/>
    <col min="100" max="100" width="18.77734375" bestFit="1" customWidth="1"/>
    <col min="101" max="101" width="9.5546875" bestFit="1" customWidth="1"/>
    <col min="102" max="103" width="8.5546875" bestFit="1" customWidth="1"/>
    <col min="104" max="105" width="9.5546875" bestFit="1" customWidth="1"/>
    <col min="106" max="106" width="10.5546875" bestFit="1" customWidth="1"/>
    <col min="107" max="112" width="9.5546875" bestFit="1" customWidth="1"/>
    <col min="113" max="115" width="18.77734375" bestFit="1" customWidth="1"/>
    <col min="116" max="116" width="10.5546875" bestFit="1" customWidth="1"/>
    <col min="117" max="118" width="9.5546875" bestFit="1" customWidth="1"/>
    <col min="119" max="120" width="18.77734375" bestFit="1" customWidth="1"/>
    <col min="121" max="121" width="8.5546875" bestFit="1" customWidth="1"/>
    <col min="122" max="123" width="18.77734375" bestFit="1" customWidth="1"/>
    <col min="124" max="124" width="8.5546875" bestFit="1" customWidth="1"/>
    <col min="125" max="127" width="9.5546875" bestFit="1" customWidth="1"/>
    <col min="128" max="128" width="8.5546875" bestFit="1" customWidth="1"/>
    <col min="129" max="131" width="18.77734375" bestFit="1" customWidth="1"/>
    <col min="132" max="134" width="9.5546875" bestFit="1" customWidth="1"/>
    <col min="135" max="135" width="18.77734375" bestFit="1" customWidth="1"/>
    <col min="136" max="136" width="10.5546875" bestFit="1" customWidth="1"/>
    <col min="137" max="137" width="8.5546875" bestFit="1" customWidth="1"/>
    <col min="138" max="139" width="9.5546875" bestFit="1" customWidth="1"/>
    <col min="140" max="140" width="18.77734375" bestFit="1" customWidth="1"/>
    <col min="141" max="141" width="10.5546875" bestFit="1" customWidth="1"/>
    <col min="142" max="143" width="8.5546875" bestFit="1" customWidth="1"/>
    <col min="144" max="144" width="18.77734375" bestFit="1" customWidth="1"/>
    <col min="145" max="145" width="8.5546875" bestFit="1" customWidth="1"/>
    <col min="146" max="146" width="18.77734375" bestFit="1" customWidth="1"/>
    <col min="147" max="147" width="9.5546875" bestFit="1" customWidth="1"/>
    <col min="148" max="149" width="8.5546875" bestFit="1" customWidth="1"/>
    <col min="150" max="150" width="9.5546875" bestFit="1" customWidth="1"/>
    <col min="151" max="151" width="18.77734375" bestFit="1" customWidth="1"/>
    <col min="152" max="152" width="9.5546875" bestFit="1" customWidth="1"/>
    <col min="153" max="153" width="8.5546875" bestFit="1" customWidth="1"/>
    <col min="154" max="155" width="9.5546875" bestFit="1" customWidth="1"/>
    <col min="156" max="156" width="8.5546875" bestFit="1" customWidth="1"/>
    <col min="157" max="157" width="18.77734375" bestFit="1" customWidth="1"/>
    <col min="158" max="158" width="8.5546875" bestFit="1" customWidth="1"/>
    <col min="159" max="159" width="9.5546875" bestFit="1" customWidth="1"/>
    <col min="160" max="160" width="7.5546875" bestFit="1" customWidth="1"/>
    <col min="161" max="161" width="9.5546875" bestFit="1" customWidth="1"/>
    <col min="162" max="162" width="8.5546875" bestFit="1" customWidth="1"/>
    <col min="163" max="163" width="18.77734375" bestFit="1" customWidth="1"/>
    <col min="164" max="164" width="9.5546875" bestFit="1" customWidth="1"/>
    <col min="165" max="167" width="18.77734375" bestFit="1" customWidth="1"/>
    <col min="168" max="168" width="10.5546875" bestFit="1" customWidth="1"/>
    <col min="169" max="169" width="18.77734375" bestFit="1" customWidth="1"/>
    <col min="170" max="170" width="8.5546875" bestFit="1" customWidth="1"/>
    <col min="171" max="172" width="9.5546875" bestFit="1" customWidth="1"/>
    <col min="173" max="173" width="7.5546875" bestFit="1" customWidth="1"/>
    <col min="174" max="174" width="9.5546875" bestFit="1" customWidth="1"/>
    <col min="175" max="175" width="18.77734375" bestFit="1" customWidth="1"/>
    <col min="176" max="176" width="8.5546875" bestFit="1" customWidth="1"/>
    <col min="177" max="177" width="18.77734375" bestFit="1" customWidth="1"/>
    <col min="178" max="178" width="8.5546875" bestFit="1" customWidth="1"/>
    <col min="179" max="179" width="18.77734375" bestFit="1" customWidth="1"/>
    <col min="180" max="181" width="9.5546875" bestFit="1" customWidth="1"/>
    <col min="182" max="182" width="18.77734375" bestFit="1" customWidth="1"/>
    <col min="183" max="183" width="8.5546875" bestFit="1" customWidth="1"/>
    <col min="184" max="184" width="18.77734375" bestFit="1" customWidth="1"/>
    <col min="185" max="185" width="8.5546875" bestFit="1" customWidth="1"/>
    <col min="186" max="186" width="7.5546875" bestFit="1" customWidth="1"/>
    <col min="187" max="187" width="18.77734375" bestFit="1" customWidth="1"/>
    <col min="188" max="188" width="9.5546875" bestFit="1" customWidth="1"/>
    <col min="189" max="189" width="18.77734375" bestFit="1" customWidth="1"/>
    <col min="190" max="190" width="8.5546875" bestFit="1" customWidth="1"/>
    <col min="191" max="191" width="10.5546875" bestFit="1" customWidth="1"/>
    <col min="192" max="192" width="18.77734375" bestFit="1" customWidth="1"/>
    <col min="193" max="194" width="10.5546875" bestFit="1" customWidth="1"/>
    <col min="195" max="195" width="8.5546875" bestFit="1" customWidth="1"/>
    <col min="196" max="197" width="9.5546875" bestFit="1" customWidth="1"/>
    <col min="198" max="198" width="10.5546875" bestFit="1" customWidth="1"/>
    <col min="199" max="199" width="9.5546875" bestFit="1" customWidth="1"/>
    <col min="200" max="200" width="18.77734375" bestFit="1" customWidth="1"/>
    <col min="201" max="201" width="10.5546875" bestFit="1" customWidth="1"/>
    <col min="202" max="202" width="8.5546875" bestFit="1" customWidth="1"/>
    <col min="203" max="203" width="10.5546875" bestFit="1" customWidth="1"/>
    <col min="204" max="204" width="18.77734375" bestFit="1" customWidth="1"/>
    <col min="205" max="205" width="6" bestFit="1" customWidth="1"/>
    <col min="206" max="206" width="8.5546875" bestFit="1" customWidth="1"/>
    <col min="207" max="207" width="10.5546875" bestFit="1" customWidth="1"/>
    <col min="208" max="209" width="7.5546875" bestFit="1" customWidth="1"/>
    <col min="210" max="210" width="8.5546875" bestFit="1" customWidth="1"/>
    <col min="211" max="211" width="10.5546875" bestFit="1" customWidth="1"/>
    <col min="212" max="212" width="8.5546875" bestFit="1" customWidth="1"/>
    <col min="213" max="214" width="9.5546875" bestFit="1" customWidth="1"/>
    <col min="215" max="215" width="8.5546875" bestFit="1" customWidth="1"/>
    <col min="216" max="216" width="18.77734375" bestFit="1" customWidth="1"/>
    <col min="217" max="217" width="9.5546875" bestFit="1" customWidth="1"/>
    <col min="218" max="218" width="18.77734375" bestFit="1" customWidth="1"/>
    <col min="219" max="219" width="10.5546875" bestFit="1" customWidth="1"/>
    <col min="220" max="220" width="7.5546875" bestFit="1" customWidth="1"/>
    <col min="221" max="221" width="9.5546875" bestFit="1" customWidth="1"/>
    <col min="222" max="222" width="8.5546875" bestFit="1" customWidth="1"/>
    <col min="223" max="223" width="10.5546875" bestFit="1" customWidth="1"/>
    <col min="224" max="224" width="18.77734375" bestFit="1" customWidth="1"/>
    <col min="225" max="225" width="9.5546875" bestFit="1" customWidth="1"/>
    <col min="226" max="226" width="8.5546875" bestFit="1" customWidth="1"/>
    <col min="227" max="227" width="18.77734375" bestFit="1" customWidth="1"/>
    <col min="228" max="228" width="8.5546875" bestFit="1" customWidth="1"/>
    <col min="229" max="229" width="9.5546875" bestFit="1" customWidth="1"/>
    <col min="230" max="230" width="18.77734375" bestFit="1" customWidth="1"/>
    <col min="231" max="231" width="8.5546875" bestFit="1" customWidth="1"/>
    <col min="232" max="233" width="7.5546875" bestFit="1" customWidth="1"/>
    <col min="234" max="234" width="9.5546875" bestFit="1" customWidth="1"/>
    <col min="235" max="235" width="18.77734375" bestFit="1" customWidth="1"/>
    <col min="236" max="236" width="6.5546875" bestFit="1" customWidth="1"/>
    <col min="237" max="237" width="9.5546875" bestFit="1" customWidth="1"/>
    <col min="238" max="239" width="18.77734375" bestFit="1" customWidth="1"/>
    <col min="240" max="240" width="9.5546875" bestFit="1" customWidth="1"/>
    <col min="241" max="242" width="18.77734375" bestFit="1" customWidth="1"/>
    <col min="243" max="243" width="10.5546875" bestFit="1" customWidth="1"/>
    <col min="244" max="244" width="18.77734375" bestFit="1" customWidth="1"/>
    <col min="245" max="245" width="9.5546875" bestFit="1" customWidth="1"/>
    <col min="246" max="246" width="7.5546875" bestFit="1" customWidth="1"/>
    <col min="247" max="247" width="9.5546875" bestFit="1" customWidth="1"/>
    <col min="248" max="248" width="8.5546875" bestFit="1" customWidth="1"/>
    <col min="249" max="249" width="18.77734375" bestFit="1" customWidth="1"/>
    <col min="250" max="250" width="9.5546875" bestFit="1" customWidth="1"/>
    <col min="251" max="251" width="8.5546875" bestFit="1" customWidth="1"/>
    <col min="252" max="252" width="9.5546875" bestFit="1" customWidth="1"/>
    <col min="253" max="253" width="18.77734375" bestFit="1" customWidth="1"/>
    <col min="254" max="254" width="9.5546875" bestFit="1" customWidth="1"/>
    <col min="255" max="255" width="7.5546875" bestFit="1" customWidth="1"/>
    <col min="256" max="256" width="6" bestFit="1" customWidth="1"/>
    <col min="257" max="257" width="18.77734375" bestFit="1" customWidth="1"/>
    <col min="258" max="258" width="8.5546875" bestFit="1" customWidth="1"/>
    <col min="259" max="259" width="18.77734375" bestFit="1" customWidth="1"/>
    <col min="260" max="260" width="10.5546875" bestFit="1" customWidth="1"/>
    <col min="261" max="261" width="8.5546875" bestFit="1" customWidth="1"/>
    <col min="262" max="262" width="10.5546875" bestFit="1" customWidth="1"/>
    <col min="263" max="263" width="8.5546875" bestFit="1" customWidth="1"/>
    <col min="264" max="264" width="7.5546875" bestFit="1" customWidth="1"/>
    <col min="265" max="265" width="9.5546875" bestFit="1" customWidth="1"/>
    <col min="266" max="267" width="10.5546875" bestFit="1" customWidth="1"/>
    <col min="268" max="268" width="8.5546875" bestFit="1" customWidth="1"/>
    <col min="269" max="270" width="18.77734375" bestFit="1" customWidth="1"/>
    <col min="271" max="272" width="9.5546875" bestFit="1" customWidth="1"/>
    <col min="273" max="274" width="18.77734375" bestFit="1" customWidth="1"/>
    <col min="275" max="276" width="9.5546875" bestFit="1" customWidth="1"/>
    <col min="277" max="277" width="18.77734375" bestFit="1" customWidth="1"/>
    <col min="278" max="279" width="9.5546875" bestFit="1" customWidth="1"/>
    <col min="280" max="281" width="18.77734375" bestFit="1" customWidth="1"/>
    <col min="282" max="282" width="10.5546875" bestFit="1" customWidth="1"/>
    <col min="283" max="283" width="9.5546875" bestFit="1" customWidth="1"/>
    <col min="284" max="284" width="7.5546875" bestFit="1" customWidth="1"/>
    <col min="285" max="286" width="9.5546875" bestFit="1" customWidth="1"/>
    <col min="287" max="287" width="8.5546875" bestFit="1" customWidth="1"/>
    <col min="288" max="288" width="9.5546875" bestFit="1" customWidth="1"/>
    <col min="289" max="289" width="18.77734375" bestFit="1" customWidth="1"/>
    <col min="290" max="290" width="8.5546875" bestFit="1" customWidth="1"/>
    <col min="291" max="292" width="18.77734375" bestFit="1" customWidth="1"/>
    <col min="293" max="293" width="10.5546875" bestFit="1" customWidth="1"/>
    <col min="294" max="294" width="8.5546875" bestFit="1" customWidth="1"/>
    <col min="295" max="297" width="18.77734375" bestFit="1" customWidth="1"/>
    <col min="298" max="298" width="8.5546875" bestFit="1" customWidth="1"/>
    <col min="299" max="299" width="18.77734375" bestFit="1" customWidth="1"/>
    <col min="300" max="301" width="9.5546875" bestFit="1" customWidth="1"/>
    <col min="302" max="302" width="18.77734375" bestFit="1" customWidth="1"/>
    <col min="303" max="303" width="9.5546875" bestFit="1" customWidth="1"/>
    <col min="304" max="305" width="18.77734375" bestFit="1" customWidth="1"/>
    <col min="306" max="306" width="10.5546875" bestFit="1" customWidth="1"/>
    <col min="307" max="308" width="9.5546875" bestFit="1" customWidth="1"/>
    <col min="309" max="309" width="18.77734375" bestFit="1" customWidth="1"/>
    <col min="310" max="310" width="9.5546875" bestFit="1" customWidth="1"/>
    <col min="311" max="311" width="10.5546875" bestFit="1" customWidth="1"/>
    <col min="312" max="312" width="18.77734375" bestFit="1" customWidth="1"/>
    <col min="313" max="314" width="9.5546875" bestFit="1" customWidth="1"/>
    <col min="315" max="316" width="18.77734375" bestFit="1" customWidth="1"/>
    <col min="317" max="317" width="10.5546875" bestFit="1" customWidth="1"/>
    <col min="318" max="318" width="9.5546875" bestFit="1" customWidth="1"/>
    <col min="319" max="319" width="18.77734375" bestFit="1" customWidth="1"/>
    <col min="320" max="320" width="8.5546875" bestFit="1" customWidth="1"/>
    <col min="321" max="321" width="18.77734375" bestFit="1" customWidth="1"/>
    <col min="322" max="323" width="9.5546875" bestFit="1" customWidth="1"/>
    <col min="324" max="325" width="7.5546875" bestFit="1" customWidth="1"/>
    <col min="326" max="327" width="9.5546875" bestFit="1" customWidth="1"/>
    <col min="328" max="328" width="18.77734375" bestFit="1" customWidth="1"/>
    <col min="329" max="330" width="8.5546875" bestFit="1" customWidth="1"/>
    <col min="331" max="331" width="9.5546875" bestFit="1" customWidth="1"/>
    <col min="332" max="332" width="8.5546875" bestFit="1" customWidth="1"/>
    <col min="333" max="333" width="18.77734375" bestFit="1" customWidth="1"/>
    <col min="334" max="334" width="9.5546875" bestFit="1" customWidth="1"/>
    <col min="335" max="335" width="18.77734375" bestFit="1" customWidth="1"/>
    <col min="336" max="336" width="9.5546875" bestFit="1" customWidth="1"/>
    <col min="337" max="337" width="7.5546875" bestFit="1" customWidth="1"/>
    <col min="338" max="338" width="9.5546875" bestFit="1" customWidth="1"/>
    <col min="339" max="339" width="10.5546875" bestFit="1" customWidth="1"/>
    <col min="340" max="341" width="9.5546875" bestFit="1" customWidth="1"/>
    <col min="342" max="342" width="10.5546875" bestFit="1" customWidth="1"/>
    <col min="343" max="344" width="9.5546875" bestFit="1" customWidth="1"/>
    <col min="345" max="345" width="10.5546875" bestFit="1" customWidth="1"/>
    <col min="346" max="346" width="9.5546875" bestFit="1" customWidth="1"/>
    <col min="347" max="347" width="18.77734375" bestFit="1" customWidth="1"/>
    <col min="348" max="348" width="8.5546875" bestFit="1" customWidth="1"/>
    <col min="349" max="349" width="9.5546875" bestFit="1" customWidth="1"/>
    <col min="350" max="350" width="10.5546875" bestFit="1" customWidth="1"/>
    <col min="351" max="351" width="18.77734375" bestFit="1" customWidth="1"/>
    <col min="352" max="352" width="8.5546875" bestFit="1" customWidth="1"/>
    <col min="353" max="354" width="18.77734375" bestFit="1" customWidth="1"/>
    <col min="355" max="355" width="10.5546875" bestFit="1" customWidth="1"/>
    <col min="356" max="356" width="18.77734375" bestFit="1" customWidth="1"/>
    <col min="357" max="357" width="7.5546875" bestFit="1" customWidth="1"/>
    <col min="358" max="358" width="10.5546875" bestFit="1" customWidth="1"/>
    <col min="359" max="359" width="18.77734375" bestFit="1" customWidth="1"/>
    <col min="360" max="361" width="9.5546875" bestFit="1" customWidth="1"/>
    <col min="362" max="362" width="6" bestFit="1" customWidth="1"/>
    <col min="363" max="363" width="6.5546875" bestFit="1" customWidth="1"/>
    <col min="364" max="364" width="8.5546875" bestFit="1" customWidth="1"/>
    <col min="365" max="365" width="10.5546875" bestFit="1" customWidth="1"/>
    <col min="366" max="366" width="8.5546875" bestFit="1" customWidth="1"/>
    <col min="367" max="367" width="10.5546875" bestFit="1" customWidth="1"/>
    <col min="368" max="368" width="9.5546875" bestFit="1" customWidth="1"/>
    <col min="369" max="369" width="18.77734375" bestFit="1" customWidth="1"/>
    <col min="370" max="372" width="9.5546875" bestFit="1" customWidth="1"/>
    <col min="373" max="373" width="18.77734375" bestFit="1" customWidth="1"/>
    <col min="374" max="375" width="9.5546875" bestFit="1" customWidth="1"/>
    <col min="376" max="376" width="18.77734375" bestFit="1" customWidth="1"/>
    <col min="377" max="377" width="10.5546875" bestFit="1" customWidth="1"/>
    <col min="378" max="378" width="9.5546875" bestFit="1" customWidth="1"/>
    <col min="379" max="380" width="8.5546875" bestFit="1" customWidth="1"/>
    <col min="381" max="381" width="18.77734375" bestFit="1" customWidth="1"/>
    <col min="382" max="382" width="6.5546875" bestFit="1" customWidth="1"/>
    <col min="383" max="384" width="18.77734375" bestFit="1" customWidth="1"/>
    <col min="385" max="385" width="9.5546875" bestFit="1" customWidth="1"/>
    <col min="386" max="386" width="8.5546875" bestFit="1" customWidth="1"/>
    <col min="387" max="388" width="18.77734375" bestFit="1" customWidth="1"/>
    <col min="389" max="389" width="9.5546875" bestFit="1" customWidth="1"/>
    <col min="390" max="390" width="18.77734375" bestFit="1" customWidth="1"/>
    <col min="391" max="391" width="9.5546875" bestFit="1" customWidth="1"/>
    <col min="392" max="392" width="18.77734375" bestFit="1" customWidth="1"/>
    <col min="393" max="393" width="10.5546875" bestFit="1" customWidth="1"/>
    <col min="394" max="395" width="18.77734375" bestFit="1" customWidth="1"/>
    <col min="396" max="396" width="9.5546875" bestFit="1" customWidth="1"/>
    <col min="397" max="397" width="7.5546875" bestFit="1" customWidth="1"/>
    <col min="398" max="398" width="9.5546875" bestFit="1" customWidth="1"/>
    <col min="399" max="399" width="18.77734375" bestFit="1" customWidth="1"/>
    <col min="400" max="400" width="8.5546875" bestFit="1" customWidth="1"/>
    <col min="401" max="401" width="18.77734375" bestFit="1" customWidth="1"/>
    <col min="402" max="403" width="9.5546875" bestFit="1" customWidth="1"/>
    <col min="404" max="404" width="18.77734375" bestFit="1" customWidth="1"/>
    <col min="405" max="405" width="9.5546875" bestFit="1" customWidth="1"/>
    <col min="406" max="406" width="8.5546875" bestFit="1" customWidth="1"/>
    <col min="407" max="407" width="18.77734375" bestFit="1" customWidth="1"/>
    <col min="408" max="408" width="9.5546875" bestFit="1" customWidth="1"/>
    <col min="409" max="410" width="18.77734375" bestFit="1" customWidth="1"/>
    <col min="411" max="411" width="8.5546875" bestFit="1" customWidth="1"/>
    <col min="412" max="412" width="18.77734375" bestFit="1" customWidth="1"/>
    <col min="413" max="413" width="9.5546875" bestFit="1" customWidth="1"/>
    <col min="414" max="414" width="8.5546875" bestFit="1" customWidth="1"/>
    <col min="415" max="416" width="18.77734375" bestFit="1" customWidth="1"/>
    <col min="417" max="418" width="8.5546875" bestFit="1" customWidth="1"/>
    <col min="419" max="419" width="9.5546875" bestFit="1" customWidth="1"/>
    <col min="420" max="420" width="18.77734375" bestFit="1" customWidth="1"/>
    <col min="421" max="421" width="8.5546875" bestFit="1" customWidth="1"/>
    <col min="422" max="423" width="18.77734375" bestFit="1" customWidth="1"/>
    <col min="424" max="424" width="9.5546875" bestFit="1" customWidth="1"/>
    <col min="425" max="425" width="8.5546875" bestFit="1" customWidth="1"/>
    <col min="426" max="426" width="9.5546875" bestFit="1" customWidth="1"/>
    <col min="427" max="427" width="10.5546875" bestFit="1" customWidth="1"/>
    <col min="428" max="428" width="18.77734375" bestFit="1" customWidth="1"/>
    <col min="429" max="430" width="8.5546875" bestFit="1" customWidth="1"/>
    <col min="431" max="431" width="7.5546875" bestFit="1" customWidth="1"/>
    <col min="432" max="433" width="8.5546875" bestFit="1" customWidth="1"/>
    <col min="434" max="434" width="10.5546875" bestFit="1" customWidth="1"/>
    <col min="435" max="435" width="9.5546875" bestFit="1" customWidth="1"/>
    <col min="436" max="436" width="8.5546875" bestFit="1" customWidth="1"/>
    <col min="437" max="438" width="18.77734375" bestFit="1" customWidth="1"/>
    <col min="439" max="439" width="7.5546875" bestFit="1" customWidth="1"/>
    <col min="440" max="440" width="8.5546875" bestFit="1" customWidth="1"/>
    <col min="441" max="441" width="18.77734375" bestFit="1" customWidth="1"/>
    <col min="442" max="442" width="9.5546875" bestFit="1" customWidth="1"/>
    <col min="443" max="443" width="10.5546875" bestFit="1" customWidth="1"/>
    <col min="444" max="444" width="7.5546875" bestFit="1" customWidth="1"/>
    <col min="445" max="445" width="8.5546875" bestFit="1" customWidth="1"/>
    <col min="446" max="446" width="10.5546875" bestFit="1" customWidth="1"/>
    <col min="447" max="447" width="18.77734375" bestFit="1" customWidth="1"/>
    <col min="448" max="448" width="9.5546875" bestFit="1" customWidth="1"/>
    <col min="449" max="449" width="8.5546875" bestFit="1" customWidth="1"/>
    <col min="450" max="450" width="7.5546875" bestFit="1" customWidth="1"/>
    <col min="451" max="452" width="18.77734375" bestFit="1" customWidth="1"/>
    <col min="453" max="453" width="8.5546875" bestFit="1" customWidth="1"/>
    <col min="454" max="454" width="10.5546875" bestFit="1" customWidth="1"/>
    <col min="455" max="455" width="18.77734375" bestFit="1" customWidth="1"/>
    <col min="456" max="456" width="9.5546875" bestFit="1" customWidth="1"/>
    <col min="457" max="457" width="8.5546875" bestFit="1" customWidth="1"/>
    <col min="458" max="462" width="9.5546875" bestFit="1" customWidth="1"/>
    <col min="463" max="463" width="18.77734375" bestFit="1" customWidth="1"/>
    <col min="464" max="464" width="8.5546875" bestFit="1" customWidth="1"/>
    <col min="465" max="465" width="9.5546875" bestFit="1" customWidth="1"/>
    <col min="466" max="466" width="8.5546875" bestFit="1" customWidth="1"/>
    <col min="467" max="468" width="18.77734375" bestFit="1" customWidth="1"/>
    <col min="469" max="470" width="9.5546875" bestFit="1" customWidth="1"/>
    <col min="471" max="471" width="8.5546875" bestFit="1" customWidth="1"/>
    <col min="472" max="472" width="11.5546875" bestFit="1" customWidth="1"/>
    <col min="473" max="473" width="9.5546875" bestFit="1" customWidth="1"/>
    <col min="474" max="474" width="10.5546875" bestFit="1" customWidth="1"/>
    <col min="475" max="475" width="9.5546875" bestFit="1" customWidth="1"/>
    <col min="476" max="476" width="8.5546875" bestFit="1" customWidth="1"/>
    <col min="477" max="478" width="9.5546875" bestFit="1" customWidth="1"/>
    <col min="479" max="479" width="8.5546875" bestFit="1" customWidth="1"/>
    <col min="480" max="480" width="9.5546875" bestFit="1" customWidth="1"/>
    <col min="481" max="481" width="8.5546875" bestFit="1" customWidth="1"/>
    <col min="482" max="482" width="18.77734375" bestFit="1" customWidth="1"/>
    <col min="483" max="483" width="11.5546875" bestFit="1" customWidth="1"/>
    <col min="484" max="485" width="8.5546875" bestFit="1" customWidth="1"/>
    <col min="486" max="487" width="10.5546875" bestFit="1" customWidth="1"/>
    <col min="488" max="488" width="9.5546875" bestFit="1" customWidth="1"/>
    <col min="489" max="489" width="18.77734375" bestFit="1" customWidth="1"/>
    <col min="490" max="490" width="9.5546875" bestFit="1" customWidth="1"/>
    <col min="491" max="491" width="18.77734375" bestFit="1" customWidth="1"/>
    <col min="492" max="492" width="9.5546875" bestFit="1" customWidth="1"/>
    <col min="493" max="494" width="8.5546875" bestFit="1" customWidth="1"/>
    <col min="495" max="496" width="18.77734375" bestFit="1" customWidth="1"/>
    <col min="497" max="497" width="7.5546875" bestFit="1" customWidth="1"/>
    <col min="498" max="498" width="8.5546875" bestFit="1" customWidth="1"/>
    <col min="499" max="499" width="18.77734375" bestFit="1" customWidth="1"/>
    <col min="500" max="500" width="9.5546875" bestFit="1" customWidth="1"/>
    <col min="501" max="501" width="8.5546875" bestFit="1" customWidth="1"/>
    <col min="502" max="502" width="7.5546875" bestFit="1" customWidth="1"/>
    <col min="503" max="503" width="9.5546875" bestFit="1" customWidth="1"/>
    <col min="504" max="505" width="10.5546875" bestFit="1" customWidth="1"/>
    <col min="506" max="507" width="8.5546875" bestFit="1" customWidth="1"/>
    <col min="508" max="509" width="18.77734375" bestFit="1" customWidth="1"/>
    <col min="510" max="511" width="9.5546875" bestFit="1" customWidth="1"/>
    <col min="512" max="513" width="10.5546875" bestFit="1" customWidth="1"/>
    <col min="514" max="516" width="8.5546875" bestFit="1" customWidth="1"/>
    <col min="517" max="517" width="9.5546875" bestFit="1" customWidth="1"/>
    <col min="518" max="518" width="11.5546875" bestFit="1" customWidth="1"/>
    <col min="519" max="520" width="9.5546875" bestFit="1" customWidth="1"/>
    <col min="521" max="521" width="7.5546875" bestFit="1" customWidth="1"/>
    <col min="522" max="522" width="10.5546875" bestFit="1" customWidth="1"/>
    <col min="523" max="523" width="8.5546875" bestFit="1" customWidth="1"/>
    <col min="524" max="524" width="9.5546875" bestFit="1" customWidth="1"/>
    <col min="525" max="526" width="7.5546875" bestFit="1" customWidth="1"/>
    <col min="527" max="527" width="9.5546875" bestFit="1" customWidth="1"/>
    <col min="528" max="528" width="10.5546875" bestFit="1" customWidth="1"/>
    <col min="529" max="531" width="9.5546875" bestFit="1" customWidth="1"/>
    <col min="532" max="535" width="18.77734375" bestFit="1" customWidth="1"/>
    <col min="536" max="536" width="9.5546875" bestFit="1" customWidth="1"/>
    <col min="537" max="538" width="18.77734375" bestFit="1" customWidth="1"/>
    <col min="539" max="539" width="9.5546875" bestFit="1" customWidth="1"/>
    <col min="540" max="543" width="18.77734375" bestFit="1" customWidth="1"/>
    <col min="544" max="544" width="9.5546875" bestFit="1" customWidth="1"/>
    <col min="545" max="546" width="18.77734375" bestFit="1" customWidth="1"/>
    <col min="547" max="548" width="9.5546875" bestFit="1" customWidth="1"/>
    <col min="549" max="550" width="8.5546875" bestFit="1" customWidth="1"/>
    <col min="551" max="551" width="18.77734375" bestFit="1" customWidth="1"/>
    <col min="552" max="552" width="9.5546875" bestFit="1" customWidth="1"/>
    <col min="553" max="553" width="8.5546875" bestFit="1" customWidth="1"/>
    <col min="554" max="555" width="18.77734375" bestFit="1" customWidth="1"/>
    <col min="556" max="558" width="9.5546875" bestFit="1" customWidth="1"/>
    <col min="559" max="559" width="18.77734375" bestFit="1" customWidth="1"/>
    <col min="560" max="560" width="8.5546875" bestFit="1" customWidth="1"/>
    <col min="561" max="561" width="18.77734375" bestFit="1" customWidth="1"/>
    <col min="562" max="562" width="9.5546875" bestFit="1" customWidth="1"/>
    <col min="563" max="563" width="7.5546875" bestFit="1" customWidth="1"/>
    <col min="564" max="564" width="10.5546875" bestFit="1" customWidth="1"/>
    <col min="565" max="565" width="18.77734375" bestFit="1" customWidth="1"/>
    <col min="566" max="566" width="8.5546875" bestFit="1" customWidth="1"/>
    <col min="567" max="567" width="18.77734375" bestFit="1" customWidth="1"/>
    <col min="568" max="568" width="8.5546875" bestFit="1" customWidth="1"/>
    <col min="569" max="569" width="9.5546875" bestFit="1" customWidth="1"/>
    <col min="570" max="570" width="18.77734375" bestFit="1" customWidth="1"/>
    <col min="571" max="571" width="8.5546875" bestFit="1" customWidth="1"/>
    <col min="572" max="572" width="11.5546875" bestFit="1" customWidth="1"/>
    <col min="573" max="573" width="9.5546875" bestFit="1" customWidth="1"/>
    <col min="574" max="574" width="10.5546875" bestFit="1" customWidth="1"/>
    <col min="575" max="577" width="9.5546875" bestFit="1" customWidth="1"/>
    <col min="578" max="579" width="18.77734375" bestFit="1" customWidth="1"/>
    <col min="580" max="580" width="8.5546875" bestFit="1" customWidth="1"/>
    <col min="581" max="581" width="18.77734375" bestFit="1" customWidth="1"/>
    <col min="582" max="582" width="9.5546875" bestFit="1" customWidth="1"/>
    <col min="583" max="585" width="18.77734375" bestFit="1" customWidth="1"/>
    <col min="586" max="586" width="7.5546875" bestFit="1" customWidth="1"/>
    <col min="587" max="588" width="9.5546875" bestFit="1" customWidth="1"/>
    <col min="589" max="589" width="8.5546875" bestFit="1" customWidth="1"/>
    <col min="590" max="590" width="10.5546875" bestFit="1" customWidth="1"/>
    <col min="591" max="592" width="18.77734375" bestFit="1" customWidth="1"/>
    <col min="593" max="595" width="10.5546875" bestFit="1" customWidth="1"/>
    <col min="596" max="596" width="18.77734375" bestFit="1" customWidth="1"/>
    <col min="597" max="597" width="8.5546875" bestFit="1" customWidth="1"/>
    <col min="598" max="599" width="18.77734375" bestFit="1" customWidth="1"/>
    <col min="600" max="601" width="9.5546875" bestFit="1" customWidth="1"/>
    <col min="602" max="602" width="8.5546875" bestFit="1" customWidth="1"/>
    <col min="603" max="603" width="18.77734375" bestFit="1" customWidth="1"/>
    <col min="604" max="604" width="9.5546875" bestFit="1" customWidth="1"/>
    <col min="605" max="605" width="10.5546875" bestFit="1" customWidth="1"/>
    <col min="606" max="608" width="8.5546875" bestFit="1" customWidth="1"/>
    <col min="609" max="609" width="6" bestFit="1" customWidth="1"/>
    <col min="610" max="610" width="7.5546875" bestFit="1" customWidth="1"/>
    <col min="611" max="611" width="18.77734375" bestFit="1" customWidth="1"/>
    <col min="612" max="612" width="7.5546875" bestFit="1" customWidth="1"/>
    <col min="613" max="614" width="18.77734375" bestFit="1" customWidth="1"/>
    <col min="615" max="615" width="8.5546875" bestFit="1" customWidth="1"/>
    <col min="616" max="616" width="9.5546875" bestFit="1" customWidth="1"/>
    <col min="617" max="617" width="7.5546875" bestFit="1" customWidth="1"/>
    <col min="618" max="619" width="18.77734375" bestFit="1" customWidth="1"/>
    <col min="620" max="620" width="9.5546875" bestFit="1" customWidth="1"/>
    <col min="621" max="621" width="8.5546875" bestFit="1" customWidth="1"/>
    <col min="622" max="622" width="9.5546875" bestFit="1" customWidth="1"/>
    <col min="623" max="625" width="18.77734375" bestFit="1" customWidth="1"/>
    <col min="626" max="626" width="8.5546875" bestFit="1" customWidth="1"/>
    <col min="627" max="629" width="18.77734375" bestFit="1" customWidth="1"/>
    <col min="630" max="630" width="8.5546875" bestFit="1" customWidth="1"/>
    <col min="631" max="631" width="7.5546875" bestFit="1" customWidth="1"/>
    <col min="632" max="632" width="8.5546875" bestFit="1" customWidth="1"/>
    <col min="633" max="633" width="10.5546875" bestFit="1" customWidth="1"/>
    <col min="634" max="638" width="9.5546875" bestFit="1" customWidth="1"/>
    <col min="639" max="639" width="10.5546875" bestFit="1" customWidth="1"/>
    <col min="640" max="640" width="9.5546875" bestFit="1" customWidth="1"/>
    <col min="641" max="642" width="18.77734375" bestFit="1" customWidth="1"/>
    <col min="643" max="644" width="9.5546875" bestFit="1" customWidth="1"/>
    <col min="645" max="645" width="10.5546875" bestFit="1" customWidth="1"/>
    <col min="646" max="646" width="9.5546875" bestFit="1" customWidth="1"/>
    <col min="647" max="647" width="8.5546875" bestFit="1" customWidth="1"/>
    <col min="648" max="648" width="18.77734375" bestFit="1" customWidth="1"/>
    <col min="649" max="649" width="9.5546875" bestFit="1" customWidth="1"/>
    <col min="650" max="651" width="8.5546875" bestFit="1" customWidth="1"/>
    <col min="652" max="652" width="7.5546875" bestFit="1" customWidth="1"/>
    <col min="653" max="653" width="6" bestFit="1" customWidth="1"/>
    <col min="654" max="654" width="10.5546875" bestFit="1" customWidth="1"/>
    <col min="655" max="656" width="8.5546875" bestFit="1" customWidth="1"/>
    <col min="657" max="658" width="18.77734375" bestFit="1" customWidth="1"/>
    <col min="659" max="659" width="10.5546875" bestFit="1" customWidth="1"/>
    <col min="660" max="660" width="9.5546875" bestFit="1" customWidth="1"/>
    <col min="661" max="661" width="10.5546875" bestFit="1" customWidth="1"/>
    <col min="662" max="662" width="8.5546875" bestFit="1" customWidth="1"/>
    <col min="663" max="663" width="9.5546875" bestFit="1" customWidth="1"/>
    <col min="664" max="664" width="18.77734375" bestFit="1" customWidth="1"/>
    <col min="665" max="665" width="9.5546875" bestFit="1" customWidth="1"/>
    <col min="666" max="666" width="8.5546875" bestFit="1" customWidth="1"/>
    <col min="667" max="667" width="18.77734375" bestFit="1" customWidth="1"/>
    <col min="668" max="668" width="8.5546875" bestFit="1" customWidth="1"/>
    <col min="669" max="669" width="18.77734375" bestFit="1" customWidth="1"/>
    <col min="670" max="672" width="8.5546875" bestFit="1" customWidth="1"/>
    <col min="673" max="673" width="18.77734375" bestFit="1" customWidth="1"/>
    <col min="674" max="674" width="9.5546875" bestFit="1" customWidth="1"/>
    <col min="675" max="676" width="18.77734375" bestFit="1" customWidth="1"/>
    <col min="677" max="677" width="10.5546875" bestFit="1" customWidth="1"/>
    <col min="678" max="678" width="9.5546875" bestFit="1" customWidth="1"/>
    <col min="679" max="679" width="18.77734375" bestFit="1" customWidth="1"/>
    <col min="680" max="680" width="7.5546875" bestFit="1" customWidth="1"/>
    <col min="681" max="681" width="18.77734375" bestFit="1" customWidth="1"/>
    <col min="682" max="682" width="8.5546875" bestFit="1" customWidth="1"/>
    <col min="683" max="686" width="18.77734375" bestFit="1" customWidth="1"/>
    <col min="687" max="687" width="7.5546875" bestFit="1" customWidth="1"/>
    <col min="688" max="691" width="9.5546875" bestFit="1" customWidth="1"/>
    <col min="692" max="692" width="18.77734375" bestFit="1" customWidth="1"/>
    <col min="693" max="693" width="9.5546875" bestFit="1" customWidth="1"/>
    <col min="694" max="695" width="18.77734375" bestFit="1" customWidth="1"/>
    <col min="696" max="696" width="10.5546875" bestFit="1" customWidth="1"/>
    <col min="697" max="697" width="9.5546875" bestFit="1" customWidth="1"/>
    <col min="698" max="698" width="18.77734375" bestFit="1" customWidth="1"/>
    <col min="699" max="699" width="9.5546875" bestFit="1" customWidth="1"/>
    <col min="700" max="700" width="18.77734375" bestFit="1" customWidth="1"/>
    <col min="701" max="702" width="9.5546875" bestFit="1" customWidth="1"/>
    <col min="703" max="703" width="10.5546875" bestFit="1" customWidth="1"/>
    <col min="704" max="704" width="18.77734375" bestFit="1" customWidth="1"/>
    <col min="705" max="706" width="9.5546875" bestFit="1" customWidth="1"/>
    <col min="707" max="710" width="18.77734375" bestFit="1" customWidth="1"/>
    <col min="711" max="711" width="9.5546875" bestFit="1" customWidth="1"/>
    <col min="712" max="712" width="8.5546875" bestFit="1" customWidth="1"/>
    <col min="713" max="713" width="9.5546875" bestFit="1" customWidth="1"/>
    <col min="714" max="715" width="7.5546875" bestFit="1" customWidth="1"/>
    <col min="716" max="716" width="8.5546875" bestFit="1" customWidth="1"/>
    <col min="717" max="717" width="9.5546875" bestFit="1" customWidth="1"/>
    <col min="718" max="718" width="18.77734375" bestFit="1" customWidth="1"/>
    <col min="719" max="719" width="9.5546875" bestFit="1" customWidth="1"/>
    <col min="720" max="720" width="18.77734375" bestFit="1" customWidth="1"/>
    <col min="721" max="722" width="9.5546875" bestFit="1" customWidth="1"/>
    <col min="723" max="725" width="8.5546875" bestFit="1" customWidth="1"/>
    <col min="726" max="726" width="9.5546875" bestFit="1" customWidth="1"/>
    <col min="727" max="728" width="8.5546875" bestFit="1" customWidth="1"/>
    <col min="729" max="729" width="10.5546875" bestFit="1" customWidth="1"/>
    <col min="730" max="730" width="7.5546875" bestFit="1" customWidth="1"/>
    <col min="731" max="731" width="8.5546875" bestFit="1" customWidth="1"/>
    <col min="732" max="732" width="9.5546875" bestFit="1" customWidth="1"/>
    <col min="733" max="733" width="8.5546875" bestFit="1" customWidth="1"/>
    <col min="734" max="734" width="7.5546875" bestFit="1" customWidth="1"/>
    <col min="735" max="735" width="18.77734375" bestFit="1" customWidth="1"/>
    <col min="736" max="736" width="8.5546875" bestFit="1" customWidth="1"/>
    <col min="737" max="737" width="9.5546875" bestFit="1" customWidth="1"/>
    <col min="738" max="739" width="8.5546875" bestFit="1" customWidth="1"/>
    <col min="740" max="741" width="9.5546875" bestFit="1" customWidth="1"/>
    <col min="742" max="742" width="10.5546875" bestFit="1" customWidth="1"/>
    <col min="743" max="743" width="8.5546875" bestFit="1" customWidth="1"/>
    <col min="744" max="744" width="18.77734375" bestFit="1" customWidth="1"/>
    <col min="745" max="745" width="9.5546875" bestFit="1" customWidth="1"/>
    <col min="746" max="746" width="8.5546875" bestFit="1" customWidth="1"/>
    <col min="747" max="747" width="9.5546875" bestFit="1" customWidth="1"/>
    <col min="748" max="749" width="8.5546875" bestFit="1" customWidth="1"/>
    <col min="750" max="750" width="9.5546875" bestFit="1" customWidth="1"/>
    <col min="751" max="751" width="8.5546875" bestFit="1" customWidth="1"/>
    <col min="752" max="752" width="18.77734375" bestFit="1" customWidth="1"/>
    <col min="753" max="753" width="6" bestFit="1" customWidth="1"/>
    <col min="754" max="755" width="9.5546875" bestFit="1" customWidth="1"/>
    <col min="756" max="758" width="18.77734375" bestFit="1" customWidth="1"/>
    <col min="759" max="760" width="9.5546875" bestFit="1" customWidth="1"/>
    <col min="761" max="761" width="8.5546875" bestFit="1" customWidth="1"/>
    <col min="762" max="762" width="18.77734375" bestFit="1" customWidth="1"/>
    <col min="763" max="763" width="7.5546875" bestFit="1" customWidth="1"/>
    <col min="764" max="765" width="18.77734375" bestFit="1" customWidth="1"/>
    <col min="766" max="766" width="8.5546875" bestFit="1" customWidth="1"/>
    <col min="767" max="768" width="18.77734375" bestFit="1" customWidth="1"/>
    <col min="769" max="769" width="9.5546875" bestFit="1" customWidth="1"/>
    <col min="770" max="770" width="8.5546875" bestFit="1" customWidth="1"/>
    <col min="771" max="772" width="18.77734375" bestFit="1" customWidth="1"/>
    <col min="773" max="773" width="8.5546875" bestFit="1" customWidth="1"/>
    <col min="774" max="774" width="9.5546875" bestFit="1" customWidth="1"/>
    <col min="775" max="775" width="8.5546875" bestFit="1" customWidth="1"/>
    <col min="776" max="776" width="18.77734375" bestFit="1" customWidth="1"/>
    <col min="777" max="777" width="10.5546875" bestFit="1" customWidth="1"/>
    <col min="778" max="778" width="18.77734375" bestFit="1" customWidth="1"/>
    <col min="779" max="780" width="9.5546875" bestFit="1" customWidth="1"/>
    <col min="781" max="783" width="8.5546875" bestFit="1" customWidth="1"/>
    <col min="784" max="785" width="7.5546875" bestFit="1" customWidth="1"/>
    <col min="786" max="786" width="9.5546875" bestFit="1" customWidth="1"/>
    <col min="787" max="788" width="18.77734375" bestFit="1" customWidth="1"/>
    <col min="789" max="789" width="10.5546875" bestFit="1" customWidth="1"/>
    <col min="790" max="790" width="7.5546875" bestFit="1" customWidth="1"/>
    <col min="791" max="793" width="9.5546875" bestFit="1" customWidth="1"/>
    <col min="794" max="795" width="18.77734375" bestFit="1" customWidth="1"/>
    <col min="796" max="796" width="8.5546875" bestFit="1" customWidth="1"/>
    <col min="797" max="799" width="9.5546875" bestFit="1" customWidth="1"/>
    <col min="800" max="800" width="7.5546875" bestFit="1" customWidth="1"/>
    <col min="801" max="801" width="9.5546875" bestFit="1" customWidth="1"/>
    <col min="802" max="802" width="8.5546875" bestFit="1" customWidth="1"/>
    <col min="803" max="803" width="7.5546875" bestFit="1" customWidth="1"/>
    <col min="804" max="805" width="8.5546875" bestFit="1" customWidth="1"/>
    <col min="806" max="806" width="9.5546875" bestFit="1" customWidth="1"/>
    <col min="807" max="808" width="18.77734375" bestFit="1" customWidth="1"/>
    <col min="809" max="809" width="10.5546875" bestFit="1" customWidth="1"/>
    <col min="810" max="810" width="18.77734375" bestFit="1" customWidth="1"/>
    <col min="811" max="811" width="9.5546875" bestFit="1" customWidth="1"/>
    <col min="812" max="812" width="8.5546875" bestFit="1" customWidth="1"/>
    <col min="813" max="813" width="10.5546875" bestFit="1" customWidth="1"/>
    <col min="814" max="814" width="9.5546875" bestFit="1" customWidth="1"/>
    <col min="815" max="816" width="8.5546875" bestFit="1" customWidth="1"/>
    <col min="817" max="817" width="18.77734375" bestFit="1" customWidth="1"/>
    <col min="818" max="818" width="8.5546875" bestFit="1" customWidth="1"/>
    <col min="819" max="819" width="9.5546875" bestFit="1" customWidth="1"/>
    <col min="820" max="821" width="8.5546875" bestFit="1" customWidth="1"/>
    <col min="822" max="822" width="18.77734375" bestFit="1" customWidth="1"/>
    <col min="823" max="823" width="7.5546875" bestFit="1" customWidth="1"/>
    <col min="824" max="824" width="18.77734375" bestFit="1" customWidth="1"/>
    <col min="825" max="825" width="7.5546875" bestFit="1" customWidth="1"/>
    <col min="826" max="826" width="18.77734375" bestFit="1" customWidth="1"/>
    <col min="827" max="827" width="10.5546875" bestFit="1" customWidth="1"/>
    <col min="828" max="828" width="11.5546875" bestFit="1" customWidth="1"/>
    <col min="829" max="829" width="9.5546875" bestFit="1" customWidth="1"/>
    <col min="830" max="830" width="18.77734375" bestFit="1" customWidth="1"/>
    <col min="831" max="831" width="7.5546875" bestFit="1" customWidth="1"/>
    <col min="832" max="832" width="10.5546875" bestFit="1" customWidth="1"/>
    <col min="833" max="833" width="9.5546875" bestFit="1" customWidth="1"/>
    <col min="834" max="834" width="18.77734375" bestFit="1" customWidth="1"/>
    <col min="835" max="836" width="8.5546875" bestFit="1" customWidth="1"/>
    <col min="837" max="837" width="18.77734375" bestFit="1" customWidth="1"/>
    <col min="838" max="838" width="8.5546875" bestFit="1" customWidth="1"/>
    <col min="839" max="839" width="18.77734375" bestFit="1" customWidth="1"/>
    <col min="840" max="840" width="10.5546875" bestFit="1" customWidth="1"/>
    <col min="841" max="841" width="9.5546875" bestFit="1" customWidth="1"/>
    <col min="842" max="842" width="18.77734375" bestFit="1" customWidth="1"/>
    <col min="843" max="843" width="7.5546875" bestFit="1" customWidth="1"/>
    <col min="844" max="846" width="9.5546875" bestFit="1" customWidth="1"/>
    <col min="847" max="847" width="8.5546875" bestFit="1" customWidth="1"/>
    <col min="848" max="848" width="10.5546875" bestFit="1" customWidth="1"/>
    <col min="849" max="849" width="8.5546875" bestFit="1" customWidth="1"/>
    <col min="850" max="850" width="7.5546875" bestFit="1" customWidth="1"/>
    <col min="851" max="851" width="18.77734375" bestFit="1" customWidth="1"/>
    <col min="852" max="852" width="9.5546875" bestFit="1" customWidth="1"/>
    <col min="853" max="853" width="8.5546875" bestFit="1" customWidth="1"/>
    <col min="854" max="854" width="9.5546875" bestFit="1" customWidth="1"/>
    <col min="855" max="855" width="18.77734375" bestFit="1" customWidth="1"/>
    <col min="856" max="857" width="8.5546875" bestFit="1" customWidth="1"/>
    <col min="858" max="858" width="18.77734375" bestFit="1" customWidth="1"/>
    <col min="859" max="859" width="9.5546875" bestFit="1" customWidth="1"/>
    <col min="860" max="860" width="10.5546875" bestFit="1" customWidth="1"/>
    <col min="861" max="861" width="9.5546875" bestFit="1" customWidth="1"/>
    <col min="862" max="862" width="18.77734375" bestFit="1" customWidth="1"/>
    <col min="863" max="864" width="8.5546875" bestFit="1" customWidth="1"/>
    <col min="865" max="866" width="18.77734375" bestFit="1" customWidth="1"/>
    <col min="867" max="867" width="10.5546875" bestFit="1" customWidth="1"/>
    <col min="868" max="870" width="8.5546875" bestFit="1" customWidth="1"/>
    <col min="871" max="871" width="10.5546875" bestFit="1" customWidth="1"/>
    <col min="872" max="872" width="9.5546875" bestFit="1" customWidth="1"/>
    <col min="873" max="873" width="10.5546875" bestFit="1" customWidth="1"/>
    <col min="874" max="874" width="18.77734375" bestFit="1" customWidth="1"/>
    <col min="875" max="876" width="9.5546875" bestFit="1" customWidth="1"/>
    <col min="877" max="878" width="10.5546875" bestFit="1" customWidth="1"/>
    <col min="879" max="879" width="8.5546875" bestFit="1" customWidth="1"/>
    <col min="880" max="880" width="18.77734375" bestFit="1" customWidth="1"/>
    <col min="881" max="881" width="11.5546875" bestFit="1" customWidth="1"/>
    <col min="882" max="882" width="7.5546875" bestFit="1" customWidth="1"/>
    <col min="883" max="883" width="18.77734375" bestFit="1" customWidth="1"/>
    <col min="884" max="884" width="9.5546875" bestFit="1" customWidth="1"/>
    <col min="885" max="888" width="8.5546875" bestFit="1" customWidth="1"/>
    <col min="889" max="889" width="18.77734375" bestFit="1" customWidth="1"/>
    <col min="890" max="890" width="8.5546875" bestFit="1" customWidth="1"/>
    <col min="891" max="891" width="7.5546875" bestFit="1" customWidth="1"/>
    <col min="892" max="892" width="9.5546875" bestFit="1" customWidth="1"/>
    <col min="893" max="893" width="8.5546875" bestFit="1" customWidth="1"/>
    <col min="894" max="894" width="18.77734375" bestFit="1" customWidth="1"/>
    <col min="895" max="896" width="8.5546875" bestFit="1" customWidth="1"/>
    <col min="897" max="897" width="18.77734375" bestFit="1" customWidth="1"/>
    <col min="898" max="898" width="9.5546875" bestFit="1" customWidth="1"/>
    <col min="899" max="899" width="10.5546875" bestFit="1" customWidth="1"/>
    <col min="900" max="900" width="18.77734375" bestFit="1" customWidth="1"/>
    <col min="901" max="901" width="8.5546875" bestFit="1" customWidth="1"/>
    <col min="902" max="902" width="10.5546875" bestFit="1" customWidth="1"/>
    <col min="903" max="903" width="8.5546875" bestFit="1" customWidth="1"/>
    <col min="904" max="904" width="18.77734375" bestFit="1" customWidth="1"/>
    <col min="905" max="905" width="9.5546875" bestFit="1" customWidth="1"/>
    <col min="906" max="908" width="18.77734375" bestFit="1" customWidth="1"/>
    <col min="909" max="909" width="7.5546875" bestFit="1" customWidth="1"/>
    <col min="910" max="912" width="9.5546875" bestFit="1" customWidth="1"/>
    <col min="913" max="913" width="8.5546875" bestFit="1" customWidth="1"/>
    <col min="914" max="914" width="7.5546875" bestFit="1" customWidth="1"/>
    <col min="915" max="915" width="18.77734375" bestFit="1" customWidth="1"/>
    <col min="916" max="917" width="9.5546875" bestFit="1" customWidth="1"/>
    <col min="918" max="918" width="8.5546875" bestFit="1" customWidth="1"/>
    <col min="919" max="919" width="9.5546875" bestFit="1" customWidth="1"/>
    <col min="920" max="920" width="7.5546875" bestFit="1" customWidth="1"/>
    <col min="921" max="922" width="8.5546875" bestFit="1" customWidth="1"/>
    <col min="923" max="923" width="7.5546875" bestFit="1" customWidth="1"/>
    <col min="924" max="925" width="9.5546875" bestFit="1" customWidth="1"/>
    <col min="926" max="927" width="18.77734375" bestFit="1" customWidth="1"/>
    <col min="928" max="929" width="8.5546875" bestFit="1" customWidth="1"/>
    <col min="930" max="930" width="9.5546875" bestFit="1" customWidth="1"/>
    <col min="931" max="931" width="18.77734375" bestFit="1" customWidth="1"/>
    <col min="932" max="932" width="9.5546875" bestFit="1" customWidth="1"/>
    <col min="933" max="933" width="7.5546875" bestFit="1" customWidth="1"/>
    <col min="934" max="934" width="6.5546875" bestFit="1" customWidth="1"/>
    <col min="935" max="936" width="9.5546875" bestFit="1" customWidth="1"/>
    <col min="937" max="937" width="10.5546875" bestFit="1" customWidth="1"/>
    <col min="938" max="938" width="8.5546875" bestFit="1" customWidth="1"/>
    <col min="939" max="939" width="7.5546875" bestFit="1" customWidth="1"/>
    <col min="940" max="941" width="9.5546875" bestFit="1" customWidth="1"/>
    <col min="942" max="942" width="8.5546875" bestFit="1" customWidth="1"/>
    <col min="943" max="943" width="18.77734375" bestFit="1" customWidth="1"/>
    <col min="944" max="944" width="9.5546875" bestFit="1" customWidth="1"/>
    <col min="945" max="945" width="10.5546875" bestFit="1" customWidth="1"/>
    <col min="946" max="946" width="8.5546875" bestFit="1" customWidth="1"/>
    <col min="947" max="947" width="7.5546875" bestFit="1" customWidth="1"/>
    <col min="948" max="949" width="18.77734375" bestFit="1" customWidth="1"/>
    <col min="950" max="951" width="9.5546875" bestFit="1" customWidth="1"/>
    <col min="952" max="952" width="8.5546875" bestFit="1" customWidth="1"/>
    <col min="953" max="953" width="18.77734375" bestFit="1" customWidth="1"/>
    <col min="954" max="954" width="9.5546875" bestFit="1" customWidth="1"/>
    <col min="955" max="956" width="8.5546875" bestFit="1" customWidth="1"/>
    <col min="957" max="958" width="18.77734375" bestFit="1" customWidth="1"/>
    <col min="959" max="959" width="8.5546875" bestFit="1" customWidth="1"/>
    <col min="960" max="960" width="7.5546875" bestFit="1" customWidth="1"/>
    <col min="961" max="961" width="9.5546875" bestFit="1" customWidth="1"/>
    <col min="962" max="963" width="8.5546875" bestFit="1" customWidth="1"/>
    <col min="964" max="964" width="10.5546875" bestFit="1" customWidth="1"/>
    <col min="965" max="965" width="8.5546875" bestFit="1" customWidth="1"/>
    <col min="966" max="968" width="18.77734375" bestFit="1" customWidth="1"/>
    <col min="969" max="969" width="9.5546875" bestFit="1" customWidth="1"/>
    <col min="970" max="971" width="18.77734375" bestFit="1" customWidth="1"/>
    <col min="972" max="972" width="8.5546875" bestFit="1" customWidth="1"/>
    <col min="973" max="973" width="18.77734375" bestFit="1" customWidth="1"/>
    <col min="974" max="975" width="8.5546875" bestFit="1" customWidth="1"/>
    <col min="976" max="976" width="9.5546875" bestFit="1" customWidth="1"/>
    <col min="977" max="977" width="10.5546875" bestFit="1" customWidth="1"/>
    <col min="978" max="978" width="8.5546875" bestFit="1" customWidth="1"/>
    <col min="979" max="979" width="18.77734375" bestFit="1" customWidth="1"/>
    <col min="980" max="980" width="8.5546875" bestFit="1" customWidth="1"/>
    <col min="981" max="981" width="7.5546875" bestFit="1" customWidth="1"/>
    <col min="982" max="982" width="18.77734375" bestFit="1" customWidth="1"/>
    <col min="983" max="983" width="9.5546875" bestFit="1" customWidth="1"/>
    <col min="984" max="984" width="7.5546875" bestFit="1" customWidth="1"/>
    <col min="985" max="985" width="9.5546875" bestFit="1" customWidth="1"/>
    <col min="986" max="986" width="18.77734375" bestFit="1" customWidth="1"/>
    <col min="987" max="988" width="9.5546875" bestFit="1" customWidth="1"/>
    <col min="989" max="989" width="8.5546875" bestFit="1" customWidth="1"/>
    <col min="990" max="990" width="7.5546875" bestFit="1" customWidth="1"/>
    <col min="991" max="991" width="18.77734375" bestFit="1" customWidth="1"/>
    <col min="992" max="992" width="8.5546875" bestFit="1" customWidth="1"/>
    <col min="993" max="993" width="7.5546875" bestFit="1" customWidth="1"/>
    <col min="994" max="995" width="8.5546875" bestFit="1" customWidth="1"/>
    <col min="996" max="996" width="18.77734375" bestFit="1" customWidth="1"/>
    <col min="997" max="997" width="9.5546875" bestFit="1" customWidth="1"/>
    <col min="998" max="998" width="7.5546875" bestFit="1" customWidth="1"/>
    <col min="999" max="999" width="9.5546875" bestFit="1" customWidth="1"/>
    <col min="1000" max="1000" width="8.5546875" bestFit="1" customWidth="1"/>
    <col min="1001" max="1001" width="7.5546875" bestFit="1" customWidth="1"/>
    <col min="1002" max="1002" width="9.5546875" bestFit="1" customWidth="1"/>
    <col min="1003" max="1005" width="18.77734375" bestFit="1" customWidth="1"/>
    <col min="1006" max="1007" width="9.5546875" bestFit="1" customWidth="1"/>
    <col min="1008" max="1008" width="8.5546875" bestFit="1" customWidth="1"/>
    <col min="1009" max="1009" width="9.5546875" bestFit="1" customWidth="1"/>
    <col min="1010" max="1010" width="18.77734375" bestFit="1" customWidth="1"/>
    <col min="1011" max="1011" width="9.5546875" bestFit="1" customWidth="1"/>
    <col min="1012" max="1012" width="8.5546875" bestFit="1" customWidth="1"/>
    <col min="1013" max="1013" width="9.5546875" bestFit="1" customWidth="1"/>
    <col min="1014" max="1014" width="18.77734375" bestFit="1" customWidth="1"/>
    <col min="1015" max="1017" width="8.5546875" bestFit="1" customWidth="1"/>
    <col min="1018" max="1021" width="18.77734375" bestFit="1" customWidth="1"/>
    <col min="1022" max="1022" width="9.5546875" bestFit="1" customWidth="1"/>
    <col min="1023" max="1023" width="8.5546875" bestFit="1" customWidth="1"/>
    <col min="1024" max="1025" width="9.5546875" bestFit="1" customWidth="1"/>
    <col min="1026" max="1027" width="18.77734375" bestFit="1" customWidth="1"/>
    <col min="1028" max="1028" width="8.5546875" bestFit="1" customWidth="1"/>
    <col min="1029" max="1029" width="18.77734375" bestFit="1" customWidth="1"/>
    <col min="1030" max="1030" width="9.5546875" bestFit="1" customWidth="1"/>
    <col min="1031" max="1031" width="10.5546875" bestFit="1" customWidth="1"/>
    <col min="1032" max="1032" width="18.77734375" bestFit="1" customWidth="1"/>
    <col min="1033" max="1033" width="9.5546875" bestFit="1" customWidth="1"/>
    <col min="1034" max="1034" width="18.77734375" bestFit="1" customWidth="1"/>
    <col min="1035" max="1035" width="9.5546875" bestFit="1" customWidth="1"/>
    <col min="1036" max="1036" width="8.5546875" bestFit="1" customWidth="1"/>
    <col min="1037" max="1037" width="18.77734375" bestFit="1" customWidth="1"/>
    <col min="1038" max="1038" width="9.5546875" bestFit="1" customWidth="1"/>
    <col min="1039" max="1039" width="18.77734375" bestFit="1" customWidth="1"/>
    <col min="1040" max="1040" width="10.5546875" bestFit="1" customWidth="1"/>
    <col min="1041" max="1041" width="9.5546875" bestFit="1" customWidth="1"/>
    <col min="1042" max="1042" width="8.5546875" bestFit="1" customWidth="1"/>
    <col min="1043" max="1044" width="18.77734375" bestFit="1" customWidth="1"/>
    <col min="1045" max="1046" width="8.5546875" bestFit="1" customWidth="1"/>
    <col min="1047" max="1048" width="18.77734375" bestFit="1" customWidth="1"/>
    <col min="1049" max="1050" width="9.5546875" bestFit="1" customWidth="1"/>
    <col min="1051" max="1053" width="8.5546875" bestFit="1" customWidth="1"/>
    <col min="1054" max="1054" width="7.5546875" bestFit="1" customWidth="1"/>
    <col min="1055" max="1055" width="8.5546875" bestFit="1" customWidth="1"/>
    <col min="1056" max="1056" width="9.5546875" bestFit="1" customWidth="1"/>
    <col min="1057" max="1057" width="10.5546875" bestFit="1" customWidth="1"/>
    <col min="1058" max="1058" width="8.5546875" bestFit="1" customWidth="1"/>
    <col min="1059" max="1059" width="7.5546875" bestFit="1" customWidth="1"/>
    <col min="1060" max="1060" width="8.5546875" bestFit="1" customWidth="1"/>
    <col min="1061" max="1061" width="9.5546875" bestFit="1" customWidth="1"/>
    <col min="1062" max="1062" width="7.5546875" bestFit="1" customWidth="1"/>
    <col min="1063" max="1063" width="9.5546875" bestFit="1" customWidth="1"/>
    <col min="1064" max="1065" width="8.5546875" bestFit="1" customWidth="1"/>
    <col min="1066" max="1066" width="10.5546875" bestFit="1" customWidth="1"/>
    <col min="1067" max="1067" width="8.5546875" bestFit="1" customWidth="1"/>
    <col min="1068" max="1068" width="9.5546875" bestFit="1" customWidth="1"/>
    <col min="1069" max="1069" width="5" bestFit="1" customWidth="1"/>
    <col min="1070" max="1072" width="8.5546875" bestFit="1" customWidth="1"/>
    <col min="1073" max="1073" width="9.5546875" bestFit="1" customWidth="1"/>
    <col min="1074" max="1074" width="18.77734375" bestFit="1" customWidth="1"/>
    <col min="1075" max="1075" width="10.5546875" bestFit="1" customWidth="1"/>
    <col min="1076" max="1077" width="18.77734375" bestFit="1" customWidth="1"/>
    <col min="1078" max="1078" width="8.5546875" bestFit="1" customWidth="1"/>
    <col min="1079" max="1081" width="9.5546875" bestFit="1" customWidth="1"/>
    <col min="1082" max="1082" width="18.77734375" bestFit="1" customWidth="1"/>
    <col min="1083" max="1086" width="9.5546875" bestFit="1" customWidth="1"/>
    <col min="1087" max="1087" width="18.77734375" bestFit="1" customWidth="1"/>
    <col min="1088" max="1090" width="8.5546875" bestFit="1" customWidth="1"/>
    <col min="1091" max="1092" width="18.77734375" bestFit="1" customWidth="1"/>
    <col min="1093" max="1093" width="8.5546875" bestFit="1" customWidth="1"/>
    <col min="1094" max="1094" width="10.5546875" bestFit="1" customWidth="1"/>
    <col min="1095" max="1095" width="18.77734375" bestFit="1" customWidth="1"/>
    <col min="1096" max="1097" width="8.5546875" bestFit="1" customWidth="1"/>
    <col min="1098" max="1098" width="18.77734375" bestFit="1" customWidth="1"/>
    <col min="1099" max="1101" width="8.5546875" bestFit="1" customWidth="1"/>
    <col min="1102" max="1102" width="10.5546875" bestFit="1" customWidth="1"/>
    <col min="1103" max="1103" width="9.5546875" bestFit="1" customWidth="1"/>
    <col min="1104" max="1104" width="7.5546875" bestFit="1" customWidth="1"/>
    <col min="1105" max="1105" width="8.5546875" bestFit="1" customWidth="1"/>
    <col min="1106" max="1106" width="18.77734375" bestFit="1" customWidth="1"/>
    <col min="1107" max="1107" width="7.5546875" bestFit="1" customWidth="1"/>
    <col min="1108" max="1108" width="8.5546875" bestFit="1" customWidth="1"/>
    <col min="1109" max="1109" width="7.5546875" bestFit="1" customWidth="1"/>
    <col min="1110" max="1110" width="8.5546875" bestFit="1" customWidth="1"/>
    <col min="1111" max="1111" width="7.5546875" bestFit="1" customWidth="1"/>
    <col min="1112" max="1112" width="18.77734375" bestFit="1" customWidth="1"/>
    <col min="1113" max="1114" width="7.5546875" bestFit="1" customWidth="1"/>
    <col min="1115" max="1115" width="18.77734375" bestFit="1" customWidth="1"/>
    <col min="1116" max="1116" width="9.5546875" bestFit="1" customWidth="1"/>
    <col min="1117" max="1117" width="7.5546875" bestFit="1" customWidth="1"/>
    <col min="1118" max="1118" width="18.77734375" bestFit="1" customWidth="1"/>
    <col min="1119" max="1120" width="8.5546875" bestFit="1" customWidth="1"/>
    <col min="1121" max="1122" width="9.5546875" bestFit="1" customWidth="1"/>
    <col min="1123" max="1123" width="8.5546875" bestFit="1" customWidth="1"/>
    <col min="1124" max="1124" width="7.5546875" bestFit="1" customWidth="1"/>
    <col min="1125" max="1126" width="18.77734375" bestFit="1" customWidth="1"/>
    <col min="1127" max="1127" width="9.5546875" bestFit="1" customWidth="1"/>
    <col min="1128" max="1128" width="18.77734375" bestFit="1" customWidth="1"/>
    <col min="1129" max="1129" width="7.5546875" bestFit="1" customWidth="1"/>
    <col min="1130" max="1130" width="18.77734375" bestFit="1" customWidth="1"/>
    <col min="1131" max="1131" width="9.5546875" bestFit="1" customWidth="1"/>
    <col min="1132" max="1132" width="6.5546875" bestFit="1" customWidth="1"/>
    <col min="1133" max="1133" width="8.5546875" bestFit="1" customWidth="1"/>
    <col min="1134" max="1134" width="18.77734375" bestFit="1" customWidth="1"/>
    <col min="1135" max="1135" width="9.5546875" bestFit="1" customWidth="1"/>
    <col min="1136" max="1136" width="7.5546875" bestFit="1" customWidth="1"/>
    <col min="1137" max="1139" width="9.5546875" bestFit="1" customWidth="1"/>
    <col min="1140" max="1140" width="7.5546875" bestFit="1" customWidth="1"/>
    <col min="1141" max="1141" width="9.5546875" bestFit="1" customWidth="1"/>
    <col min="1142" max="1142" width="8.5546875" bestFit="1" customWidth="1"/>
    <col min="1143" max="1143" width="7.5546875" bestFit="1" customWidth="1"/>
    <col min="1144" max="1144" width="18.77734375" bestFit="1" customWidth="1"/>
    <col min="1145" max="1146" width="8.5546875" bestFit="1" customWidth="1"/>
    <col min="1147" max="1147" width="7.5546875" bestFit="1" customWidth="1"/>
    <col min="1148" max="1148" width="8.5546875" bestFit="1" customWidth="1"/>
    <col min="1149" max="1149" width="9.5546875" bestFit="1" customWidth="1"/>
    <col min="1150" max="1150" width="8.5546875" bestFit="1" customWidth="1"/>
    <col min="1151" max="1151" width="9.5546875" bestFit="1" customWidth="1"/>
    <col min="1152" max="1152" width="18.77734375" bestFit="1" customWidth="1"/>
    <col min="1153" max="1153" width="8.5546875" bestFit="1" customWidth="1"/>
    <col min="1154" max="1154" width="9.5546875" bestFit="1" customWidth="1"/>
    <col min="1155" max="1155" width="8.5546875" bestFit="1" customWidth="1"/>
    <col min="1156" max="1156" width="18.77734375" bestFit="1" customWidth="1"/>
    <col min="1157" max="1157" width="10.5546875" bestFit="1" customWidth="1"/>
    <col min="1158" max="1159" width="8.5546875" bestFit="1" customWidth="1"/>
    <col min="1160" max="1161" width="18.77734375" bestFit="1" customWidth="1"/>
    <col min="1162" max="1162" width="7.5546875" bestFit="1" customWidth="1"/>
    <col min="1163" max="1163" width="8.5546875" bestFit="1" customWidth="1"/>
    <col min="1164" max="1164" width="9.5546875" bestFit="1" customWidth="1"/>
    <col min="1165" max="1165" width="7.5546875" bestFit="1" customWidth="1"/>
    <col min="1166" max="1168" width="9.5546875" bestFit="1" customWidth="1"/>
    <col min="1169" max="1169" width="7.5546875" bestFit="1" customWidth="1"/>
    <col min="1170" max="1170" width="8.5546875" bestFit="1" customWidth="1"/>
    <col min="1171" max="1172" width="7.5546875" bestFit="1" customWidth="1"/>
    <col min="1173" max="1173" width="8.5546875" bestFit="1" customWidth="1"/>
    <col min="1174" max="1174" width="7.5546875" bestFit="1" customWidth="1"/>
    <col min="1175" max="1175" width="9.5546875" bestFit="1" customWidth="1"/>
    <col min="1176" max="1176" width="8.5546875" bestFit="1" customWidth="1"/>
    <col min="1177" max="1177" width="9.5546875" bestFit="1" customWidth="1"/>
    <col min="1178" max="1178" width="8.5546875" bestFit="1" customWidth="1"/>
    <col min="1179" max="1180" width="9.5546875" bestFit="1" customWidth="1"/>
    <col min="1181" max="1181" width="18.77734375" bestFit="1" customWidth="1"/>
    <col min="1182" max="1182" width="8.5546875" bestFit="1" customWidth="1"/>
    <col min="1183" max="1183" width="18.77734375" bestFit="1" customWidth="1"/>
    <col min="1184" max="1187" width="8.5546875" bestFit="1" customWidth="1"/>
    <col min="1188" max="1189" width="9.5546875" bestFit="1" customWidth="1"/>
    <col min="1190" max="1190" width="7.5546875" bestFit="1" customWidth="1"/>
    <col min="1191" max="1193" width="8.5546875" bestFit="1" customWidth="1"/>
    <col min="1194" max="1194" width="7.5546875" bestFit="1" customWidth="1"/>
    <col min="1195" max="1195" width="8.5546875" bestFit="1" customWidth="1"/>
    <col min="1196" max="1196" width="9.5546875" bestFit="1" customWidth="1"/>
    <col min="1197" max="1197" width="18.77734375" bestFit="1" customWidth="1"/>
    <col min="1198" max="1198" width="7.5546875" bestFit="1" customWidth="1"/>
    <col min="1199" max="1199" width="18.77734375" bestFit="1" customWidth="1"/>
    <col min="1200" max="1200" width="8.5546875" bestFit="1" customWidth="1"/>
    <col min="1201" max="1201" width="7.5546875" bestFit="1" customWidth="1"/>
    <col min="1202" max="1202" width="18.77734375" bestFit="1" customWidth="1"/>
    <col min="1203" max="1203" width="10.5546875" bestFit="1" customWidth="1"/>
    <col min="1204" max="1205" width="18.77734375" bestFit="1" customWidth="1"/>
    <col min="1206" max="1206" width="8.5546875" bestFit="1" customWidth="1"/>
    <col min="1207" max="1207" width="7.5546875" bestFit="1" customWidth="1"/>
    <col min="1208" max="1209" width="18.77734375" bestFit="1" customWidth="1"/>
    <col min="1210" max="1212" width="9.5546875" bestFit="1" customWidth="1"/>
    <col min="1213" max="1214" width="18.77734375" bestFit="1" customWidth="1"/>
    <col min="1215" max="1217" width="9.5546875" bestFit="1" customWidth="1"/>
    <col min="1218" max="1218" width="10.5546875" bestFit="1" customWidth="1"/>
    <col min="1219" max="1219" width="9.5546875" bestFit="1" customWidth="1"/>
    <col min="1220" max="1220" width="8.5546875" bestFit="1" customWidth="1"/>
    <col min="1221" max="1221" width="9.5546875" bestFit="1" customWidth="1"/>
    <col min="1222" max="1222" width="18.77734375" bestFit="1" customWidth="1"/>
    <col min="1223" max="1223" width="8.5546875" bestFit="1" customWidth="1"/>
    <col min="1224" max="1224" width="7.5546875" bestFit="1" customWidth="1"/>
    <col min="1225" max="1225" width="18.77734375" bestFit="1" customWidth="1"/>
    <col min="1226" max="1226" width="9.5546875" bestFit="1" customWidth="1"/>
    <col min="1227" max="1227" width="18.77734375" bestFit="1" customWidth="1"/>
    <col min="1228" max="1228" width="6.5546875" bestFit="1" customWidth="1"/>
    <col min="1229" max="1229" width="9.5546875" bestFit="1" customWidth="1"/>
    <col min="1230" max="1230" width="7.5546875" bestFit="1" customWidth="1"/>
    <col min="1231" max="1231" width="8.5546875" bestFit="1" customWidth="1"/>
    <col min="1232" max="1232" width="18.77734375" bestFit="1" customWidth="1"/>
    <col min="1233" max="1234" width="9.5546875" bestFit="1" customWidth="1"/>
    <col min="1235" max="1236" width="8.5546875" bestFit="1" customWidth="1"/>
    <col min="1237" max="1240" width="7.5546875" bestFit="1" customWidth="1"/>
    <col min="1241" max="1241" width="8.5546875" bestFit="1" customWidth="1"/>
    <col min="1242" max="1242" width="7.5546875" bestFit="1" customWidth="1"/>
    <col min="1243" max="1243" width="6.5546875" bestFit="1" customWidth="1"/>
    <col min="1244" max="1244" width="8.5546875" bestFit="1" customWidth="1"/>
    <col min="1245" max="1245" width="9.5546875" bestFit="1" customWidth="1"/>
    <col min="1246" max="1246" width="18.77734375" bestFit="1" customWidth="1"/>
    <col min="1247" max="1247" width="8.5546875" bestFit="1" customWidth="1"/>
    <col min="1248" max="1248" width="7.5546875" bestFit="1" customWidth="1"/>
    <col min="1249" max="1249" width="8.5546875" bestFit="1" customWidth="1"/>
    <col min="1250" max="1250" width="9.5546875" bestFit="1" customWidth="1"/>
    <col min="1251" max="1251" width="7.5546875" bestFit="1" customWidth="1"/>
    <col min="1252" max="1252" width="10.5546875" bestFit="1" customWidth="1"/>
    <col min="1253" max="1253" width="9.5546875" bestFit="1" customWidth="1"/>
    <col min="1254" max="1254" width="18.77734375" bestFit="1" customWidth="1"/>
    <col min="1255" max="1255" width="8.5546875" bestFit="1" customWidth="1"/>
    <col min="1256" max="1256" width="9.5546875" bestFit="1" customWidth="1"/>
    <col min="1257" max="1257" width="8.5546875" bestFit="1" customWidth="1"/>
    <col min="1258" max="1258" width="9.5546875" bestFit="1" customWidth="1"/>
    <col min="1259" max="1259" width="7.5546875" bestFit="1" customWidth="1"/>
    <col min="1260" max="1263" width="9.5546875" bestFit="1" customWidth="1"/>
    <col min="1264" max="1265" width="8.5546875" bestFit="1" customWidth="1"/>
    <col min="1266" max="1267" width="18.77734375" bestFit="1" customWidth="1"/>
    <col min="1268" max="1268" width="9.5546875" bestFit="1" customWidth="1"/>
    <col min="1269" max="1269" width="10.5546875" bestFit="1" customWidth="1"/>
    <col min="1270" max="1271" width="8.5546875" bestFit="1" customWidth="1"/>
    <col min="1272" max="1273" width="9.5546875" bestFit="1" customWidth="1"/>
    <col min="1274" max="1274" width="8.5546875" bestFit="1" customWidth="1"/>
    <col min="1275" max="1276" width="18.77734375" bestFit="1" customWidth="1"/>
    <col min="1277" max="1277" width="8.5546875" bestFit="1" customWidth="1"/>
    <col min="1278" max="1278" width="9.5546875" bestFit="1" customWidth="1"/>
    <col min="1279" max="1279" width="18.77734375" bestFit="1" customWidth="1"/>
    <col min="1280" max="1280" width="8.5546875" bestFit="1" customWidth="1"/>
    <col min="1281" max="1281" width="9.5546875" bestFit="1" customWidth="1"/>
    <col min="1282" max="1282" width="18.77734375" bestFit="1" customWidth="1"/>
    <col min="1283" max="1283" width="9.5546875" bestFit="1" customWidth="1"/>
    <col min="1284" max="1284" width="7.5546875" bestFit="1" customWidth="1"/>
    <col min="1285" max="1285" width="18.77734375" bestFit="1" customWidth="1"/>
    <col min="1286" max="1286" width="9.5546875" bestFit="1" customWidth="1"/>
    <col min="1287" max="1288" width="8.5546875" bestFit="1" customWidth="1"/>
    <col min="1289" max="1289" width="7.5546875" bestFit="1" customWidth="1"/>
    <col min="1290" max="1290" width="9.5546875" bestFit="1" customWidth="1"/>
    <col min="1291" max="1292" width="7.5546875" bestFit="1" customWidth="1"/>
    <col min="1293" max="1294" width="8.5546875" bestFit="1" customWidth="1"/>
    <col min="1295" max="1295" width="7.5546875" bestFit="1" customWidth="1"/>
    <col min="1296" max="1296" width="8.5546875" bestFit="1" customWidth="1"/>
    <col min="1297" max="1298" width="18.77734375" bestFit="1" customWidth="1"/>
    <col min="1299" max="1299" width="9.5546875" bestFit="1" customWidth="1"/>
    <col min="1300" max="1300" width="18.77734375" bestFit="1" customWidth="1"/>
    <col min="1301" max="1302" width="8.5546875" bestFit="1" customWidth="1"/>
    <col min="1303" max="1304" width="7.5546875" bestFit="1" customWidth="1"/>
    <col min="1305" max="1306" width="18.77734375" bestFit="1" customWidth="1"/>
    <col min="1307" max="1307" width="8.5546875" bestFit="1" customWidth="1"/>
    <col min="1308" max="1308" width="9.5546875" bestFit="1" customWidth="1"/>
    <col min="1309" max="1309" width="7.5546875" bestFit="1" customWidth="1"/>
    <col min="1310" max="1310" width="18.77734375" bestFit="1" customWidth="1"/>
    <col min="1311" max="1311" width="9.5546875" bestFit="1" customWidth="1"/>
    <col min="1312" max="1312" width="8.5546875" bestFit="1" customWidth="1"/>
    <col min="1313" max="1313" width="7.5546875" bestFit="1" customWidth="1"/>
    <col min="1314" max="1314" width="18.77734375" bestFit="1" customWidth="1"/>
    <col min="1315" max="1315" width="9.5546875" bestFit="1" customWidth="1"/>
    <col min="1316" max="1316" width="8.5546875" bestFit="1" customWidth="1"/>
    <col min="1317" max="1319" width="18.77734375" bestFit="1" customWidth="1"/>
    <col min="1320" max="1320" width="7.5546875" bestFit="1" customWidth="1"/>
    <col min="1321" max="1322" width="9.5546875" bestFit="1" customWidth="1"/>
    <col min="1323" max="1323" width="18.77734375" bestFit="1" customWidth="1"/>
    <col min="1324" max="1324" width="8.5546875" bestFit="1" customWidth="1"/>
    <col min="1325" max="1326" width="18.77734375" bestFit="1" customWidth="1"/>
    <col min="1327" max="1328" width="8.5546875" bestFit="1" customWidth="1"/>
    <col min="1329" max="1329" width="9.5546875" bestFit="1" customWidth="1"/>
    <col min="1330" max="1331" width="8.5546875" bestFit="1" customWidth="1"/>
    <col min="1332" max="1332" width="9.5546875" bestFit="1" customWidth="1"/>
    <col min="1333" max="1333" width="8.5546875" bestFit="1" customWidth="1"/>
    <col min="1334" max="1334" width="18.77734375" bestFit="1" customWidth="1"/>
    <col min="1335" max="1335" width="8.5546875" bestFit="1" customWidth="1"/>
    <col min="1336" max="1336" width="7.5546875" bestFit="1" customWidth="1"/>
    <col min="1337" max="1337" width="8.5546875" bestFit="1" customWidth="1"/>
    <col min="1338" max="1338" width="9.5546875" bestFit="1" customWidth="1"/>
    <col min="1339" max="1339" width="7.5546875" bestFit="1" customWidth="1"/>
    <col min="1340" max="1341" width="9.5546875" bestFit="1" customWidth="1"/>
    <col min="1342" max="1342" width="7.5546875" bestFit="1" customWidth="1"/>
    <col min="1343" max="1343" width="18.77734375" bestFit="1" customWidth="1"/>
    <col min="1344" max="1344" width="9.5546875" bestFit="1" customWidth="1"/>
    <col min="1345" max="1346" width="8.5546875" bestFit="1" customWidth="1"/>
    <col min="1347" max="1348" width="9.5546875" bestFit="1" customWidth="1"/>
    <col min="1349" max="1349" width="8.5546875" bestFit="1" customWidth="1"/>
    <col min="1350" max="1350" width="18.77734375" bestFit="1" customWidth="1"/>
    <col min="1351" max="1351" width="8.5546875" bestFit="1" customWidth="1"/>
    <col min="1352" max="1352" width="7.5546875" bestFit="1" customWidth="1"/>
    <col min="1353" max="1354" width="9.5546875" bestFit="1" customWidth="1"/>
    <col min="1355" max="1356" width="18.77734375" bestFit="1" customWidth="1"/>
    <col min="1357" max="1357" width="9.5546875" bestFit="1" customWidth="1"/>
    <col min="1358" max="1361" width="8.5546875" bestFit="1" customWidth="1"/>
    <col min="1362" max="1363" width="9.5546875" bestFit="1" customWidth="1"/>
    <col min="1364" max="1364" width="18.77734375" bestFit="1" customWidth="1"/>
    <col min="1365" max="1365" width="8.5546875" bestFit="1" customWidth="1"/>
    <col min="1366" max="1366" width="9.5546875" bestFit="1" customWidth="1"/>
    <col min="1367" max="1367" width="7.5546875" bestFit="1" customWidth="1"/>
    <col min="1368" max="1369" width="8.5546875" bestFit="1" customWidth="1"/>
    <col min="1370" max="1370" width="10.5546875" bestFit="1" customWidth="1"/>
    <col min="1371" max="1371" width="9.5546875" bestFit="1" customWidth="1"/>
    <col min="1372" max="1372" width="10.5546875" bestFit="1" customWidth="1"/>
    <col min="1373" max="1373" width="9.5546875" bestFit="1" customWidth="1"/>
    <col min="1374" max="1374" width="6.5546875" bestFit="1" customWidth="1"/>
    <col min="1375" max="1377" width="18.77734375" bestFit="1" customWidth="1"/>
    <col min="1378" max="1378" width="9.5546875" bestFit="1" customWidth="1"/>
    <col min="1379" max="1380" width="8.5546875" bestFit="1" customWidth="1"/>
    <col min="1381" max="1381" width="9.5546875" bestFit="1" customWidth="1"/>
    <col min="1382" max="1382" width="18.77734375" bestFit="1" customWidth="1"/>
    <col min="1383" max="1383" width="8.5546875" bestFit="1" customWidth="1"/>
    <col min="1384" max="1384" width="18.77734375" bestFit="1" customWidth="1"/>
    <col min="1385" max="1385" width="8.5546875" bestFit="1" customWidth="1"/>
    <col min="1386" max="1386" width="10.5546875" bestFit="1" customWidth="1"/>
    <col min="1387" max="1387" width="9.5546875" bestFit="1" customWidth="1"/>
    <col min="1388" max="1388" width="8.5546875" bestFit="1" customWidth="1"/>
    <col min="1389" max="1389" width="18.77734375" bestFit="1" customWidth="1"/>
    <col min="1390" max="1390" width="10.5546875" bestFit="1" customWidth="1"/>
    <col min="1391" max="1391" width="9.5546875" bestFit="1" customWidth="1"/>
    <col min="1392" max="1392" width="18.77734375" bestFit="1" customWidth="1"/>
    <col min="1393" max="1393" width="8.5546875" bestFit="1" customWidth="1"/>
    <col min="1394" max="1394" width="9.5546875" bestFit="1" customWidth="1"/>
    <col min="1395" max="1396" width="8.5546875" bestFit="1" customWidth="1"/>
    <col min="1397" max="1397" width="9.5546875" bestFit="1" customWidth="1"/>
    <col min="1398" max="1398" width="10.5546875" bestFit="1" customWidth="1"/>
    <col min="1399" max="1399" width="18.77734375" bestFit="1" customWidth="1"/>
    <col min="1400" max="1401" width="9.5546875" bestFit="1" customWidth="1"/>
    <col min="1402" max="1402" width="8.5546875" bestFit="1" customWidth="1"/>
    <col min="1403" max="1403" width="9.5546875" bestFit="1" customWidth="1"/>
    <col min="1404" max="1404" width="18.77734375" bestFit="1" customWidth="1"/>
    <col min="1405" max="1406" width="9.5546875" bestFit="1" customWidth="1"/>
    <col min="1407" max="1407" width="7.5546875" bestFit="1" customWidth="1"/>
    <col min="1408" max="1409" width="18.77734375" bestFit="1" customWidth="1"/>
    <col min="1410" max="1410" width="7.5546875" bestFit="1" customWidth="1"/>
    <col min="1411" max="1411" width="8.5546875" bestFit="1" customWidth="1"/>
    <col min="1412" max="1412" width="18.77734375" bestFit="1" customWidth="1"/>
    <col min="1413" max="1414" width="8.5546875" bestFit="1" customWidth="1"/>
    <col min="1415" max="1415" width="18.77734375" bestFit="1" customWidth="1"/>
    <col min="1416" max="1416" width="8.5546875" bestFit="1" customWidth="1"/>
    <col min="1417" max="1417" width="18.77734375" bestFit="1" customWidth="1"/>
    <col min="1418" max="1418" width="9.5546875" bestFit="1" customWidth="1"/>
    <col min="1419" max="1419" width="8.5546875" bestFit="1" customWidth="1"/>
    <col min="1420" max="1420" width="10.5546875" bestFit="1" customWidth="1"/>
    <col min="1421" max="1421" width="9.5546875" bestFit="1" customWidth="1"/>
    <col min="1422" max="1423" width="18.77734375" bestFit="1" customWidth="1"/>
    <col min="1424" max="1424" width="9.5546875" bestFit="1" customWidth="1"/>
    <col min="1425" max="1425" width="7.5546875" bestFit="1" customWidth="1"/>
    <col min="1426" max="1426" width="8.5546875" bestFit="1" customWidth="1"/>
    <col min="1427" max="1427" width="18.77734375" bestFit="1" customWidth="1"/>
    <col min="1428" max="1428" width="7.5546875" bestFit="1" customWidth="1"/>
    <col min="1429" max="1429" width="8.5546875" bestFit="1" customWidth="1"/>
    <col min="1430" max="1430" width="7.5546875" bestFit="1" customWidth="1"/>
    <col min="1431" max="1431" width="18.77734375" bestFit="1" customWidth="1"/>
    <col min="1432" max="1432" width="10.5546875" bestFit="1" customWidth="1"/>
    <col min="1433" max="1433" width="9.5546875" bestFit="1" customWidth="1"/>
    <col min="1434" max="1434" width="8.5546875" bestFit="1" customWidth="1"/>
    <col min="1435" max="1435" width="18.77734375" bestFit="1" customWidth="1"/>
    <col min="1436" max="1436" width="7.5546875" bestFit="1" customWidth="1"/>
    <col min="1437" max="1437" width="9.5546875" bestFit="1" customWidth="1"/>
    <col min="1438" max="1438" width="8.5546875" bestFit="1" customWidth="1"/>
    <col min="1439" max="1439" width="9.5546875" bestFit="1" customWidth="1"/>
    <col min="1440" max="1440" width="7.5546875" bestFit="1" customWidth="1"/>
    <col min="1441" max="1441" width="6.5546875" bestFit="1" customWidth="1"/>
    <col min="1442" max="1442" width="7.5546875" bestFit="1" customWidth="1"/>
    <col min="1443" max="1446" width="8.5546875" bestFit="1" customWidth="1"/>
    <col min="1447" max="1448" width="18.77734375" bestFit="1" customWidth="1"/>
    <col min="1449" max="1449" width="10.5546875" bestFit="1" customWidth="1"/>
    <col min="1450" max="1450" width="8.5546875" bestFit="1" customWidth="1"/>
    <col min="1451" max="1451" width="9.5546875" bestFit="1" customWidth="1"/>
    <col min="1452" max="1452" width="8.5546875" bestFit="1" customWidth="1"/>
    <col min="1453" max="1453" width="18.77734375" bestFit="1" customWidth="1"/>
    <col min="1454" max="1454" width="7.5546875" bestFit="1" customWidth="1"/>
    <col min="1455" max="1456" width="9.5546875" bestFit="1" customWidth="1"/>
    <col min="1457" max="1460" width="8.5546875" bestFit="1" customWidth="1"/>
    <col min="1461" max="1461" width="7.5546875" bestFit="1" customWidth="1"/>
    <col min="1462" max="1462" width="9.5546875" bestFit="1" customWidth="1"/>
    <col min="1463" max="1463" width="8.5546875" bestFit="1" customWidth="1"/>
    <col min="1464" max="1464" width="9.5546875" bestFit="1" customWidth="1"/>
    <col min="1465" max="1465" width="18.77734375" bestFit="1" customWidth="1"/>
    <col min="1466" max="1466" width="8.5546875" bestFit="1" customWidth="1"/>
    <col min="1467" max="1467" width="10.5546875" bestFit="1" customWidth="1"/>
    <col min="1468" max="1468" width="18.77734375" bestFit="1" customWidth="1"/>
    <col min="1469" max="1469" width="8.5546875" bestFit="1" customWidth="1"/>
    <col min="1470" max="1470" width="18.77734375" bestFit="1" customWidth="1"/>
    <col min="1471" max="1471" width="10.5546875" bestFit="1" customWidth="1"/>
    <col min="1472" max="1472" width="9.5546875" bestFit="1" customWidth="1"/>
    <col min="1473" max="1473" width="8.5546875" bestFit="1" customWidth="1"/>
    <col min="1474" max="1474" width="18.77734375" bestFit="1" customWidth="1"/>
    <col min="1475" max="1476" width="8.5546875" bestFit="1" customWidth="1"/>
    <col min="1477" max="1477" width="7.5546875" bestFit="1" customWidth="1"/>
    <col min="1478" max="1478" width="18.77734375" bestFit="1" customWidth="1"/>
    <col min="1479" max="1479" width="8.5546875" bestFit="1" customWidth="1"/>
    <col min="1480" max="1480" width="18.77734375" bestFit="1" customWidth="1"/>
    <col min="1481" max="1482" width="8.5546875" bestFit="1" customWidth="1"/>
    <col min="1483" max="1483" width="9.5546875" bestFit="1" customWidth="1"/>
    <col min="1484" max="1484" width="8.5546875" bestFit="1" customWidth="1"/>
    <col min="1485" max="1485" width="7.5546875" bestFit="1" customWidth="1"/>
    <col min="1486" max="1486" width="9.5546875" bestFit="1" customWidth="1"/>
    <col min="1487" max="1487" width="7.5546875" bestFit="1" customWidth="1"/>
    <col min="1488" max="1488" width="18.77734375" bestFit="1" customWidth="1"/>
    <col min="1489" max="1490" width="8.5546875" bestFit="1" customWidth="1"/>
    <col min="1491" max="1492" width="9.5546875" bestFit="1" customWidth="1"/>
    <col min="1493" max="1493" width="18.77734375" bestFit="1" customWidth="1"/>
    <col min="1494" max="1494" width="8.5546875" bestFit="1" customWidth="1"/>
    <col min="1495" max="1495" width="18.77734375" bestFit="1" customWidth="1"/>
    <col min="1496" max="1496" width="9.5546875" bestFit="1" customWidth="1"/>
    <col min="1497" max="1498" width="18.77734375" bestFit="1" customWidth="1"/>
    <col min="1499" max="1499" width="8.5546875" bestFit="1" customWidth="1"/>
    <col min="1500" max="1500" width="9.5546875" bestFit="1" customWidth="1"/>
    <col min="1501" max="1503" width="18.77734375" bestFit="1" customWidth="1"/>
    <col min="1504" max="1504" width="7.5546875" bestFit="1" customWidth="1"/>
    <col min="1505" max="1507" width="18.77734375" bestFit="1" customWidth="1"/>
    <col min="1508" max="1508" width="9.5546875" bestFit="1" customWidth="1"/>
    <col min="1509" max="1509" width="18.77734375" bestFit="1" customWidth="1"/>
    <col min="1510" max="1510" width="8.5546875" bestFit="1" customWidth="1"/>
    <col min="1511" max="1511" width="9.5546875" bestFit="1" customWidth="1"/>
    <col min="1512" max="1512" width="8.5546875" bestFit="1" customWidth="1"/>
    <col min="1513" max="1513" width="9.5546875" bestFit="1" customWidth="1"/>
    <col min="1514" max="1514" width="8.5546875" bestFit="1" customWidth="1"/>
    <col min="1515" max="1515" width="9.5546875" bestFit="1" customWidth="1"/>
    <col min="1516" max="1518" width="8.5546875" bestFit="1" customWidth="1"/>
    <col min="1519" max="1519" width="9.5546875" bestFit="1" customWidth="1"/>
    <col min="1520" max="1520" width="7.5546875" bestFit="1" customWidth="1"/>
    <col min="1521" max="1521" width="9.5546875" bestFit="1" customWidth="1"/>
    <col min="1522" max="1523" width="8.5546875" bestFit="1" customWidth="1"/>
    <col min="1524" max="1525" width="9.5546875" bestFit="1" customWidth="1"/>
    <col min="1526" max="1526" width="18.77734375" bestFit="1" customWidth="1"/>
    <col min="1527" max="1527" width="8.5546875" bestFit="1" customWidth="1"/>
    <col min="1528" max="1529" width="9.5546875" bestFit="1" customWidth="1"/>
    <col min="1530" max="1530" width="7.5546875" bestFit="1" customWidth="1"/>
    <col min="1531" max="1531" width="18.77734375" bestFit="1" customWidth="1"/>
    <col min="1532" max="1532" width="7.5546875" bestFit="1" customWidth="1"/>
    <col min="1533" max="1534" width="18.77734375" bestFit="1" customWidth="1"/>
    <col min="1535" max="1535" width="9.5546875" bestFit="1" customWidth="1"/>
    <col min="1536" max="1536" width="10.5546875" bestFit="1" customWidth="1"/>
    <col min="1537" max="1537" width="8.5546875" bestFit="1" customWidth="1"/>
    <col min="1538" max="1538" width="7.5546875" bestFit="1" customWidth="1"/>
    <col min="1539" max="1540" width="9.5546875" bestFit="1" customWidth="1"/>
    <col min="1541" max="1541" width="10.5546875" bestFit="1" customWidth="1"/>
    <col min="1542" max="1543" width="8.5546875" bestFit="1" customWidth="1"/>
    <col min="1544" max="1544" width="18.77734375" bestFit="1" customWidth="1"/>
    <col min="1545" max="1545" width="9.5546875" bestFit="1" customWidth="1"/>
    <col min="1546" max="1546" width="7.5546875" bestFit="1" customWidth="1"/>
    <col min="1547" max="1549" width="18.77734375" bestFit="1" customWidth="1"/>
    <col min="1550" max="1550" width="7.5546875" bestFit="1" customWidth="1"/>
    <col min="1551" max="1551" width="9.5546875" bestFit="1" customWidth="1"/>
    <col min="1552" max="1552" width="7.5546875" bestFit="1" customWidth="1"/>
    <col min="1553" max="1553" width="9.5546875" bestFit="1" customWidth="1"/>
    <col min="1554" max="1555" width="18.77734375" bestFit="1" customWidth="1"/>
    <col min="1556" max="1556" width="8.5546875" bestFit="1" customWidth="1"/>
    <col min="1557" max="1557" width="9.5546875" bestFit="1" customWidth="1"/>
    <col min="1558" max="1558" width="7.5546875" bestFit="1" customWidth="1"/>
    <col min="1559" max="1560" width="9.5546875" bestFit="1" customWidth="1"/>
    <col min="1561" max="1561" width="18.77734375" bestFit="1" customWidth="1"/>
    <col min="1562" max="1562" width="9.5546875" bestFit="1" customWidth="1"/>
    <col min="1563" max="1563" width="18.77734375" bestFit="1" customWidth="1"/>
    <col min="1564" max="1565" width="8.5546875" bestFit="1" customWidth="1"/>
    <col min="1566" max="1566" width="9.5546875" bestFit="1" customWidth="1"/>
    <col min="1567" max="1567" width="8.5546875" bestFit="1" customWidth="1"/>
    <col min="1568" max="1568" width="7.5546875" bestFit="1" customWidth="1"/>
    <col min="1569" max="1569" width="8.5546875" bestFit="1" customWidth="1"/>
    <col min="1570" max="1570" width="10.5546875" bestFit="1" customWidth="1"/>
    <col min="1571" max="1571" width="8.5546875" bestFit="1" customWidth="1"/>
    <col min="1572" max="1572" width="18.77734375" bestFit="1" customWidth="1"/>
    <col min="1573" max="1573" width="7.5546875" bestFit="1" customWidth="1"/>
    <col min="1574" max="1574" width="18.77734375" bestFit="1" customWidth="1"/>
    <col min="1575" max="1575" width="8.5546875" bestFit="1" customWidth="1"/>
    <col min="1576" max="1578" width="18.77734375" bestFit="1" customWidth="1"/>
    <col min="1579" max="1579" width="9.5546875" bestFit="1" customWidth="1"/>
    <col min="1580" max="1580" width="8.5546875" bestFit="1" customWidth="1"/>
    <col min="1581" max="1581" width="18.77734375" bestFit="1" customWidth="1"/>
    <col min="1582" max="1584" width="9.5546875" bestFit="1" customWidth="1"/>
    <col min="1585" max="1585" width="18.77734375" bestFit="1" customWidth="1"/>
    <col min="1586" max="1587" width="9.5546875" bestFit="1" customWidth="1"/>
    <col min="1588" max="1588" width="18.77734375" bestFit="1" customWidth="1"/>
    <col min="1589" max="1589" width="7.5546875" bestFit="1" customWidth="1"/>
    <col min="1590" max="1590" width="6.5546875" bestFit="1" customWidth="1"/>
    <col min="1591" max="1591" width="8.5546875" bestFit="1" customWidth="1"/>
    <col min="1592" max="1592" width="9.5546875" bestFit="1" customWidth="1"/>
    <col min="1593" max="1593" width="8.5546875" bestFit="1" customWidth="1"/>
    <col min="1594" max="1594" width="9.5546875" bestFit="1" customWidth="1"/>
    <col min="1595" max="1595" width="8.5546875" bestFit="1" customWidth="1"/>
    <col min="1596" max="1596" width="10.5546875" bestFit="1" customWidth="1"/>
    <col min="1597" max="1597" width="9.5546875" bestFit="1" customWidth="1"/>
    <col min="1598" max="1598" width="7.5546875" bestFit="1" customWidth="1"/>
    <col min="1599" max="1599" width="18.77734375" bestFit="1" customWidth="1"/>
    <col min="1600" max="1600" width="7.5546875" bestFit="1" customWidth="1"/>
    <col min="1601" max="1601" width="9.5546875" bestFit="1" customWidth="1"/>
    <col min="1602" max="1602" width="18.77734375" bestFit="1" customWidth="1"/>
    <col min="1603" max="1603" width="8.5546875" bestFit="1" customWidth="1"/>
    <col min="1604" max="1604" width="9.5546875" bestFit="1" customWidth="1"/>
    <col min="1605" max="1605" width="18.77734375" bestFit="1" customWidth="1"/>
    <col min="1606" max="1606" width="7.5546875" bestFit="1" customWidth="1"/>
    <col min="1607" max="1607" width="8.5546875" bestFit="1" customWidth="1"/>
    <col min="1608" max="1608" width="18.77734375" bestFit="1" customWidth="1"/>
    <col min="1609" max="1609" width="7.5546875" bestFit="1" customWidth="1"/>
    <col min="1610" max="1610" width="8.5546875" bestFit="1" customWidth="1"/>
    <col min="1611" max="1612" width="18.77734375" bestFit="1" customWidth="1"/>
    <col min="1613" max="1613" width="9.5546875" bestFit="1" customWidth="1"/>
    <col min="1614" max="1614" width="18.77734375" bestFit="1" customWidth="1"/>
    <col min="1615" max="1615" width="6.5546875" bestFit="1" customWidth="1"/>
    <col min="1616" max="1616" width="18.77734375" bestFit="1" customWidth="1"/>
    <col min="1617" max="1617" width="9.5546875" bestFit="1" customWidth="1"/>
    <col min="1618" max="1619" width="8.5546875" bestFit="1" customWidth="1"/>
    <col min="1620" max="1620" width="18.77734375" bestFit="1" customWidth="1"/>
    <col min="1621" max="1621" width="9.5546875" bestFit="1" customWidth="1"/>
    <col min="1622" max="1622" width="7.5546875" bestFit="1" customWidth="1"/>
    <col min="1623" max="1623" width="5" bestFit="1" customWidth="1"/>
    <col min="1624" max="1625" width="18.77734375" bestFit="1" customWidth="1"/>
    <col min="1626" max="1626" width="9.5546875" bestFit="1" customWidth="1"/>
    <col min="1627" max="1627" width="8.5546875" bestFit="1" customWidth="1"/>
    <col min="1628" max="1628" width="18.77734375" bestFit="1" customWidth="1"/>
    <col min="1629" max="1629" width="8.5546875" bestFit="1" customWidth="1"/>
    <col min="1630" max="1632" width="7.5546875" bestFit="1" customWidth="1"/>
    <col min="1633" max="1636" width="18.77734375" bestFit="1" customWidth="1"/>
    <col min="1637" max="1637" width="8.5546875" bestFit="1" customWidth="1"/>
    <col min="1638" max="1638" width="9.5546875" bestFit="1" customWidth="1"/>
    <col min="1639" max="1639" width="7.5546875" bestFit="1" customWidth="1"/>
    <col min="1640" max="1640" width="8.5546875" bestFit="1" customWidth="1"/>
    <col min="1641" max="1641" width="9.5546875" bestFit="1" customWidth="1"/>
    <col min="1642" max="1646" width="8.5546875" bestFit="1" customWidth="1"/>
    <col min="1647" max="1647" width="7.5546875" bestFit="1" customWidth="1"/>
    <col min="1648" max="1648" width="9.5546875" bestFit="1" customWidth="1"/>
    <col min="1649" max="1649" width="18.77734375" bestFit="1" customWidth="1"/>
    <col min="1650" max="1650" width="7.5546875" bestFit="1" customWidth="1"/>
    <col min="1651" max="1651" width="18.77734375" bestFit="1" customWidth="1"/>
    <col min="1652" max="1653" width="7.5546875" bestFit="1" customWidth="1"/>
    <col min="1654" max="1654" width="18.77734375" bestFit="1" customWidth="1"/>
    <col min="1655" max="1656" width="8.5546875" bestFit="1" customWidth="1"/>
    <col min="1657" max="1657" width="7.5546875" bestFit="1" customWidth="1"/>
    <col min="1658" max="1659" width="18.77734375" bestFit="1" customWidth="1"/>
    <col min="1660" max="1660" width="9.5546875" bestFit="1" customWidth="1"/>
    <col min="1661" max="1661" width="8.5546875" bestFit="1" customWidth="1"/>
    <col min="1662" max="1662" width="7.5546875" bestFit="1" customWidth="1"/>
    <col min="1663" max="1663" width="18.77734375" bestFit="1" customWidth="1"/>
    <col min="1664" max="1664" width="8.5546875" bestFit="1" customWidth="1"/>
    <col min="1665" max="1668" width="18.77734375" bestFit="1" customWidth="1"/>
    <col min="1669" max="1670" width="8.5546875" bestFit="1" customWidth="1"/>
    <col min="1671" max="1671" width="18.77734375" bestFit="1" customWidth="1"/>
    <col min="1672" max="1672" width="8.5546875" bestFit="1" customWidth="1"/>
    <col min="1673" max="1673" width="9.5546875" bestFit="1" customWidth="1"/>
    <col min="1674" max="1674" width="8.5546875" bestFit="1" customWidth="1"/>
    <col min="1675" max="1675" width="9.5546875" bestFit="1" customWidth="1"/>
    <col min="1676" max="1676" width="18.77734375" bestFit="1" customWidth="1"/>
    <col min="1677" max="1681" width="8.5546875" bestFit="1" customWidth="1"/>
    <col min="1682" max="1682" width="18.77734375" bestFit="1" customWidth="1"/>
    <col min="1683" max="1683" width="7.5546875" bestFit="1" customWidth="1"/>
    <col min="1684" max="1686" width="9.5546875" bestFit="1" customWidth="1"/>
    <col min="1687" max="1688" width="8.5546875" bestFit="1" customWidth="1"/>
    <col min="1689" max="1691" width="18.77734375" bestFit="1" customWidth="1"/>
    <col min="1692" max="1693" width="8.5546875" bestFit="1" customWidth="1"/>
    <col min="1694" max="1695" width="9.5546875" bestFit="1" customWidth="1"/>
    <col min="1696" max="1696" width="10.5546875" bestFit="1" customWidth="1"/>
    <col min="1697" max="1697" width="8.5546875" bestFit="1" customWidth="1"/>
    <col min="1698" max="1698" width="7.5546875" bestFit="1" customWidth="1"/>
    <col min="1699" max="1700" width="9.5546875" bestFit="1" customWidth="1"/>
    <col min="1701" max="1702" width="8.5546875" bestFit="1" customWidth="1"/>
    <col min="1703" max="1703" width="10.5546875" bestFit="1" customWidth="1"/>
    <col min="1704" max="1705" width="8.5546875" bestFit="1" customWidth="1"/>
    <col min="1706" max="1707" width="18.77734375" bestFit="1" customWidth="1"/>
    <col min="1708" max="1708" width="9.5546875" bestFit="1" customWidth="1"/>
    <col min="1709" max="1709" width="8.5546875" bestFit="1" customWidth="1"/>
    <col min="1710" max="1710" width="9.5546875" bestFit="1" customWidth="1"/>
    <col min="1711" max="1712" width="7.5546875" bestFit="1" customWidth="1"/>
    <col min="1713" max="1713" width="8.5546875" bestFit="1" customWidth="1"/>
    <col min="1714" max="1714" width="18.77734375" bestFit="1" customWidth="1"/>
    <col min="1715" max="1715" width="7.5546875" bestFit="1" customWidth="1"/>
    <col min="1716" max="1717" width="8.5546875" bestFit="1" customWidth="1"/>
    <col min="1718" max="1718" width="9.5546875" bestFit="1" customWidth="1"/>
    <col min="1719" max="1719" width="7.5546875" bestFit="1" customWidth="1"/>
    <col min="1720" max="1720" width="18.77734375" bestFit="1" customWidth="1"/>
    <col min="1721" max="1721" width="8.5546875" bestFit="1" customWidth="1"/>
    <col min="1722" max="1723" width="10.5546875" bestFit="1" customWidth="1"/>
    <col min="1724" max="1724" width="9.5546875" bestFit="1" customWidth="1"/>
    <col min="1725" max="1726" width="18.77734375" bestFit="1" customWidth="1"/>
    <col min="1727" max="1727" width="9.5546875" bestFit="1" customWidth="1"/>
    <col min="1728" max="1729" width="18.77734375" bestFit="1" customWidth="1"/>
    <col min="1730" max="1730" width="9.5546875" bestFit="1" customWidth="1"/>
    <col min="1731" max="1732" width="8.5546875" bestFit="1" customWidth="1"/>
    <col min="1733" max="1733" width="9.5546875" bestFit="1" customWidth="1"/>
    <col min="1734" max="1734" width="7.5546875" bestFit="1" customWidth="1"/>
    <col min="1735" max="1735" width="18.77734375" bestFit="1" customWidth="1"/>
    <col min="1736" max="1738" width="9.5546875" bestFit="1" customWidth="1"/>
    <col min="1739" max="1739" width="7.5546875" bestFit="1" customWidth="1"/>
    <col min="1740" max="1740" width="8.5546875" bestFit="1" customWidth="1"/>
    <col min="1741" max="1741" width="9.5546875" bestFit="1" customWidth="1"/>
    <col min="1742" max="1742" width="18.77734375" bestFit="1" customWidth="1"/>
    <col min="1743" max="1743" width="10.5546875" bestFit="1" customWidth="1"/>
    <col min="1744" max="1744" width="7.5546875" bestFit="1" customWidth="1"/>
    <col min="1745" max="1745" width="18.77734375" bestFit="1" customWidth="1"/>
    <col min="1746" max="1746" width="9.5546875" bestFit="1" customWidth="1"/>
    <col min="1747" max="1748" width="8.5546875" bestFit="1" customWidth="1"/>
    <col min="1749" max="1749" width="18.77734375" bestFit="1" customWidth="1"/>
    <col min="1750" max="1750" width="9.5546875" bestFit="1" customWidth="1"/>
    <col min="1751" max="1751" width="10.5546875" bestFit="1" customWidth="1"/>
    <col min="1752" max="1752" width="7.5546875" bestFit="1" customWidth="1"/>
    <col min="1753" max="1753" width="18.77734375" bestFit="1" customWidth="1"/>
    <col min="1754" max="1754" width="9.5546875" bestFit="1" customWidth="1"/>
    <col min="1755" max="1755" width="8.5546875" bestFit="1" customWidth="1"/>
    <col min="1756" max="1756" width="10.5546875" bestFit="1" customWidth="1"/>
    <col min="1757" max="1758" width="8.5546875" bestFit="1" customWidth="1"/>
    <col min="1759" max="1759" width="9.5546875" bestFit="1" customWidth="1"/>
    <col min="1760" max="1760" width="18.77734375" bestFit="1" customWidth="1"/>
    <col min="1761" max="1761" width="8.5546875" bestFit="1" customWidth="1"/>
    <col min="1762" max="1762" width="9.5546875" bestFit="1" customWidth="1"/>
    <col min="1763" max="1763" width="7.5546875" bestFit="1" customWidth="1"/>
    <col min="1764" max="1765" width="18.77734375" bestFit="1" customWidth="1"/>
    <col min="1766" max="1766" width="7.5546875" bestFit="1" customWidth="1"/>
    <col min="1767" max="1767" width="9.5546875" bestFit="1" customWidth="1"/>
    <col min="1768" max="1770" width="8.5546875" bestFit="1" customWidth="1"/>
    <col min="1771" max="1772" width="18.77734375" bestFit="1" customWidth="1"/>
    <col min="1773" max="1773" width="8.5546875" bestFit="1" customWidth="1"/>
    <col min="1774" max="1774" width="9.5546875" bestFit="1" customWidth="1"/>
    <col min="1775" max="1778" width="8.5546875" bestFit="1" customWidth="1"/>
    <col min="1779" max="1781" width="9.5546875" bestFit="1" customWidth="1"/>
    <col min="1782" max="1782" width="7.5546875" bestFit="1" customWidth="1"/>
    <col min="1783" max="1783" width="18.77734375" bestFit="1" customWidth="1"/>
    <col min="1784" max="1784" width="10.5546875" bestFit="1" customWidth="1"/>
    <col min="1785" max="1785" width="9.5546875" bestFit="1" customWidth="1"/>
    <col min="1786" max="1786" width="8.5546875" bestFit="1" customWidth="1"/>
    <col min="1787" max="1787" width="9.5546875" bestFit="1" customWidth="1"/>
    <col min="1788" max="1788" width="7.5546875" bestFit="1" customWidth="1"/>
    <col min="1789" max="1789" width="18.77734375" bestFit="1" customWidth="1"/>
    <col min="1790" max="1790" width="8.5546875" bestFit="1" customWidth="1"/>
    <col min="1791" max="1791" width="9.5546875" bestFit="1" customWidth="1"/>
    <col min="1792" max="1793" width="8.5546875" bestFit="1" customWidth="1"/>
    <col min="1794" max="1794" width="6.5546875" bestFit="1" customWidth="1"/>
    <col min="1795" max="1795" width="10.5546875" bestFit="1" customWidth="1"/>
    <col min="1796" max="1797" width="18.77734375" bestFit="1" customWidth="1"/>
    <col min="1798" max="1798" width="10.5546875" bestFit="1" customWidth="1"/>
    <col min="1799" max="1799" width="18.77734375" bestFit="1" customWidth="1"/>
    <col min="1800" max="1800" width="9.5546875" bestFit="1" customWidth="1"/>
    <col min="1801" max="1801" width="8.5546875" bestFit="1" customWidth="1"/>
    <col min="1802" max="1802" width="6.5546875" bestFit="1" customWidth="1"/>
    <col min="1803" max="1803" width="8.5546875" bestFit="1" customWidth="1"/>
    <col min="1804" max="1805" width="9.5546875" bestFit="1" customWidth="1"/>
    <col min="1806" max="1806" width="8.5546875" bestFit="1" customWidth="1"/>
    <col min="1807" max="1810" width="9.5546875" bestFit="1" customWidth="1"/>
    <col min="1811" max="1813" width="18.77734375" bestFit="1" customWidth="1"/>
    <col min="1814" max="1814" width="8.5546875" bestFit="1" customWidth="1"/>
    <col min="1815" max="1815" width="18.77734375" bestFit="1" customWidth="1"/>
    <col min="1816" max="1816" width="10.5546875" bestFit="1" customWidth="1"/>
    <col min="1817" max="1817" width="9.5546875" bestFit="1" customWidth="1"/>
    <col min="1818" max="1818" width="7.5546875" bestFit="1" customWidth="1"/>
    <col min="1819" max="1819" width="18.77734375" bestFit="1" customWidth="1"/>
    <col min="1820" max="1821" width="7.5546875" bestFit="1" customWidth="1"/>
    <col min="1822" max="1824" width="18.77734375" bestFit="1" customWidth="1"/>
    <col min="1825" max="1825" width="7.5546875" bestFit="1" customWidth="1"/>
    <col min="1826" max="1827" width="9.5546875" bestFit="1" customWidth="1"/>
    <col min="1828" max="1828" width="18.77734375" bestFit="1" customWidth="1"/>
    <col min="1829" max="1829" width="9.5546875" bestFit="1" customWidth="1"/>
    <col min="1830" max="1831" width="8.5546875" bestFit="1" customWidth="1"/>
    <col min="1832" max="1832" width="18.77734375" bestFit="1" customWidth="1"/>
    <col min="1833" max="1833" width="7.5546875" bestFit="1" customWidth="1"/>
    <col min="1834" max="1834" width="9.5546875" bestFit="1" customWidth="1"/>
    <col min="1835" max="1838" width="8.5546875" bestFit="1" customWidth="1"/>
    <col min="1839" max="1840" width="18.77734375" bestFit="1" customWidth="1"/>
    <col min="1841" max="1842" width="7.5546875" bestFit="1" customWidth="1"/>
    <col min="1843" max="1843" width="8.5546875" bestFit="1" customWidth="1"/>
    <col min="1844" max="1844" width="9.5546875" bestFit="1" customWidth="1"/>
    <col min="1845" max="1846" width="18.77734375" bestFit="1" customWidth="1"/>
    <col min="1847" max="1847" width="9.5546875" bestFit="1" customWidth="1"/>
    <col min="1848" max="1848" width="8.5546875" bestFit="1" customWidth="1"/>
    <col min="1849" max="1849" width="7.5546875" bestFit="1" customWidth="1"/>
    <col min="1850" max="1850" width="18.77734375" bestFit="1" customWidth="1"/>
    <col min="1851" max="1852" width="8.5546875" bestFit="1" customWidth="1"/>
    <col min="1853" max="1853" width="9.5546875" bestFit="1" customWidth="1"/>
    <col min="1854" max="1854" width="18.77734375" bestFit="1" customWidth="1"/>
    <col min="1855" max="1855" width="8.5546875" bestFit="1" customWidth="1"/>
    <col min="1856" max="1856" width="10.5546875" bestFit="1" customWidth="1"/>
    <col min="1857" max="1857" width="6.5546875" bestFit="1" customWidth="1"/>
    <col min="1858" max="1858" width="18.77734375" bestFit="1" customWidth="1"/>
    <col min="1859" max="1859" width="6.5546875" bestFit="1" customWidth="1"/>
    <col min="1860" max="1860" width="7.5546875" bestFit="1" customWidth="1"/>
    <col min="1861" max="1861" width="18.77734375" bestFit="1" customWidth="1"/>
    <col min="1862" max="1862" width="8.5546875" bestFit="1" customWidth="1"/>
    <col min="1863" max="1863" width="9.5546875" bestFit="1" customWidth="1"/>
    <col min="1864" max="1864" width="7.5546875" bestFit="1" customWidth="1"/>
    <col min="1865" max="1866" width="18.77734375" bestFit="1" customWidth="1"/>
    <col min="1867" max="1867" width="9.5546875" bestFit="1" customWidth="1"/>
    <col min="1868" max="1868" width="18.77734375" bestFit="1" customWidth="1"/>
    <col min="1869" max="1869" width="7.5546875" bestFit="1" customWidth="1"/>
    <col min="1870" max="1870" width="8.5546875" bestFit="1" customWidth="1"/>
    <col min="1871" max="1871" width="18.77734375" bestFit="1" customWidth="1"/>
    <col min="1872" max="1872" width="10.5546875" bestFit="1" customWidth="1"/>
    <col min="1873" max="1876" width="8.5546875" bestFit="1" customWidth="1"/>
    <col min="1877" max="1878" width="18.77734375" bestFit="1" customWidth="1"/>
    <col min="1879" max="1879" width="9.5546875" bestFit="1" customWidth="1"/>
    <col min="1880" max="1881" width="8.5546875" bestFit="1" customWidth="1"/>
    <col min="1882" max="1883" width="18.77734375" bestFit="1" customWidth="1"/>
    <col min="1884" max="1884" width="9.5546875" bestFit="1" customWidth="1"/>
    <col min="1885" max="1885" width="8.5546875" bestFit="1" customWidth="1"/>
    <col min="1886" max="1887" width="18.77734375" bestFit="1" customWidth="1"/>
    <col min="1888" max="1888" width="10.5546875" bestFit="1" customWidth="1"/>
    <col min="1889" max="1889" width="8.5546875" bestFit="1" customWidth="1"/>
    <col min="1890" max="1890" width="18.77734375" bestFit="1" customWidth="1"/>
    <col min="1891" max="1892" width="9.5546875" bestFit="1" customWidth="1"/>
    <col min="1893" max="1894" width="7.5546875" bestFit="1" customWidth="1"/>
    <col min="1895" max="1896" width="18.77734375" bestFit="1" customWidth="1"/>
    <col min="1897" max="1897" width="9.5546875" bestFit="1" customWidth="1"/>
    <col min="1898" max="1898" width="7.5546875" bestFit="1" customWidth="1"/>
    <col min="1899" max="1899" width="8.5546875" bestFit="1" customWidth="1"/>
    <col min="1900" max="1900" width="10.5546875" bestFit="1" customWidth="1"/>
    <col min="1901" max="1901" width="7.5546875" bestFit="1" customWidth="1"/>
    <col min="1902" max="1902" width="9.5546875" bestFit="1" customWidth="1"/>
    <col min="1903" max="1903" width="18.77734375" bestFit="1" customWidth="1"/>
    <col min="1904" max="1904" width="7.5546875" bestFit="1" customWidth="1"/>
    <col min="1905" max="1905" width="9.5546875" bestFit="1" customWidth="1"/>
    <col min="1906" max="1906" width="18.77734375" bestFit="1" customWidth="1"/>
    <col min="1907" max="1907" width="8.5546875" bestFit="1" customWidth="1"/>
    <col min="1908" max="1908" width="7.5546875" bestFit="1" customWidth="1"/>
    <col min="1909" max="1909" width="18.77734375" bestFit="1" customWidth="1"/>
    <col min="1910" max="1910" width="7.5546875" bestFit="1" customWidth="1"/>
    <col min="1911" max="1911" width="9.5546875" bestFit="1" customWidth="1"/>
    <col min="1912" max="1916" width="7.5546875" bestFit="1" customWidth="1"/>
    <col min="1917" max="1917" width="8.5546875" bestFit="1" customWidth="1"/>
    <col min="1918" max="1918" width="18.77734375" bestFit="1" customWidth="1"/>
    <col min="1919" max="1919" width="9.5546875" bestFit="1" customWidth="1"/>
    <col min="1920" max="1920" width="10.5546875" bestFit="1" customWidth="1"/>
    <col min="1921" max="1921" width="9.5546875" bestFit="1" customWidth="1"/>
    <col min="1922" max="1922" width="18.77734375" bestFit="1" customWidth="1"/>
    <col min="1923" max="1923" width="8.5546875" bestFit="1" customWidth="1"/>
    <col min="1924" max="1924" width="9.5546875" bestFit="1" customWidth="1"/>
    <col min="1925" max="1925" width="7.5546875" bestFit="1" customWidth="1"/>
    <col min="1926" max="1926" width="10.5546875" bestFit="1" customWidth="1"/>
    <col min="1927" max="1927" width="8.5546875" bestFit="1" customWidth="1"/>
    <col min="1928" max="1928" width="18.77734375" bestFit="1" customWidth="1"/>
    <col min="1929" max="1929" width="6.5546875" bestFit="1" customWidth="1"/>
    <col min="1930" max="1930" width="7.5546875" bestFit="1" customWidth="1"/>
    <col min="1931" max="1931" width="8.5546875" bestFit="1" customWidth="1"/>
    <col min="1932" max="1933" width="9.5546875" bestFit="1" customWidth="1"/>
    <col min="1934" max="1934" width="18.77734375" bestFit="1" customWidth="1"/>
    <col min="1935" max="1936" width="8.5546875" bestFit="1" customWidth="1"/>
    <col min="1937" max="1938" width="18.77734375" bestFit="1" customWidth="1"/>
    <col min="1939" max="1939" width="9.5546875" bestFit="1" customWidth="1"/>
    <col min="1940" max="1940" width="8.5546875" bestFit="1" customWidth="1"/>
    <col min="1941" max="1943" width="18.77734375" bestFit="1" customWidth="1"/>
    <col min="1944" max="1944" width="8.5546875" bestFit="1" customWidth="1"/>
    <col min="1945" max="1945" width="18.77734375" bestFit="1" customWidth="1"/>
    <col min="1946" max="1946" width="8.5546875" bestFit="1" customWidth="1"/>
    <col min="1947" max="1947" width="7.5546875" bestFit="1" customWidth="1"/>
    <col min="1948" max="1948" width="18.77734375" bestFit="1" customWidth="1"/>
    <col min="1949" max="1950" width="7.5546875" bestFit="1" customWidth="1"/>
    <col min="1951" max="1953" width="18.77734375" bestFit="1" customWidth="1"/>
    <col min="1954" max="1954" width="8.5546875" bestFit="1" customWidth="1"/>
    <col min="1955" max="1955" width="10.5546875" bestFit="1" customWidth="1"/>
    <col min="1956" max="1956" width="18.77734375" bestFit="1" customWidth="1"/>
    <col min="1957" max="1957" width="7.5546875" bestFit="1" customWidth="1"/>
    <col min="1958" max="1958" width="9.5546875" bestFit="1" customWidth="1"/>
    <col min="1959" max="1959" width="18.77734375" bestFit="1" customWidth="1"/>
    <col min="1960" max="1960" width="9.5546875" bestFit="1" customWidth="1"/>
    <col min="1961" max="1961" width="8.5546875" bestFit="1" customWidth="1"/>
    <col min="1962" max="1962" width="7.5546875" bestFit="1" customWidth="1"/>
    <col min="1963" max="1964" width="8.5546875" bestFit="1" customWidth="1"/>
    <col min="1965" max="1965" width="9.5546875" bestFit="1" customWidth="1"/>
    <col min="1966" max="1968" width="18.77734375" bestFit="1" customWidth="1"/>
    <col min="1969" max="1969" width="10.5546875" bestFit="1" customWidth="1"/>
    <col min="1970" max="1970" width="9.5546875" bestFit="1" customWidth="1"/>
    <col min="1971" max="1971" width="8.5546875" bestFit="1" customWidth="1"/>
    <col min="1972" max="1972" width="18.77734375" bestFit="1" customWidth="1"/>
    <col min="1973" max="1973" width="7.5546875" bestFit="1" customWidth="1"/>
    <col min="1974" max="1974" width="18.77734375" bestFit="1" customWidth="1"/>
    <col min="1975" max="1977" width="8.5546875" bestFit="1" customWidth="1"/>
    <col min="1978" max="1978" width="18.77734375" bestFit="1" customWidth="1"/>
    <col min="1979" max="1979" width="8.5546875" bestFit="1" customWidth="1"/>
    <col min="1980" max="1980" width="10.5546875" bestFit="1" customWidth="1"/>
    <col min="1981" max="1983" width="8.5546875" bestFit="1" customWidth="1"/>
    <col min="1984" max="1984" width="7.5546875" bestFit="1" customWidth="1"/>
    <col min="1985" max="1985" width="10.5546875" bestFit="1" customWidth="1"/>
    <col min="1986" max="1986" width="18.77734375" bestFit="1" customWidth="1"/>
    <col min="1987" max="1987" width="7.5546875" bestFit="1" customWidth="1"/>
    <col min="1988" max="1990" width="8.5546875" bestFit="1" customWidth="1"/>
    <col min="1991" max="1991" width="18.77734375" bestFit="1" customWidth="1"/>
    <col min="1992" max="1992" width="10.5546875" bestFit="1" customWidth="1"/>
    <col min="1993" max="1993" width="9.5546875" bestFit="1" customWidth="1"/>
    <col min="1994" max="1994" width="7.5546875" bestFit="1" customWidth="1"/>
    <col min="1995" max="1996" width="18.77734375" bestFit="1" customWidth="1"/>
    <col min="1997" max="1997" width="8.5546875" bestFit="1" customWidth="1"/>
    <col min="1998" max="1998" width="18.77734375" bestFit="1" customWidth="1"/>
    <col min="1999" max="1999" width="8.5546875" bestFit="1" customWidth="1"/>
    <col min="2000" max="2001" width="7.5546875" bestFit="1" customWidth="1"/>
    <col min="2002" max="2002" width="9.5546875" bestFit="1" customWidth="1"/>
    <col min="2003" max="2004" width="18.77734375" bestFit="1" customWidth="1"/>
    <col min="2005" max="2005" width="10.5546875" bestFit="1" customWidth="1"/>
    <col min="2006" max="2006" width="8.5546875" bestFit="1" customWidth="1"/>
    <col min="2007" max="2007" width="9.5546875" bestFit="1" customWidth="1"/>
    <col min="2008" max="2008" width="7.5546875" bestFit="1" customWidth="1"/>
    <col min="2009" max="2009" width="6.5546875" bestFit="1" customWidth="1"/>
    <col min="2010" max="2011" width="9.5546875" bestFit="1" customWidth="1"/>
    <col min="2012" max="2012" width="8.5546875" bestFit="1" customWidth="1"/>
    <col min="2013" max="2013" width="18.77734375" bestFit="1" customWidth="1"/>
    <col min="2014" max="2014" width="7.5546875" bestFit="1" customWidth="1"/>
    <col min="2015" max="2015" width="6.5546875" bestFit="1" customWidth="1"/>
    <col min="2016" max="2016" width="9.5546875" bestFit="1" customWidth="1"/>
    <col min="2017" max="2017" width="7.5546875" bestFit="1" customWidth="1"/>
    <col min="2018" max="2021" width="8.5546875" bestFit="1" customWidth="1"/>
    <col min="2022" max="2023" width="7.5546875" bestFit="1" customWidth="1"/>
    <col min="2024" max="2024" width="8.5546875" bestFit="1" customWidth="1"/>
    <col min="2025" max="2025" width="7.5546875" bestFit="1" customWidth="1"/>
    <col min="2026" max="2027" width="8.5546875" bestFit="1" customWidth="1"/>
    <col min="2028" max="2028" width="7.5546875" bestFit="1" customWidth="1"/>
    <col min="2029" max="2030" width="9.5546875" bestFit="1" customWidth="1"/>
    <col min="2031" max="2032" width="8.5546875" bestFit="1" customWidth="1"/>
    <col min="2033" max="2033" width="10.5546875" bestFit="1" customWidth="1"/>
    <col min="2034" max="2034" width="18.77734375" bestFit="1" customWidth="1"/>
    <col min="2035" max="2035" width="8.5546875" bestFit="1" customWidth="1"/>
    <col min="2036" max="2037" width="18.77734375" bestFit="1" customWidth="1"/>
    <col min="2038" max="2038" width="7.5546875" bestFit="1" customWidth="1"/>
    <col min="2039" max="2040" width="8.5546875" bestFit="1" customWidth="1"/>
    <col min="2041" max="2041" width="18.77734375" bestFit="1" customWidth="1"/>
    <col min="2042" max="2042" width="10.5546875" bestFit="1" customWidth="1"/>
    <col min="2043" max="2043" width="8.5546875" bestFit="1" customWidth="1"/>
    <col min="2044" max="2044" width="7.5546875" bestFit="1" customWidth="1"/>
    <col min="2045" max="2045" width="18.77734375" bestFit="1" customWidth="1"/>
    <col min="2046" max="2046" width="8.5546875" bestFit="1" customWidth="1"/>
    <col min="2047" max="2047" width="18.77734375" bestFit="1" customWidth="1"/>
    <col min="2048" max="2048" width="8.5546875" bestFit="1" customWidth="1"/>
    <col min="2049" max="2049" width="18.77734375" bestFit="1" customWidth="1"/>
    <col min="2050" max="2050" width="9.5546875" bestFit="1" customWidth="1"/>
    <col min="2051" max="2051" width="7.5546875" bestFit="1" customWidth="1"/>
    <col min="2052" max="2052" width="10.5546875" bestFit="1" customWidth="1"/>
    <col min="2053" max="2053" width="8.5546875" bestFit="1" customWidth="1"/>
    <col min="2054" max="2054" width="9.5546875" bestFit="1" customWidth="1"/>
    <col min="2055" max="2055" width="18.77734375" bestFit="1" customWidth="1"/>
    <col min="2056" max="2056" width="9.5546875" bestFit="1" customWidth="1"/>
    <col min="2057" max="2057" width="18.77734375" bestFit="1" customWidth="1"/>
    <col min="2058" max="2058" width="6.5546875" bestFit="1" customWidth="1"/>
    <col min="2059" max="2061" width="18.77734375" bestFit="1" customWidth="1"/>
    <col min="2062" max="2062" width="7.5546875" bestFit="1" customWidth="1"/>
    <col min="2063" max="2063" width="18.77734375" bestFit="1" customWidth="1"/>
    <col min="2064" max="2064" width="9.5546875" bestFit="1" customWidth="1"/>
    <col min="2065" max="2067" width="6.5546875" bestFit="1" customWidth="1"/>
    <col min="2068" max="2069" width="7.5546875" bestFit="1" customWidth="1"/>
    <col min="2070" max="2070" width="9.5546875" bestFit="1" customWidth="1"/>
    <col min="2071" max="2071" width="7.5546875" bestFit="1" customWidth="1"/>
    <col min="2072" max="2073" width="18.77734375" bestFit="1" customWidth="1"/>
    <col min="2074" max="2075" width="8.5546875" bestFit="1" customWidth="1"/>
    <col min="2076" max="2076" width="18.77734375" bestFit="1" customWidth="1"/>
    <col min="2077" max="2078" width="7.5546875" bestFit="1" customWidth="1"/>
    <col min="2079" max="2079" width="8.5546875" bestFit="1" customWidth="1"/>
    <col min="2080" max="2080" width="7.5546875" bestFit="1" customWidth="1"/>
    <col min="2081" max="2081" width="9.5546875" bestFit="1" customWidth="1"/>
    <col min="2082" max="2082" width="8.5546875" bestFit="1" customWidth="1"/>
    <col min="2083" max="2085" width="18.77734375" bestFit="1" customWidth="1"/>
    <col min="2086" max="2086" width="7.5546875" bestFit="1" customWidth="1"/>
    <col min="2087" max="2087" width="9.5546875" bestFit="1" customWidth="1"/>
    <col min="2088" max="2090" width="8.5546875" bestFit="1" customWidth="1"/>
    <col min="2091" max="2091" width="18.77734375" bestFit="1" customWidth="1"/>
    <col min="2092" max="2095" width="8.5546875" bestFit="1" customWidth="1"/>
    <col min="2096" max="2096" width="7.5546875" bestFit="1" customWidth="1"/>
    <col min="2097" max="2097" width="8.5546875" bestFit="1" customWidth="1"/>
    <col min="2098" max="2098" width="18.77734375" bestFit="1" customWidth="1"/>
    <col min="2099" max="2099" width="8.5546875" bestFit="1" customWidth="1"/>
    <col min="2100" max="2100" width="9.5546875" bestFit="1" customWidth="1"/>
    <col min="2101" max="2101" width="18.77734375" bestFit="1" customWidth="1"/>
    <col min="2102" max="2102" width="9.5546875" bestFit="1" customWidth="1"/>
    <col min="2103" max="2104" width="18.77734375" bestFit="1" customWidth="1"/>
    <col min="2105" max="2105" width="9.5546875" bestFit="1" customWidth="1"/>
    <col min="2106" max="2106" width="6.5546875" bestFit="1" customWidth="1"/>
    <col min="2107" max="2107" width="8.5546875" bestFit="1" customWidth="1"/>
    <col min="2108" max="2108" width="9.5546875" bestFit="1" customWidth="1"/>
    <col min="2109" max="2109" width="7.5546875" bestFit="1" customWidth="1"/>
    <col min="2110" max="2112" width="18.77734375" bestFit="1" customWidth="1"/>
    <col min="2113" max="2115" width="8.5546875" bestFit="1" customWidth="1"/>
    <col min="2116" max="2116" width="9.5546875" bestFit="1" customWidth="1"/>
    <col min="2117" max="2117" width="18.77734375" bestFit="1" customWidth="1"/>
    <col min="2118" max="2120" width="8.5546875" bestFit="1" customWidth="1"/>
    <col min="2121" max="2121" width="7.5546875" bestFit="1" customWidth="1"/>
    <col min="2122" max="2122" width="9.5546875" bestFit="1" customWidth="1"/>
    <col min="2123" max="2123" width="18.77734375" bestFit="1" customWidth="1"/>
    <col min="2124" max="2127" width="8.5546875" bestFit="1" customWidth="1"/>
    <col min="2128" max="2128" width="7.5546875" bestFit="1" customWidth="1"/>
    <col min="2129" max="2134" width="8.5546875" bestFit="1" customWidth="1"/>
    <col min="2135" max="2135" width="9.5546875" bestFit="1" customWidth="1"/>
    <col min="2136" max="2136" width="8.5546875" bestFit="1" customWidth="1"/>
    <col min="2137" max="2137" width="7.5546875" bestFit="1" customWidth="1"/>
    <col min="2138" max="2139" width="8.5546875" bestFit="1" customWidth="1"/>
    <col min="2140" max="2140" width="9.5546875" bestFit="1" customWidth="1"/>
    <col min="2141" max="2141" width="7.5546875" bestFit="1" customWidth="1"/>
    <col min="2142" max="2143" width="9.5546875" bestFit="1" customWidth="1"/>
    <col min="2144" max="2144" width="8.5546875" bestFit="1" customWidth="1"/>
    <col min="2145" max="2145" width="18.77734375" bestFit="1" customWidth="1"/>
    <col min="2146" max="2146" width="9.5546875" bestFit="1" customWidth="1"/>
    <col min="2147" max="2148" width="18.77734375" bestFit="1" customWidth="1"/>
    <col min="2149" max="2149" width="8.5546875" bestFit="1" customWidth="1"/>
    <col min="2150" max="2150" width="9.5546875" bestFit="1" customWidth="1"/>
    <col min="2151" max="2151" width="8.5546875" bestFit="1" customWidth="1"/>
    <col min="2152" max="2152" width="7.5546875" bestFit="1" customWidth="1"/>
    <col min="2153" max="2153" width="9.5546875" bestFit="1" customWidth="1"/>
    <col min="2154" max="2154" width="7.5546875" bestFit="1" customWidth="1"/>
    <col min="2155" max="2155" width="18.77734375" bestFit="1" customWidth="1"/>
    <col min="2156" max="2157" width="9.5546875" bestFit="1" customWidth="1"/>
    <col min="2158" max="2160" width="8.5546875" bestFit="1" customWidth="1"/>
    <col min="2161" max="2161" width="7.5546875" bestFit="1" customWidth="1"/>
    <col min="2162" max="2162" width="10.5546875" bestFit="1" customWidth="1"/>
    <col min="2163" max="2163" width="18.77734375" bestFit="1" customWidth="1"/>
    <col min="2164" max="2164" width="8.5546875" bestFit="1" customWidth="1"/>
    <col min="2165" max="2165" width="7.5546875" bestFit="1" customWidth="1"/>
    <col min="2166" max="2166" width="10.5546875" bestFit="1" customWidth="1"/>
    <col min="2167" max="2167" width="18.77734375" bestFit="1" customWidth="1"/>
    <col min="2168" max="2168" width="8.5546875" bestFit="1" customWidth="1"/>
    <col min="2169" max="2170" width="18.77734375" bestFit="1" customWidth="1"/>
    <col min="2171" max="2174" width="8.5546875" bestFit="1" customWidth="1"/>
    <col min="2175" max="2175" width="18.77734375" bestFit="1" customWidth="1"/>
    <col min="2176" max="2177" width="9.5546875" bestFit="1" customWidth="1"/>
    <col min="2178" max="2178" width="18.77734375" bestFit="1" customWidth="1"/>
    <col min="2179" max="2179" width="9.5546875" bestFit="1" customWidth="1"/>
    <col min="2180" max="2180" width="18.77734375" bestFit="1" customWidth="1"/>
    <col min="2181" max="2182" width="8.5546875" bestFit="1" customWidth="1"/>
    <col min="2183" max="2184" width="7.5546875" bestFit="1" customWidth="1"/>
    <col min="2185" max="2185" width="8.5546875" bestFit="1" customWidth="1"/>
    <col min="2186" max="2186" width="9.5546875" bestFit="1" customWidth="1"/>
    <col min="2187" max="2189" width="18.77734375" bestFit="1" customWidth="1"/>
    <col min="2190" max="2192" width="8.5546875" bestFit="1" customWidth="1"/>
    <col min="2193" max="2193" width="9.5546875" bestFit="1" customWidth="1"/>
    <col min="2194" max="2194" width="7.5546875" bestFit="1" customWidth="1"/>
    <col min="2195" max="2195" width="18.77734375" bestFit="1" customWidth="1"/>
    <col min="2196" max="2196" width="8.5546875" bestFit="1" customWidth="1"/>
    <col min="2197" max="2198" width="9.5546875" bestFit="1" customWidth="1"/>
    <col min="2199" max="2199" width="8.5546875" bestFit="1" customWidth="1"/>
    <col min="2200" max="2200" width="9.5546875" bestFit="1" customWidth="1"/>
    <col min="2201" max="2201" width="10.5546875" bestFit="1" customWidth="1"/>
    <col min="2202" max="2202" width="8.5546875" bestFit="1" customWidth="1"/>
    <col min="2203" max="2203" width="7.5546875" bestFit="1" customWidth="1"/>
    <col min="2204" max="2204" width="8.5546875" bestFit="1" customWidth="1"/>
    <col min="2205" max="2205" width="7.5546875" bestFit="1" customWidth="1"/>
    <col min="2206" max="2206" width="9.5546875" bestFit="1" customWidth="1"/>
    <col min="2207" max="2207" width="18.77734375" bestFit="1" customWidth="1"/>
    <col min="2208" max="2208" width="9.5546875" bestFit="1" customWidth="1"/>
    <col min="2209" max="2210" width="8.5546875" bestFit="1" customWidth="1"/>
    <col min="2211" max="2214" width="7.5546875" bestFit="1" customWidth="1"/>
    <col min="2215" max="2215" width="6.5546875" bestFit="1" customWidth="1"/>
    <col min="2216" max="2217" width="8.5546875" bestFit="1" customWidth="1"/>
    <col min="2218" max="2218" width="18.77734375" bestFit="1" customWidth="1"/>
    <col min="2219" max="2221" width="9.5546875" bestFit="1" customWidth="1"/>
    <col min="2222" max="2222" width="18.77734375" bestFit="1" customWidth="1"/>
    <col min="2223" max="2224" width="9.5546875" bestFit="1" customWidth="1"/>
    <col min="2225" max="2225" width="8.5546875" bestFit="1" customWidth="1"/>
    <col min="2226" max="2226" width="9.5546875" bestFit="1" customWidth="1"/>
    <col min="2227" max="2228" width="8.5546875" bestFit="1" customWidth="1"/>
    <col min="2229" max="2229" width="18.77734375" bestFit="1" customWidth="1"/>
    <col min="2230" max="2230" width="7.5546875" bestFit="1" customWidth="1"/>
    <col min="2231" max="2231" width="9.5546875" bestFit="1" customWidth="1"/>
    <col min="2232" max="2232" width="7.5546875" bestFit="1" customWidth="1"/>
    <col min="2233" max="2233" width="8.5546875" bestFit="1" customWidth="1"/>
    <col min="2234" max="2234" width="9.5546875" bestFit="1" customWidth="1"/>
    <col min="2235" max="2236" width="7.5546875" bestFit="1" customWidth="1"/>
    <col min="2237" max="2237" width="8.5546875" bestFit="1" customWidth="1"/>
    <col min="2238" max="2238" width="18.77734375" bestFit="1" customWidth="1"/>
    <col min="2239" max="2239" width="8.5546875" bestFit="1" customWidth="1"/>
    <col min="2240" max="2240" width="9.5546875" bestFit="1" customWidth="1"/>
    <col min="2241" max="2241" width="8.5546875" bestFit="1" customWidth="1"/>
    <col min="2242" max="2242" width="18.77734375" bestFit="1" customWidth="1"/>
    <col min="2243" max="2243" width="8.5546875" bestFit="1" customWidth="1"/>
    <col min="2244" max="2244" width="18.77734375" bestFit="1" customWidth="1"/>
    <col min="2245" max="2248" width="8.5546875" bestFit="1" customWidth="1"/>
    <col min="2249" max="2250" width="18.77734375" bestFit="1" customWidth="1"/>
    <col min="2251" max="2251" width="8.5546875" bestFit="1" customWidth="1"/>
    <col min="2252" max="2252" width="9.5546875" bestFit="1" customWidth="1"/>
    <col min="2253" max="2254" width="8.5546875" bestFit="1" customWidth="1"/>
    <col min="2255" max="2255" width="9.5546875" bestFit="1" customWidth="1"/>
    <col min="2256" max="2258" width="8.5546875" bestFit="1" customWidth="1"/>
    <col min="2259" max="2259" width="18.77734375" bestFit="1" customWidth="1"/>
    <col min="2260" max="2262" width="9.5546875" bestFit="1" customWidth="1"/>
    <col min="2263" max="2263" width="7.5546875" bestFit="1" customWidth="1"/>
    <col min="2264" max="2264" width="9.5546875" bestFit="1" customWidth="1"/>
    <col min="2265" max="2266" width="6.5546875" bestFit="1" customWidth="1"/>
    <col min="2267" max="2270" width="8.5546875" bestFit="1" customWidth="1"/>
    <col min="2271" max="2271" width="7.5546875" bestFit="1" customWidth="1"/>
    <col min="2272" max="2273" width="9.5546875" bestFit="1" customWidth="1"/>
    <col min="2274" max="2274" width="18.77734375" bestFit="1" customWidth="1"/>
    <col min="2275" max="2276" width="8.5546875" bestFit="1" customWidth="1"/>
    <col min="2277" max="2277" width="18.77734375" bestFit="1" customWidth="1"/>
    <col min="2278" max="2278" width="7.5546875" bestFit="1" customWidth="1"/>
    <col min="2279" max="2279" width="18.77734375" bestFit="1" customWidth="1"/>
    <col min="2280" max="2281" width="9.5546875" bestFit="1" customWidth="1"/>
    <col min="2282" max="2282" width="18.77734375" bestFit="1" customWidth="1"/>
    <col min="2283" max="2283" width="10.5546875" bestFit="1" customWidth="1"/>
    <col min="2284" max="2284" width="18.77734375" bestFit="1" customWidth="1"/>
    <col min="2285" max="2285" width="6.5546875" bestFit="1" customWidth="1"/>
    <col min="2286" max="2286" width="9.5546875" bestFit="1" customWidth="1"/>
    <col min="2287" max="2287" width="8.5546875" bestFit="1" customWidth="1"/>
    <col min="2288" max="2288" width="7.5546875" bestFit="1" customWidth="1"/>
    <col min="2289" max="2289" width="9.5546875" bestFit="1" customWidth="1"/>
    <col min="2290" max="2292" width="18.77734375" bestFit="1" customWidth="1"/>
    <col min="2293" max="2293" width="8.5546875" bestFit="1" customWidth="1"/>
    <col min="2294" max="2295" width="18.77734375" bestFit="1" customWidth="1"/>
    <col min="2296" max="2296" width="7.5546875" bestFit="1" customWidth="1"/>
    <col min="2297" max="2298" width="18.77734375" bestFit="1" customWidth="1"/>
    <col min="2299" max="2299" width="9.5546875" bestFit="1" customWidth="1"/>
    <col min="2300" max="2300" width="18.77734375" bestFit="1" customWidth="1"/>
    <col min="2301" max="2302" width="8.5546875" bestFit="1" customWidth="1"/>
    <col min="2303" max="2303" width="10.5546875" bestFit="1" customWidth="1"/>
    <col min="2304" max="2304" width="8.5546875" bestFit="1" customWidth="1"/>
    <col min="2305" max="2305" width="18.77734375" bestFit="1" customWidth="1"/>
    <col min="2306" max="2306" width="8.5546875" bestFit="1" customWidth="1"/>
    <col min="2307" max="2307" width="7.5546875" bestFit="1" customWidth="1"/>
    <col min="2308" max="2308" width="18.77734375" bestFit="1" customWidth="1"/>
    <col min="2309" max="2309" width="9.5546875" bestFit="1" customWidth="1"/>
    <col min="2310" max="2310" width="8.5546875" bestFit="1" customWidth="1"/>
    <col min="2311" max="2312" width="18.77734375" bestFit="1" customWidth="1"/>
    <col min="2313" max="2314" width="8.5546875" bestFit="1" customWidth="1"/>
    <col min="2315" max="2318" width="9.5546875" bestFit="1" customWidth="1"/>
    <col min="2319" max="2319" width="8.5546875" bestFit="1" customWidth="1"/>
    <col min="2320" max="2320" width="18.77734375" bestFit="1" customWidth="1"/>
    <col min="2321" max="2321" width="8.5546875" bestFit="1" customWidth="1"/>
    <col min="2322" max="2322" width="10.5546875" bestFit="1" customWidth="1"/>
    <col min="2323" max="2324" width="7.5546875" bestFit="1" customWidth="1"/>
    <col min="2325" max="2328" width="8.5546875" bestFit="1" customWidth="1"/>
    <col min="2329" max="2331" width="18.77734375" bestFit="1" customWidth="1"/>
    <col min="2332" max="2332" width="17.77734375" bestFit="1" customWidth="1"/>
    <col min="2333" max="2334" width="8.5546875" bestFit="1" customWidth="1"/>
    <col min="2335" max="2335" width="6.5546875" bestFit="1" customWidth="1"/>
    <col min="2336" max="2336" width="18.77734375" bestFit="1" customWidth="1"/>
    <col min="2337" max="2337" width="9.5546875" bestFit="1" customWidth="1"/>
    <col min="2338" max="2338" width="8.5546875" bestFit="1" customWidth="1"/>
    <col min="2339" max="2339" width="7.5546875" bestFit="1" customWidth="1"/>
    <col min="2340" max="2340" width="8.5546875" bestFit="1" customWidth="1"/>
    <col min="2341" max="2341" width="9.5546875" bestFit="1" customWidth="1"/>
    <col min="2342" max="2342" width="18.77734375" bestFit="1" customWidth="1"/>
    <col min="2343" max="2343" width="7.5546875" bestFit="1" customWidth="1"/>
    <col min="2344" max="2344" width="18.77734375" bestFit="1" customWidth="1"/>
    <col min="2345" max="2345" width="8.5546875" bestFit="1" customWidth="1"/>
    <col min="2346" max="2346" width="18.77734375" bestFit="1" customWidth="1"/>
    <col min="2347" max="2347" width="7.5546875" bestFit="1" customWidth="1"/>
    <col min="2348" max="2350" width="8.5546875" bestFit="1" customWidth="1"/>
    <col min="2351" max="2351" width="9.5546875" bestFit="1" customWidth="1"/>
    <col min="2352" max="2353" width="8.5546875" bestFit="1" customWidth="1"/>
    <col min="2354" max="2354" width="10.5546875" bestFit="1" customWidth="1"/>
    <col min="2355" max="2355" width="8.5546875" bestFit="1" customWidth="1"/>
    <col min="2356" max="2357" width="7.5546875" bestFit="1" customWidth="1"/>
    <col min="2358" max="2359" width="8.5546875" bestFit="1" customWidth="1"/>
    <col min="2360" max="2361" width="7.5546875" bestFit="1" customWidth="1"/>
    <col min="2362" max="2363" width="8.5546875" bestFit="1" customWidth="1"/>
    <col min="2364" max="2364" width="10.5546875" bestFit="1" customWidth="1"/>
    <col min="2365" max="2365" width="18.77734375" bestFit="1" customWidth="1"/>
    <col min="2366" max="2368" width="8.5546875" bestFit="1" customWidth="1"/>
    <col min="2369" max="2369" width="9.5546875" bestFit="1" customWidth="1"/>
    <col min="2370" max="2370" width="18.77734375" bestFit="1" customWidth="1"/>
    <col min="2371" max="2371" width="8.5546875" bestFit="1" customWidth="1"/>
    <col min="2372" max="2372" width="9.5546875" bestFit="1" customWidth="1"/>
    <col min="2373" max="2374" width="18.77734375" bestFit="1" customWidth="1"/>
    <col min="2375" max="2375" width="7.5546875" bestFit="1" customWidth="1"/>
    <col min="2376" max="2378" width="9.5546875" bestFit="1" customWidth="1"/>
    <col min="2379" max="2380" width="7.5546875" bestFit="1" customWidth="1"/>
    <col min="2381" max="2381" width="9.5546875" bestFit="1" customWidth="1"/>
    <col min="2382" max="2382" width="8.5546875" bestFit="1" customWidth="1"/>
    <col min="2383" max="2383" width="9.5546875" bestFit="1" customWidth="1"/>
    <col min="2384" max="2384" width="18.77734375" bestFit="1" customWidth="1"/>
    <col min="2385" max="2385" width="9.5546875" bestFit="1" customWidth="1"/>
    <col min="2386" max="2386" width="8.5546875" bestFit="1" customWidth="1"/>
    <col min="2387" max="2387" width="9.5546875" bestFit="1" customWidth="1"/>
    <col min="2388" max="2390" width="18.77734375" bestFit="1" customWidth="1"/>
    <col min="2391" max="2391" width="8.5546875" bestFit="1" customWidth="1"/>
    <col min="2392" max="2393" width="18.77734375" bestFit="1" customWidth="1"/>
    <col min="2394" max="2394" width="8.5546875" bestFit="1" customWidth="1"/>
    <col min="2395" max="2397" width="18.77734375" bestFit="1" customWidth="1"/>
    <col min="2398" max="2400" width="8.5546875" bestFit="1" customWidth="1"/>
    <col min="2401" max="2401" width="7.5546875" bestFit="1" customWidth="1"/>
    <col min="2402" max="2402" width="9.5546875" bestFit="1" customWidth="1"/>
    <col min="2403" max="2403" width="7.5546875" bestFit="1" customWidth="1"/>
    <col min="2404" max="2405" width="8.5546875" bestFit="1" customWidth="1"/>
    <col min="2406" max="2406" width="7.5546875" bestFit="1" customWidth="1"/>
    <col min="2407" max="2407" width="8.5546875" bestFit="1" customWidth="1"/>
    <col min="2408" max="2408" width="18.77734375" bestFit="1" customWidth="1"/>
    <col min="2409" max="2409" width="8.5546875" bestFit="1" customWidth="1"/>
    <col min="2410" max="2410" width="9.5546875" bestFit="1" customWidth="1"/>
    <col min="2411" max="2411" width="18.77734375" bestFit="1" customWidth="1"/>
    <col min="2412" max="2412" width="8.5546875" bestFit="1" customWidth="1"/>
    <col min="2413" max="2414" width="9.5546875" bestFit="1" customWidth="1"/>
    <col min="2415" max="2415" width="8.5546875" bestFit="1" customWidth="1"/>
    <col min="2416" max="2416" width="9.5546875" bestFit="1" customWidth="1"/>
    <col min="2417" max="2417" width="18.77734375" bestFit="1" customWidth="1"/>
    <col min="2418" max="2418" width="9.5546875" bestFit="1" customWidth="1"/>
    <col min="2419" max="2419" width="7.5546875" bestFit="1" customWidth="1"/>
    <col min="2420" max="2420" width="10.5546875" bestFit="1" customWidth="1"/>
    <col min="2421" max="2423" width="8.5546875" bestFit="1" customWidth="1"/>
    <col min="2424" max="2424" width="18.77734375" bestFit="1" customWidth="1"/>
    <col min="2425" max="2425" width="8.5546875" bestFit="1" customWidth="1"/>
    <col min="2426" max="2426" width="18.77734375" bestFit="1" customWidth="1"/>
    <col min="2427" max="2427" width="7.5546875" bestFit="1" customWidth="1"/>
    <col min="2428" max="2428" width="8.5546875" bestFit="1" customWidth="1"/>
    <col min="2429" max="2429" width="9.5546875" bestFit="1" customWidth="1"/>
    <col min="2430" max="2430" width="6.5546875" bestFit="1" customWidth="1"/>
    <col min="2431" max="2431" width="18.77734375" bestFit="1" customWidth="1"/>
    <col min="2432" max="2432" width="8.5546875" bestFit="1" customWidth="1"/>
    <col min="2433" max="2433" width="18.77734375" bestFit="1" customWidth="1"/>
    <col min="2434" max="2436" width="8.5546875" bestFit="1" customWidth="1"/>
    <col min="2437" max="2438" width="18.77734375" bestFit="1" customWidth="1"/>
    <col min="2439" max="2442" width="8.5546875" bestFit="1" customWidth="1"/>
    <col min="2443" max="2444" width="18.77734375" bestFit="1" customWidth="1"/>
    <col min="2445" max="2445" width="10.5546875" bestFit="1" customWidth="1"/>
    <col min="2446" max="2447" width="18.77734375" bestFit="1" customWidth="1"/>
    <col min="2448" max="2449" width="8.5546875" bestFit="1" customWidth="1"/>
    <col min="2450" max="2451" width="7.5546875" bestFit="1" customWidth="1"/>
    <col min="2452" max="2452" width="9.5546875" bestFit="1" customWidth="1"/>
    <col min="2453" max="2453" width="18.77734375" bestFit="1" customWidth="1"/>
    <col min="2454" max="2454" width="8.5546875" bestFit="1" customWidth="1"/>
    <col min="2455" max="2455" width="18.77734375" bestFit="1" customWidth="1"/>
    <col min="2456" max="2456" width="9.5546875" bestFit="1" customWidth="1"/>
    <col min="2457" max="2458" width="7.5546875" bestFit="1" customWidth="1"/>
    <col min="2459" max="2459" width="8.5546875" bestFit="1" customWidth="1"/>
    <col min="2460" max="2460" width="7.5546875" bestFit="1" customWidth="1"/>
    <col min="2461" max="2461" width="9.5546875" bestFit="1" customWidth="1"/>
    <col min="2462" max="2462" width="18.77734375" bestFit="1" customWidth="1"/>
    <col min="2463" max="2464" width="8.5546875" bestFit="1" customWidth="1"/>
    <col min="2465" max="2465" width="7.5546875" bestFit="1" customWidth="1"/>
    <col min="2466" max="2468" width="8.5546875" bestFit="1" customWidth="1"/>
    <col min="2469" max="2469" width="18.77734375" bestFit="1" customWidth="1"/>
    <col min="2470" max="2470" width="9.5546875" bestFit="1" customWidth="1"/>
    <col min="2471" max="2471" width="8.5546875" bestFit="1" customWidth="1"/>
    <col min="2472" max="2472" width="7.5546875" bestFit="1" customWidth="1"/>
    <col min="2473" max="2473" width="18.77734375" bestFit="1" customWidth="1"/>
    <col min="2474" max="2474" width="8.5546875" bestFit="1" customWidth="1"/>
    <col min="2475" max="2475" width="10.5546875" bestFit="1" customWidth="1"/>
    <col min="2476" max="2476" width="8.5546875" bestFit="1" customWidth="1"/>
    <col min="2477" max="2477" width="18.77734375" bestFit="1" customWidth="1"/>
    <col min="2478" max="2478" width="8.5546875" bestFit="1" customWidth="1"/>
    <col min="2479" max="2479" width="6.5546875" bestFit="1" customWidth="1"/>
    <col min="2480" max="2480" width="8.5546875" bestFit="1" customWidth="1"/>
    <col min="2481" max="2481" width="18.77734375" bestFit="1" customWidth="1"/>
    <col min="2482" max="2483" width="8.5546875" bestFit="1" customWidth="1"/>
    <col min="2484" max="2484" width="9.5546875" bestFit="1" customWidth="1"/>
    <col min="2485" max="2486" width="18.77734375" bestFit="1" customWidth="1"/>
    <col min="2487" max="2488" width="8.5546875" bestFit="1" customWidth="1"/>
    <col min="2489" max="2490" width="18.77734375" bestFit="1" customWidth="1"/>
    <col min="2491" max="2491" width="8.5546875" bestFit="1" customWidth="1"/>
    <col min="2492" max="2492" width="6.5546875" bestFit="1" customWidth="1"/>
    <col min="2493" max="2493" width="10.5546875" bestFit="1" customWidth="1"/>
    <col min="2494" max="2494" width="9.5546875" bestFit="1" customWidth="1"/>
    <col min="2495" max="2495" width="18.77734375" bestFit="1" customWidth="1"/>
    <col min="2496" max="2496" width="10.5546875" bestFit="1" customWidth="1"/>
    <col min="2497" max="2497" width="9.5546875" bestFit="1" customWidth="1"/>
    <col min="2498" max="2498" width="8.5546875" bestFit="1" customWidth="1"/>
    <col min="2499" max="2499" width="9.5546875" bestFit="1" customWidth="1"/>
    <col min="2500" max="2500" width="18.77734375" bestFit="1" customWidth="1"/>
    <col min="2501" max="2501" width="9.5546875" bestFit="1" customWidth="1"/>
    <col min="2502" max="2503" width="18.77734375" bestFit="1" customWidth="1"/>
    <col min="2504" max="2504" width="7.5546875" bestFit="1" customWidth="1"/>
    <col min="2505" max="2505" width="8.5546875" bestFit="1" customWidth="1"/>
    <col min="2506" max="2507" width="18.77734375" bestFit="1" customWidth="1"/>
    <col min="2508" max="2508" width="8.5546875" bestFit="1" customWidth="1"/>
    <col min="2509" max="2509" width="9.5546875" bestFit="1" customWidth="1"/>
    <col min="2510" max="2510" width="7.5546875" bestFit="1" customWidth="1"/>
    <col min="2511" max="2511" width="8.5546875" bestFit="1" customWidth="1"/>
    <col min="2512" max="2512" width="17.77734375" bestFit="1" customWidth="1"/>
    <col min="2513" max="2513" width="18.77734375" bestFit="1" customWidth="1"/>
    <col min="2514" max="2514" width="6.5546875" bestFit="1" customWidth="1"/>
    <col min="2515" max="2515" width="7.5546875" bestFit="1" customWidth="1"/>
    <col min="2516" max="2516" width="18.77734375" bestFit="1" customWidth="1"/>
    <col min="2517" max="2518" width="8.5546875" bestFit="1" customWidth="1"/>
    <col min="2519" max="2519" width="5.5546875" bestFit="1" customWidth="1"/>
    <col min="2520" max="2522" width="9.5546875" bestFit="1" customWidth="1"/>
    <col min="2523" max="2523" width="7.5546875" bestFit="1" customWidth="1"/>
    <col min="2524" max="2525" width="8.5546875" bestFit="1" customWidth="1"/>
    <col min="2526" max="2526" width="7.5546875" bestFit="1" customWidth="1"/>
    <col min="2527" max="2527" width="8.5546875" bestFit="1" customWidth="1"/>
    <col min="2528" max="2528" width="7.5546875" bestFit="1" customWidth="1"/>
    <col min="2529" max="2530" width="9.5546875" bestFit="1" customWidth="1"/>
    <col min="2531" max="2533" width="8.5546875" bestFit="1" customWidth="1"/>
    <col min="2534" max="2534" width="7.5546875" bestFit="1" customWidth="1"/>
    <col min="2535" max="2535" width="8.5546875" bestFit="1" customWidth="1"/>
    <col min="2536" max="2536" width="7.5546875" bestFit="1" customWidth="1"/>
    <col min="2537" max="2540" width="8.5546875" bestFit="1" customWidth="1"/>
    <col min="2541" max="2541" width="9.5546875" bestFit="1" customWidth="1"/>
    <col min="2542" max="2543" width="8.5546875" bestFit="1" customWidth="1"/>
    <col min="2544" max="2544" width="18.77734375" bestFit="1" customWidth="1"/>
    <col min="2545" max="2545" width="7.5546875" bestFit="1" customWidth="1"/>
    <col min="2546" max="2547" width="18.77734375" bestFit="1" customWidth="1"/>
    <col min="2548" max="2549" width="7.5546875" bestFit="1" customWidth="1"/>
    <col min="2550" max="2550" width="9.5546875" bestFit="1" customWidth="1"/>
    <col min="2551" max="2553" width="8.5546875" bestFit="1" customWidth="1"/>
    <col min="2554" max="2554" width="9.5546875" bestFit="1" customWidth="1"/>
    <col min="2555" max="2555" width="18.77734375" bestFit="1" customWidth="1"/>
    <col min="2556" max="2556" width="7.5546875" bestFit="1" customWidth="1"/>
    <col min="2557" max="2559" width="18.77734375" bestFit="1" customWidth="1"/>
    <col min="2560" max="2560" width="8.5546875" bestFit="1" customWidth="1"/>
    <col min="2561" max="2561" width="7.5546875" bestFit="1" customWidth="1"/>
    <col min="2562" max="2562" width="18.77734375" bestFit="1" customWidth="1"/>
    <col min="2563" max="2563" width="9.5546875" bestFit="1" customWidth="1"/>
    <col min="2564" max="2565" width="18.77734375" bestFit="1" customWidth="1"/>
    <col min="2566" max="2567" width="8.5546875" bestFit="1" customWidth="1"/>
    <col min="2568" max="2568" width="18.77734375" bestFit="1" customWidth="1"/>
    <col min="2569" max="2569" width="6.5546875" bestFit="1" customWidth="1"/>
    <col min="2570" max="2570" width="18.77734375" bestFit="1" customWidth="1"/>
    <col min="2571" max="2571" width="8.5546875" bestFit="1" customWidth="1"/>
    <col min="2572" max="2572" width="18.77734375" bestFit="1" customWidth="1"/>
    <col min="2573" max="2574" width="9.5546875" bestFit="1" customWidth="1"/>
    <col min="2575" max="2575" width="8.5546875" bestFit="1" customWidth="1"/>
    <col min="2576" max="2576" width="7.5546875" bestFit="1" customWidth="1"/>
    <col min="2577" max="2579" width="8.5546875" bestFit="1" customWidth="1"/>
    <col min="2580" max="2580" width="7.5546875" bestFit="1" customWidth="1"/>
    <col min="2581" max="2581" width="9.5546875" bestFit="1" customWidth="1"/>
    <col min="2582" max="2582" width="18.77734375" bestFit="1" customWidth="1"/>
    <col min="2583" max="2583" width="7.5546875" bestFit="1" customWidth="1"/>
    <col min="2584" max="2585" width="18.77734375" bestFit="1" customWidth="1"/>
    <col min="2586" max="2587" width="8.5546875" bestFit="1" customWidth="1"/>
    <col min="2588" max="2588" width="17.77734375" bestFit="1" customWidth="1"/>
    <col min="2589" max="2589" width="7.5546875" bestFit="1" customWidth="1"/>
    <col min="2590" max="2592" width="8.5546875" bestFit="1" customWidth="1"/>
    <col min="2593" max="2593" width="7.5546875" bestFit="1" customWidth="1"/>
    <col min="2594" max="2594" width="18.77734375" bestFit="1" customWidth="1"/>
    <col min="2595" max="2595" width="9.5546875" bestFit="1" customWidth="1"/>
    <col min="2596" max="2596" width="18.77734375" bestFit="1" customWidth="1"/>
    <col min="2597" max="2597" width="7.5546875" bestFit="1" customWidth="1"/>
    <col min="2598" max="2598" width="18.77734375" bestFit="1" customWidth="1"/>
    <col min="2599" max="2599" width="9.5546875" bestFit="1" customWidth="1"/>
    <col min="2600" max="2600" width="7.5546875" bestFit="1" customWidth="1"/>
    <col min="2601" max="2601" width="9.5546875" bestFit="1" customWidth="1"/>
    <col min="2602" max="2602" width="8.5546875" bestFit="1" customWidth="1"/>
    <col min="2603" max="2603" width="18.77734375" bestFit="1" customWidth="1"/>
    <col min="2604" max="2605" width="10.5546875" bestFit="1" customWidth="1"/>
    <col min="2606" max="2606" width="7.5546875" bestFit="1" customWidth="1"/>
    <col min="2607" max="2609" width="18.77734375" bestFit="1" customWidth="1"/>
    <col min="2610" max="2610" width="7.5546875" bestFit="1" customWidth="1"/>
    <col min="2611" max="2612" width="9.5546875" bestFit="1" customWidth="1"/>
    <col min="2613" max="2613" width="8.5546875" bestFit="1" customWidth="1"/>
    <col min="2614" max="2615" width="7.5546875" bestFit="1" customWidth="1"/>
    <col min="2616" max="2616" width="8.5546875" bestFit="1" customWidth="1"/>
    <col min="2617" max="2618" width="7.5546875" bestFit="1" customWidth="1"/>
    <col min="2619" max="2619" width="8.5546875" bestFit="1" customWidth="1"/>
    <col min="2620" max="2620" width="10.5546875" bestFit="1" customWidth="1"/>
    <col min="2621" max="2621" width="9.5546875" bestFit="1" customWidth="1"/>
    <col min="2622" max="2622" width="7.5546875" bestFit="1" customWidth="1"/>
    <col min="2623" max="2623" width="18.77734375" bestFit="1" customWidth="1"/>
    <col min="2624" max="2624" width="9.5546875" bestFit="1" customWidth="1"/>
    <col min="2625" max="2625" width="17.77734375" bestFit="1" customWidth="1"/>
    <col min="2626" max="2626" width="8.5546875" bestFit="1" customWidth="1"/>
    <col min="2627" max="2627" width="9.5546875" bestFit="1" customWidth="1"/>
    <col min="2628" max="2628" width="8.5546875" bestFit="1" customWidth="1"/>
    <col min="2629" max="2629" width="7.5546875" bestFit="1" customWidth="1"/>
    <col min="2630" max="2630" width="8.5546875" bestFit="1" customWidth="1"/>
    <col min="2631" max="2632" width="7.5546875" bestFit="1" customWidth="1"/>
    <col min="2633" max="2633" width="8.5546875" bestFit="1" customWidth="1"/>
    <col min="2634" max="2634" width="7.5546875" bestFit="1" customWidth="1"/>
    <col min="2635" max="2635" width="9.5546875" bestFit="1" customWidth="1"/>
    <col min="2636" max="2636" width="7.5546875" bestFit="1" customWidth="1"/>
    <col min="2637" max="2637" width="6" bestFit="1" customWidth="1"/>
    <col min="2638" max="2638" width="9.5546875" bestFit="1" customWidth="1"/>
    <col min="2639" max="2642" width="8.5546875" bestFit="1" customWidth="1"/>
    <col min="2643" max="2643" width="9.5546875" bestFit="1" customWidth="1"/>
    <col min="2644" max="2644" width="8.5546875" bestFit="1" customWidth="1"/>
    <col min="2645" max="2645" width="10.5546875" bestFit="1" customWidth="1"/>
    <col min="2646" max="2646" width="18.77734375" bestFit="1" customWidth="1"/>
    <col min="2647" max="2647" width="7.5546875" bestFit="1" customWidth="1"/>
    <col min="2648" max="2648" width="8.5546875" bestFit="1" customWidth="1"/>
    <col min="2649" max="2649" width="18.77734375" bestFit="1" customWidth="1"/>
    <col min="2650" max="2650" width="7.5546875" bestFit="1" customWidth="1"/>
    <col min="2651" max="2651" width="18.77734375" bestFit="1" customWidth="1"/>
    <col min="2652" max="2652" width="9.5546875" bestFit="1" customWidth="1"/>
    <col min="2653" max="2653" width="18.77734375" bestFit="1" customWidth="1"/>
    <col min="2654" max="2654" width="9.5546875" bestFit="1" customWidth="1"/>
    <col min="2655" max="2655" width="7.5546875" bestFit="1" customWidth="1"/>
    <col min="2656" max="2657" width="8.5546875" bestFit="1" customWidth="1"/>
    <col min="2658" max="2659" width="18.77734375" bestFit="1" customWidth="1"/>
    <col min="2660" max="2660" width="5" bestFit="1" customWidth="1"/>
    <col min="2661" max="2661" width="7.5546875" bestFit="1" customWidth="1"/>
    <col min="2662" max="2662" width="6.5546875" bestFit="1" customWidth="1"/>
    <col min="2663" max="2663" width="8.5546875" bestFit="1" customWidth="1"/>
    <col min="2664" max="2664" width="10.5546875" bestFit="1" customWidth="1"/>
    <col min="2665" max="2666" width="18.77734375" bestFit="1" customWidth="1"/>
    <col min="2667" max="2669" width="9.5546875" bestFit="1" customWidth="1"/>
    <col min="2670" max="2670" width="18.77734375" bestFit="1" customWidth="1"/>
    <col min="2671" max="2671" width="9.5546875" bestFit="1" customWidth="1"/>
    <col min="2672" max="2672" width="8.5546875" bestFit="1" customWidth="1"/>
    <col min="2673" max="2673" width="18.77734375" bestFit="1" customWidth="1"/>
    <col min="2674" max="2674" width="8.5546875" bestFit="1" customWidth="1"/>
    <col min="2675" max="2675" width="9.5546875" bestFit="1" customWidth="1"/>
    <col min="2676" max="2676" width="7.5546875" bestFit="1" customWidth="1"/>
    <col min="2677" max="2677" width="18.77734375" bestFit="1" customWidth="1"/>
    <col min="2678" max="2679" width="9.5546875" bestFit="1" customWidth="1"/>
    <col min="2680" max="2680" width="7.5546875" bestFit="1" customWidth="1"/>
    <col min="2681" max="2681" width="9.5546875" bestFit="1" customWidth="1"/>
    <col min="2682" max="2682" width="18.77734375" bestFit="1" customWidth="1"/>
    <col min="2683" max="2684" width="8.5546875" bestFit="1" customWidth="1"/>
    <col min="2685" max="2685" width="18.77734375" bestFit="1" customWidth="1"/>
    <col min="2686" max="2687" width="8.5546875" bestFit="1" customWidth="1"/>
    <col min="2688" max="2689" width="18.77734375" bestFit="1" customWidth="1"/>
    <col min="2690" max="2690" width="9.5546875" bestFit="1" customWidth="1"/>
    <col min="2691" max="2691" width="18.77734375" bestFit="1" customWidth="1"/>
    <col min="2692" max="2692" width="8.5546875" bestFit="1" customWidth="1"/>
    <col min="2693" max="2693" width="18.77734375" bestFit="1" customWidth="1"/>
    <col min="2694" max="2694" width="8.5546875" bestFit="1" customWidth="1"/>
    <col min="2695" max="2695" width="18.77734375" bestFit="1" customWidth="1"/>
    <col min="2696" max="2696" width="9.5546875" bestFit="1" customWidth="1"/>
    <col min="2697" max="2697" width="8.5546875" bestFit="1" customWidth="1"/>
    <col min="2698" max="2698" width="9.5546875" bestFit="1" customWidth="1"/>
    <col min="2699" max="2699" width="8.5546875" bestFit="1" customWidth="1"/>
    <col min="2700" max="2700" width="17.77734375" bestFit="1" customWidth="1"/>
    <col min="2701" max="2701" width="8.5546875" bestFit="1" customWidth="1"/>
    <col min="2702" max="2702" width="7.5546875" bestFit="1" customWidth="1"/>
    <col min="2703" max="2703" width="10.5546875" bestFit="1" customWidth="1"/>
    <col min="2704" max="2704" width="18.77734375" bestFit="1" customWidth="1"/>
    <col min="2705" max="2705" width="8.5546875" bestFit="1" customWidth="1"/>
    <col min="2706" max="2706" width="7.5546875" bestFit="1" customWidth="1"/>
    <col min="2707" max="2707" width="8.5546875" bestFit="1" customWidth="1"/>
    <col min="2708" max="2709" width="10.5546875" bestFit="1" customWidth="1"/>
    <col min="2710" max="2710" width="18.77734375" bestFit="1" customWidth="1"/>
    <col min="2711" max="2711" width="8.5546875" bestFit="1" customWidth="1"/>
    <col min="2712" max="2712" width="18.77734375" bestFit="1" customWidth="1"/>
    <col min="2713" max="2713" width="10.5546875" bestFit="1" customWidth="1"/>
    <col min="2714" max="2715" width="18.77734375" bestFit="1" customWidth="1"/>
    <col min="2716" max="2716" width="7.5546875" bestFit="1" customWidth="1"/>
    <col min="2717" max="2718" width="18.77734375" bestFit="1" customWidth="1"/>
    <col min="2719" max="2720" width="8.5546875" bestFit="1" customWidth="1"/>
    <col min="2721" max="2721" width="17.77734375" bestFit="1" customWidth="1"/>
    <col min="2722" max="2722" width="8.5546875" bestFit="1" customWidth="1"/>
    <col min="2723" max="2723" width="9.5546875" bestFit="1" customWidth="1"/>
    <col min="2724" max="2724" width="8.5546875" bestFit="1" customWidth="1"/>
    <col min="2725" max="2726" width="9.5546875" bestFit="1" customWidth="1"/>
    <col min="2727" max="2728" width="8.5546875" bestFit="1" customWidth="1"/>
    <col min="2729" max="2729" width="7.5546875" bestFit="1" customWidth="1"/>
    <col min="2730" max="2731" width="8.5546875" bestFit="1" customWidth="1"/>
    <col min="2732" max="2732" width="9.5546875" bestFit="1" customWidth="1"/>
    <col min="2733" max="2733" width="18.77734375" bestFit="1" customWidth="1"/>
    <col min="2734" max="2734" width="7.5546875" bestFit="1" customWidth="1"/>
    <col min="2735" max="2735" width="8.5546875" bestFit="1" customWidth="1"/>
    <col min="2736" max="2736" width="18.77734375" bestFit="1" customWidth="1"/>
    <col min="2737" max="2738" width="8.5546875" bestFit="1" customWidth="1"/>
    <col min="2739" max="2739" width="18.77734375" bestFit="1" customWidth="1"/>
    <col min="2740" max="2740" width="9.5546875" bestFit="1" customWidth="1"/>
    <col min="2741" max="2741" width="8.5546875" bestFit="1" customWidth="1"/>
    <col min="2742" max="2743" width="9.5546875" bestFit="1" customWidth="1"/>
    <col min="2744" max="2744" width="7.5546875" bestFit="1" customWidth="1"/>
    <col min="2745" max="2745" width="18.77734375" bestFit="1" customWidth="1"/>
    <col min="2746" max="2747" width="8.5546875" bestFit="1" customWidth="1"/>
    <col min="2748" max="2748" width="7.5546875" bestFit="1" customWidth="1"/>
    <col min="2749" max="2749" width="9.5546875" bestFit="1" customWidth="1"/>
    <col min="2750" max="2750" width="18.77734375" bestFit="1" customWidth="1"/>
    <col min="2751" max="2751" width="9.5546875" bestFit="1" customWidth="1"/>
    <col min="2752" max="2752" width="18.77734375" bestFit="1" customWidth="1"/>
    <col min="2753" max="2753" width="17.77734375" bestFit="1" customWidth="1"/>
    <col min="2754" max="2754" width="7.5546875" bestFit="1" customWidth="1"/>
    <col min="2755" max="2755" width="18.77734375" bestFit="1" customWidth="1"/>
    <col min="2756" max="2757" width="8.5546875" bestFit="1" customWidth="1"/>
    <col min="2758" max="2758" width="10.5546875" bestFit="1" customWidth="1"/>
    <col min="2759" max="2759" width="8.5546875" bestFit="1" customWidth="1"/>
    <col min="2760" max="2760" width="7.5546875" bestFit="1" customWidth="1"/>
    <col min="2761" max="2761" width="18.77734375" bestFit="1" customWidth="1"/>
    <col min="2762" max="2763" width="9.5546875" bestFit="1" customWidth="1"/>
    <col min="2764" max="2764" width="18.77734375" bestFit="1" customWidth="1"/>
    <col min="2765" max="2765" width="7.5546875" bestFit="1" customWidth="1"/>
    <col min="2766" max="2766" width="6.5546875" bestFit="1" customWidth="1"/>
    <col min="2767" max="2767" width="9.5546875" bestFit="1" customWidth="1"/>
    <col min="2768" max="2768" width="7.5546875" bestFit="1" customWidth="1"/>
    <col min="2769" max="2769" width="6.5546875" bestFit="1" customWidth="1"/>
    <col min="2770" max="2770" width="8.5546875" bestFit="1" customWidth="1"/>
    <col min="2771" max="2771" width="10.5546875" bestFit="1" customWidth="1"/>
    <col min="2772" max="2772" width="8.5546875" bestFit="1" customWidth="1"/>
    <col min="2773" max="2774" width="18.77734375" bestFit="1" customWidth="1"/>
    <col min="2775" max="2776" width="8.5546875" bestFit="1" customWidth="1"/>
    <col min="2777" max="2777" width="17.77734375" bestFit="1" customWidth="1"/>
    <col min="2778" max="2778" width="18.77734375" bestFit="1" customWidth="1"/>
    <col min="2779" max="2779" width="8.5546875" bestFit="1" customWidth="1"/>
    <col min="2780" max="2780" width="7.5546875" bestFit="1" customWidth="1"/>
    <col min="2781" max="2782" width="8.5546875" bestFit="1" customWidth="1"/>
    <col min="2783" max="2783" width="18.77734375" bestFit="1" customWidth="1"/>
    <col min="2784" max="2786" width="9.5546875" bestFit="1" customWidth="1"/>
    <col min="2787" max="2789" width="8.5546875" bestFit="1" customWidth="1"/>
    <col min="2790" max="2790" width="7.5546875" bestFit="1" customWidth="1"/>
    <col min="2791" max="2791" width="18.77734375" bestFit="1" customWidth="1"/>
    <col min="2792" max="2793" width="8.5546875" bestFit="1" customWidth="1"/>
    <col min="2794" max="2794" width="9.5546875" bestFit="1" customWidth="1"/>
    <col min="2795" max="2795" width="18.77734375" bestFit="1" customWidth="1"/>
    <col min="2796" max="2797" width="8.5546875" bestFit="1" customWidth="1"/>
    <col min="2798" max="2798" width="18.77734375" bestFit="1" customWidth="1"/>
    <col min="2799" max="2799" width="9.5546875" bestFit="1" customWidth="1"/>
    <col min="2800" max="2800" width="7.5546875" bestFit="1" customWidth="1"/>
    <col min="2801" max="2801" width="8.5546875" bestFit="1" customWidth="1"/>
    <col min="2802" max="2803" width="18.77734375" bestFit="1" customWidth="1"/>
    <col min="2804" max="2804" width="8.5546875" bestFit="1" customWidth="1"/>
    <col min="2805" max="2805" width="18.77734375" bestFit="1" customWidth="1"/>
    <col min="2806" max="2806" width="7.5546875" bestFit="1" customWidth="1"/>
    <col min="2807" max="2807" width="5.5546875" bestFit="1" customWidth="1"/>
    <col min="2808" max="2808" width="7.5546875" bestFit="1" customWidth="1"/>
    <col min="2809" max="2809" width="18.77734375" bestFit="1" customWidth="1"/>
    <col min="2810" max="2810" width="8.5546875" bestFit="1" customWidth="1"/>
    <col min="2811" max="2811" width="18.77734375" bestFit="1" customWidth="1"/>
    <col min="2812" max="2812" width="8.5546875" bestFit="1" customWidth="1"/>
    <col min="2813" max="2813" width="9.5546875" bestFit="1" customWidth="1"/>
    <col min="2814" max="2817" width="8.5546875" bestFit="1" customWidth="1"/>
    <col min="2818" max="2818" width="18.77734375" bestFit="1" customWidth="1"/>
    <col min="2819" max="2820" width="7.5546875" bestFit="1" customWidth="1"/>
    <col min="2821" max="2821" width="8.5546875" bestFit="1" customWidth="1"/>
    <col min="2822" max="2824" width="9.5546875" bestFit="1" customWidth="1"/>
    <col min="2825" max="2825" width="8.5546875" bestFit="1" customWidth="1"/>
    <col min="2826" max="2826" width="10.5546875" bestFit="1" customWidth="1"/>
    <col min="2827" max="2827" width="9.5546875" bestFit="1" customWidth="1"/>
    <col min="2828" max="2828" width="7.5546875" bestFit="1" customWidth="1"/>
    <col min="2829" max="2829" width="10.5546875" bestFit="1" customWidth="1"/>
    <col min="2830" max="2831" width="18.77734375" bestFit="1" customWidth="1"/>
    <col min="2832" max="2834" width="9.5546875" bestFit="1" customWidth="1"/>
    <col min="2835" max="2835" width="18.77734375" bestFit="1" customWidth="1"/>
    <col min="2836" max="2837" width="8.5546875" bestFit="1" customWidth="1"/>
    <col min="2838" max="2838" width="18.77734375" bestFit="1" customWidth="1"/>
    <col min="2839" max="2839" width="8.5546875" bestFit="1" customWidth="1"/>
    <col min="2840" max="2840" width="18.77734375" bestFit="1" customWidth="1"/>
    <col min="2841" max="2842" width="9.5546875" bestFit="1" customWidth="1"/>
    <col min="2843" max="2843" width="8.5546875" bestFit="1" customWidth="1"/>
    <col min="2844" max="2844" width="7.5546875" bestFit="1" customWidth="1"/>
    <col min="2845" max="2845" width="6.5546875" bestFit="1" customWidth="1"/>
    <col min="2846" max="2846" width="7.5546875" bestFit="1" customWidth="1"/>
    <col min="2847" max="2847" width="18.77734375" bestFit="1" customWidth="1"/>
    <col min="2848" max="2848" width="8.5546875" bestFit="1" customWidth="1"/>
    <col min="2849" max="2849" width="9.5546875" bestFit="1" customWidth="1"/>
    <col min="2850" max="2850" width="7.5546875" bestFit="1" customWidth="1"/>
    <col min="2851" max="2851" width="18.77734375" bestFit="1" customWidth="1"/>
    <col min="2852" max="2853" width="9.5546875" bestFit="1" customWidth="1"/>
    <col min="2854" max="2855" width="8.5546875" bestFit="1" customWidth="1"/>
    <col min="2856" max="2856" width="7.5546875" bestFit="1" customWidth="1"/>
    <col min="2857" max="2858" width="8.5546875" bestFit="1" customWidth="1"/>
    <col min="2859" max="2859" width="18.77734375" bestFit="1" customWidth="1"/>
    <col min="2860" max="2860" width="8.5546875" bestFit="1" customWidth="1"/>
    <col min="2861" max="2861" width="18.77734375" bestFit="1" customWidth="1"/>
    <col min="2862" max="2862" width="9.5546875" bestFit="1" customWidth="1"/>
    <col min="2863" max="2863" width="6.5546875" bestFit="1" customWidth="1"/>
    <col min="2864" max="2864" width="7.5546875" bestFit="1" customWidth="1"/>
    <col min="2865" max="2866" width="9.5546875" bestFit="1" customWidth="1"/>
    <col min="2867" max="2867" width="18.77734375" bestFit="1" customWidth="1"/>
    <col min="2868" max="2868" width="9.5546875" bestFit="1" customWidth="1"/>
    <col min="2869" max="2871" width="7.5546875" bestFit="1" customWidth="1"/>
    <col min="2872" max="2872" width="8.5546875" bestFit="1" customWidth="1"/>
    <col min="2873" max="2873" width="9.5546875" bestFit="1" customWidth="1"/>
    <col min="2874" max="2875" width="8.5546875" bestFit="1" customWidth="1"/>
    <col min="2876" max="2876" width="7.5546875" bestFit="1" customWidth="1"/>
    <col min="2877" max="2877" width="8.5546875" bestFit="1" customWidth="1"/>
    <col min="2878" max="2878" width="18.77734375" bestFit="1" customWidth="1"/>
    <col min="2879" max="2879" width="8.5546875" bestFit="1" customWidth="1"/>
    <col min="2880" max="2880" width="7.5546875" bestFit="1" customWidth="1"/>
    <col min="2881" max="2881" width="8.5546875" bestFit="1" customWidth="1"/>
    <col min="2882" max="2884" width="18.77734375" bestFit="1" customWidth="1"/>
    <col min="2885" max="2885" width="7.5546875" bestFit="1" customWidth="1"/>
    <col min="2886" max="2886" width="8.5546875" bestFit="1" customWidth="1"/>
    <col min="2887" max="2887" width="18.77734375" bestFit="1" customWidth="1"/>
    <col min="2888" max="2888" width="7.5546875" bestFit="1" customWidth="1"/>
    <col min="2889" max="2890" width="8.5546875" bestFit="1" customWidth="1"/>
    <col min="2891" max="2891" width="9.5546875" bestFit="1" customWidth="1"/>
    <col min="2892" max="2894" width="18.77734375" bestFit="1" customWidth="1"/>
    <col min="2895" max="2895" width="8.5546875" bestFit="1" customWidth="1"/>
    <col min="2896" max="2896" width="7.5546875" bestFit="1" customWidth="1"/>
    <col min="2897" max="2898" width="9.5546875" bestFit="1" customWidth="1"/>
    <col min="2899" max="2899" width="10.5546875" bestFit="1" customWidth="1"/>
    <col min="2900" max="2900" width="8.5546875" bestFit="1" customWidth="1"/>
    <col min="2901" max="2901" width="7.5546875" bestFit="1" customWidth="1"/>
    <col min="2902" max="2902" width="18.77734375" bestFit="1" customWidth="1"/>
    <col min="2903" max="2904" width="7.5546875" bestFit="1" customWidth="1"/>
    <col min="2905" max="2905" width="8.5546875" bestFit="1" customWidth="1"/>
    <col min="2906" max="2906" width="9.5546875" bestFit="1" customWidth="1"/>
    <col min="2907" max="2907" width="8.5546875" bestFit="1" customWidth="1"/>
    <col min="2908" max="2908" width="9.5546875" bestFit="1" customWidth="1"/>
    <col min="2909" max="2910" width="7.5546875" bestFit="1" customWidth="1"/>
    <col min="2911" max="2911" width="9.5546875" bestFit="1" customWidth="1"/>
    <col min="2912" max="2912" width="18.77734375" bestFit="1" customWidth="1"/>
    <col min="2913" max="2915" width="7.5546875" bestFit="1" customWidth="1"/>
    <col min="2916" max="2916" width="18.77734375" bestFit="1" customWidth="1"/>
    <col min="2917" max="2917" width="8.5546875" bestFit="1" customWidth="1"/>
    <col min="2918" max="2918" width="18.77734375" bestFit="1" customWidth="1"/>
    <col min="2919" max="2919" width="7.5546875" bestFit="1" customWidth="1"/>
    <col min="2920" max="2920" width="8.5546875" bestFit="1" customWidth="1"/>
    <col min="2921" max="2921" width="18.77734375" bestFit="1" customWidth="1"/>
    <col min="2922" max="2922" width="9.5546875" bestFit="1" customWidth="1"/>
    <col min="2923" max="2923" width="8.5546875" bestFit="1" customWidth="1"/>
    <col min="2924" max="2924" width="9.5546875" bestFit="1" customWidth="1"/>
    <col min="2925" max="2926" width="7.5546875" bestFit="1" customWidth="1"/>
    <col min="2927" max="2927" width="9.5546875" bestFit="1" customWidth="1"/>
    <col min="2928" max="2928" width="8.5546875" bestFit="1" customWidth="1"/>
    <col min="2929" max="2929" width="9.5546875" bestFit="1" customWidth="1"/>
    <col min="2930" max="2930" width="6.5546875" bestFit="1" customWidth="1"/>
    <col min="2931" max="2931" width="8.5546875" bestFit="1" customWidth="1"/>
    <col min="2932" max="2932" width="7.5546875" bestFit="1" customWidth="1"/>
    <col min="2933" max="2933" width="18.77734375" bestFit="1" customWidth="1"/>
    <col min="2934" max="2934" width="6.5546875" bestFit="1" customWidth="1"/>
    <col min="2935" max="2935" width="9.5546875" bestFit="1" customWidth="1"/>
    <col min="2936" max="2936" width="7.5546875" bestFit="1" customWidth="1"/>
    <col min="2937" max="2937" width="18.77734375" bestFit="1" customWidth="1"/>
    <col min="2938" max="2938" width="7.5546875" bestFit="1" customWidth="1"/>
    <col min="2939" max="2939" width="10.5546875" bestFit="1" customWidth="1"/>
    <col min="2940" max="2940" width="9.5546875" bestFit="1" customWidth="1"/>
    <col min="2941" max="2941" width="18.77734375" bestFit="1" customWidth="1"/>
    <col min="2942" max="2943" width="7.5546875" bestFit="1" customWidth="1"/>
    <col min="2944" max="2944" width="8.5546875" bestFit="1" customWidth="1"/>
    <col min="2945" max="2945" width="7.5546875" bestFit="1" customWidth="1"/>
    <col min="2946" max="2946" width="6.5546875" bestFit="1" customWidth="1"/>
    <col min="2947" max="2947" width="9.5546875" bestFit="1" customWidth="1"/>
    <col min="2948" max="2948" width="18.77734375" bestFit="1" customWidth="1"/>
    <col min="2949" max="2949" width="6.5546875" bestFit="1" customWidth="1"/>
    <col min="2950" max="2950" width="18.77734375" bestFit="1" customWidth="1"/>
    <col min="2951" max="2953" width="8.5546875" bestFit="1" customWidth="1"/>
    <col min="2954" max="2954" width="18.77734375" bestFit="1" customWidth="1"/>
    <col min="2955" max="2957" width="8.5546875" bestFit="1" customWidth="1"/>
    <col min="2958" max="2958" width="7.5546875" bestFit="1" customWidth="1"/>
    <col min="2959" max="2959" width="9.5546875" bestFit="1" customWidth="1"/>
    <col min="2960" max="2962" width="7.5546875" bestFit="1" customWidth="1"/>
    <col min="2963" max="2963" width="8.5546875" bestFit="1" customWidth="1"/>
    <col min="2964" max="2964" width="7.5546875" bestFit="1" customWidth="1"/>
    <col min="2965" max="2966" width="8.5546875" bestFit="1" customWidth="1"/>
    <col min="2967" max="2967" width="9.5546875" bestFit="1" customWidth="1"/>
    <col min="2968" max="2971" width="7.5546875" bestFit="1" customWidth="1"/>
    <col min="2972" max="2972" width="8.5546875" bestFit="1" customWidth="1"/>
    <col min="2973" max="2973" width="7.5546875" bestFit="1" customWidth="1"/>
    <col min="2974" max="2974" width="18.77734375" bestFit="1" customWidth="1"/>
    <col min="2975" max="2975" width="9.5546875" bestFit="1" customWidth="1"/>
    <col min="2976" max="2976" width="8.5546875" bestFit="1" customWidth="1"/>
    <col min="2977" max="2977" width="7.5546875" bestFit="1" customWidth="1"/>
    <col min="2978" max="2978" width="10.5546875" bestFit="1" customWidth="1"/>
    <col min="2979" max="2979" width="18.77734375" bestFit="1" customWidth="1"/>
    <col min="2980" max="2980" width="9.5546875" bestFit="1" customWidth="1"/>
    <col min="2981" max="2982" width="8.5546875" bestFit="1" customWidth="1"/>
    <col min="2983" max="2983" width="9.5546875" bestFit="1" customWidth="1"/>
    <col min="2984" max="2984" width="7.5546875" bestFit="1" customWidth="1"/>
    <col min="2985" max="2985" width="8.5546875" bestFit="1" customWidth="1"/>
    <col min="2986" max="2986" width="9.5546875" bestFit="1" customWidth="1"/>
    <col min="2987" max="2987" width="18.77734375" bestFit="1" customWidth="1"/>
    <col min="2988" max="2988" width="7.5546875" bestFit="1" customWidth="1"/>
    <col min="2989" max="2990" width="8.5546875" bestFit="1" customWidth="1"/>
    <col min="2991" max="2992" width="9.5546875" bestFit="1" customWidth="1"/>
    <col min="2993" max="2994" width="8.5546875" bestFit="1" customWidth="1"/>
    <col min="2995" max="2997" width="7.5546875" bestFit="1" customWidth="1"/>
    <col min="2998" max="2998" width="8.5546875" bestFit="1" customWidth="1"/>
    <col min="2999" max="2999" width="7.5546875" bestFit="1" customWidth="1"/>
    <col min="3000" max="3000" width="9.5546875" bestFit="1" customWidth="1"/>
    <col min="3001" max="3001" width="7.5546875" bestFit="1" customWidth="1"/>
    <col min="3002" max="3002" width="8.5546875" bestFit="1" customWidth="1"/>
    <col min="3003" max="3003" width="7.5546875" bestFit="1" customWidth="1"/>
    <col min="3004" max="3004" width="6.5546875" bestFit="1" customWidth="1"/>
    <col min="3005" max="3005" width="7.5546875" bestFit="1" customWidth="1"/>
    <col min="3006" max="3006" width="8.5546875" bestFit="1" customWidth="1"/>
    <col min="3007" max="3008" width="9.5546875" bestFit="1" customWidth="1"/>
    <col min="3009" max="3009" width="7.5546875" bestFit="1" customWidth="1"/>
    <col min="3010" max="3010" width="18.77734375" bestFit="1" customWidth="1"/>
    <col min="3011" max="3012" width="8.5546875" bestFit="1" customWidth="1"/>
    <col min="3013" max="3013" width="7.5546875" bestFit="1" customWidth="1"/>
    <col min="3014" max="3014" width="8.5546875" bestFit="1" customWidth="1"/>
    <col min="3015" max="3015" width="9.5546875" bestFit="1" customWidth="1"/>
    <col min="3016" max="3016" width="18.77734375" bestFit="1" customWidth="1"/>
    <col min="3017" max="3019" width="8.5546875" bestFit="1" customWidth="1"/>
    <col min="3020" max="3021" width="18.77734375" bestFit="1" customWidth="1"/>
    <col min="3022" max="3022" width="8.5546875" bestFit="1" customWidth="1"/>
    <col min="3023" max="3023" width="17.77734375" bestFit="1" customWidth="1"/>
    <col min="3024" max="3024" width="18.77734375" bestFit="1" customWidth="1"/>
    <col min="3025" max="3026" width="8.5546875" bestFit="1" customWidth="1"/>
    <col min="3027" max="3027" width="18.77734375" bestFit="1" customWidth="1"/>
    <col min="3028" max="3029" width="7.5546875" bestFit="1" customWidth="1"/>
    <col min="3030" max="3030" width="9.5546875" bestFit="1" customWidth="1"/>
    <col min="3031" max="3031" width="8.5546875" bestFit="1" customWidth="1"/>
    <col min="3032" max="3032" width="6.5546875" bestFit="1" customWidth="1"/>
    <col min="3033" max="3033" width="18.77734375" bestFit="1" customWidth="1"/>
    <col min="3034" max="3034" width="8.5546875" bestFit="1" customWidth="1"/>
    <col min="3035" max="3035" width="6.5546875" bestFit="1" customWidth="1"/>
    <col min="3036" max="3037" width="17.77734375" bestFit="1" customWidth="1"/>
    <col min="3038" max="3038" width="18.77734375" bestFit="1" customWidth="1"/>
    <col min="3039" max="3039" width="8.5546875" bestFit="1" customWidth="1"/>
    <col min="3040" max="3040" width="7.5546875" bestFit="1" customWidth="1"/>
    <col min="3041" max="3041" width="18.77734375" bestFit="1" customWidth="1"/>
    <col min="3042" max="3042" width="8.5546875" bestFit="1" customWidth="1"/>
    <col min="3043" max="3043" width="18.77734375" bestFit="1" customWidth="1"/>
    <col min="3044" max="3044" width="7.5546875" bestFit="1" customWidth="1"/>
    <col min="3045" max="3046" width="18.77734375" bestFit="1" customWidth="1"/>
    <col min="3047" max="3049" width="8.5546875" bestFit="1" customWidth="1"/>
    <col min="3050" max="3050" width="9.5546875" bestFit="1" customWidth="1"/>
    <col min="3051" max="3051" width="7.5546875" bestFit="1" customWidth="1"/>
    <col min="3052" max="3052" width="18.77734375" bestFit="1" customWidth="1"/>
    <col min="3053" max="3053" width="8.5546875" bestFit="1" customWidth="1"/>
    <col min="3054" max="3054" width="7.5546875" bestFit="1" customWidth="1"/>
    <col min="3055" max="3055" width="18.77734375" bestFit="1" customWidth="1"/>
    <col min="3056" max="3056" width="8.5546875" bestFit="1" customWidth="1"/>
    <col min="3057" max="3057" width="7.5546875" bestFit="1" customWidth="1"/>
    <col min="3058" max="3059" width="8.5546875" bestFit="1" customWidth="1"/>
    <col min="3060" max="3060" width="7.5546875" bestFit="1" customWidth="1"/>
    <col min="3061" max="3063" width="8.5546875" bestFit="1" customWidth="1"/>
    <col min="3064" max="3066" width="18.77734375" bestFit="1" customWidth="1"/>
    <col min="3067" max="3069" width="8.5546875" bestFit="1" customWidth="1"/>
    <col min="3070" max="3071" width="7.5546875" bestFit="1" customWidth="1"/>
    <col min="3072" max="3072" width="5" bestFit="1" customWidth="1"/>
    <col min="3073" max="3073" width="7.5546875" bestFit="1" customWidth="1"/>
    <col min="3074" max="3074" width="9.5546875" bestFit="1" customWidth="1"/>
    <col min="3075" max="3075" width="6.5546875" bestFit="1" customWidth="1"/>
    <col min="3076" max="3076" width="8.5546875" bestFit="1" customWidth="1"/>
    <col min="3077" max="3077" width="18.77734375" bestFit="1" customWidth="1"/>
    <col min="3078" max="3078" width="17.77734375" bestFit="1" customWidth="1"/>
    <col min="3079" max="3081" width="7.5546875" bestFit="1" customWidth="1"/>
    <col min="3082" max="3082" width="8.5546875" bestFit="1" customWidth="1"/>
    <col min="3083" max="3083" width="7.5546875" bestFit="1" customWidth="1"/>
    <col min="3084" max="3084" width="18.77734375" bestFit="1" customWidth="1"/>
    <col min="3085" max="3085" width="8.5546875" bestFit="1" customWidth="1"/>
    <col min="3086" max="3086" width="7.5546875" bestFit="1" customWidth="1"/>
    <col min="3087" max="3087" width="18.77734375" bestFit="1" customWidth="1"/>
    <col min="3088" max="3088" width="7.5546875" bestFit="1" customWidth="1"/>
    <col min="3089" max="3089" width="9.5546875" bestFit="1" customWidth="1"/>
    <col min="3090" max="3090" width="8.5546875" bestFit="1" customWidth="1"/>
    <col min="3091" max="3091" width="18.77734375" bestFit="1" customWidth="1"/>
    <col min="3092" max="3092" width="8.5546875" bestFit="1" customWidth="1"/>
    <col min="3093" max="3093" width="18.77734375" bestFit="1" customWidth="1"/>
    <col min="3094" max="3094" width="9.5546875" bestFit="1" customWidth="1"/>
    <col min="3095" max="3096" width="8.5546875" bestFit="1" customWidth="1"/>
    <col min="3097" max="3097" width="18.77734375" bestFit="1" customWidth="1"/>
    <col min="3098" max="3098" width="9.5546875" bestFit="1" customWidth="1"/>
    <col min="3099" max="3100" width="7.5546875" bestFit="1" customWidth="1"/>
    <col min="3101" max="3101" width="8.5546875" bestFit="1" customWidth="1"/>
    <col min="3102" max="3102" width="9.5546875" bestFit="1" customWidth="1"/>
    <col min="3103" max="3104" width="18.77734375" bestFit="1" customWidth="1"/>
    <col min="3105" max="3105" width="7.5546875" bestFit="1" customWidth="1"/>
    <col min="3106" max="3106" width="8.5546875" bestFit="1" customWidth="1"/>
    <col min="3107" max="3108" width="18.77734375" bestFit="1" customWidth="1"/>
    <col min="3109" max="3109" width="8.5546875" bestFit="1" customWidth="1"/>
    <col min="3110" max="3110" width="18.77734375" bestFit="1" customWidth="1"/>
    <col min="3111" max="3113" width="7.5546875" bestFit="1" customWidth="1"/>
    <col min="3114" max="3115" width="8.5546875" bestFit="1" customWidth="1"/>
    <col min="3116" max="3117" width="18.77734375" bestFit="1" customWidth="1"/>
    <col min="3118" max="3118" width="9.5546875" bestFit="1" customWidth="1"/>
    <col min="3119" max="3119" width="18.77734375" bestFit="1" customWidth="1"/>
    <col min="3120" max="3120" width="8.5546875" bestFit="1" customWidth="1"/>
    <col min="3121" max="3121" width="18.77734375" bestFit="1" customWidth="1"/>
    <col min="3122" max="3122" width="8.5546875" bestFit="1" customWidth="1"/>
    <col min="3123" max="3123" width="18.77734375" bestFit="1" customWidth="1"/>
    <col min="3124" max="3124" width="8.5546875" bestFit="1" customWidth="1"/>
    <col min="3125" max="3125" width="7.5546875" bestFit="1" customWidth="1"/>
    <col min="3126" max="3126" width="18.77734375" bestFit="1" customWidth="1"/>
    <col min="3127" max="3127" width="17.77734375" bestFit="1" customWidth="1"/>
    <col min="3128" max="3128" width="8.5546875" bestFit="1" customWidth="1"/>
    <col min="3129" max="3129" width="7.5546875" bestFit="1" customWidth="1"/>
    <col min="3130" max="3130" width="8.5546875" bestFit="1" customWidth="1"/>
    <col min="3131" max="3131" width="7.5546875" bestFit="1" customWidth="1"/>
    <col min="3132" max="3132" width="17.77734375" bestFit="1" customWidth="1"/>
    <col min="3133" max="3133" width="9.5546875" bestFit="1" customWidth="1"/>
    <col min="3134" max="3134" width="8.5546875" bestFit="1" customWidth="1"/>
    <col min="3135" max="3136" width="18.77734375" bestFit="1" customWidth="1"/>
    <col min="3137" max="3137" width="9.5546875" bestFit="1" customWidth="1"/>
    <col min="3138" max="3138" width="8.5546875" bestFit="1" customWidth="1"/>
    <col min="3139" max="3142" width="18.77734375" bestFit="1" customWidth="1"/>
    <col min="3143" max="3143" width="17.77734375" bestFit="1" customWidth="1"/>
    <col min="3144" max="3144" width="7.5546875" bestFit="1" customWidth="1"/>
    <col min="3145" max="3146" width="8.5546875" bestFit="1" customWidth="1"/>
    <col min="3147" max="3147" width="7.5546875" bestFit="1" customWidth="1"/>
    <col min="3148" max="3148" width="18.77734375" bestFit="1" customWidth="1"/>
    <col min="3149" max="3150" width="7.5546875" bestFit="1" customWidth="1"/>
    <col min="3151" max="3151" width="17.77734375" bestFit="1" customWidth="1"/>
    <col min="3152" max="3154" width="7.5546875" bestFit="1" customWidth="1"/>
    <col min="3155" max="3155" width="9.5546875" bestFit="1" customWidth="1"/>
    <col min="3156" max="3156" width="18.77734375" bestFit="1" customWidth="1"/>
    <col min="3157" max="3157" width="6.5546875" bestFit="1" customWidth="1"/>
    <col min="3158" max="3158" width="9.5546875" bestFit="1" customWidth="1"/>
    <col min="3159" max="3159" width="8.5546875" bestFit="1" customWidth="1"/>
    <col min="3160" max="3160" width="18.77734375" bestFit="1" customWidth="1"/>
    <col min="3161" max="3161" width="8.5546875" bestFit="1" customWidth="1"/>
    <col min="3162" max="3162" width="18.77734375" bestFit="1" customWidth="1"/>
    <col min="3163" max="3163" width="8.5546875" bestFit="1" customWidth="1"/>
    <col min="3164" max="3164" width="7.5546875" bestFit="1" customWidth="1"/>
    <col min="3165" max="3167" width="8.5546875" bestFit="1" customWidth="1"/>
    <col min="3168" max="3169" width="18.77734375" bestFit="1" customWidth="1"/>
    <col min="3170" max="3171" width="8.5546875" bestFit="1" customWidth="1"/>
    <col min="3172" max="3172" width="6.5546875" bestFit="1" customWidth="1"/>
    <col min="3173" max="3173" width="18.77734375" bestFit="1" customWidth="1"/>
    <col min="3174" max="3174" width="7.5546875" bestFit="1" customWidth="1"/>
    <col min="3175" max="3175" width="9.5546875" bestFit="1" customWidth="1"/>
    <col min="3176" max="3176" width="18.77734375" bestFit="1" customWidth="1"/>
    <col min="3177" max="3179" width="8.5546875" bestFit="1" customWidth="1"/>
    <col min="3180" max="3180" width="18.77734375" bestFit="1" customWidth="1"/>
    <col min="3181" max="3181" width="8.5546875" bestFit="1" customWidth="1"/>
    <col min="3182" max="3183" width="7.5546875" bestFit="1" customWidth="1"/>
    <col min="3184" max="3184" width="18.77734375" bestFit="1" customWidth="1"/>
    <col min="3185" max="3186" width="8.5546875" bestFit="1" customWidth="1"/>
    <col min="3187" max="3188" width="7.5546875" bestFit="1" customWidth="1"/>
    <col min="3189" max="3191" width="8.5546875" bestFit="1" customWidth="1"/>
    <col min="3192" max="3193" width="9.5546875" bestFit="1" customWidth="1"/>
    <col min="3194" max="3196" width="8.5546875" bestFit="1" customWidth="1"/>
    <col min="3197" max="3197" width="18.77734375" bestFit="1" customWidth="1"/>
    <col min="3198" max="3198" width="9.5546875" bestFit="1" customWidth="1"/>
    <col min="3199" max="3199" width="7.5546875" bestFit="1" customWidth="1"/>
    <col min="3200" max="3200" width="18.77734375" bestFit="1" customWidth="1"/>
    <col min="3201" max="3201" width="17.77734375" bestFit="1" customWidth="1"/>
    <col min="3202" max="3202" width="18.77734375" bestFit="1" customWidth="1"/>
    <col min="3203" max="3203" width="8.5546875" bestFit="1" customWidth="1"/>
    <col min="3204" max="3204" width="6.5546875" bestFit="1" customWidth="1"/>
    <col min="3205" max="3205" width="7.5546875" bestFit="1" customWidth="1"/>
    <col min="3206" max="3206" width="6.5546875" bestFit="1" customWidth="1"/>
    <col min="3207" max="3207" width="8.5546875" bestFit="1" customWidth="1"/>
    <col min="3208" max="3210" width="7.5546875" bestFit="1" customWidth="1"/>
    <col min="3211" max="3211" width="8.5546875" bestFit="1" customWidth="1"/>
    <col min="3212" max="3212" width="7.5546875" bestFit="1" customWidth="1"/>
    <col min="3213" max="3213" width="18.77734375" bestFit="1" customWidth="1"/>
    <col min="3214" max="3214" width="8.5546875" bestFit="1" customWidth="1"/>
    <col min="3215" max="3215" width="9.5546875" bestFit="1" customWidth="1"/>
    <col min="3216" max="3216" width="18.77734375" bestFit="1" customWidth="1"/>
    <col min="3217" max="3217" width="8.5546875" bestFit="1" customWidth="1"/>
    <col min="3218" max="3218" width="9.5546875" bestFit="1" customWidth="1"/>
    <col min="3219" max="3219" width="18.77734375" bestFit="1" customWidth="1"/>
    <col min="3220" max="3220" width="8.5546875" bestFit="1" customWidth="1"/>
    <col min="3221" max="3221" width="9.5546875" bestFit="1" customWidth="1"/>
    <col min="3222" max="3222" width="6.5546875" bestFit="1" customWidth="1"/>
    <col min="3223" max="3224" width="8.5546875" bestFit="1" customWidth="1"/>
    <col min="3225" max="3225" width="18.77734375" bestFit="1" customWidth="1"/>
    <col min="3226" max="3226" width="7.5546875" bestFit="1" customWidth="1"/>
    <col min="3227" max="3227" width="8.5546875" bestFit="1" customWidth="1"/>
    <col min="3228" max="3228" width="6.5546875" bestFit="1" customWidth="1"/>
    <col min="3229" max="3230" width="8.5546875" bestFit="1" customWidth="1"/>
    <col min="3231" max="3231" width="7.5546875" bestFit="1" customWidth="1"/>
    <col min="3232" max="3232" width="18.77734375" bestFit="1" customWidth="1"/>
    <col min="3233" max="3233" width="8.5546875" bestFit="1" customWidth="1"/>
    <col min="3234" max="3234" width="17.77734375" bestFit="1" customWidth="1"/>
    <col min="3235" max="3235" width="18.77734375" bestFit="1" customWidth="1"/>
    <col min="3236" max="3237" width="8.5546875" bestFit="1" customWidth="1"/>
    <col min="3238" max="3238" width="18.77734375" bestFit="1" customWidth="1"/>
    <col min="3239" max="3239" width="7.5546875" bestFit="1" customWidth="1"/>
    <col min="3240" max="3240" width="9.5546875" bestFit="1" customWidth="1"/>
    <col min="3241" max="3241" width="7.5546875" bestFit="1" customWidth="1"/>
    <col min="3242" max="3242" width="18.77734375" bestFit="1" customWidth="1"/>
    <col min="3243" max="3243" width="9.5546875" bestFit="1" customWidth="1"/>
    <col min="3244" max="3247" width="8.5546875" bestFit="1" customWidth="1"/>
    <col min="3248" max="3248" width="9.5546875" bestFit="1" customWidth="1"/>
    <col min="3249" max="3249" width="7.5546875" bestFit="1" customWidth="1"/>
    <col min="3250" max="3250" width="18.77734375" bestFit="1" customWidth="1"/>
    <col min="3251" max="3251" width="7.5546875" bestFit="1" customWidth="1"/>
    <col min="3252" max="3252" width="18.77734375" bestFit="1" customWidth="1"/>
    <col min="3253" max="3253" width="9.5546875" bestFit="1" customWidth="1"/>
    <col min="3254" max="3254" width="6.5546875" bestFit="1" customWidth="1"/>
    <col min="3255" max="3255" width="8.5546875" bestFit="1" customWidth="1"/>
    <col min="3256" max="3256" width="18.77734375" bestFit="1" customWidth="1"/>
    <col min="3257" max="3257" width="9.5546875" bestFit="1" customWidth="1"/>
    <col min="3258" max="3258" width="7.5546875" bestFit="1" customWidth="1"/>
    <col min="3259" max="3260" width="8.5546875" bestFit="1" customWidth="1"/>
    <col min="3261" max="3263" width="7.5546875" bestFit="1" customWidth="1"/>
    <col min="3264" max="3264" width="9.5546875" bestFit="1" customWidth="1"/>
    <col min="3265" max="3265" width="8.5546875" bestFit="1" customWidth="1"/>
    <col min="3266" max="3266" width="6.5546875" bestFit="1" customWidth="1"/>
    <col min="3267" max="3267" width="8.5546875" bestFit="1" customWidth="1"/>
    <col min="3268" max="3268" width="7.5546875" bestFit="1" customWidth="1"/>
    <col min="3269" max="3269" width="18.77734375" bestFit="1" customWidth="1"/>
    <col min="3270" max="3270" width="8.5546875" bestFit="1" customWidth="1"/>
    <col min="3271" max="3271" width="7.5546875" bestFit="1" customWidth="1"/>
    <col min="3272" max="3273" width="9.5546875" bestFit="1" customWidth="1"/>
    <col min="3274" max="3274" width="8.5546875" bestFit="1" customWidth="1"/>
    <col min="3275" max="3277" width="18.77734375" bestFit="1" customWidth="1"/>
    <col min="3278" max="3278" width="7.5546875" bestFit="1" customWidth="1"/>
    <col min="3279" max="3279" width="18.77734375" bestFit="1" customWidth="1"/>
    <col min="3280" max="3280" width="7.5546875" bestFit="1" customWidth="1"/>
    <col min="3281" max="3281" width="18.77734375" bestFit="1" customWidth="1"/>
    <col min="3282" max="3282" width="9.5546875" bestFit="1" customWidth="1"/>
    <col min="3283" max="3283" width="8.5546875" bestFit="1" customWidth="1"/>
    <col min="3284" max="3284" width="6.5546875" bestFit="1" customWidth="1"/>
    <col min="3285" max="3285" width="8.5546875" bestFit="1" customWidth="1"/>
    <col min="3286" max="3286" width="18.77734375" bestFit="1" customWidth="1"/>
    <col min="3287" max="3287" width="7.5546875" bestFit="1" customWidth="1"/>
    <col min="3288" max="3289" width="8.5546875" bestFit="1" customWidth="1"/>
    <col min="3290" max="3290" width="18.77734375" bestFit="1" customWidth="1"/>
    <col min="3291" max="3291" width="8.5546875" bestFit="1" customWidth="1"/>
    <col min="3292" max="3292" width="7.5546875" bestFit="1" customWidth="1"/>
    <col min="3293" max="3293" width="18.77734375" bestFit="1" customWidth="1"/>
    <col min="3294" max="3294" width="8.5546875" bestFit="1" customWidth="1"/>
    <col min="3295" max="3295" width="6.5546875" bestFit="1" customWidth="1"/>
    <col min="3296" max="3296" width="9.5546875" bestFit="1" customWidth="1"/>
    <col min="3297" max="3298" width="8.5546875" bestFit="1" customWidth="1"/>
    <col min="3299" max="3299" width="7.5546875" bestFit="1" customWidth="1"/>
    <col min="3300" max="3300" width="17.77734375" bestFit="1" customWidth="1"/>
    <col min="3301" max="3301" width="18.77734375" bestFit="1" customWidth="1"/>
    <col min="3302" max="3302" width="8.5546875" bestFit="1" customWidth="1"/>
    <col min="3303" max="3303" width="9.5546875" bestFit="1" customWidth="1"/>
    <col min="3304" max="3304" width="8.5546875" bestFit="1" customWidth="1"/>
    <col min="3305" max="3305" width="7.5546875" bestFit="1" customWidth="1"/>
    <col min="3306" max="3307" width="8.5546875" bestFit="1" customWidth="1"/>
    <col min="3308" max="3308" width="9.5546875" bestFit="1" customWidth="1"/>
    <col min="3309" max="3309" width="8.5546875" bestFit="1" customWidth="1"/>
    <col min="3310" max="3311" width="18.77734375" bestFit="1" customWidth="1"/>
    <col min="3312" max="3312" width="8.5546875" bestFit="1" customWidth="1"/>
    <col min="3313" max="3313" width="7.5546875" bestFit="1" customWidth="1"/>
    <col min="3314" max="3315" width="9.5546875" bestFit="1" customWidth="1"/>
    <col min="3316" max="3316" width="7.5546875" bestFit="1" customWidth="1"/>
    <col min="3317" max="3317" width="8.5546875" bestFit="1" customWidth="1"/>
    <col min="3318" max="3318" width="17.77734375" bestFit="1" customWidth="1"/>
    <col min="3319" max="3319" width="18.77734375" bestFit="1" customWidth="1"/>
    <col min="3320" max="3320" width="8.5546875" bestFit="1" customWidth="1"/>
    <col min="3321" max="3321" width="9.5546875" bestFit="1" customWidth="1"/>
    <col min="3322" max="3322" width="18.77734375" bestFit="1" customWidth="1"/>
    <col min="3323" max="3323" width="9.5546875" bestFit="1" customWidth="1"/>
    <col min="3324" max="3324" width="7.5546875" bestFit="1" customWidth="1"/>
    <col min="3325" max="3325" width="18.77734375" bestFit="1" customWidth="1"/>
    <col min="3326" max="3327" width="8.5546875" bestFit="1" customWidth="1"/>
    <col min="3328" max="3328" width="18.77734375" bestFit="1" customWidth="1"/>
    <col min="3329" max="3329" width="8.5546875" bestFit="1" customWidth="1"/>
    <col min="3330" max="3330" width="7.5546875" bestFit="1" customWidth="1"/>
    <col min="3331" max="3331" width="18.77734375" bestFit="1" customWidth="1"/>
    <col min="3332" max="3332" width="4" bestFit="1" customWidth="1"/>
    <col min="3333" max="3333" width="9.5546875" bestFit="1" customWidth="1"/>
    <col min="3334" max="3334" width="6.5546875" bestFit="1" customWidth="1"/>
    <col min="3335" max="3335" width="7.5546875" bestFit="1" customWidth="1"/>
    <col min="3336" max="3336" width="9.5546875" bestFit="1" customWidth="1"/>
    <col min="3337" max="3337" width="8.5546875" bestFit="1" customWidth="1"/>
    <col min="3338" max="3338" width="18.77734375" bestFit="1" customWidth="1"/>
    <col min="3339" max="3340" width="7.5546875" bestFit="1" customWidth="1"/>
    <col min="3341" max="3341" width="9.5546875" bestFit="1" customWidth="1"/>
    <col min="3342" max="3342" width="8.5546875" bestFit="1" customWidth="1"/>
    <col min="3343" max="3343" width="9.5546875" bestFit="1" customWidth="1"/>
    <col min="3344" max="3344" width="8.5546875" bestFit="1" customWidth="1"/>
    <col min="3345" max="3345" width="9.5546875" bestFit="1" customWidth="1"/>
    <col min="3346" max="3346" width="18.77734375" bestFit="1" customWidth="1"/>
    <col min="3347" max="3347" width="9.5546875" bestFit="1" customWidth="1"/>
    <col min="3348" max="3349" width="18.77734375" bestFit="1" customWidth="1"/>
    <col min="3350" max="3350" width="8.5546875" bestFit="1" customWidth="1"/>
    <col min="3351" max="3351" width="7.5546875" bestFit="1" customWidth="1"/>
    <col min="3352" max="3352" width="17.77734375" bestFit="1" customWidth="1"/>
    <col min="3353" max="3353" width="18.77734375" bestFit="1" customWidth="1"/>
    <col min="3354" max="3354" width="7.5546875" bestFit="1" customWidth="1"/>
    <col min="3355" max="3355" width="8.5546875" bestFit="1" customWidth="1"/>
    <col min="3356" max="3356" width="7.5546875" bestFit="1" customWidth="1"/>
    <col min="3357" max="3357" width="18.77734375" bestFit="1" customWidth="1"/>
    <col min="3358" max="3358" width="7.5546875" bestFit="1" customWidth="1"/>
    <col min="3359" max="3359" width="8.5546875" bestFit="1" customWidth="1"/>
    <col min="3360" max="3362" width="18.77734375" bestFit="1" customWidth="1"/>
    <col min="3363" max="3363" width="8.5546875" bestFit="1" customWidth="1"/>
    <col min="3364" max="3364" width="18.77734375" bestFit="1" customWidth="1"/>
    <col min="3365" max="3365" width="7.5546875" bestFit="1" customWidth="1"/>
    <col min="3366" max="3366" width="18.77734375" bestFit="1" customWidth="1"/>
    <col min="3367" max="3371" width="8.5546875" bestFit="1" customWidth="1"/>
    <col min="3372" max="3372" width="7.5546875" bestFit="1" customWidth="1"/>
    <col min="3373" max="3373" width="8.5546875" bestFit="1" customWidth="1"/>
    <col min="3374" max="3374" width="7.5546875" bestFit="1" customWidth="1"/>
    <col min="3375" max="3375" width="9.5546875" bestFit="1" customWidth="1"/>
    <col min="3376" max="3379" width="8.5546875" bestFit="1" customWidth="1"/>
    <col min="3380" max="3380" width="9.5546875" bestFit="1" customWidth="1"/>
    <col min="3381" max="3381" width="18.77734375" bestFit="1" customWidth="1"/>
    <col min="3382" max="3384" width="9.5546875" bestFit="1" customWidth="1"/>
    <col min="3385" max="3386" width="18.77734375" bestFit="1" customWidth="1"/>
    <col min="3387" max="3389" width="8.5546875" bestFit="1" customWidth="1"/>
    <col min="3390" max="3390" width="18.77734375" bestFit="1" customWidth="1"/>
    <col min="3391" max="3392" width="8.5546875" bestFit="1" customWidth="1"/>
    <col min="3393" max="3393" width="7.5546875" bestFit="1" customWidth="1"/>
    <col min="3394" max="3394" width="8.5546875" bestFit="1" customWidth="1"/>
    <col min="3395" max="3395" width="7.5546875" bestFit="1" customWidth="1"/>
    <col min="3396" max="3397" width="8.5546875" bestFit="1" customWidth="1"/>
    <col min="3398" max="3398" width="7.5546875" bestFit="1" customWidth="1"/>
    <col min="3399" max="3399" width="17.77734375" bestFit="1" customWidth="1"/>
    <col min="3400" max="3400" width="8.5546875" bestFit="1" customWidth="1"/>
    <col min="3401" max="3401" width="9.5546875" bestFit="1" customWidth="1"/>
    <col min="3402" max="3404" width="8.5546875" bestFit="1" customWidth="1"/>
    <col min="3405" max="3405" width="7.5546875" bestFit="1" customWidth="1"/>
    <col min="3406" max="3406" width="8.5546875" bestFit="1" customWidth="1"/>
    <col min="3407" max="3407" width="9.5546875" bestFit="1" customWidth="1"/>
    <col min="3408" max="3408" width="7.5546875" bestFit="1" customWidth="1"/>
    <col min="3409" max="3409" width="8.5546875" bestFit="1" customWidth="1"/>
    <col min="3410" max="3410" width="9.5546875" bestFit="1" customWidth="1"/>
    <col min="3411" max="3412" width="8.5546875" bestFit="1" customWidth="1"/>
    <col min="3413" max="3413" width="9.5546875" bestFit="1" customWidth="1"/>
    <col min="3414" max="3414" width="8.5546875" bestFit="1" customWidth="1"/>
    <col min="3415" max="3415" width="17.77734375" bestFit="1" customWidth="1"/>
    <col min="3416" max="3416" width="8.5546875" bestFit="1" customWidth="1"/>
    <col min="3417" max="3418" width="18.77734375" bestFit="1" customWidth="1"/>
    <col min="3419" max="3419" width="8.5546875" bestFit="1" customWidth="1"/>
    <col min="3420" max="3420" width="9.5546875" bestFit="1" customWidth="1"/>
    <col min="3421" max="3421" width="6.5546875" bestFit="1" customWidth="1"/>
    <col min="3422" max="3425" width="8.5546875" bestFit="1" customWidth="1"/>
    <col min="3426" max="3426" width="5" bestFit="1" customWidth="1"/>
    <col min="3427" max="3427" width="9.5546875" bestFit="1" customWidth="1"/>
    <col min="3428" max="3429" width="8.5546875" bestFit="1" customWidth="1"/>
    <col min="3430" max="3431" width="9.5546875" bestFit="1" customWidth="1"/>
    <col min="3432" max="3432" width="18.77734375" bestFit="1" customWidth="1"/>
    <col min="3433" max="3433" width="8.5546875" bestFit="1" customWidth="1"/>
    <col min="3434" max="3435" width="18.77734375" bestFit="1" customWidth="1"/>
    <col min="3436" max="3436" width="8.5546875" bestFit="1" customWidth="1"/>
    <col min="3437" max="3437" width="7.5546875" bestFit="1" customWidth="1"/>
    <col min="3438" max="3438" width="9.5546875" bestFit="1" customWidth="1"/>
    <col min="3439" max="3439" width="6.5546875" bestFit="1" customWidth="1"/>
    <col min="3440" max="3440" width="5.5546875" bestFit="1" customWidth="1"/>
    <col min="3441" max="3442" width="8.5546875" bestFit="1" customWidth="1"/>
    <col min="3443" max="3443" width="18.77734375" bestFit="1" customWidth="1"/>
    <col min="3444" max="3444" width="9.5546875" bestFit="1" customWidth="1"/>
    <col min="3445" max="3445" width="7.5546875" bestFit="1" customWidth="1"/>
    <col min="3446" max="3446" width="8.5546875" bestFit="1" customWidth="1"/>
    <col min="3447" max="3447" width="7.5546875" bestFit="1" customWidth="1"/>
    <col min="3448" max="3448" width="8.5546875" bestFit="1" customWidth="1"/>
    <col min="3449" max="3449" width="9.5546875" bestFit="1" customWidth="1"/>
    <col min="3450" max="3450" width="5" bestFit="1" customWidth="1"/>
    <col min="3451" max="3453" width="8.5546875" bestFit="1" customWidth="1"/>
    <col min="3454" max="3454" width="9.5546875" bestFit="1" customWidth="1"/>
    <col min="3455" max="3455" width="7.5546875" bestFit="1" customWidth="1"/>
    <col min="3456" max="3457" width="18.77734375" bestFit="1" customWidth="1"/>
    <col min="3458" max="3458" width="8.5546875" bestFit="1" customWidth="1"/>
    <col min="3459" max="3459" width="9.5546875" bestFit="1" customWidth="1"/>
    <col min="3460" max="3460" width="18.77734375" bestFit="1" customWidth="1"/>
    <col min="3461" max="3461" width="7.5546875" bestFit="1" customWidth="1"/>
    <col min="3462" max="3462" width="9.5546875" bestFit="1" customWidth="1"/>
    <col min="3463" max="3463" width="8.5546875" bestFit="1" customWidth="1"/>
    <col min="3464" max="3464" width="6.5546875" bestFit="1" customWidth="1"/>
    <col min="3465" max="3465" width="7.5546875" bestFit="1" customWidth="1"/>
    <col min="3466" max="3467" width="8.5546875" bestFit="1" customWidth="1"/>
    <col min="3468" max="3468" width="6.5546875" bestFit="1" customWidth="1"/>
    <col min="3469" max="3469" width="9.5546875" bestFit="1" customWidth="1"/>
    <col min="3470" max="3472" width="8.5546875" bestFit="1" customWidth="1"/>
    <col min="3473" max="3473" width="9.5546875" bestFit="1" customWidth="1"/>
    <col min="3474" max="3474" width="7.5546875" bestFit="1" customWidth="1"/>
    <col min="3475" max="3475" width="8.5546875" bestFit="1" customWidth="1"/>
    <col min="3476" max="3476" width="7.5546875" bestFit="1" customWidth="1"/>
    <col min="3477" max="3477" width="8.5546875" bestFit="1" customWidth="1"/>
    <col min="3478" max="3480" width="18.77734375" bestFit="1" customWidth="1"/>
    <col min="3481" max="3481" width="7.5546875" bestFit="1" customWidth="1"/>
    <col min="3482" max="3483" width="18.77734375" bestFit="1" customWidth="1"/>
    <col min="3484" max="3484" width="8.5546875" bestFit="1" customWidth="1"/>
    <col min="3485" max="3485" width="9.5546875" bestFit="1" customWidth="1"/>
    <col min="3486" max="3486" width="8.5546875" bestFit="1" customWidth="1"/>
    <col min="3487" max="3487" width="18.77734375" bestFit="1" customWidth="1"/>
    <col min="3488" max="3489" width="8.5546875" bestFit="1" customWidth="1"/>
    <col min="3490" max="3490" width="10.5546875" bestFit="1" customWidth="1"/>
  </cols>
  <sheetData>
    <row r="3" spans="1:14" x14ac:dyDescent="0.3">
      <c r="A3" s="1" t="s">
        <v>17870</v>
      </c>
      <c r="B3" t="s">
        <v>17872</v>
      </c>
      <c r="D3" s="1" t="s">
        <v>17870</v>
      </c>
      <c r="E3" t="s">
        <v>17872</v>
      </c>
      <c r="G3" s="1" t="s">
        <v>17870</v>
      </c>
      <c r="H3" t="s">
        <v>17872</v>
      </c>
      <c r="J3" s="1" t="s">
        <v>17870</v>
      </c>
      <c r="K3" t="s">
        <v>17873</v>
      </c>
      <c r="M3" s="1" t="s">
        <v>17870</v>
      </c>
      <c r="N3" t="s">
        <v>17873</v>
      </c>
    </row>
    <row r="4" spans="1:14" x14ac:dyDescent="0.3">
      <c r="A4" s="2" t="s">
        <v>38</v>
      </c>
      <c r="B4" s="6">
        <v>1820579.5704999985</v>
      </c>
      <c r="D4" s="2" t="s">
        <v>216</v>
      </c>
      <c r="E4" s="3">
        <v>5039381.0309999986</v>
      </c>
      <c r="G4" s="2" t="s">
        <v>17875</v>
      </c>
      <c r="H4" s="3">
        <v>6783441.628999996</v>
      </c>
      <c r="J4" s="2" t="s">
        <v>159</v>
      </c>
      <c r="K4" s="6">
        <v>239</v>
      </c>
      <c r="M4" s="2" t="s">
        <v>54</v>
      </c>
      <c r="N4" s="6">
        <v>663</v>
      </c>
    </row>
    <row r="5" spans="1:14" x14ac:dyDescent="0.3">
      <c r="A5" s="2" t="s">
        <v>23</v>
      </c>
      <c r="B5" s="6">
        <v>56217036.346999988</v>
      </c>
      <c r="D5" s="2" t="s">
        <v>99</v>
      </c>
      <c r="E5" s="3">
        <v>3554968.2709999997</v>
      </c>
      <c r="G5" s="2" t="s">
        <v>17876</v>
      </c>
      <c r="H5" s="3">
        <v>6377816.3994999882</v>
      </c>
      <c r="J5" s="2" t="s">
        <v>30</v>
      </c>
      <c r="K5" s="6">
        <v>2711</v>
      </c>
      <c r="M5" s="2" t="s">
        <v>64</v>
      </c>
      <c r="N5" s="6">
        <v>677</v>
      </c>
    </row>
    <row r="6" spans="1:14" x14ac:dyDescent="0.3">
      <c r="A6" s="2" t="s">
        <v>80</v>
      </c>
      <c r="B6" s="6">
        <v>4751812.5384999951</v>
      </c>
      <c r="D6" s="2" t="s">
        <v>163</v>
      </c>
      <c r="E6" s="3">
        <v>5454037.0964999935</v>
      </c>
      <c r="G6" s="2" t="s">
        <v>17877</v>
      </c>
      <c r="H6" s="3">
        <v>6835147.4654999916</v>
      </c>
      <c r="J6" s="2" t="s">
        <v>95</v>
      </c>
      <c r="K6" s="6">
        <v>165</v>
      </c>
      <c r="M6" s="2" t="s">
        <v>173</v>
      </c>
      <c r="N6" s="6">
        <v>716</v>
      </c>
    </row>
    <row r="7" spans="1:14" x14ac:dyDescent="0.3">
      <c r="A7" s="2" t="s">
        <v>107</v>
      </c>
      <c r="B7" s="6">
        <v>10765561.024499997</v>
      </c>
      <c r="D7" s="2" t="s">
        <v>79</v>
      </c>
      <c r="E7" s="3">
        <v>3948588.6579999975</v>
      </c>
      <c r="G7" s="2" t="s">
        <v>17878</v>
      </c>
      <c r="H7" s="3">
        <v>7385630.9575000014</v>
      </c>
      <c r="J7" s="2" t="s">
        <v>112</v>
      </c>
      <c r="K7" s="6">
        <v>373</v>
      </c>
      <c r="M7" s="2" t="s">
        <v>43</v>
      </c>
      <c r="N7" s="6">
        <v>683</v>
      </c>
    </row>
    <row r="8" spans="1:14" x14ac:dyDescent="0.3">
      <c r="A8" s="2" t="s">
        <v>154</v>
      </c>
      <c r="B8" s="6">
        <v>4535805.8814999908</v>
      </c>
      <c r="D8" s="2" t="s">
        <v>812</v>
      </c>
      <c r="E8" s="3">
        <v>4112499.6249999972</v>
      </c>
      <c r="G8" s="2" t="s">
        <v>17879</v>
      </c>
      <c r="H8" s="3">
        <v>6396890.6874999991</v>
      </c>
      <c r="J8" s="2" t="s">
        <v>17871</v>
      </c>
      <c r="K8" s="6">
        <v>3488</v>
      </c>
      <c r="M8" s="2" t="s">
        <v>135</v>
      </c>
      <c r="N8" s="6">
        <v>20</v>
      </c>
    </row>
    <row r="9" spans="1:14" x14ac:dyDescent="0.3">
      <c r="A9" s="2" t="s">
        <v>17871</v>
      </c>
      <c r="B9" s="6">
        <v>78090795.361999974</v>
      </c>
      <c r="D9" s="2" t="s">
        <v>22</v>
      </c>
      <c r="E9" s="3">
        <v>3934349.9029999976</v>
      </c>
      <c r="G9" s="2" t="s">
        <v>17880</v>
      </c>
      <c r="H9" s="3">
        <v>6470111.5074999984</v>
      </c>
      <c r="M9" s="2" t="s">
        <v>29</v>
      </c>
      <c r="N9" s="6">
        <v>729</v>
      </c>
    </row>
    <row r="10" spans="1:14" x14ac:dyDescent="0.3">
      <c r="D10" s="2" t="s">
        <v>276</v>
      </c>
      <c r="E10" s="3">
        <v>4371050.8139999993</v>
      </c>
      <c r="G10" s="2" t="s">
        <v>17881</v>
      </c>
      <c r="H10" s="3">
        <v>6711673.3454999886</v>
      </c>
      <c r="M10" s="2" t="s">
        <v>17871</v>
      </c>
      <c r="N10" s="6">
        <v>3488</v>
      </c>
    </row>
    <row r="11" spans="1:14" x14ac:dyDescent="0.3">
      <c r="D11" s="2" t="s">
        <v>130</v>
      </c>
      <c r="E11" s="3">
        <v>4668131.5339999991</v>
      </c>
      <c r="G11" s="2" t="s">
        <v>17882</v>
      </c>
      <c r="H11" s="3">
        <v>6198402.0280000018</v>
      </c>
    </row>
    <row r="12" spans="1:14" x14ac:dyDescent="0.3">
      <c r="D12" s="2" t="s">
        <v>106</v>
      </c>
      <c r="E12" s="3">
        <v>5355854.8274999969</v>
      </c>
      <c r="G12" s="2" t="s">
        <v>17883</v>
      </c>
      <c r="H12" s="3">
        <v>5740294.0189999994</v>
      </c>
    </row>
    <row r="13" spans="1:14" x14ac:dyDescent="0.3">
      <c r="D13" s="2" t="s">
        <v>70</v>
      </c>
      <c r="E13" s="3">
        <v>3612496.0699999961</v>
      </c>
      <c r="G13" s="2" t="s">
        <v>17884</v>
      </c>
      <c r="H13" s="3">
        <v>6206015.4429999962</v>
      </c>
    </row>
    <row r="14" spans="1:14" x14ac:dyDescent="0.3">
      <c r="D14" s="2" t="s">
        <v>17871</v>
      </c>
      <c r="E14" s="3">
        <v>44051357.829999968</v>
      </c>
      <c r="G14" s="2" t="s">
        <v>17885</v>
      </c>
      <c r="H14" s="3">
        <v>6636699.162999996</v>
      </c>
    </row>
    <row r="15" spans="1:14" x14ac:dyDescent="0.3">
      <c r="G15" s="2" t="s">
        <v>17886</v>
      </c>
      <c r="H15" s="3">
        <v>6348672.7169999955</v>
      </c>
    </row>
    <row r="16" spans="1:14" x14ac:dyDescent="0.3">
      <c r="G16" s="2" t="s">
        <v>17871</v>
      </c>
      <c r="H16" s="3">
        <v>78090795.361999959</v>
      </c>
    </row>
    <row r="42" spans="1:9" x14ac:dyDescent="0.3">
      <c r="A42" t="s">
        <v>17887</v>
      </c>
      <c r="C42" t="s">
        <v>17888</v>
      </c>
      <c r="E42" t="s">
        <v>17889</v>
      </c>
      <c r="G42" s="4" t="s">
        <v>17890</v>
      </c>
      <c r="I42" s="4" t="s">
        <v>17891</v>
      </c>
    </row>
    <row r="43" spans="1:9" x14ac:dyDescent="0.3">
      <c r="A43" s="8">
        <v>78090795.361999869</v>
      </c>
      <c r="C43" s="7">
        <v>3488</v>
      </c>
      <c r="E43" s="5">
        <v>290.20000000000431</v>
      </c>
      <c r="G43" s="7">
        <f>78090795.36/3488</f>
        <v>22388.416100917431</v>
      </c>
      <c r="I43">
        <v>5</v>
      </c>
    </row>
    <row r="45" spans="1:9" x14ac:dyDescent="0.3">
      <c r="A45" s="9">
        <f>GETPIVOTDATA("Sales",$A$42)</f>
        <v>78090795.361999869</v>
      </c>
      <c r="C45">
        <f>GETPIVOTDATA("Order ID",$C$42)</f>
        <v>3488</v>
      </c>
      <c r="E45" s="5">
        <f>GETPIVOTDATA("Discount",$E$42)</f>
        <v>290.20000000000431</v>
      </c>
      <c r="G45" s="7">
        <f>G43</f>
        <v>22388.416100917431</v>
      </c>
      <c r="I45">
        <f>I43</f>
        <v>5</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162F9-FD35-4BBB-AFC7-12A4D64DBD01}">
  <dimension ref="A1"/>
  <sheetViews>
    <sheetView tabSelected="1" zoomScale="69" zoomScaleNormal="69" workbookViewId="0">
      <selection activeCell="W12" sqref="W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39D3C0-055D-40C8-A6B2-790819FFC6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S0239163</dc:creator>
  <cp:lastModifiedBy>Ashwin kumar</cp:lastModifiedBy>
  <cp:lastPrinted>2026-10-07T13:40:16Z</cp:lastPrinted>
  <dcterms:created xsi:type="dcterms:W3CDTF">2026-10-07T06:15:35Z</dcterms:created>
  <dcterms:modified xsi:type="dcterms:W3CDTF">2026-10-07T13:40:32Z</dcterms:modified>
</cp:coreProperties>
</file>